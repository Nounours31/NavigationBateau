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2" r:id="rId1"/>
  </sheets>
  <functionGroups builtInGroupCount="18"/>
  <definedNames>
    <definedName name="HauteurCalculHoraire">Sheet1!$D$18</definedName>
    <definedName name="HoraireCalculHauteur">Sheet1!$D$16</definedName>
    <definedName name="pipoGrapheZone">Sheet1!$L$18:$L$26</definedName>
    <definedName name="RangeHauteurs">Sheet1!$E$4:$E$14</definedName>
    <definedName name="RangeHoraires">Sheet1!$D$4:$D$13</definedName>
    <definedName name="ReponseHauteur">Sheet1!$I$16</definedName>
    <definedName name="ResultaParHauteurSens">Sheet1!$K$18:$K$26</definedName>
    <definedName name="ResultatParHauteur">Sheet1!$J$18:$J$26</definedName>
    <definedName name="ZoneDataConverties_Hauteurs">Sheet1!$F$28:$F$37</definedName>
    <definedName name="ZoneDataConverties_Horaires">Sheet1!$E$28:$E$37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2" l="1"/>
  <c r="I26" i="2" s="1"/>
  <c r="K25" i="2"/>
  <c r="I25" i="2" s="1"/>
  <c r="K24" i="2"/>
  <c r="I24" i="2" s="1"/>
  <c r="K23" i="2"/>
  <c r="I23" i="2" s="1"/>
  <c r="K22" i="2"/>
  <c r="I22" i="2" s="1"/>
  <c r="K21" i="2"/>
  <c r="I21" i="2" s="1"/>
  <c r="K20" i="2"/>
  <c r="I20" i="2" s="1"/>
  <c r="K18" i="2"/>
  <c r="I18" i="2" s="1"/>
  <c r="K19" i="2"/>
  <c r="I19" i="2" s="1"/>
  <c r="K13" i="2" l="1"/>
  <c r="K12" i="2"/>
  <c r="K11" i="2"/>
  <c r="K10" i="2"/>
  <c r="K9" i="2"/>
  <c r="K8" i="2"/>
  <c r="K7" i="2"/>
  <c r="F13" i="2"/>
  <c r="F12" i="2"/>
  <c r="F11" i="2"/>
  <c r="F10" i="2"/>
  <c r="F9" i="2"/>
  <c r="F8" i="2"/>
  <c r="F7" i="2"/>
  <c r="F6" i="2"/>
  <c r="F5" i="2"/>
  <c r="F4" i="2" s="1"/>
  <c r="K6" i="2"/>
  <c r="K5" i="2"/>
  <c r="G13" i="2"/>
  <c r="G12" i="2"/>
  <c r="G11" i="2"/>
  <c r="G10" i="2"/>
  <c r="H10" i="2" s="1"/>
  <c r="G9" i="2"/>
  <c r="H9" i="2" s="1"/>
  <c r="G8" i="2"/>
  <c r="H8" i="2" s="1"/>
  <c r="G7" i="2"/>
  <c r="H7" i="2" s="1"/>
  <c r="G6" i="2"/>
  <c r="H6" i="2" s="1"/>
  <c r="G5" i="2"/>
  <c r="G4" i="2"/>
  <c r="H4" i="2" s="1"/>
  <c r="I5" i="2" l="1"/>
  <c r="H5" i="2"/>
  <c r="I11" i="2"/>
  <c r="H11" i="2"/>
  <c r="I12" i="2"/>
  <c r="H12" i="2"/>
  <c r="I13" i="2"/>
  <c r="H13" i="2"/>
  <c r="I7" i="2"/>
  <c r="J7" i="2" s="1"/>
  <c r="I6" i="2"/>
  <c r="J6" i="2" s="1"/>
  <c r="I8" i="2"/>
  <c r="J8" i="2" s="1"/>
  <c r="I10" i="2"/>
  <c r="J10" i="2" s="1"/>
  <c r="J11" i="2"/>
  <c r="J9" i="2"/>
  <c r="J12" i="2"/>
  <c r="I9" i="2"/>
  <c r="J5" i="2"/>
</calcChain>
</file>

<file path=xl/sharedStrings.xml><?xml version="1.0" encoding="utf-8"?>
<sst xmlns="http://schemas.openxmlformats.org/spreadsheetml/2006/main" count="31" uniqueCount="28">
  <si>
    <t>m</t>
  </si>
  <si>
    <t>Marnage</t>
  </si>
  <si>
    <t>https://www.reddit.com/r/java/comments/cii6q5/openapi_generator_now_supports_java_11_native/</t>
  </si>
  <si>
    <t>https://api.marea.ooo/doc/v2#overview</t>
  </si>
  <si>
    <t>https://rapidapi.com/apihood/api/tides/details</t>
  </si>
  <si>
    <t>https://marea.ooo/en/48.640812/-2.028103?model=fes2014</t>
  </si>
  <si>
    <t>Heure Maree</t>
  </si>
  <si>
    <t>Heure</t>
  </si>
  <si>
    <t>J-1</t>
  </si>
  <si>
    <t xml:space="preserve">J </t>
  </si>
  <si>
    <t>J+1</t>
  </si>
  <si>
    <t>J+2</t>
  </si>
  <si>
    <t>Derniere</t>
  </si>
  <si>
    <t>J - Etale1</t>
  </si>
  <si>
    <t>J+ - Etale1</t>
  </si>
  <si>
    <t>J+ - Etale3</t>
  </si>
  <si>
    <t>J+ - Etale2</t>
  </si>
  <si>
    <t>J+ - Etale4</t>
  </si>
  <si>
    <t>Heure (Pour J)</t>
  </si>
  <si>
    <t xml:space="preserve">Hauteur </t>
  </si>
  <si>
    <t>en m</t>
  </si>
  <si>
    <t>Hauteur (m)</t>
  </si>
  <si>
    <t xml:space="preserve">Check </t>
  </si>
  <si>
    <t>Heure decimale</t>
  </si>
  <si>
    <t>Type</t>
  </si>
  <si>
    <t>---&gt;</t>
  </si>
  <si>
    <t>--&gt;</t>
  </si>
  <si>
    <t>Heure absolue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</si>
</sst>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Roboto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6500"/>
      <name val="Roboto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" xfId="0" applyFont="1" applyBorder="1"/>
    <xf numFmtId="0" fontId="4" fillId="3" borderId="3" xfId="2" applyFont="1" applyBorder="1"/>
    <xf numFmtId="0" fontId="4" fillId="3" borderId="4" xfId="2" applyFont="1" applyBorder="1"/>
    <xf numFmtId="0" fontId="4" fillId="3" borderId="6" xfId="2" applyFont="1" applyBorder="1"/>
    <xf numFmtId="0" fontId="4" fillId="3" borderId="12" xfId="2" applyFont="1" applyBorder="1"/>
    <xf numFmtId="0" fontId="4" fillId="3" borderId="1" xfId="2" applyFont="1" applyBorder="1"/>
    <xf numFmtId="0" fontId="4" fillId="3" borderId="8" xfId="2" applyFont="1" applyBorder="1"/>
    <xf numFmtId="0" fontId="4" fillId="3" borderId="10" xfId="2" applyFont="1" applyBorder="1"/>
    <xf numFmtId="0" fontId="4" fillId="3" borderId="11" xfId="2" applyFont="1" applyBorder="1"/>
    <xf numFmtId="0" fontId="4" fillId="3" borderId="13" xfId="2" applyFont="1" applyBorder="1"/>
    <xf numFmtId="0" fontId="4" fillId="3" borderId="14" xfId="2" applyFont="1" applyBorder="1"/>
    <xf numFmtId="0" fontId="4" fillId="3" borderId="1" xfId="2" applyFont="1" applyBorder="1" applyAlignment="1">
      <alignment horizontal="center" vertical="center" wrapText="1"/>
    </xf>
    <xf numFmtId="2" fontId="4" fillId="3" borderId="13" xfId="2" applyNumberFormat="1" applyFont="1" applyBorder="1"/>
    <xf numFmtId="0" fontId="4" fillId="3" borderId="15" xfId="2" applyFont="1" applyBorder="1"/>
    <xf numFmtId="0" fontId="4" fillId="3" borderId="19" xfId="2" applyFont="1" applyBorder="1"/>
    <xf numFmtId="0" fontId="4" fillId="3" borderId="15" xfId="2" applyFont="1" applyBorder="1" applyAlignment="1">
      <alignment horizontal="center"/>
    </xf>
    <xf numFmtId="0" fontId="4" fillId="3" borderId="16" xfId="2" applyFont="1" applyBorder="1" applyAlignment="1">
      <alignment horizontal="center"/>
    </xf>
    <xf numFmtId="0" fontId="4" fillId="3" borderId="17" xfId="2" applyFont="1" applyBorder="1" applyAlignment="1">
      <alignment horizontal="center"/>
    </xf>
    <xf numFmtId="0" fontId="4" fillId="3" borderId="18" xfId="2" applyFont="1" applyBorder="1" applyAlignment="1">
      <alignment horizontal="center"/>
    </xf>
    <xf numFmtId="0" fontId="4" fillId="3" borderId="19" xfId="2" applyFont="1" applyBorder="1" applyAlignment="1">
      <alignment horizontal="center"/>
    </xf>
    <xf numFmtId="0" fontId="2" fillId="2" borderId="16" xfId="1" applyBorder="1"/>
    <xf numFmtId="164" fontId="1" fillId="4" borderId="3" xfId="0" applyNumberFormat="1" applyFont="1" applyFill="1" applyBorder="1" applyAlignment="1">
      <alignment horizontal="center"/>
    </xf>
    <xf numFmtId="2" fontId="1" fillId="4" borderId="3" xfId="0" applyNumberFormat="1" applyFont="1" applyFill="1" applyBorder="1" applyAlignment="1">
      <alignment horizontal="center"/>
    </xf>
    <xf numFmtId="164" fontId="1" fillId="4" borderId="6" xfId="0" applyNumberFormat="1" applyFont="1" applyFill="1" applyBorder="1" applyAlignment="1">
      <alignment horizontal="center"/>
    </xf>
    <xf numFmtId="2" fontId="1" fillId="4" borderId="6" xfId="0" applyNumberFormat="1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164" fontId="1" fillId="4" borderId="10" xfId="0" applyNumberFormat="1" applyFont="1" applyFill="1" applyBorder="1" applyAlignment="1">
      <alignment horizontal="center"/>
    </xf>
    <xf numFmtId="2" fontId="1" fillId="4" borderId="10" xfId="0" applyNumberFormat="1" applyFont="1" applyFill="1" applyBorder="1" applyAlignment="1">
      <alignment horizontal="center"/>
    </xf>
    <xf numFmtId="20" fontId="1" fillId="4" borderId="0" xfId="0" applyNumberFormat="1" applyFont="1" applyFill="1"/>
    <xf numFmtId="0" fontId="1" fillId="4" borderId="0" xfId="0" applyFont="1" applyFill="1"/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3" borderId="1" xfId="2" applyFont="1" applyBorder="1" applyAlignment="1">
      <alignment horizontal="center" wrapText="1"/>
    </xf>
    <xf numFmtId="0" fontId="1" fillId="0" borderId="0" xfId="0" quotePrefix="1" applyFont="1"/>
    <xf numFmtId="0" fontId="1" fillId="5" borderId="0" xfId="0" applyFont="1" applyFill="1"/>
    <xf numFmtId="164" fontId="1" fillId="5" borderId="0" xfId="0" applyNumberFormat="1" applyFont="1" applyFill="1"/>
    <xf numFmtId="2" fontId="1" fillId="0" borderId="0" xfId="0" applyNumberFormat="1" applyFont="1"/>
  </cellXfs>
  <cellStyles count="3">
    <cellStyle name="Bad" xfId="1" builtinId="27"/>
    <cellStyle name="Neutral" xfId="2" builtinId="28"/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365905749491536E-2"/>
          <c:y val="2.5428331875182269E-2"/>
          <c:w val="0.90234740062408114"/>
          <c:h val="0.8912963340722304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Sheet1!$E$28:$E$37</c:f>
              <c:numCache>
                <c:formatCode>0.00</c:formatCode>
                <c:ptCount val="10"/>
                <c:pt idx="0">
                  <c:v>21.7</c:v>
                </c:pt>
                <c:pt idx="1">
                  <c:v>27.683333333333334</c:v>
                </c:pt>
                <c:pt idx="2">
                  <c:v>34.5</c:v>
                </c:pt>
                <c:pt idx="3">
                  <c:v>40.566666666666663</c:v>
                </c:pt>
                <c:pt idx="4">
                  <c:v>47.383333333333333</c:v>
                </c:pt>
                <c:pt idx="5">
                  <c:v>53.3</c:v>
                </c:pt>
                <c:pt idx="6">
                  <c:v>60.016666666666666</c:v>
                </c:pt>
                <c:pt idx="7">
                  <c:v>65.900000000000006</c:v>
                </c:pt>
                <c:pt idx="8">
                  <c:v>72.650000000000006</c:v>
                </c:pt>
                <c:pt idx="9">
                  <c:v>0</c:v>
                </c:pt>
              </c:numCache>
            </c:numRef>
          </c:xVal>
          <c:yVal>
            <c:numRef>
              <c:f>Sheet1!$F$28:$F$37</c:f>
              <c:numCache>
                <c:formatCode>General</c:formatCode>
                <c:ptCount val="10"/>
                <c:pt idx="0">
                  <c:v>4.78</c:v>
                </c:pt>
                <c:pt idx="1">
                  <c:v>8.81</c:v>
                </c:pt>
                <c:pt idx="2">
                  <c:v>4.76</c:v>
                </c:pt>
                <c:pt idx="3">
                  <c:v>9.17</c:v>
                </c:pt>
                <c:pt idx="4">
                  <c:v>4.16</c:v>
                </c:pt>
                <c:pt idx="5">
                  <c:v>9.4700000000000006</c:v>
                </c:pt>
                <c:pt idx="6">
                  <c:v>3.98</c:v>
                </c:pt>
                <c:pt idx="7">
                  <c:v>10.130000000000001</c:v>
                </c:pt>
                <c:pt idx="8">
                  <c:v>3.15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84-4B1C-9B62-A7DC495428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Sheet1!$J$18:$J$26</c:f>
              <c:numCache>
                <c:formatCode>General</c:formatCode>
                <c:ptCount val="9"/>
                <c:pt idx="0">
                  <c:v>40.098941798941794</c:v>
                </c:pt>
                <c:pt idx="1">
                  <c:v>41.0292747837658</c:v>
                </c:pt>
                <c:pt idx="2">
                  <c:v>52.283247018204641</c:v>
                </c:pt>
                <c:pt idx="3">
                  <c:v>54.434737401335759</c:v>
                </c:pt>
                <c:pt idx="4">
                  <c:v>64.328719512195121</c:v>
                </c:pt>
                <c:pt idx="5">
                  <c:v>67.555265042979954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Sheet1!$L$18:$L$26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84-4B1C-9B62-A7DC49542860}"/>
            </c:ext>
          </c:extLst>
        </c:ser>
        <c:ser>
          <c:idx val="2"/>
          <c:order val="2"/>
          <c:spPr>
            <a:ln w="19050" cap="rnd">
              <a:solidFill>
                <a:srgbClr val="66FF6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Sheet1!$E$28:$E$36</c:f>
              <c:numCache>
                <c:formatCode>0.00</c:formatCode>
                <c:ptCount val="9"/>
                <c:pt idx="0">
                  <c:v>21.7</c:v>
                </c:pt>
                <c:pt idx="1">
                  <c:v>27.683333333333334</c:v>
                </c:pt>
                <c:pt idx="2">
                  <c:v>34.5</c:v>
                </c:pt>
                <c:pt idx="3">
                  <c:v>40.566666666666663</c:v>
                </c:pt>
                <c:pt idx="4">
                  <c:v>47.383333333333333</c:v>
                </c:pt>
                <c:pt idx="5">
                  <c:v>53.3</c:v>
                </c:pt>
                <c:pt idx="6">
                  <c:v>60.016666666666666</c:v>
                </c:pt>
                <c:pt idx="7">
                  <c:v>65.900000000000006</c:v>
                </c:pt>
                <c:pt idx="8">
                  <c:v>72.650000000000006</c:v>
                </c:pt>
              </c:numCache>
            </c:numRef>
          </c:xVal>
          <c:yVal>
            <c:numRef>
              <c:f>Sheet1!$F$28:$F$36</c:f>
              <c:numCache>
                <c:formatCode>General</c:formatCode>
                <c:ptCount val="9"/>
                <c:pt idx="0">
                  <c:v>4.78</c:v>
                </c:pt>
                <c:pt idx="1">
                  <c:v>8.81</c:v>
                </c:pt>
                <c:pt idx="2">
                  <c:v>4.76</c:v>
                </c:pt>
                <c:pt idx="3">
                  <c:v>9.17</c:v>
                </c:pt>
                <c:pt idx="4">
                  <c:v>4.16</c:v>
                </c:pt>
                <c:pt idx="5">
                  <c:v>9.4700000000000006</c:v>
                </c:pt>
                <c:pt idx="6">
                  <c:v>3.98</c:v>
                </c:pt>
                <c:pt idx="7">
                  <c:v>10.130000000000001</c:v>
                </c:pt>
                <c:pt idx="8">
                  <c:v>3.15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84-4B1C-9B62-A7DC49542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99664"/>
        <c:axId val="506005896"/>
      </c:scatterChart>
      <c:valAx>
        <c:axId val="50599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6005896"/>
        <c:crosses val="autoZero"/>
        <c:crossBetween val="midCat"/>
      </c:valAx>
      <c:valAx>
        <c:axId val="506005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599966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14</xdr:row>
          <xdr:rowOff>161925</xdr:rowOff>
        </xdr:from>
        <xdr:to>
          <xdr:col>6</xdr:col>
          <xdr:colOff>76200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Hauteur a une heure donnee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142874</xdr:colOff>
          <xdr:row>17</xdr:row>
          <xdr:rowOff>38099</xdr:rowOff>
        </xdr:from>
        <xdr:to>
          <xdr:col>7</xdr:col>
          <xdr:colOff>9524</xdr:colOff>
          <xdr:row>18</xdr:row>
          <xdr:rowOff>47624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des horaire par hauteur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266699</xdr:colOff>
      <xdr:row>1</xdr:row>
      <xdr:rowOff>28574</xdr:rowOff>
    </xdr:from>
    <xdr:to>
      <xdr:col>24</xdr:col>
      <xdr:colOff>123824</xdr:colOff>
      <xdr:row>27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U37"/>
  <sheetViews>
    <sheetView tabSelected="1" workbookViewId="0">
      <selection activeCell="H33" sqref="H33"/>
    </sheetView>
  </sheetViews>
  <sheetFormatPr defaultRowHeight="15" x14ac:dyDescent="0.25"/>
  <cols>
    <col min="1" max="2" width="9.140625" style="1"/>
    <col min="3" max="3" width="16.7109375" style="1" customWidth="1"/>
    <col min="4" max="5" width="14.85546875" style="1" customWidth="1"/>
    <col min="6" max="6" width="10" style="1" customWidth="1"/>
    <col min="7" max="8" width="11" style="1" customWidth="1"/>
    <col min="9" max="9" width="17.5703125" style="1" customWidth="1"/>
    <col min="10" max="10" width="11" style="1" customWidth="1"/>
    <col min="11" max="18" width="9.140625" style="1"/>
    <col min="19" max="19" width="12" style="1" customWidth="1"/>
    <col min="20" max="16384" width="9.140625" style="1"/>
  </cols>
  <sheetData>
    <row r="2" spans="2:21" x14ac:dyDescent="0.25">
      <c r="F2" s="46" t="s">
        <v>22</v>
      </c>
      <c r="G2" s="46"/>
      <c r="H2" s="46"/>
      <c r="I2" s="46"/>
      <c r="J2" s="46"/>
      <c r="M2"/>
      <c r="N2"/>
      <c r="O2"/>
      <c r="P2"/>
      <c r="Q2"/>
      <c r="R2"/>
      <c r="S2"/>
      <c r="T2"/>
      <c r="U2"/>
    </row>
    <row r="3" spans="2:21" ht="32.25" customHeight="1" thickBot="1" x14ac:dyDescent="0.3">
      <c r="C3" s="2"/>
      <c r="D3" s="4" t="s">
        <v>7</v>
      </c>
      <c r="E3" s="4" t="s">
        <v>21</v>
      </c>
      <c r="F3" s="20" t="s">
        <v>24</v>
      </c>
      <c r="G3" s="20" t="s">
        <v>23</v>
      </c>
      <c r="H3" s="20" t="s">
        <v>27</v>
      </c>
      <c r="I3" s="20" t="s">
        <v>6</v>
      </c>
      <c r="J3" s="20"/>
      <c r="K3" s="20" t="s">
        <v>1</v>
      </c>
      <c r="M3"/>
      <c r="N3"/>
      <c r="O3"/>
      <c r="P3"/>
      <c r="Q3"/>
      <c r="R3"/>
      <c r="S3"/>
      <c r="T3"/>
      <c r="U3"/>
    </row>
    <row r="4" spans="2:21" ht="16.5" customHeight="1" thickBot="1" x14ac:dyDescent="0.3">
      <c r="B4" s="5" t="s">
        <v>8</v>
      </c>
      <c r="C4" s="6" t="s">
        <v>12</v>
      </c>
      <c r="D4" s="30">
        <v>0.90416666666666667</v>
      </c>
      <c r="E4" s="31">
        <v>4.78</v>
      </c>
      <c r="F4" s="24" t="str">
        <f>IF(F5="PM","BM","PM")</f>
        <v>BM</v>
      </c>
      <c r="G4" s="21">
        <f>D4*24</f>
        <v>21.7</v>
      </c>
      <c r="H4" s="21">
        <f>G4</f>
        <v>21.7</v>
      </c>
      <c r="I4" s="18"/>
      <c r="J4" s="22"/>
      <c r="K4" s="19"/>
      <c r="M4"/>
      <c r="N4"/>
      <c r="O4"/>
      <c r="P4"/>
      <c r="Q4"/>
      <c r="R4"/>
      <c r="S4"/>
      <c r="T4"/>
      <c r="U4"/>
    </row>
    <row r="5" spans="2:21" ht="16.5" customHeight="1" thickBot="1" x14ac:dyDescent="0.3">
      <c r="B5" s="40" t="s">
        <v>9</v>
      </c>
      <c r="C5" s="7" t="s">
        <v>13</v>
      </c>
      <c r="D5" s="32">
        <v>0.15347222222222223</v>
      </c>
      <c r="E5" s="33">
        <v>8.81</v>
      </c>
      <c r="F5" s="25" t="str">
        <f>IF(E5&gt;E4,"PM","BM")</f>
        <v>PM</v>
      </c>
      <c r="G5" s="12">
        <f t="shared" ref="G5:G13" si="0">D5*24</f>
        <v>3.6833333333333336</v>
      </c>
      <c r="H5" s="12">
        <f>G5+24</f>
        <v>27.683333333333334</v>
      </c>
      <c r="I5" s="12">
        <f>IF((G5-G4)/6&lt;0,(24+G5-G4)/6,(G5-G4)/6)</f>
        <v>0.99722222222222234</v>
      </c>
      <c r="J5" s="29" t="str">
        <f>IF(OR(F5=F4,F5=F6),"Err - Type",IF(OR(I5&lt;0.8,I5&gt;1.2), "Err - heure maree","OK"))</f>
        <v>OK</v>
      </c>
      <c r="K5" s="13">
        <f>E5-E4</f>
        <v>4.03</v>
      </c>
      <c r="M5"/>
      <c r="N5"/>
      <c r="O5"/>
      <c r="P5"/>
      <c r="Q5"/>
      <c r="R5"/>
      <c r="S5"/>
      <c r="T5"/>
      <c r="U5"/>
    </row>
    <row r="6" spans="2:21" ht="16.5" customHeight="1" thickBot="1" x14ac:dyDescent="0.3">
      <c r="B6" s="41"/>
      <c r="C6" s="3" t="s">
        <v>13</v>
      </c>
      <c r="D6" s="34">
        <v>0.4375</v>
      </c>
      <c r="E6" s="35">
        <v>4.76</v>
      </c>
      <c r="F6" s="26" t="str">
        <f t="shared" ref="F6:F13" si="1">IF(E6&gt;E5,"PM","BM")</f>
        <v>BM</v>
      </c>
      <c r="G6" s="14">
        <f t="shared" si="0"/>
        <v>10.5</v>
      </c>
      <c r="H6" s="12">
        <f>G6+24</f>
        <v>34.5</v>
      </c>
      <c r="I6" s="14">
        <f>IF((G6-G5)/6&lt;0,(24+G6-G5)/6,(G6-G5)/6)</f>
        <v>1.1361111111111111</v>
      </c>
      <c r="J6" s="29" t="str">
        <f>IF(OR(F6=F5,F6=F7),"Err - Type",IF(OR(I6&lt;0.8,I6&gt;1.2), "Err - heure maree",IF(ABS((ABS(K6)-ABS(K5))/K5) &gt; 0.1, "Err - marnage","OK")))</f>
        <v>OK</v>
      </c>
      <c r="K6" s="15">
        <f>E6-E5</f>
        <v>-4.0500000000000007</v>
      </c>
      <c r="M6"/>
      <c r="N6"/>
      <c r="O6"/>
      <c r="P6"/>
      <c r="Q6"/>
      <c r="R6"/>
      <c r="S6"/>
      <c r="T6"/>
      <c r="U6"/>
    </row>
    <row r="7" spans="2:21" ht="16.5" customHeight="1" thickBot="1" x14ac:dyDescent="0.3">
      <c r="B7" s="41"/>
      <c r="C7" s="3" t="s">
        <v>13</v>
      </c>
      <c r="D7" s="34">
        <v>0.69027777777777777</v>
      </c>
      <c r="E7" s="35">
        <v>9.17</v>
      </c>
      <c r="F7" s="26" t="str">
        <f t="shared" si="1"/>
        <v>PM</v>
      </c>
      <c r="G7" s="14">
        <f t="shared" si="0"/>
        <v>16.566666666666666</v>
      </c>
      <c r="H7" s="12">
        <f>G7+24</f>
        <v>40.566666666666663</v>
      </c>
      <c r="I7" s="14">
        <f>IF((G7-G6)/6&lt;0,(24+G7-G6)/6,(G7-G6)/6)</f>
        <v>1.0111111111111111</v>
      </c>
      <c r="J7" s="29" t="str">
        <f>IF(OR(F7=F6,F7=F8),"Err - Type",IF(OR(I7&lt;0.8,I7&gt;1.2), "Err - heure maree",IF(ABS((ABS(K7)-ABS(K6))/K6) &gt; 0.1, "Err - marnage","OK")))</f>
        <v>OK</v>
      </c>
      <c r="K7" s="15">
        <f>E7-E6</f>
        <v>4.41</v>
      </c>
      <c r="M7"/>
      <c r="N7"/>
      <c r="O7"/>
      <c r="P7"/>
      <c r="Q7"/>
      <c r="R7"/>
      <c r="S7"/>
      <c r="T7"/>
      <c r="U7"/>
    </row>
    <row r="8" spans="2:21" ht="16.5" customHeight="1" thickBot="1" x14ac:dyDescent="0.3">
      <c r="B8" s="42"/>
      <c r="C8" s="8" t="s">
        <v>13</v>
      </c>
      <c r="D8" s="36">
        <v>0.97430555555555554</v>
      </c>
      <c r="E8" s="37">
        <v>4.16</v>
      </c>
      <c r="F8" s="27" t="str">
        <f t="shared" si="1"/>
        <v>BM</v>
      </c>
      <c r="G8" s="16">
        <f t="shared" si="0"/>
        <v>23.383333333333333</v>
      </c>
      <c r="H8" s="12">
        <f>G8+24</f>
        <v>47.383333333333333</v>
      </c>
      <c r="I8" s="16">
        <f>IF((G8-G7)/6&lt;0,(24+G8-G7)/6,(G8-G7)/6)</f>
        <v>1.1361111111111111</v>
      </c>
      <c r="J8" s="29" t="str">
        <f>IF(OR(F8=F7,F8=F9),"Err - Type",IF(OR(I8&lt;0.8,I8&gt;1.2), "Err - heure maree",IF(ABS((ABS(K8)-ABS(K7))/K7) &gt; 0.1, "Err - marnage","OK")))</f>
        <v>Err - marnage</v>
      </c>
      <c r="K8" s="17">
        <f>E8-E7</f>
        <v>-5.01</v>
      </c>
      <c r="M8"/>
      <c r="N8"/>
      <c r="O8"/>
      <c r="P8"/>
      <c r="Q8"/>
      <c r="R8"/>
      <c r="S8"/>
      <c r="T8"/>
      <c r="U8"/>
    </row>
    <row r="9" spans="2:21" ht="16.5" customHeight="1" thickBot="1" x14ac:dyDescent="0.3">
      <c r="B9" s="43" t="s">
        <v>10</v>
      </c>
      <c r="C9" s="7" t="s">
        <v>14</v>
      </c>
      <c r="D9" s="32">
        <v>0.22083333333333333</v>
      </c>
      <c r="E9" s="33">
        <v>9.4700000000000006</v>
      </c>
      <c r="F9" s="25" t="str">
        <f t="shared" si="1"/>
        <v>PM</v>
      </c>
      <c r="G9" s="12">
        <f t="shared" si="0"/>
        <v>5.3</v>
      </c>
      <c r="H9" s="12">
        <f>G9+2*24</f>
        <v>53.3</v>
      </c>
      <c r="I9" s="12">
        <f>IF((G9-G8)/6&lt;0,(24+G9-G8)/6,(G9-G8)/6)</f>
        <v>0.98611111111111127</v>
      </c>
      <c r="J9" s="29" t="str">
        <f>IF(OR(F9=F8,F9=F10),"Err - Type",IF(OR(I9&lt;0.8,I9&gt;1.2), "Err - heure maree",IF(ABS((ABS(K9)-ABS(K8))/K8) &gt; 0.1, "Err - marnage","OK")))</f>
        <v>OK</v>
      </c>
      <c r="K9" s="13">
        <f>E9-E8</f>
        <v>5.3100000000000005</v>
      </c>
      <c r="M9"/>
      <c r="N9"/>
      <c r="O9"/>
      <c r="P9"/>
      <c r="Q9"/>
      <c r="R9"/>
      <c r="S9"/>
      <c r="T9"/>
      <c r="U9"/>
    </row>
    <row r="10" spans="2:21" ht="16.5" customHeight="1" thickBot="1" x14ac:dyDescent="0.3">
      <c r="B10" s="44"/>
      <c r="C10" s="3" t="s">
        <v>16</v>
      </c>
      <c r="D10" s="34">
        <v>0.50069444444444444</v>
      </c>
      <c r="E10" s="35">
        <v>3.98</v>
      </c>
      <c r="F10" s="26" t="str">
        <f t="shared" si="1"/>
        <v>BM</v>
      </c>
      <c r="G10" s="14">
        <f t="shared" si="0"/>
        <v>12.016666666666666</v>
      </c>
      <c r="H10" s="12">
        <f>G10+2*24</f>
        <v>60.016666666666666</v>
      </c>
      <c r="I10" s="14">
        <f>IF((G10-G9)/6&lt;0,(24+G10-G9)/6,(G10-G9)/6)</f>
        <v>1.1194444444444442</v>
      </c>
      <c r="J10" s="29" t="str">
        <f>IF(OR(F10=F9,F10=F11),"Err - Type",IF(OR(I10&lt;0.8,I10&gt;1.2), "Err - heure maree",IF(ABS((ABS(K10)-ABS(K9))/K9) &gt; 0.1, "Err - marnage","OK")))</f>
        <v>OK</v>
      </c>
      <c r="K10" s="15">
        <f>E10-E9</f>
        <v>-5.49</v>
      </c>
      <c r="M10"/>
      <c r="N10"/>
      <c r="O10"/>
      <c r="P10"/>
      <c r="Q10"/>
      <c r="R10"/>
      <c r="S10"/>
      <c r="T10"/>
      <c r="U10"/>
    </row>
    <row r="11" spans="2:21" ht="16.5" customHeight="1" thickBot="1" x14ac:dyDescent="0.3">
      <c r="B11" s="44"/>
      <c r="C11" s="3" t="s">
        <v>15</v>
      </c>
      <c r="D11" s="34">
        <v>0.74583333333333324</v>
      </c>
      <c r="E11" s="35">
        <v>10.130000000000001</v>
      </c>
      <c r="F11" s="26" t="str">
        <f t="shared" si="1"/>
        <v>PM</v>
      </c>
      <c r="G11" s="14">
        <f t="shared" si="0"/>
        <v>17.899999999999999</v>
      </c>
      <c r="H11" s="12">
        <f>G11+2*24</f>
        <v>65.900000000000006</v>
      </c>
      <c r="I11" s="14">
        <f>IF((G11-G10)/6&lt;0,(24+G11-G10)/6,(G11-G10)/6)</f>
        <v>0.98055555555555551</v>
      </c>
      <c r="J11" s="29" t="str">
        <f>IF(OR(F11=F10,F11=F12),"Err - Type",IF(OR(I11&lt;0.8,I11&gt;1.2), "Err - heure maree",IF(ABS((ABS(K11)-ABS(K10))/K10) &gt; 0.1, "Err - marnage","OK")))</f>
        <v>Err - marnage</v>
      </c>
      <c r="K11" s="15">
        <f>E11-E10</f>
        <v>6.15</v>
      </c>
      <c r="M11"/>
      <c r="N11"/>
      <c r="O11"/>
      <c r="P11"/>
      <c r="Q11"/>
      <c r="R11"/>
      <c r="S11"/>
      <c r="T11"/>
      <c r="U11"/>
    </row>
    <row r="12" spans="2:21" ht="16.5" customHeight="1" thickBot="1" x14ac:dyDescent="0.3">
      <c r="B12" s="45"/>
      <c r="C12" s="8" t="s">
        <v>17</v>
      </c>
      <c r="D12" s="36"/>
      <c r="E12" s="37"/>
      <c r="F12" s="27" t="str">
        <f t="shared" si="1"/>
        <v>BM</v>
      </c>
      <c r="G12" s="16">
        <f t="shared" si="0"/>
        <v>0</v>
      </c>
      <c r="H12" s="12">
        <f>G12+2*24</f>
        <v>48</v>
      </c>
      <c r="I12" s="16">
        <f>IF((G12-G11)/6&lt;0,(24+G12-G11)/6,(G12-G11)/6)</f>
        <v>1.0166666666666668</v>
      </c>
      <c r="J12" s="29" t="str">
        <f>IF(OR(F12=F11,F12=F13),"Err - Type",IF(OR(I12&lt;0.8,I12&gt;1.2), "Err - heure maree",IF(ABS((ABS(K12)-ABS(K11))/K11) &gt; 0.1, "Err - marnage","OK")))</f>
        <v>Err - marnage</v>
      </c>
      <c r="K12" s="17">
        <f>E12-E11</f>
        <v>-10.130000000000001</v>
      </c>
      <c r="M12"/>
      <c r="N12"/>
      <c r="O12"/>
      <c r="P12"/>
      <c r="Q12"/>
      <c r="R12"/>
      <c r="S12"/>
      <c r="T12"/>
      <c r="U12"/>
    </row>
    <row r="13" spans="2:21" ht="16.5" customHeight="1" thickBot="1" x14ac:dyDescent="0.3">
      <c r="B13" s="9" t="s">
        <v>11</v>
      </c>
      <c r="C13" s="6"/>
      <c r="D13" s="30">
        <v>2.7083333333333334E-2</v>
      </c>
      <c r="E13" s="31">
        <v>3.15</v>
      </c>
      <c r="F13" s="28" t="str">
        <f t="shared" si="1"/>
        <v>PM</v>
      </c>
      <c r="G13" s="10">
        <f t="shared" si="0"/>
        <v>0.65</v>
      </c>
      <c r="H13" s="10">
        <f>G13+3*24</f>
        <v>72.650000000000006</v>
      </c>
      <c r="I13" s="10">
        <f>IF((G13-G12)/6&lt;0,(24+G13-G12)/6,(G13-G12)/6)</f>
        <v>0.10833333333333334</v>
      </c>
      <c r="J13" s="23"/>
      <c r="K13" s="11">
        <f>E13-E12</f>
        <v>3.15</v>
      </c>
      <c r="M13"/>
      <c r="N13"/>
      <c r="O13"/>
      <c r="P13"/>
      <c r="Q13"/>
      <c r="R13"/>
      <c r="S13"/>
      <c r="T13"/>
      <c r="U13"/>
    </row>
    <row r="16" spans="2:21" x14ac:dyDescent="0.25">
      <c r="B16" s="1" t="s">
        <v>18</v>
      </c>
      <c r="D16" s="38">
        <v>0.58333333333333337</v>
      </c>
      <c r="H16" s="47" t="s">
        <v>25</v>
      </c>
      <c r="I16" s="48">
        <v>7.4738461538461562</v>
      </c>
      <c r="J16" s="48" t="s">
        <v>0</v>
      </c>
    </row>
    <row r="18" spans="2:12" x14ac:dyDescent="0.25">
      <c r="B18" s="1" t="s">
        <v>19</v>
      </c>
      <c r="C18" s="1" t="s">
        <v>20</v>
      </c>
      <c r="D18" s="39">
        <v>9</v>
      </c>
      <c r="H18" s="47" t="s">
        <v>26</v>
      </c>
      <c r="I18" s="49">
        <f>K18/24</f>
        <v>0.67078924162257481</v>
      </c>
      <c r="J18" s="1">
        <v>40.098941798941794</v>
      </c>
      <c r="K18" s="1">
        <f>IF(J18&gt;3*24,J18-3*24,IF(J18&gt;2*24,J18-2*24,IF(J18&gt;24,J18-24,J18)))</f>
        <v>16.098941798941794</v>
      </c>
      <c r="L18" s="1">
        <v>9</v>
      </c>
    </row>
    <row r="19" spans="2:12" x14ac:dyDescent="0.25">
      <c r="I19" s="49">
        <f t="shared" ref="I19:I26" si="2">K19/24</f>
        <v>0.70955311599024162</v>
      </c>
      <c r="J19" s="1">
        <v>41.0292747837658</v>
      </c>
      <c r="K19" s="1">
        <f>IF(J19&gt;3*24,J19-3*24,IF(J19&gt;2*24,J19-2*24,IF(J19&gt;24,J19-24,J19)))</f>
        <v>17.0292747837658</v>
      </c>
      <c r="L19" s="1">
        <v>9</v>
      </c>
    </row>
    <row r="20" spans="2:12" x14ac:dyDescent="0.25">
      <c r="I20" s="49">
        <f t="shared" si="2"/>
        <v>0.17846862575852671</v>
      </c>
      <c r="J20" s="1">
        <v>52.283247018204641</v>
      </c>
      <c r="K20" s="1">
        <f>IF(J20&gt;3*24,J20-3*24,IF(J20&gt;2*24,J20-2*24,IF(J20&gt;24,J20-24,J20)))</f>
        <v>4.2832470182046407</v>
      </c>
      <c r="L20" s="1">
        <v>9</v>
      </c>
    </row>
    <row r="21" spans="2:12" x14ac:dyDescent="0.25">
      <c r="I21" s="49">
        <f t="shared" si="2"/>
        <v>0.26811405838899</v>
      </c>
      <c r="J21" s="1">
        <v>54.434737401335759</v>
      </c>
      <c r="K21" s="1">
        <f>IF(J21&gt;3*24,J21-3*24,IF(J21&gt;2*24,J21-2*24,IF(J21&gt;24,J21-24,J21)))</f>
        <v>6.4347374013357594</v>
      </c>
      <c r="L21" s="1">
        <v>9</v>
      </c>
    </row>
    <row r="22" spans="2:12" x14ac:dyDescent="0.25">
      <c r="I22" s="49">
        <f t="shared" si="2"/>
        <v>0.68036331300813002</v>
      </c>
      <c r="J22" s="1">
        <v>64.328719512195121</v>
      </c>
      <c r="K22" s="1">
        <f>IF(J22&gt;3*24,J22-3*24,IF(J22&gt;2*24,J22-2*24,IF(J22&gt;24,J22-24,J22)))</f>
        <v>16.328719512195121</v>
      </c>
      <c r="L22" s="1">
        <v>9</v>
      </c>
    </row>
    <row r="23" spans="2:12" x14ac:dyDescent="0.25">
      <c r="B23" s="1" t="s">
        <v>2</v>
      </c>
      <c r="I23" s="49">
        <f t="shared" si="2"/>
        <v>0.81480271012416472</v>
      </c>
      <c r="J23" s="1">
        <v>67.555265042979954</v>
      </c>
      <c r="K23" s="1">
        <f>IF(J23&gt;3*24,J23-3*24,IF(J23&gt;2*24,J23-2*24,IF(J23&gt;24,J23-24,J23)))</f>
        <v>19.555265042979954</v>
      </c>
      <c r="L23" s="1">
        <v>9</v>
      </c>
    </row>
    <row r="24" spans="2:12" x14ac:dyDescent="0.25">
      <c r="B24" s="1" t="s">
        <v>3</v>
      </c>
      <c r="I24" s="49">
        <f t="shared" si="2"/>
        <v>0</v>
      </c>
      <c r="J24" s="1">
        <v>0</v>
      </c>
      <c r="K24" s="1">
        <f>IF(J24&gt;3*24,J24-3*24,IF(J24&gt;2*24,J24-2*24,IF(J24&gt;24,J24-24,J24)))</f>
        <v>0</v>
      </c>
      <c r="L24" s="1">
        <v>9</v>
      </c>
    </row>
    <row r="25" spans="2:12" x14ac:dyDescent="0.25">
      <c r="B25" s="1" t="s">
        <v>4</v>
      </c>
      <c r="I25" s="49">
        <f t="shared" si="2"/>
        <v>0</v>
      </c>
      <c r="J25" s="1">
        <v>0</v>
      </c>
      <c r="K25" s="1">
        <f>IF(J25&gt;3*24,J25-3*24,IF(J25&gt;2*24,J25-2*24,IF(J25&gt;24,J25-24,J25)))</f>
        <v>0</v>
      </c>
      <c r="L25" s="1">
        <v>9</v>
      </c>
    </row>
    <row r="26" spans="2:12" x14ac:dyDescent="0.25">
      <c r="B26" s="1" t="s">
        <v>5</v>
      </c>
      <c r="I26" s="49">
        <f t="shared" si="2"/>
        <v>0</v>
      </c>
      <c r="J26" s="1">
        <v>0</v>
      </c>
      <c r="K26" s="1">
        <f>IF(J26&gt;3*24,J26-3*24,IF(J26&gt;2*24,J26-2*24,IF(J26&gt;24,J26-24,J26)))</f>
        <v>0</v>
      </c>
      <c r="L26" s="1">
        <v>9</v>
      </c>
    </row>
    <row r="27" spans="2:12" ht="15.75" thickBot="1" x14ac:dyDescent="0.3"/>
    <row r="28" spans="2:12" ht="15.75" thickBot="1" x14ac:dyDescent="0.3">
      <c r="E28" s="31">
        <v>21.7</v>
      </c>
      <c r="F28" s="1">
        <v>4.78</v>
      </c>
    </row>
    <row r="29" spans="2:12" x14ac:dyDescent="0.25">
      <c r="E29" s="33">
        <v>27.683333333333334</v>
      </c>
      <c r="F29" s="1">
        <v>8.81</v>
      </c>
    </row>
    <row r="30" spans="2:12" x14ac:dyDescent="0.25">
      <c r="E30" s="35">
        <v>34.5</v>
      </c>
      <c r="F30" s="1">
        <v>4.76</v>
      </c>
    </row>
    <row r="31" spans="2:12" x14ac:dyDescent="0.25">
      <c r="E31" s="35">
        <v>40.566666666666663</v>
      </c>
      <c r="F31" s="1">
        <v>9.17</v>
      </c>
    </row>
    <row r="32" spans="2:12" ht="15.75" thickBot="1" x14ac:dyDescent="0.3">
      <c r="E32" s="37">
        <v>47.383333333333333</v>
      </c>
      <c r="F32" s="1">
        <v>4.16</v>
      </c>
    </row>
    <row r="33" spans="5:10" x14ac:dyDescent="0.25">
      <c r="E33" s="33">
        <v>53.3</v>
      </c>
      <c r="F33" s="1">
        <v>9.4700000000000006</v>
      </c>
    </row>
    <row r="34" spans="5:10" x14ac:dyDescent="0.25">
      <c r="E34" s="35">
        <v>60.016666666666666</v>
      </c>
      <c r="F34" s="1">
        <v>3.98</v>
      </c>
    </row>
    <row r="35" spans="5:10" x14ac:dyDescent="0.25">
      <c r="E35" s="35">
        <v>65.900000000000006</v>
      </c>
      <c r="F35" s="1">
        <v>10.130000000000001</v>
      </c>
    </row>
    <row r="36" spans="5:10" ht="15.75" thickBot="1" x14ac:dyDescent="0.3">
      <c r="E36" s="37">
        <v>72.650000000000006</v>
      </c>
      <c r="F36" s="1">
        <v>3.15</v>
      </c>
      <c r="J36" s="50"/>
    </row>
    <row r="37" spans="5:10" ht="15.75" thickBot="1" x14ac:dyDescent="0.3">
      <c r="E37" s="31">
        <v>0</v>
      </c>
      <c r="F37" s="1">
        <v>0</v>
      </c>
    </row>
  </sheetData>
  <mergeCells count="3">
    <mergeCell ref="B5:B8"/>
    <mergeCell ref="B9:B12"/>
    <mergeCell ref="F2:J2"/>
  </mergeCells>
  <conditionalFormatting sqref="J5:J12">
    <cfRule type="cellIs" dxfId="1" priority="2" operator="equal">
      <formula>"OK"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4</xdr:col>
                    <xdr:colOff>57150</xdr:colOff>
                    <xdr:row>14</xdr:row>
                    <xdr:rowOff>161925</xdr:rowOff>
                  </from>
                  <to>
                    <xdr:col>6</xdr:col>
                    <xdr:colOff>76200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142875</xdr:colOff>
                    <xdr:row>17</xdr:row>
                    <xdr:rowOff>38100</xdr:rowOff>
                  </from>
                  <to>
                    <xdr:col>7</xdr:col>
                    <xdr:colOff>9525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HauteurCalculHoraire</vt:lpstr>
      <vt:lpstr>HoraireCalculHauteur</vt:lpstr>
      <vt:lpstr>pipoGrapheZone</vt:lpstr>
      <vt:lpstr>RangeHauteurs</vt:lpstr>
      <vt:lpstr>RangeHoraires</vt:lpstr>
      <vt:lpstr>ReponseHauteur</vt:lpstr>
      <vt:lpstr>ResultaParHauteurSens</vt:lpstr>
      <vt:lpstr>ResultatParHauteur</vt:lpstr>
      <vt:lpstr>ZoneDataConverties_Hauteurs</vt:lpstr>
      <vt:lpstr>ZoneDataConverties_Horaires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2023-03-26T20:48:03Z</dcterms:modified>
</cp:coreProperties>
</file>