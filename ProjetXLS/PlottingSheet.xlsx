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fs\Downloads\"/>
    </mc:Choice>
  </mc:AlternateContent>
  <xr:revisionPtr revIDLastSave="0" documentId="13_ncr:1_{1F280E1A-EEF1-4E8B-A2CA-AD5443D2F775}" xr6:coauthVersionLast="47" xr6:coauthVersionMax="47" xr10:uidLastSave="{00000000-0000-0000-0000-000000000000}"/>
  <bookViews>
    <workbookView xWindow="-3285" yWindow="660" windowWidth="31215" windowHeight="14820" xr2:uid="{00000000-000D-0000-FFFF-FFFF00000000}"/>
  </bookViews>
  <sheets>
    <sheet name="Notations" sheetId="5" r:id="rId1"/>
    <sheet name="Sud - 10 Milles" sheetId="8" r:id="rId2"/>
    <sheet name="Sud - 5 Milles" sheetId="7" r:id="rId3"/>
    <sheet name="Sud - X Mn" sheetId="9" r:id="rId4"/>
    <sheet name="Nord - X Mn" sheetId="10" r:id="rId5"/>
    <sheet name="Nord - 5 Milles" sheetId="6" r:id="rId6"/>
    <sheet name="Nord - 10 Milles" sheetId="2" r:id="rId7"/>
    <sheet name="Sud" sheetId="3" r:id="rId8"/>
    <sheet name="Sheet1" sheetId="1" r:id="rId9"/>
  </sheets>
  <definedNames>
    <definedName name="_xlnm.Print_Area" localSheetId="6">'Nord - 10 Milles'!$S$1:$CB$99</definedName>
    <definedName name="_xlnm.Print_Area" localSheetId="5">'Nord - 5 Milles'!$S$1:$CB$99</definedName>
    <definedName name="_xlnm.Print_Area" localSheetId="4">'Nord - X Mn'!$S$1:$CB$99</definedName>
    <definedName name="_xlnm.Print_Area" localSheetId="0">Notations!$B$1:$G$9</definedName>
    <definedName name="_xlnm.Print_Area" localSheetId="8">Sheet1!$A$1:$CN$62</definedName>
    <definedName name="_xlnm.Print_Area" localSheetId="7">Sud!$S$1:$CB$99</definedName>
    <definedName name="_xlnm.Print_Area" localSheetId="1">'Sud - 10 Milles'!$S$1:$CB$99</definedName>
    <definedName name="_xlnm.Print_Area" localSheetId="2">'Sud - 5 Milles'!$S$1:$CB$99</definedName>
    <definedName name="_xlnm.Print_Area" localSheetId="3">'Sud - X Mn'!$S$1:$CB$99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11" i="10" l="1"/>
  <c r="W110" i="10"/>
  <c r="W109" i="10"/>
  <c r="X108" i="10"/>
  <c r="W108" i="10"/>
  <c r="X107" i="10"/>
  <c r="W107" i="10"/>
  <c r="W106" i="10"/>
  <c r="Y105" i="10"/>
  <c r="W105" i="10"/>
  <c r="Y104" i="10"/>
  <c r="W104" i="10"/>
  <c r="Y103" i="10"/>
  <c r="Y111" i="10" s="1"/>
  <c r="X103" i="10"/>
  <c r="X106" i="10" s="1"/>
  <c r="W111" i="9"/>
  <c r="W110" i="9"/>
  <c r="W109" i="9"/>
  <c r="W108" i="9"/>
  <c r="W107" i="9"/>
  <c r="W106" i="9"/>
  <c r="X105" i="9"/>
  <c r="W105" i="9"/>
  <c r="W104" i="9"/>
  <c r="X103" i="9"/>
  <c r="X104" i="9" s="1"/>
  <c r="W111" i="8"/>
  <c r="W110" i="8"/>
  <c r="Y109" i="8"/>
  <c r="X109" i="8"/>
  <c r="W109" i="8"/>
  <c r="W108" i="8"/>
  <c r="X107" i="8"/>
  <c r="W107" i="8"/>
  <c r="Y106" i="8"/>
  <c r="W106" i="8"/>
  <c r="W105" i="8"/>
  <c r="Y104" i="8"/>
  <c r="X104" i="8"/>
  <c r="W104" i="8"/>
  <c r="Z103" i="8"/>
  <c r="Z108" i="8" s="1"/>
  <c r="Y103" i="8"/>
  <c r="Y111" i="8" s="1"/>
  <c r="X103" i="8"/>
  <c r="X106" i="8" s="1"/>
  <c r="W111" i="7"/>
  <c r="X110" i="7"/>
  <c r="W110" i="7"/>
  <c r="W109" i="7"/>
  <c r="X108" i="7"/>
  <c r="W108" i="7"/>
  <c r="X107" i="7"/>
  <c r="W107" i="7"/>
  <c r="W106" i="7"/>
  <c r="X105" i="7"/>
  <c r="W105" i="7"/>
  <c r="X104" i="7"/>
  <c r="W104" i="7"/>
  <c r="X103" i="7"/>
  <c r="X109" i="7" s="1"/>
  <c r="Y111" i="6"/>
  <c r="X111" i="6"/>
  <c r="W111" i="6"/>
  <c r="W110" i="6"/>
  <c r="W109" i="6"/>
  <c r="X108" i="6"/>
  <c r="W108" i="6"/>
  <c r="W107" i="6"/>
  <c r="W106" i="6"/>
  <c r="W105" i="6"/>
  <c r="W104" i="6"/>
  <c r="Y103" i="6"/>
  <c r="Y108" i="6" s="1"/>
  <c r="X103" i="6"/>
  <c r="X107" i="9" l="1"/>
  <c r="Z103" i="10"/>
  <c r="Y106" i="10"/>
  <c r="X109" i="10"/>
  <c r="X110" i="9"/>
  <c r="X104" i="10"/>
  <c r="Y109" i="10"/>
  <c r="X108" i="9"/>
  <c r="Y107" i="10"/>
  <c r="X110" i="10"/>
  <c r="X111" i="9"/>
  <c r="X105" i="10"/>
  <c r="Y110" i="10"/>
  <c r="Y103" i="9"/>
  <c r="X106" i="9"/>
  <c r="X109" i="9"/>
  <c r="Y108" i="10"/>
  <c r="X111" i="10"/>
  <c r="AA103" i="8"/>
  <c r="Z109" i="8"/>
  <c r="Z104" i="8"/>
  <c r="Y107" i="8"/>
  <c r="X110" i="8"/>
  <c r="Z106" i="8"/>
  <c r="X105" i="8"/>
  <c r="Z107" i="8"/>
  <c r="Y110" i="8"/>
  <c r="Y105" i="8"/>
  <c r="X108" i="8"/>
  <c r="Z110" i="8"/>
  <c r="Z111" i="8"/>
  <c r="Z105" i="8"/>
  <c r="Y108" i="8"/>
  <c r="X111" i="8"/>
  <c r="X111" i="7"/>
  <c r="Y103" i="7"/>
  <c r="X106" i="7"/>
  <c r="X105" i="6"/>
  <c r="X107" i="6"/>
  <c r="X104" i="6"/>
  <c r="X109" i="6"/>
  <c r="X110" i="6"/>
  <c r="Y105" i="6"/>
  <c r="X106" i="6"/>
  <c r="Y110" i="6"/>
  <c r="Y104" i="6"/>
  <c r="Y109" i="6"/>
  <c r="Y106" i="6"/>
  <c r="Z103" i="6"/>
  <c r="Y107" i="6"/>
  <c r="Y109" i="9" l="1"/>
  <c r="Y106" i="9"/>
  <c r="Z103" i="9"/>
  <c r="Y111" i="9"/>
  <c r="Y108" i="9"/>
  <c r="Y105" i="9"/>
  <c r="Y107" i="9"/>
  <c r="Y104" i="9"/>
  <c r="Y110" i="9"/>
  <c r="Z108" i="10"/>
  <c r="Z105" i="10"/>
  <c r="Z110" i="10"/>
  <c r="Z107" i="10"/>
  <c r="Z104" i="10"/>
  <c r="Z106" i="10"/>
  <c r="AA103" i="10"/>
  <c r="Z111" i="10"/>
  <c r="Z109" i="10"/>
  <c r="AA105" i="8"/>
  <c r="AA111" i="8"/>
  <c r="AA110" i="8"/>
  <c r="AA108" i="8"/>
  <c r="AA107" i="8"/>
  <c r="AA104" i="8"/>
  <c r="AA109" i="8"/>
  <c r="AA106" i="8"/>
  <c r="AB103" i="8"/>
  <c r="Y106" i="7"/>
  <c r="Z103" i="7"/>
  <c r="Y111" i="7"/>
  <c r="Y108" i="7"/>
  <c r="Y105" i="7"/>
  <c r="Y110" i="7"/>
  <c r="Y104" i="7"/>
  <c r="Y107" i="7"/>
  <c r="Y109" i="7"/>
  <c r="Z107" i="6"/>
  <c r="Z104" i="6"/>
  <c r="Z109" i="6"/>
  <c r="Z106" i="6"/>
  <c r="AA103" i="6"/>
  <c r="Z111" i="6"/>
  <c r="Z105" i="6"/>
  <c r="Z108" i="6"/>
  <c r="Z110" i="6"/>
  <c r="AA105" i="10" l="1"/>
  <c r="AA110" i="10"/>
  <c r="AB103" i="10"/>
  <c r="AA107" i="10"/>
  <c r="AA106" i="10"/>
  <c r="AA104" i="10"/>
  <c r="AA109" i="10"/>
  <c r="AA111" i="10"/>
  <c r="AA108" i="10"/>
  <c r="Z106" i="9"/>
  <c r="AA103" i="9"/>
  <c r="Z111" i="9"/>
  <c r="Z108" i="9"/>
  <c r="Z105" i="9"/>
  <c r="Z107" i="9"/>
  <c r="Z110" i="9"/>
  <c r="Z104" i="9"/>
  <c r="Z109" i="9"/>
  <c r="AB110" i="8"/>
  <c r="AB107" i="8"/>
  <c r="AB111" i="8"/>
  <c r="AB104" i="8"/>
  <c r="AB109" i="8"/>
  <c r="AB108" i="8"/>
  <c r="AB106" i="8"/>
  <c r="AC103" i="8"/>
  <c r="AB105" i="8"/>
  <c r="Z111" i="7"/>
  <c r="Z108" i="7"/>
  <c r="Z105" i="7"/>
  <c r="Z110" i="7"/>
  <c r="Z104" i="7"/>
  <c r="Z107" i="7"/>
  <c r="Z106" i="7"/>
  <c r="Z109" i="7"/>
  <c r="AA103" i="7"/>
  <c r="AA104" i="6"/>
  <c r="AA106" i="6"/>
  <c r="AB103" i="6"/>
  <c r="AA111" i="6"/>
  <c r="AA108" i="6"/>
  <c r="AA109" i="6"/>
  <c r="AA105" i="6"/>
  <c r="AA110" i="6"/>
  <c r="AA107" i="6"/>
  <c r="AB110" i="10" l="1"/>
  <c r="AB111" i="10"/>
  <c r="AB107" i="10"/>
  <c r="AB104" i="10"/>
  <c r="AB109" i="10"/>
  <c r="AB106" i="10"/>
  <c r="AC103" i="10"/>
  <c r="AB108" i="10"/>
  <c r="AB105" i="10"/>
  <c r="AA111" i="9"/>
  <c r="AA108" i="9"/>
  <c r="AA105" i="9"/>
  <c r="AA104" i="9"/>
  <c r="AA110" i="9"/>
  <c r="AA107" i="9"/>
  <c r="AA109" i="9"/>
  <c r="AA106" i="9"/>
  <c r="AB103" i="9"/>
  <c r="AC107" i="8"/>
  <c r="AC104" i="8"/>
  <c r="AC105" i="8"/>
  <c r="AC109" i="8"/>
  <c r="AC110" i="8"/>
  <c r="AC106" i="8"/>
  <c r="AD103" i="8"/>
  <c r="AC111" i="8"/>
  <c r="AC108" i="8"/>
  <c r="AA108" i="7"/>
  <c r="AA105" i="7"/>
  <c r="AA110" i="7"/>
  <c r="AA107" i="7"/>
  <c r="AA106" i="7"/>
  <c r="AB103" i="7"/>
  <c r="AA104" i="7"/>
  <c r="AA111" i="7"/>
  <c r="AA109" i="7"/>
  <c r="AB109" i="6"/>
  <c r="AC103" i="6"/>
  <c r="AB111" i="6"/>
  <c r="AB108" i="6"/>
  <c r="AB105" i="6"/>
  <c r="AB106" i="6"/>
  <c r="AB107" i="6"/>
  <c r="AB110" i="6"/>
  <c r="AB104" i="6"/>
  <c r="AC107" i="10" l="1"/>
  <c r="AC104" i="10"/>
  <c r="AC109" i="10"/>
  <c r="AC108" i="10"/>
  <c r="AC106" i="10"/>
  <c r="AD103" i="10"/>
  <c r="AC111" i="10"/>
  <c r="AC105" i="10"/>
  <c r="AC110" i="10"/>
  <c r="AB108" i="9"/>
  <c r="AB105" i="9"/>
  <c r="AB110" i="9"/>
  <c r="AB107" i="9"/>
  <c r="AB109" i="9"/>
  <c r="AB104" i="9"/>
  <c r="AB106" i="9"/>
  <c r="AC103" i="9"/>
  <c r="AB111" i="9"/>
  <c r="AD104" i="8"/>
  <c r="AD107" i="8"/>
  <c r="AD109" i="8"/>
  <c r="AD110" i="8"/>
  <c r="AD106" i="8"/>
  <c r="AE103" i="8"/>
  <c r="AD111" i="8"/>
  <c r="AD108" i="8"/>
  <c r="AD105" i="8"/>
  <c r="AB105" i="7"/>
  <c r="AB110" i="7"/>
  <c r="AB107" i="7"/>
  <c r="AB104" i="7"/>
  <c r="AB108" i="7"/>
  <c r="AC103" i="7"/>
  <c r="AB106" i="7"/>
  <c r="AB111" i="7"/>
  <c r="AB109" i="7"/>
  <c r="AC106" i="6"/>
  <c r="AD103" i="6"/>
  <c r="AC108" i="6"/>
  <c r="AC105" i="6"/>
  <c r="AC110" i="6"/>
  <c r="AC111" i="6"/>
  <c r="AC107" i="6"/>
  <c r="AC104" i="6"/>
  <c r="AC109" i="6"/>
  <c r="AD104" i="10" l="1"/>
  <c r="AD109" i="10"/>
  <c r="AD106" i="10"/>
  <c r="AE103" i="10"/>
  <c r="AD105" i="10"/>
  <c r="AD111" i="10"/>
  <c r="AD108" i="10"/>
  <c r="AD110" i="10"/>
  <c r="AD107" i="10"/>
  <c r="AC105" i="9"/>
  <c r="AC110" i="9"/>
  <c r="AC107" i="9"/>
  <c r="AD103" i="9"/>
  <c r="AC104" i="9"/>
  <c r="AC109" i="9"/>
  <c r="AC106" i="9"/>
  <c r="AC111" i="9"/>
  <c r="AC108" i="9"/>
  <c r="AE109" i="8"/>
  <c r="AE107" i="8"/>
  <c r="AE106" i="8"/>
  <c r="AF103" i="8"/>
  <c r="AE111" i="8"/>
  <c r="AE110" i="8"/>
  <c r="AE104" i="8"/>
  <c r="AE108" i="8"/>
  <c r="AE105" i="8"/>
  <c r="AC110" i="7"/>
  <c r="AC107" i="7"/>
  <c r="AC104" i="7"/>
  <c r="AC109" i="7"/>
  <c r="AD103" i="7"/>
  <c r="AC105" i="7"/>
  <c r="AC106" i="7"/>
  <c r="AC111" i="7"/>
  <c r="AC108" i="7"/>
  <c r="AD111" i="6"/>
  <c r="AD105" i="6"/>
  <c r="AD110" i="6"/>
  <c r="AD107" i="6"/>
  <c r="AD108" i="6"/>
  <c r="AD109" i="6"/>
  <c r="AD104" i="6"/>
  <c r="AE103" i="6"/>
  <c r="AD106" i="6"/>
  <c r="AD110" i="9" l="1"/>
  <c r="AD107" i="9"/>
  <c r="AD104" i="9"/>
  <c r="AD109" i="9"/>
  <c r="AD106" i="9"/>
  <c r="AE103" i="9"/>
  <c r="AD108" i="9"/>
  <c r="AD111" i="9"/>
  <c r="AD105" i="9"/>
  <c r="AE109" i="10"/>
  <c r="AE106" i="10"/>
  <c r="AF103" i="10"/>
  <c r="AE111" i="10"/>
  <c r="AE110" i="10"/>
  <c r="AE108" i="10"/>
  <c r="AE105" i="10"/>
  <c r="AE107" i="10"/>
  <c r="AE104" i="10"/>
  <c r="AF106" i="8"/>
  <c r="AG103" i="8"/>
  <c r="AF111" i="8"/>
  <c r="AF109" i="8"/>
  <c r="AF108" i="8"/>
  <c r="AF104" i="8"/>
  <c r="AF105" i="8"/>
  <c r="AF110" i="8"/>
  <c r="AF107" i="8"/>
  <c r="AD107" i="7"/>
  <c r="AD104" i="7"/>
  <c r="AD109" i="7"/>
  <c r="AD106" i="7"/>
  <c r="AE103" i="7"/>
  <c r="AD111" i="7"/>
  <c r="AD105" i="7"/>
  <c r="AD110" i="7"/>
  <c r="AD108" i="7"/>
  <c r="AE108" i="6"/>
  <c r="AE110" i="6"/>
  <c r="AE107" i="6"/>
  <c r="AE104" i="6"/>
  <c r="AE105" i="6"/>
  <c r="AE109" i="6"/>
  <c r="AE106" i="6"/>
  <c r="AF103" i="6"/>
  <c r="AE111" i="6"/>
  <c r="AE107" i="9" l="1"/>
  <c r="AE104" i="9"/>
  <c r="AE109" i="9"/>
  <c r="AE106" i="9"/>
  <c r="AF103" i="9"/>
  <c r="AE108" i="9"/>
  <c r="AE111" i="9"/>
  <c r="AE105" i="9"/>
  <c r="AE110" i="9"/>
  <c r="AF106" i="10"/>
  <c r="AG103" i="10"/>
  <c r="AF111" i="10"/>
  <c r="AF108" i="10"/>
  <c r="AF107" i="10"/>
  <c r="AF105" i="10"/>
  <c r="AF110" i="10"/>
  <c r="AF104" i="10"/>
  <c r="AF109" i="10"/>
  <c r="AG111" i="8"/>
  <c r="AG108" i="8"/>
  <c r="AG105" i="8"/>
  <c r="AG110" i="8"/>
  <c r="AG107" i="8"/>
  <c r="AG104" i="8"/>
  <c r="AG109" i="8"/>
  <c r="AG106" i="8"/>
  <c r="AH103" i="8"/>
  <c r="AE104" i="7"/>
  <c r="AE109" i="7"/>
  <c r="AE106" i="7"/>
  <c r="AF103" i="7"/>
  <c r="AE111" i="7"/>
  <c r="AE107" i="7"/>
  <c r="AE105" i="7"/>
  <c r="AE110" i="7"/>
  <c r="AE108" i="7"/>
  <c r="AF105" i="6"/>
  <c r="AF107" i="6"/>
  <c r="AF104" i="6"/>
  <c r="AF109" i="6"/>
  <c r="AF110" i="6"/>
  <c r="AG103" i="6"/>
  <c r="AF111" i="6"/>
  <c r="AF106" i="6"/>
  <c r="AF108" i="6"/>
  <c r="AG111" i="10" l="1"/>
  <c r="AG108" i="10"/>
  <c r="AG105" i="10"/>
  <c r="AG104" i="10"/>
  <c r="AG110" i="10"/>
  <c r="AG107" i="10"/>
  <c r="AG109" i="10"/>
  <c r="AG106" i="10"/>
  <c r="AH103" i="10"/>
  <c r="AF104" i="9"/>
  <c r="AF109" i="9"/>
  <c r="AF106" i="9"/>
  <c r="AG103" i="9"/>
  <c r="AF105" i="9"/>
  <c r="AF111" i="9"/>
  <c r="AF108" i="9"/>
  <c r="AF110" i="9"/>
  <c r="AF107" i="9"/>
  <c r="AH108" i="8"/>
  <c r="AH105" i="8"/>
  <c r="AH109" i="8"/>
  <c r="AH110" i="8"/>
  <c r="AH107" i="8"/>
  <c r="AI103" i="8"/>
  <c r="AH104" i="8"/>
  <c r="AH106" i="8"/>
  <c r="AH111" i="8"/>
  <c r="AF109" i="7"/>
  <c r="AF106" i="7"/>
  <c r="AG103" i="7"/>
  <c r="AF111" i="7"/>
  <c r="AF108" i="7"/>
  <c r="AF107" i="7"/>
  <c r="AF104" i="7"/>
  <c r="AF110" i="7"/>
  <c r="AF105" i="7"/>
  <c r="AG110" i="6"/>
  <c r="AG104" i="6"/>
  <c r="AG109" i="6"/>
  <c r="AG106" i="6"/>
  <c r="AH103" i="6"/>
  <c r="AG107" i="6"/>
  <c r="AG108" i="6"/>
  <c r="AG105" i="6"/>
  <c r="AG111" i="6"/>
  <c r="AG109" i="9" l="1"/>
  <c r="AG106" i="9"/>
  <c r="AH103" i="9"/>
  <c r="AG110" i="9"/>
  <c r="AG111" i="9"/>
  <c r="AG108" i="9"/>
  <c r="AG105" i="9"/>
  <c r="AG107" i="9"/>
  <c r="AG104" i="9"/>
  <c r="AH108" i="10"/>
  <c r="AH105" i="10"/>
  <c r="AH110" i="10"/>
  <c r="AH107" i="10"/>
  <c r="AH104" i="10"/>
  <c r="AH106" i="10"/>
  <c r="AI103" i="10"/>
  <c r="AH109" i="10"/>
  <c r="AH111" i="10"/>
  <c r="AI105" i="8"/>
  <c r="AJ103" i="8"/>
  <c r="AI110" i="8"/>
  <c r="AI106" i="8"/>
  <c r="AI108" i="8"/>
  <c r="AI107" i="8"/>
  <c r="AI104" i="8"/>
  <c r="AI109" i="8"/>
  <c r="AI111" i="8"/>
  <c r="AG106" i="7"/>
  <c r="AH103" i="7"/>
  <c r="AG111" i="7"/>
  <c r="AG108" i="7"/>
  <c r="AG105" i="7"/>
  <c r="AG110" i="7"/>
  <c r="AG109" i="7"/>
  <c r="AG107" i="7"/>
  <c r="AG104" i="7"/>
  <c r="AH107" i="6"/>
  <c r="AH104" i="6"/>
  <c r="AH109" i="6"/>
  <c r="AH106" i="6"/>
  <c r="AI103" i="6"/>
  <c r="AH111" i="6"/>
  <c r="AH108" i="6"/>
  <c r="AH105" i="6"/>
  <c r="AH110" i="6"/>
  <c r="AI105" i="10" l="1"/>
  <c r="AI110" i="10"/>
  <c r="AI107" i="10"/>
  <c r="AI106" i="10"/>
  <c r="AJ103" i="10"/>
  <c r="AI104" i="10"/>
  <c r="AI109" i="10"/>
  <c r="AI111" i="10"/>
  <c r="AI108" i="10"/>
  <c r="AH106" i="9"/>
  <c r="AI103" i="9"/>
  <c r="AH111" i="9"/>
  <c r="AH108" i="9"/>
  <c r="AH105" i="9"/>
  <c r="AH107" i="9"/>
  <c r="AH110" i="9"/>
  <c r="AH104" i="9"/>
  <c r="AH109" i="9"/>
  <c r="AJ110" i="8"/>
  <c r="AJ107" i="8"/>
  <c r="AJ108" i="8"/>
  <c r="AJ105" i="8"/>
  <c r="AJ104" i="8"/>
  <c r="AJ109" i="8"/>
  <c r="AJ106" i="8"/>
  <c r="AK103" i="8"/>
  <c r="AJ111" i="8"/>
  <c r="AH111" i="7"/>
  <c r="AH108" i="7"/>
  <c r="AH105" i="7"/>
  <c r="AH110" i="7"/>
  <c r="AH106" i="7"/>
  <c r="AH109" i="7"/>
  <c r="AH104" i="7"/>
  <c r="AH107" i="7"/>
  <c r="AI103" i="7"/>
  <c r="AI104" i="6"/>
  <c r="AI106" i="6"/>
  <c r="AJ103" i="6"/>
  <c r="AI111" i="6"/>
  <c r="AI108" i="6"/>
  <c r="AI109" i="6"/>
  <c r="AI105" i="6"/>
  <c r="AI110" i="6"/>
  <c r="AI107" i="6"/>
  <c r="AI111" i="9" l="1"/>
  <c r="AI108" i="9"/>
  <c r="AI104" i="9"/>
  <c r="AI105" i="9"/>
  <c r="AI110" i="9"/>
  <c r="AI107" i="9"/>
  <c r="AI109" i="9"/>
  <c r="AI106" i="9"/>
  <c r="AJ103" i="9"/>
  <c r="AJ110" i="10"/>
  <c r="AJ107" i="10"/>
  <c r="AJ104" i="10"/>
  <c r="AJ109" i="10"/>
  <c r="AJ106" i="10"/>
  <c r="AK103" i="10"/>
  <c r="AJ111" i="10"/>
  <c r="AJ108" i="10"/>
  <c r="AJ105" i="10"/>
  <c r="AK107" i="8"/>
  <c r="AK105" i="8"/>
  <c r="AK104" i="8"/>
  <c r="AK108" i="8"/>
  <c r="AK109" i="8"/>
  <c r="AK106" i="8"/>
  <c r="AL103" i="8"/>
  <c r="AK110" i="8"/>
  <c r="AK111" i="8"/>
  <c r="AI108" i="7"/>
  <c r="AI105" i="7"/>
  <c r="AI110" i="7"/>
  <c r="AI107" i="7"/>
  <c r="AI106" i="7"/>
  <c r="AI109" i="7"/>
  <c r="AI111" i="7"/>
  <c r="AJ103" i="7"/>
  <c r="AI104" i="7"/>
  <c r="AJ109" i="6"/>
  <c r="AK103" i="6"/>
  <c r="AJ111" i="6"/>
  <c r="AJ108" i="6"/>
  <c r="AJ105" i="6"/>
  <c r="AJ106" i="6"/>
  <c r="AJ110" i="6"/>
  <c r="AJ107" i="6"/>
  <c r="AJ104" i="6"/>
  <c r="AK107" i="10" l="1"/>
  <c r="AK104" i="10"/>
  <c r="AK109" i="10"/>
  <c r="AK108" i="10"/>
  <c r="AK106" i="10"/>
  <c r="AL103" i="10"/>
  <c r="AK111" i="10"/>
  <c r="AK105" i="10"/>
  <c r="AK110" i="10"/>
  <c r="AJ108" i="9"/>
  <c r="AJ105" i="9"/>
  <c r="AJ110" i="9"/>
  <c r="AJ107" i="9"/>
  <c r="AJ109" i="9"/>
  <c r="AJ104" i="9"/>
  <c r="AJ106" i="9"/>
  <c r="AK103" i="9"/>
  <c r="AJ111" i="9"/>
  <c r="AL104" i="8"/>
  <c r="AL109" i="8"/>
  <c r="AL105" i="8"/>
  <c r="AL106" i="8"/>
  <c r="AM103" i="8"/>
  <c r="AL111" i="8"/>
  <c r="AL110" i="8"/>
  <c r="AL108" i="8"/>
  <c r="AL107" i="8"/>
  <c r="AJ105" i="7"/>
  <c r="AJ110" i="7"/>
  <c r="AJ107" i="7"/>
  <c r="AJ104" i="7"/>
  <c r="AJ109" i="7"/>
  <c r="AJ111" i="7"/>
  <c r="AK103" i="7"/>
  <c r="AJ106" i="7"/>
  <c r="AJ108" i="7"/>
  <c r="AK106" i="6"/>
  <c r="AL103" i="6"/>
  <c r="AK108" i="6"/>
  <c r="AK105" i="6"/>
  <c r="AK110" i="6"/>
  <c r="AK111" i="6"/>
  <c r="AK109" i="6"/>
  <c r="AK107" i="6"/>
  <c r="AK104" i="6"/>
  <c r="AL104" i="10" l="1"/>
  <c r="AL109" i="10"/>
  <c r="AL106" i="10"/>
  <c r="AM103" i="10"/>
  <c r="AL105" i="10"/>
  <c r="AL111" i="10"/>
  <c r="AL108" i="10"/>
  <c r="AL110" i="10"/>
  <c r="AL107" i="10"/>
  <c r="AK105" i="9"/>
  <c r="AK110" i="9"/>
  <c r="AK107" i="9"/>
  <c r="AK104" i="9"/>
  <c r="AK106" i="9"/>
  <c r="AL103" i="9"/>
  <c r="AK109" i="9"/>
  <c r="AK111" i="9"/>
  <c r="AK108" i="9"/>
  <c r="AM109" i="8"/>
  <c r="AM106" i="8"/>
  <c r="AN103" i="8"/>
  <c r="AM107" i="8"/>
  <c r="AM111" i="8"/>
  <c r="AM108" i="8"/>
  <c r="AM110" i="8"/>
  <c r="AM105" i="8"/>
  <c r="AM104" i="8"/>
  <c r="AK110" i="7"/>
  <c r="AK107" i="7"/>
  <c r="AK104" i="7"/>
  <c r="AK109" i="7"/>
  <c r="AK111" i="7"/>
  <c r="AK106" i="7"/>
  <c r="AK105" i="7"/>
  <c r="AK108" i="7"/>
  <c r="AL103" i="7"/>
  <c r="AL111" i="6"/>
  <c r="AL105" i="6"/>
  <c r="AL110" i="6"/>
  <c r="AL107" i="6"/>
  <c r="AL108" i="6"/>
  <c r="AL109" i="6"/>
  <c r="AL106" i="6"/>
  <c r="AL104" i="6"/>
  <c r="AM103" i="6"/>
  <c r="AL110" i="9" l="1"/>
  <c r="AL107" i="9"/>
  <c r="AL104" i="9"/>
  <c r="AL111" i="9"/>
  <c r="AL109" i="9"/>
  <c r="AL106" i="9"/>
  <c r="AM103" i="9"/>
  <c r="AL108" i="9"/>
  <c r="AL105" i="9"/>
  <c r="AM109" i="10"/>
  <c r="AM106" i="10"/>
  <c r="AN103" i="10"/>
  <c r="AM110" i="10"/>
  <c r="AM111" i="10"/>
  <c r="AM108" i="10"/>
  <c r="AM105" i="10"/>
  <c r="AM107" i="10"/>
  <c r="AM104" i="10"/>
  <c r="AN106" i="8"/>
  <c r="AO103" i="8"/>
  <c r="AN109" i="8"/>
  <c r="AN111" i="8"/>
  <c r="AN107" i="8"/>
  <c r="AN108" i="8"/>
  <c r="AN105" i="8"/>
  <c r="AN110" i="8"/>
  <c r="AN104" i="8"/>
  <c r="AL107" i="7"/>
  <c r="AL104" i="7"/>
  <c r="AL109" i="7"/>
  <c r="AL106" i="7"/>
  <c r="AM103" i="7"/>
  <c r="AL111" i="7"/>
  <c r="AL110" i="7"/>
  <c r="AL105" i="7"/>
  <c r="AL108" i="7"/>
  <c r="AM108" i="6"/>
  <c r="AM110" i="6"/>
  <c r="AM107" i="6"/>
  <c r="AM104" i="6"/>
  <c r="AM105" i="6"/>
  <c r="AM106" i="6"/>
  <c r="AM111" i="6"/>
  <c r="AN103" i="6"/>
  <c r="AM109" i="6"/>
  <c r="AM107" i="9" l="1"/>
  <c r="AM104" i="9"/>
  <c r="AM109" i="9"/>
  <c r="AM106" i="9"/>
  <c r="AN103" i="9"/>
  <c r="AM108" i="9"/>
  <c r="AM111" i="9"/>
  <c r="AM105" i="9"/>
  <c r="AM110" i="9"/>
  <c r="AN106" i="10"/>
  <c r="AO103" i="10"/>
  <c r="AN111" i="10"/>
  <c r="AN108" i="10"/>
  <c r="AN105" i="10"/>
  <c r="AN107" i="10"/>
  <c r="AN110" i="10"/>
  <c r="AN104" i="10"/>
  <c r="AN109" i="10"/>
  <c r="AO111" i="8"/>
  <c r="AO108" i="8"/>
  <c r="AO106" i="8"/>
  <c r="AO105" i="8"/>
  <c r="AO109" i="8"/>
  <c r="AO110" i="8"/>
  <c r="AO104" i="8"/>
  <c r="AO107" i="8"/>
  <c r="AM104" i="7"/>
  <c r="AM109" i="7"/>
  <c r="AM106" i="7"/>
  <c r="AN103" i="7"/>
  <c r="AM111" i="7"/>
  <c r="AM110" i="7"/>
  <c r="AM105" i="7"/>
  <c r="AM108" i="7"/>
  <c r="AM107" i="7"/>
  <c r="AN105" i="6"/>
  <c r="AN107" i="6"/>
  <c r="AN104" i="6"/>
  <c r="AN109" i="6"/>
  <c r="AN110" i="6"/>
  <c r="AN111" i="6"/>
  <c r="AN108" i="6"/>
  <c r="AO103" i="6"/>
  <c r="AN106" i="6"/>
  <c r="AO111" i="10" l="1"/>
  <c r="AO108" i="10"/>
  <c r="AO105" i="10"/>
  <c r="AO110" i="10"/>
  <c r="AO104" i="10"/>
  <c r="AO107" i="10"/>
  <c r="AO109" i="10"/>
  <c r="AO106" i="10"/>
  <c r="AN104" i="9"/>
  <c r="AN109" i="9"/>
  <c r="AN106" i="9"/>
  <c r="AO103" i="9"/>
  <c r="AN111" i="9"/>
  <c r="AN105" i="9"/>
  <c r="AN108" i="9"/>
  <c r="AN110" i="9"/>
  <c r="AN107" i="9"/>
  <c r="AN109" i="7"/>
  <c r="AN106" i="7"/>
  <c r="AO103" i="7"/>
  <c r="AN111" i="7"/>
  <c r="AN108" i="7"/>
  <c r="AN110" i="7"/>
  <c r="AN104" i="7"/>
  <c r="AN105" i="7"/>
  <c r="AN107" i="7"/>
  <c r="AO110" i="6"/>
  <c r="AO104" i="6"/>
  <c r="AO109" i="6"/>
  <c r="AO106" i="6"/>
  <c r="AO111" i="6"/>
  <c r="AO107" i="6"/>
  <c r="AO108" i="6"/>
  <c r="AO105" i="6"/>
  <c r="W111" i="3"/>
  <c r="W110" i="3"/>
  <c r="W109" i="3"/>
  <c r="W108" i="3"/>
  <c r="W107" i="3"/>
  <c r="W106" i="3"/>
  <c r="W105" i="3"/>
  <c r="W104" i="3"/>
  <c r="X103" i="3"/>
  <c r="X111" i="3" s="1"/>
  <c r="W111" i="2"/>
  <c r="W110" i="2"/>
  <c r="W109" i="2"/>
  <c r="W108" i="2"/>
  <c r="W107" i="2"/>
  <c r="W106" i="2"/>
  <c r="W105" i="2"/>
  <c r="W104" i="2"/>
  <c r="X103" i="2"/>
  <c r="X106" i="2" s="1"/>
  <c r="CZ54" i="1"/>
  <c r="CZ53" i="1"/>
  <c r="CZ52" i="1"/>
  <c r="CZ51" i="1"/>
  <c r="CZ50" i="1"/>
  <c r="CZ49" i="1"/>
  <c r="CZ48" i="1"/>
  <c r="CZ47" i="1"/>
  <c r="DA46" i="1"/>
  <c r="DA51" i="1" s="1"/>
  <c r="AO109" i="9" l="1"/>
  <c r="AO106" i="9"/>
  <c r="AO111" i="9"/>
  <c r="AO108" i="9"/>
  <c r="AO110" i="9"/>
  <c r="AO105" i="9"/>
  <c r="AO107" i="9"/>
  <c r="AO104" i="9"/>
  <c r="AO106" i="7"/>
  <c r="AO111" i="7"/>
  <c r="AO108" i="7"/>
  <c r="AO105" i="7"/>
  <c r="AO110" i="7"/>
  <c r="AO104" i="7"/>
  <c r="AO109" i="7"/>
  <c r="AO107" i="7"/>
  <c r="Y103" i="3"/>
  <c r="X104" i="3"/>
  <c r="X106" i="3"/>
  <c r="X109" i="3"/>
  <c r="Y104" i="3"/>
  <c r="X107" i="3"/>
  <c r="Y107" i="3"/>
  <c r="X110" i="3"/>
  <c r="Y109" i="3"/>
  <c r="X105" i="3"/>
  <c r="Y110" i="3"/>
  <c r="Y105" i="3"/>
  <c r="X108" i="3"/>
  <c r="Y108" i="3"/>
  <c r="DA50" i="1"/>
  <c r="DA48" i="1"/>
  <c r="DA52" i="1"/>
  <c r="DA53" i="1"/>
  <c r="DB46" i="1"/>
  <c r="DA49" i="1"/>
  <c r="DA54" i="1"/>
  <c r="DA47" i="1"/>
  <c r="X105" i="2"/>
  <c r="Y103" i="2"/>
  <c r="Y107" i="2" s="1"/>
  <c r="X109" i="2"/>
  <c r="X104" i="2"/>
  <c r="X107" i="2"/>
  <c r="X110" i="2"/>
  <c r="X108" i="2"/>
  <c r="X111" i="2"/>
  <c r="Y108" i="2" l="1"/>
  <c r="Y105" i="2"/>
  <c r="Y106" i="2"/>
  <c r="Y109" i="2"/>
  <c r="Y111" i="3"/>
  <c r="Z103" i="3"/>
  <c r="Y106" i="3"/>
  <c r="Y104" i="2"/>
  <c r="DC46" i="1"/>
  <c r="DB51" i="1"/>
  <c r="DB47" i="1"/>
  <c r="DB54" i="1"/>
  <c r="DB50" i="1"/>
  <c r="DB53" i="1"/>
  <c r="DB49" i="1"/>
  <c r="DB52" i="1"/>
  <c r="DB48" i="1"/>
  <c r="Y110" i="2"/>
  <c r="Y111" i="2"/>
  <c r="Z103" i="2"/>
  <c r="Z108" i="3" l="1"/>
  <c r="Z106" i="3"/>
  <c r="Z109" i="3"/>
  <c r="Z111" i="3"/>
  <c r="Z110" i="3"/>
  <c r="Z105" i="3"/>
  <c r="Z107" i="3"/>
  <c r="AA103" i="3"/>
  <c r="Z104" i="3"/>
  <c r="DC54" i="1"/>
  <c r="DC49" i="1"/>
  <c r="DC52" i="1"/>
  <c r="DC50" i="1"/>
  <c r="DC53" i="1"/>
  <c r="DC48" i="1"/>
  <c r="DC51" i="1"/>
  <c r="DC47" i="1"/>
  <c r="DD46" i="1"/>
  <c r="Z108" i="2"/>
  <c r="Z109" i="2"/>
  <c r="Z105" i="2"/>
  <c r="Z104" i="2"/>
  <c r="Z110" i="2"/>
  <c r="AA103" i="2"/>
  <c r="Z111" i="2"/>
  <c r="Z106" i="2"/>
  <c r="Z107" i="2"/>
  <c r="AA105" i="3" l="1"/>
  <c r="AA108" i="3"/>
  <c r="AA107" i="3"/>
  <c r="AA111" i="3"/>
  <c r="AA104" i="3"/>
  <c r="AA109" i="3"/>
  <c r="AA106" i="3"/>
  <c r="AB103" i="3"/>
  <c r="AA110" i="3"/>
  <c r="DD50" i="1"/>
  <c r="DD53" i="1"/>
  <c r="DD49" i="1"/>
  <c r="DD52" i="1"/>
  <c r="DD48" i="1"/>
  <c r="DD51" i="1"/>
  <c r="DD47" i="1"/>
  <c r="DD54" i="1"/>
  <c r="DE46" i="1"/>
  <c r="AA109" i="2"/>
  <c r="AA108" i="2"/>
  <c r="AA105" i="2"/>
  <c r="AA111" i="2"/>
  <c r="AA110" i="2"/>
  <c r="AB103" i="2"/>
  <c r="AA107" i="2"/>
  <c r="AA106" i="2"/>
  <c r="AA104" i="2"/>
  <c r="AB107" i="3" l="1"/>
  <c r="AB105" i="3"/>
  <c r="AB106" i="3"/>
  <c r="AB111" i="3"/>
  <c r="AB110" i="3"/>
  <c r="AB104" i="3"/>
  <c r="AB109" i="3"/>
  <c r="AB108" i="3"/>
  <c r="AC103" i="3"/>
  <c r="DE53" i="1"/>
  <c r="DE49" i="1"/>
  <c r="DE52" i="1"/>
  <c r="DE54" i="1"/>
  <c r="DE48" i="1"/>
  <c r="DE50" i="1"/>
  <c r="DE51" i="1"/>
  <c r="DE47" i="1"/>
  <c r="DF46" i="1"/>
  <c r="AB111" i="2"/>
  <c r="AB110" i="2"/>
  <c r="AB108" i="2"/>
  <c r="AB106" i="2"/>
  <c r="AC103" i="2"/>
  <c r="AB107" i="2"/>
  <c r="AB104" i="2"/>
  <c r="AB109" i="2"/>
  <c r="AB105" i="2"/>
  <c r="AC104" i="3" l="1"/>
  <c r="AC109" i="3"/>
  <c r="AC108" i="3"/>
  <c r="AC107" i="3"/>
  <c r="AC105" i="3"/>
  <c r="AC110" i="3"/>
  <c r="AC106" i="3"/>
  <c r="AC111" i="3"/>
  <c r="AD103" i="3"/>
  <c r="DF53" i="1"/>
  <c r="DF49" i="1"/>
  <c r="DF52" i="1"/>
  <c r="DF48" i="1"/>
  <c r="DF51" i="1"/>
  <c r="DF47" i="1"/>
  <c r="DF54" i="1"/>
  <c r="DF50" i="1"/>
  <c r="DG46" i="1"/>
  <c r="AC108" i="2"/>
  <c r="AC107" i="2"/>
  <c r="AC105" i="2"/>
  <c r="AC104" i="2"/>
  <c r="AC109" i="2"/>
  <c r="AC106" i="2"/>
  <c r="AD103" i="2"/>
  <c r="AC111" i="2"/>
  <c r="AC110" i="2"/>
  <c r="AD104" i="3" l="1"/>
  <c r="AD111" i="3"/>
  <c r="AD107" i="3"/>
  <c r="AD106" i="3"/>
  <c r="AD109" i="3"/>
  <c r="AE103" i="3"/>
  <c r="AD108" i="3"/>
  <c r="AD105" i="3"/>
  <c r="AD110" i="3"/>
  <c r="DG50" i="1"/>
  <c r="DG52" i="1"/>
  <c r="DG48" i="1"/>
  <c r="DG51" i="1"/>
  <c r="DG54" i="1"/>
  <c r="DG53" i="1"/>
  <c r="DG49" i="1"/>
  <c r="DG47" i="1"/>
  <c r="DH46" i="1"/>
  <c r="AD108" i="2"/>
  <c r="AD104" i="2"/>
  <c r="AD110" i="2"/>
  <c r="AD105" i="2"/>
  <c r="AE103" i="2"/>
  <c r="AD109" i="2"/>
  <c r="AD107" i="2"/>
  <c r="AD106" i="2"/>
  <c r="AD111" i="2"/>
  <c r="AE109" i="3" l="1"/>
  <c r="AF103" i="3"/>
  <c r="AE105" i="3"/>
  <c r="AE110" i="3"/>
  <c r="AE106" i="3"/>
  <c r="AE111" i="3"/>
  <c r="AE108" i="3"/>
  <c r="AE104" i="3"/>
  <c r="AE107" i="3"/>
  <c r="DH52" i="1"/>
  <c r="DH48" i="1"/>
  <c r="DH51" i="1"/>
  <c r="DH47" i="1"/>
  <c r="DH54" i="1"/>
  <c r="DH50" i="1"/>
  <c r="DH53" i="1"/>
  <c r="DH49" i="1"/>
  <c r="DI46" i="1"/>
  <c r="AE110" i="2"/>
  <c r="AE109" i="2"/>
  <c r="AE107" i="2"/>
  <c r="AE104" i="2"/>
  <c r="AE106" i="2"/>
  <c r="AF103" i="2"/>
  <c r="AE111" i="2"/>
  <c r="AE108" i="2"/>
  <c r="AE105" i="2"/>
  <c r="AF111" i="3" l="1"/>
  <c r="AF105" i="3"/>
  <c r="AF106" i="3"/>
  <c r="AF108" i="3"/>
  <c r="AF109" i="3"/>
  <c r="AF104" i="3"/>
  <c r="AG103" i="3"/>
  <c r="AF110" i="3"/>
  <c r="AF107" i="3"/>
  <c r="DI51" i="1"/>
  <c r="DI47" i="1"/>
  <c r="DI54" i="1"/>
  <c r="DI50" i="1"/>
  <c r="DI53" i="1"/>
  <c r="DI49" i="1"/>
  <c r="DI52" i="1"/>
  <c r="DI48" i="1"/>
  <c r="DJ46" i="1"/>
  <c r="AF107" i="2"/>
  <c r="AF106" i="2"/>
  <c r="AF104" i="2"/>
  <c r="AG103" i="2"/>
  <c r="AF111" i="2"/>
  <c r="AF109" i="2"/>
  <c r="AF108" i="2"/>
  <c r="AF105" i="2"/>
  <c r="AF110" i="2"/>
  <c r="AG111" i="3" l="1"/>
  <c r="AG108" i="3"/>
  <c r="AG110" i="3"/>
  <c r="AG104" i="3"/>
  <c r="AG105" i="3"/>
  <c r="AG107" i="3"/>
  <c r="AH103" i="3"/>
  <c r="AG106" i="3"/>
  <c r="AG109" i="3"/>
  <c r="DJ51" i="1"/>
  <c r="DJ47" i="1"/>
  <c r="DJ54" i="1"/>
  <c r="DJ50" i="1"/>
  <c r="DJ53" i="1"/>
  <c r="DJ49" i="1"/>
  <c r="DJ52" i="1"/>
  <c r="DJ48" i="1"/>
  <c r="DK46" i="1"/>
  <c r="AG104" i="2"/>
  <c r="AG111" i="2"/>
  <c r="AG109" i="2"/>
  <c r="AG108" i="2"/>
  <c r="AG105" i="2"/>
  <c r="AG106" i="2"/>
  <c r="AH103" i="2"/>
  <c r="AG107" i="2"/>
  <c r="AG110" i="2"/>
  <c r="AH108" i="3" l="1"/>
  <c r="AH104" i="3"/>
  <c r="AH107" i="3"/>
  <c r="AI103" i="3"/>
  <c r="AH111" i="3"/>
  <c r="AH105" i="3"/>
  <c r="AH110" i="3"/>
  <c r="AH106" i="3"/>
  <c r="AH109" i="3"/>
  <c r="DK54" i="1"/>
  <c r="DK50" i="1"/>
  <c r="DK48" i="1"/>
  <c r="DK49" i="1"/>
  <c r="DK52" i="1"/>
  <c r="DK51" i="1"/>
  <c r="DK47" i="1"/>
  <c r="DK53" i="1"/>
  <c r="DL46" i="1"/>
  <c r="AH109" i="2"/>
  <c r="AH108" i="2"/>
  <c r="AH106" i="2"/>
  <c r="AI103" i="2"/>
  <c r="AH110" i="2"/>
  <c r="AH105" i="2"/>
  <c r="AH104" i="2"/>
  <c r="AH111" i="2"/>
  <c r="AH107" i="2"/>
  <c r="AI105" i="3" l="1"/>
  <c r="AI110" i="3"/>
  <c r="AI108" i="3"/>
  <c r="AJ103" i="3"/>
  <c r="AI107" i="3"/>
  <c r="AI106" i="3"/>
  <c r="AI111" i="3"/>
  <c r="AI109" i="3"/>
  <c r="AI104" i="3"/>
  <c r="DL50" i="1"/>
  <c r="DL53" i="1"/>
  <c r="DL49" i="1"/>
  <c r="DL52" i="1"/>
  <c r="DL48" i="1"/>
  <c r="DL51" i="1"/>
  <c r="DL47" i="1"/>
  <c r="DL54" i="1"/>
  <c r="DM46" i="1"/>
  <c r="AI109" i="2"/>
  <c r="AI105" i="2"/>
  <c r="AI111" i="2"/>
  <c r="AI110" i="2"/>
  <c r="AI106" i="2"/>
  <c r="AI104" i="2"/>
  <c r="AI107" i="2"/>
  <c r="AJ103" i="2"/>
  <c r="AI108" i="2"/>
  <c r="AJ107" i="3" l="1"/>
  <c r="AK103" i="3"/>
  <c r="AJ110" i="3"/>
  <c r="AJ104" i="3"/>
  <c r="AJ106" i="3"/>
  <c r="AJ108" i="3"/>
  <c r="AJ109" i="3"/>
  <c r="AJ111" i="3"/>
  <c r="AJ105" i="3"/>
  <c r="DM52" i="1"/>
  <c r="DM47" i="1"/>
  <c r="DM53" i="1"/>
  <c r="DM49" i="1"/>
  <c r="DM48" i="1"/>
  <c r="DM54" i="1"/>
  <c r="DM51" i="1"/>
  <c r="DM50" i="1"/>
  <c r="DN46" i="1"/>
  <c r="AJ108" i="2"/>
  <c r="AJ110" i="2"/>
  <c r="AJ105" i="2"/>
  <c r="AJ107" i="2"/>
  <c r="AJ104" i="2"/>
  <c r="AK103" i="2"/>
  <c r="AJ109" i="2"/>
  <c r="AJ106" i="2"/>
  <c r="AJ111" i="2"/>
  <c r="AK107" i="3" l="1"/>
  <c r="AK106" i="3"/>
  <c r="AK105" i="3"/>
  <c r="AK108" i="3"/>
  <c r="AK110" i="3"/>
  <c r="AL103" i="3"/>
  <c r="AK104" i="3"/>
  <c r="AK109" i="3"/>
  <c r="AK111" i="3"/>
  <c r="DN53" i="1"/>
  <c r="DN49" i="1"/>
  <c r="DN52" i="1"/>
  <c r="DN48" i="1"/>
  <c r="DN51" i="1"/>
  <c r="DN47" i="1"/>
  <c r="DN54" i="1"/>
  <c r="DN50" i="1"/>
  <c r="DO46" i="1"/>
  <c r="AK108" i="2"/>
  <c r="AK107" i="2"/>
  <c r="AK105" i="2"/>
  <c r="AK104" i="2"/>
  <c r="AK109" i="2"/>
  <c r="AK106" i="2"/>
  <c r="AL103" i="2"/>
  <c r="AK110" i="2"/>
  <c r="AK111" i="2"/>
  <c r="AL104" i="3" l="1"/>
  <c r="AL107" i="3"/>
  <c r="AL106" i="3"/>
  <c r="AL105" i="3"/>
  <c r="AL109" i="3"/>
  <c r="AM103" i="3"/>
  <c r="AL108" i="3"/>
  <c r="AL110" i="3"/>
  <c r="AL111" i="3"/>
  <c r="DO47" i="1"/>
  <c r="DO52" i="1"/>
  <c r="DO48" i="1"/>
  <c r="DP46" i="1"/>
  <c r="DO54" i="1"/>
  <c r="DO50" i="1"/>
  <c r="DO51" i="1"/>
  <c r="DO53" i="1"/>
  <c r="DO49" i="1"/>
  <c r="AL107" i="2"/>
  <c r="AL104" i="2"/>
  <c r="AL110" i="2"/>
  <c r="AL109" i="2"/>
  <c r="AL105" i="2"/>
  <c r="AL106" i="2"/>
  <c r="AM103" i="2"/>
  <c r="AL111" i="2"/>
  <c r="AL108" i="2"/>
  <c r="AM109" i="3" l="1"/>
  <c r="AM104" i="3"/>
  <c r="AN103" i="3"/>
  <c r="AM108" i="3"/>
  <c r="AM106" i="3"/>
  <c r="AM111" i="3"/>
  <c r="AM105" i="3"/>
  <c r="AM110" i="3"/>
  <c r="AM107" i="3"/>
  <c r="DP52" i="1"/>
  <c r="DP48" i="1"/>
  <c r="DQ46" i="1"/>
  <c r="DP51" i="1"/>
  <c r="DP47" i="1"/>
  <c r="DP54" i="1"/>
  <c r="DP50" i="1"/>
  <c r="DP53" i="1"/>
  <c r="DP49" i="1"/>
  <c r="AM104" i="2"/>
  <c r="AM109" i="2"/>
  <c r="AM107" i="2"/>
  <c r="AM106" i="2"/>
  <c r="AN103" i="2"/>
  <c r="AM111" i="2"/>
  <c r="AM108" i="2"/>
  <c r="AM105" i="2"/>
  <c r="AM110" i="2"/>
  <c r="AO103" i="3" l="1"/>
  <c r="AN111" i="3"/>
  <c r="AN105" i="3"/>
  <c r="AN104" i="3"/>
  <c r="AN107" i="3"/>
  <c r="AN109" i="3"/>
  <c r="AN106" i="3"/>
  <c r="AN108" i="3"/>
  <c r="AN110" i="3"/>
  <c r="DQ50" i="1"/>
  <c r="DQ51" i="1"/>
  <c r="DQ47" i="1"/>
  <c r="DR46" i="1"/>
  <c r="DQ54" i="1"/>
  <c r="DQ53" i="1"/>
  <c r="DQ52" i="1"/>
  <c r="DQ48" i="1"/>
  <c r="DQ49" i="1"/>
  <c r="AN109" i="2"/>
  <c r="AN106" i="2"/>
  <c r="AN104" i="2"/>
  <c r="AO103" i="2"/>
  <c r="AN111" i="2"/>
  <c r="AN110" i="2"/>
  <c r="AN108" i="2"/>
  <c r="AN105" i="2"/>
  <c r="AN107" i="2"/>
  <c r="AO111" i="3" l="1"/>
  <c r="AO106" i="3"/>
  <c r="AO108" i="3"/>
  <c r="AO110" i="3"/>
  <c r="AO109" i="3"/>
  <c r="AO105" i="3"/>
  <c r="AO107" i="3"/>
  <c r="AO104" i="3"/>
  <c r="DR51" i="1"/>
  <c r="DR47" i="1"/>
  <c r="DR54" i="1"/>
  <c r="DR50" i="1"/>
  <c r="DR53" i="1"/>
  <c r="DR49" i="1"/>
  <c r="DR52" i="1"/>
  <c r="DR48" i="1"/>
  <c r="AO109" i="2"/>
  <c r="AO111" i="2"/>
  <c r="AO108" i="2"/>
  <c r="AO104" i="2"/>
  <c r="AO105" i="2"/>
  <c r="AO110" i="2"/>
  <c r="AO107" i="2"/>
  <c r="AO106" i="2"/>
</calcChain>
</file>

<file path=xl/sharedStrings.xml><?xml version="1.0" encoding="utf-8"?>
<sst xmlns="http://schemas.openxmlformats.org/spreadsheetml/2006/main" count="344" uniqueCount="69">
  <si>
    <t>5 Nmi</t>
  </si>
  <si>
    <t>Lat</t>
  </si>
  <si>
    <t>Long</t>
  </si>
  <si>
    <t>Sud</t>
  </si>
  <si>
    <t>55 Mn</t>
  </si>
  <si>
    <t>Lat. Sud</t>
  </si>
  <si>
    <t>Lat. Nord</t>
  </si>
  <si>
    <t>5 Mn</t>
  </si>
  <si>
    <t>U</t>
  </si>
  <si>
    <t>Point confirmé (GPS, relevement)</t>
  </si>
  <si>
    <t></t>
  </si>
  <si>
    <t>Point estimé</t>
  </si>
  <si>
    <t>r</t>
  </si>
  <si>
    <t>Point astro estimé</t>
  </si>
  <si>
    <t xml:space="preserve">Report  de position </t>
  </si>
  <si>
    <t>,</t>
  </si>
  <si>
    <t>Droite de hauteur</t>
  </si>
  <si>
    <t>Report de droite de hauteur</t>
  </si>
  <si>
    <t>d°</t>
  </si>
  <si>
    <t>Unité de Mn</t>
  </si>
  <si>
    <t>X°58'</t>
  </si>
  <si>
    <t>X°59'</t>
  </si>
  <si>
    <t>X°55'</t>
  </si>
  <si>
    <t>Y°01'</t>
  </si>
  <si>
    <t>Y°02'</t>
  </si>
  <si>
    <t>Y°05'</t>
  </si>
  <si>
    <t>+</t>
  </si>
  <si>
    <t>-</t>
  </si>
  <si>
    <t>Report</t>
  </si>
  <si>
    <t>Droite de hauteur astro</t>
  </si>
  <si>
    <t>Droite de meridienne</t>
  </si>
  <si>
    <t>Symboles</t>
  </si>
  <si>
    <t>Relevement</t>
  </si>
  <si>
    <t>Position centree</t>
  </si>
  <si>
    <t>Position centree vers danger</t>
  </si>
  <si>
    <t>Point astro</t>
  </si>
  <si>
    <t>Position validée
(GPS, relevement, …)</t>
  </si>
  <si>
    <t>Position estimée</t>
  </si>
  <si>
    <t>Garde</t>
  </si>
  <si>
    <t>10'</t>
  </si>
  <si>
    <t>50'</t>
  </si>
  <si>
    <t>40'</t>
  </si>
  <si>
    <t>30'</t>
  </si>
  <si>
    <t>20'</t>
  </si>
  <si>
    <t xml:space="preserve">5' </t>
  </si>
  <si>
    <t>55'</t>
  </si>
  <si>
    <t>45'</t>
  </si>
  <si>
    <t>35'</t>
  </si>
  <si>
    <t>15'</t>
  </si>
  <si>
    <t>25'</t>
  </si>
  <si>
    <t>Y°59'</t>
  </si>
  <si>
    <t>Y°58'</t>
  </si>
  <si>
    <t>Y°55'</t>
  </si>
  <si>
    <t>X°01'</t>
  </si>
  <si>
    <t>X°02'</t>
  </si>
  <si>
    <t>X°05'</t>
  </si>
  <si>
    <t>60° +1°S</t>
  </si>
  <si>
    <t>60 Mn</t>
  </si>
  <si>
    <t>0 -1°N</t>
  </si>
  <si>
    <t>60' + 1°N</t>
  </si>
  <si>
    <t>0' -1°S</t>
  </si>
  <si>
    <t>30 Mn</t>
  </si>
  <si>
    <t>-30' S</t>
  </si>
  <si>
    <t>+30' S</t>
  </si>
  <si>
    <t>-30'N</t>
  </si>
  <si>
    <t>+30' N</t>
  </si>
  <si>
    <t>W +</t>
  </si>
  <si>
    <t>E +</t>
  </si>
  <si>
    <t>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</si>
</sst>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24"/>
      <color theme="1"/>
      <name val="Garamond"/>
      <family val="1"/>
    </font>
    <font>
      <b/>
      <sz val="28"/>
      <color theme="1"/>
      <name val="Calibri"/>
      <family val="2"/>
      <scheme val="minor"/>
    </font>
    <font>
      <sz val="18"/>
      <color theme="1"/>
      <name val="Wingdings 2"/>
      <family val="1"/>
      <charset val="2"/>
    </font>
    <font>
      <sz val="18"/>
      <color theme="1"/>
      <name val="Wingdings 3"/>
      <family val="1"/>
      <charset val="2"/>
    </font>
    <font>
      <b/>
      <sz val="20"/>
      <color theme="1"/>
      <name val="Wingdings 3"/>
      <family val="1"/>
      <charset val="2"/>
    </font>
    <font>
      <b/>
      <sz val="20"/>
      <color theme="1"/>
      <name val="Wingdings 2"/>
      <family val="1"/>
      <charset val="2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5" tint="-0.249977111117893"/>
      <name val="Calibri"/>
      <family val="2"/>
      <scheme val="minor"/>
    </font>
    <font>
      <sz val="24"/>
      <color theme="5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24"/>
      <color theme="4" tint="-0.249977111117893"/>
      <name val="Calibri"/>
      <family val="2"/>
      <scheme val="minor"/>
    </font>
    <font>
      <b/>
      <sz val="14"/>
      <color theme="1"/>
      <name val="Aptos"/>
      <family val="2"/>
    </font>
    <font>
      <b/>
      <sz val="14"/>
      <color theme="5" tint="-0.249977111117893"/>
      <name val="Aptos"/>
      <family val="2"/>
    </font>
    <font>
      <b/>
      <sz val="22"/>
      <color theme="1"/>
      <name val="Aptos"/>
      <family val="2"/>
    </font>
    <font>
      <b/>
      <sz val="16"/>
      <color theme="9" tint="-0.249977111117893"/>
      <name val="Aptos"/>
      <family val="2"/>
    </font>
    <font>
      <b/>
      <sz val="20"/>
      <color theme="9" tint="-0.249977111117893"/>
      <name val="Aptos"/>
      <family val="2"/>
    </font>
    <font>
      <b/>
      <sz val="14"/>
      <color theme="9" tint="-0.249977111117893"/>
      <name val="Aptos"/>
      <family val="2"/>
    </font>
    <font>
      <b/>
      <sz val="24"/>
      <color rgb="FFC00000"/>
      <name val="Garamond"/>
      <family val="1"/>
    </font>
    <font>
      <b/>
      <sz val="24"/>
      <color theme="9" tint="-0.249977111117893"/>
      <name val="Garamond"/>
      <family val="1"/>
    </font>
    <font>
      <b/>
      <sz val="36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indexed="8"/>
      <name val="Aptos"/>
      <family val="2"/>
    </font>
    <font>
      <b/>
      <sz val="48"/>
      <color rgb="FFC00000"/>
      <name val="Garamond"/>
      <family val="1"/>
    </font>
    <font>
      <b/>
      <sz val="72"/>
      <color rgb="FFC00000"/>
      <name val="Garamond"/>
      <family val="1"/>
    </font>
    <font>
      <b/>
      <sz val="72"/>
      <color theme="9" tint="-0.249977111117893"/>
      <name val="Garamond"/>
      <family val="1"/>
    </font>
    <font>
      <b/>
      <sz val="48"/>
      <color theme="9" tint="-0.249977111117893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/>
      <top style="thin">
        <color indexed="64"/>
      </top>
      <bottom/>
      <diagonal/>
    </border>
    <border>
      <left style="thin">
        <color indexed="64"/>
      </left>
      <right style="dotted">
        <color auto="1"/>
      </right>
      <top style="thin">
        <color indexed="64"/>
      </top>
      <bottom/>
      <diagonal/>
    </border>
    <border>
      <left style="dotted">
        <color auto="1"/>
      </left>
      <right style="thin">
        <color indexed="64"/>
      </right>
      <top/>
      <bottom/>
      <diagonal/>
    </border>
    <border>
      <left style="thin">
        <color indexed="64"/>
      </left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 style="dotted">
        <color theme="0" tint="-0.14996795556505021"/>
      </right>
      <top style="dotted">
        <color auto="1"/>
      </top>
      <bottom/>
      <diagonal/>
    </border>
    <border>
      <left/>
      <right style="dotted">
        <color theme="0" tint="-0.1499679555650502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auto="1"/>
      </top>
      <bottom/>
      <diagonal/>
    </border>
    <border>
      <left style="dotted">
        <color theme="0" tint="-0.24994659260841701"/>
      </left>
      <right/>
      <top/>
      <bottom/>
      <diagonal/>
    </border>
    <border>
      <left style="dotted">
        <color theme="0" tint="-0.24994659260841701"/>
      </left>
      <right/>
      <top style="dotted">
        <color auto="1"/>
      </top>
      <bottom/>
      <diagonal/>
    </border>
    <border>
      <left style="dotted">
        <color theme="0" tint="-0.24994659260841701"/>
      </left>
      <right/>
      <top/>
      <bottom style="thin">
        <color indexed="64"/>
      </bottom>
      <diagonal/>
    </border>
    <border>
      <left style="dotted">
        <color theme="0" tint="-0.24994659260841701"/>
      </left>
      <right style="dotted">
        <color auto="1"/>
      </right>
      <top style="dotted">
        <color auto="1"/>
      </top>
      <bottom/>
      <diagonal/>
    </border>
    <border>
      <left style="dotted">
        <color theme="0" tint="-0.24994659260841701"/>
      </left>
      <right style="dotted">
        <color auto="1"/>
      </right>
      <top/>
      <bottom/>
      <diagonal/>
    </border>
    <border>
      <left style="dotted">
        <color theme="0" tint="-0.24994659260841701"/>
      </left>
      <right style="dotted">
        <color auto="1"/>
      </right>
      <top/>
      <bottom style="dotted">
        <color auto="1"/>
      </bottom>
      <diagonal/>
    </border>
    <border>
      <left style="dotted">
        <color theme="0" tint="-0.2499465926084170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Up="1">
      <left style="thin">
        <color indexed="64"/>
      </left>
      <right/>
      <top/>
      <bottom/>
      <diagonal style="thin">
        <color auto="1"/>
      </diagonal>
    </border>
  </borders>
  <cellStyleXfs count="1">
    <xf numFmtId="0" fontId="0" fillId="0" borderId="0"/>
  </cellStyleXfs>
  <cellXfs count="15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1" fillId="0" borderId="4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vertical="center" textRotation="180"/>
    </xf>
    <xf numFmtId="0" fontId="0" fillId="0" borderId="0" xfId="0"/>
    <xf numFmtId="0" fontId="3" fillId="0" borderId="29" xfId="0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textRotation="180"/>
    </xf>
    <xf numFmtId="0" fontId="4" fillId="0" borderId="29" xfId="0" applyFont="1" applyBorder="1" applyAlignment="1">
      <alignment horizontal="center" vertical="center" textRotation="180"/>
    </xf>
    <xf numFmtId="0" fontId="5" fillId="0" borderId="0" xfId="0" applyFont="1" applyBorder="1" applyAlignment="1">
      <alignment horizontal="center" vertical="center" textRotation="180"/>
    </xf>
    <xf numFmtId="0" fontId="6" fillId="0" borderId="0" xfId="0" applyFont="1" applyBorder="1" applyAlignment="1">
      <alignment horizontal="center" vertical="center"/>
    </xf>
    <xf numFmtId="0" fontId="0" fillId="3" borderId="12" xfId="0" applyFill="1" applyBorder="1"/>
    <xf numFmtId="0" fontId="11" fillId="3" borderId="12" xfId="0" applyFont="1" applyFill="1" applyBorder="1" applyAlignment="1">
      <alignment vertical="top" textRotation="180"/>
    </xf>
    <xf numFmtId="0" fontId="13" fillId="3" borderId="12" xfId="0" applyFont="1" applyFill="1" applyBorder="1" applyAlignment="1">
      <alignment horizontal="center" vertical="top" textRotation="180"/>
    </xf>
    <xf numFmtId="0" fontId="0" fillId="3" borderId="0" xfId="0" applyFill="1"/>
    <xf numFmtId="0" fontId="8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1" fillId="0" borderId="15" xfId="0" applyFont="1" applyBorder="1" applyAlignment="1">
      <alignment vertical="top" textRotation="180"/>
    </xf>
    <xf numFmtId="0" fontId="1" fillId="0" borderId="0" xfId="0" applyFont="1" applyAlignment="1">
      <alignment vertical="top" textRotation="180"/>
    </xf>
    <xf numFmtId="0" fontId="0" fillId="0" borderId="0" xfId="0" applyBorder="1"/>
    <xf numFmtId="0" fontId="8" fillId="3" borderId="0" xfId="0" applyFont="1" applyFill="1" applyBorder="1" applyAlignment="1">
      <alignment vertical="top"/>
    </xf>
    <xf numFmtId="0" fontId="0" fillId="3" borderId="0" xfId="0" applyFill="1" applyBorder="1" applyAlignment="1">
      <alignment vertical="top"/>
    </xf>
    <xf numFmtId="0" fontId="5" fillId="0" borderId="0" xfId="0" applyFont="1" applyBorder="1" applyAlignment="1">
      <alignment horizontal="left" vertical="center" textRotation="180"/>
    </xf>
    <xf numFmtId="0" fontId="0" fillId="0" borderId="32" xfId="0" applyBorder="1"/>
    <xf numFmtId="0" fontId="0" fillId="0" borderId="31" xfId="0" applyBorder="1"/>
    <xf numFmtId="0" fontId="0" fillId="0" borderId="33" xfId="0" applyBorder="1"/>
    <xf numFmtId="0" fontId="11" fillId="3" borderId="32" xfId="0" applyFont="1" applyFill="1" applyBorder="1" applyAlignment="1">
      <alignment vertical="top" textRotation="180"/>
    </xf>
    <xf numFmtId="0" fontId="8" fillId="3" borderId="31" xfId="0" applyFont="1" applyFill="1" applyBorder="1" applyAlignment="1">
      <alignment vertical="top"/>
    </xf>
    <xf numFmtId="0" fontId="0" fillId="3" borderId="31" xfId="0" applyFill="1" applyBorder="1" applyAlignment="1">
      <alignment vertical="top"/>
    </xf>
    <xf numFmtId="0" fontId="6" fillId="0" borderId="31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1" fillId="0" borderId="35" xfId="0" applyFont="1" applyBorder="1" applyAlignment="1">
      <alignment vertical="top" textRotation="180"/>
    </xf>
    <xf numFmtId="0" fontId="0" fillId="0" borderId="36" xfId="0" applyBorder="1"/>
    <xf numFmtId="0" fontId="1" fillId="0" borderId="31" xfId="0" applyFont="1" applyBorder="1" applyAlignment="1">
      <alignment vertical="top" textRotation="180"/>
    </xf>
    <xf numFmtId="0" fontId="0" fillId="0" borderId="37" xfId="0" applyBorder="1"/>
    <xf numFmtId="0" fontId="14" fillId="0" borderId="0" xfId="0" applyFont="1"/>
    <xf numFmtId="0" fontId="14" fillId="0" borderId="38" xfId="0" applyFont="1" applyBorder="1"/>
    <xf numFmtId="0" fontId="14" fillId="0" borderId="38" xfId="0" applyFont="1" applyBorder="1" applyAlignment="1">
      <alignment vertical="center"/>
    </xf>
    <xf numFmtId="0" fontId="14" fillId="0" borderId="0" xfId="0" applyFont="1" applyAlignment="1"/>
    <xf numFmtId="0" fontId="14" fillId="0" borderId="3" xfId="0" applyFont="1" applyBorder="1"/>
    <xf numFmtId="0" fontId="15" fillId="0" borderId="38" xfId="0" applyFont="1" applyBorder="1" applyAlignment="1">
      <alignment horizontal="left" vertical="center" textRotation="135"/>
    </xf>
    <xf numFmtId="0" fontId="14" fillId="0" borderId="39" xfId="0" applyFont="1" applyBorder="1" applyAlignment="1"/>
    <xf numFmtId="0" fontId="14" fillId="0" borderId="39" xfId="0" applyFont="1" applyBorder="1"/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38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5" borderId="0" xfId="0" quotePrefix="1" applyFont="1" applyFill="1" applyAlignment="1">
      <alignment horizontal="center" vertical="center" textRotation="90"/>
    </xf>
    <xf numFmtId="0" fontId="22" fillId="4" borderId="0" xfId="0" quotePrefix="1" applyFont="1" applyFill="1" applyAlignment="1">
      <alignment horizontal="center" vertical="center" textRotation="90"/>
    </xf>
    <xf numFmtId="0" fontId="14" fillId="0" borderId="38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center" textRotation="180" wrapText="1"/>
    </xf>
    <xf numFmtId="0" fontId="20" fillId="0" borderId="16" xfId="0" applyFont="1" applyBorder="1" applyAlignment="1">
      <alignment horizontal="center" textRotation="180" wrapText="1"/>
    </xf>
    <xf numFmtId="0" fontId="20" fillId="0" borderId="1" xfId="0" applyFont="1" applyBorder="1" applyAlignment="1">
      <alignment horizontal="center" textRotation="180" wrapText="1"/>
    </xf>
    <xf numFmtId="0" fontId="20" fillId="0" borderId="18" xfId="0" applyFont="1" applyBorder="1" applyAlignment="1">
      <alignment horizontal="center" textRotation="180" wrapText="1"/>
    </xf>
    <xf numFmtId="0" fontId="1" fillId="0" borderId="0" xfId="0" applyFont="1" applyAlignment="1">
      <alignment horizontal="center" vertical="top" textRotation="180"/>
    </xf>
    <xf numFmtId="0" fontId="9" fillId="0" borderId="15" xfId="0" applyFont="1" applyBorder="1" applyAlignment="1">
      <alignment horizontal="left" vertical="top" textRotation="180"/>
    </xf>
    <xf numFmtId="0" fontId="2" fillId="0" borderId="0" xfId="0" applyFont="1" applyAlignment="1">
      <alignment horizontal="left" textRotation="180"/>
    </xf>
    <xf numFmtId="0" fontId="2" fillId="0" borderId="24" xfId="0" applyFont="1" applyBorder="1" applyAlignment="1">
      <alignment horizontal="left" textRotation="180"/>
    </xf>
    <xf numFmtId="0" fontId="21" fillId="0" borderId="0" xfId="0" applyFont="1" applyAlignment="1">
      <alignment horizontal="center" vertical="top" textRotation="180"/>
    </xf>
    <xf numFmtId="0" fontId="7" fillId="0" borderId="31" xfId="0" applyFont="1" applyBorder="1" applyAlignment="1">
      <alignment horizontal="center" vertical="top" textRotation="180"/>
    </xf>
    <xf numFmtId="0" fontId="0" fillId="0" borderId="12" xfId="0" applyBorder="1" applyAlignment="1">
      <alignment horizontal="center" vertical="center" textRotation="180"/>
    </xf>
    <xf numFmtId="0" fontId="0" fillId="0" borderId="0" xfId="0" applyBorder="1" applyAlignment="1">
      <alignment horizontal="center" vertical="center" textRotation="180"/>
    </xf>
    <xf numFmtId="0" fontId="2" fillId="2" borderId="7" xfId="0" applyFont="1" applyFill="1" applyBorder="1" applyAlignment="1">
      <alignment horizontal="center" vertical="center" textRotation="180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4" xfId="0" applyFont="1" applyFill="1" applyBorder="1" applyAlignment="1">
      <alignment horizontal="center" vertical="center" textRotation="180"/>
    </xf>
    <xf numFmtId="0" fontId="2" fillId="2" borderId="9" xfId="0" applyFont="1" applyFill="1" applyBorder="1" applyAlignment="1">
      <alignment horizontal="center" vertical="center" textRotation="180"/>
    </xf>
    <xf numFmtId="0" fontId="2" fillId="2" borderId="5" xfId="0" applyFont="1" applyFill="1" applyBorder="1" applyAlignment="1">
      <alignment horizontal="center" vertical="center" textRotation="180"/>
    </xf>
    <xf numFmtId="0" fontId="2" fillId="2" borderId="10" xfId="0" applyFont="1" applyFill="1" applyBorder="1" applyAlignment="1">
      <alignment horizontal="center" vertical="center" textRotation="180"/>
    </xf>
    <xf numFmtId="0" fontId="7" fillId="0" borderId="0" xfId="0" applyFont="1" applyBorder="1" applyAlignment="1">
      <alignment horizontal="center" vertical="center" textRotation="180"/>
    </xf>
    <xf numFmtId="0" fontId="7" fillId="0" borderId="0" xfId="0" applyFont="1" applyBorder="1" applyAlignment="1">
      <alignment horizontal="center" vertical="top" textRotation="180"/>
    </xf>
    <xf numFmtId="0" fontId="10" fillId="3" borderId="12" xfId="0" applyFont="1" applyFill="1" applyBorder="1" applyAlignment="1">
      <alignment horizontal="center" vertical="top" textRotation="180"/>
    </xf>
    <xf numFmtId="0" fontId="10" fillId="3" borderId="0" xfId="0" applyFont="1" applyFill="1" applyBorder="1" applyAlignment="1">
      <alignment horizontal="center" vertical="top" textRotation="180"/>
    </xf>
    <xf numFmtId="0" fontId="10" fillId="3" borderId="30" xfId="0" applyFont="1" applyFill="1" applyBorder="1" applyAlignment="1">
      <alignment horizontal="center" vertical="top" textRotation="180"/>
    </xf>
    <xf numFmtId="0" fontId="10" fillId="3" borderId="9" xfId="0" applyFont="1" applyFill="1" applyBorder="1" applyAlignment="1">
      <alignment horizontal="center" vertical="top" textRotation="180"/>
    </xf>
    <xf numFmtId="0" fontId="12" fillId="3" borderId="13" xfId="0" applyFont="1" applyFill="1" applyBorder="1" applyAlignment="1">
      <alignment horizontal="center" vertical="top" textRotation="180"/>
    </xf>
    <xf numFmtId="0" fontId="12" fillId="3" borderId="4" xfId="0" applyFont="1" applyFill="1" applyBorder="1" applyAlignment="1">
      <alignment horizontal="center" vertical="top" textRotation="180"/>
    </xf>
    <xf numFmtId="0" fontId="12" fillId="3" borderId="12" xfId="0" applyFont="1" applyFill="1" applyBorder="1" applyAlignment="1">
      <alignment horizontal="center" vertical="top" textRotation="180"/>
    </xf>
    <xf numFmtId="0" fontId="12" fillId="3" borderId="0" xfId="0" applyFont="1" applyFill="1" applyBorder="1" applyAlignment="1">
      <alignment horizontal="center" vertical="top" textRotation="180"/>
    </xf>
    <xf numFmtId="0" fontId="12" fillId="3" borderId="32" xfId="0" applyFont="1" applyFill="1" applyBorder="1" applyAlignment="1">
      <alignment horizontal="center" vertical="top" textRotation="180"/>
    </xf>
    <xf numFmtId="0" fontId="12" fillId="3" borderId="31" xfId="0" applyFont="1" applyFill="1" applyBorder="1" applyAlignment="1">
      <alignment horizontal="center" vertical="top" textRotation="180"/>
    </xf>
    <xf numFmtId="0" fontId="21" fillId="0" borderId="0" xfId="0" quotePrefix="1" applyFont="1" applyAlignment="1">
      <alignment horizontal="center" vertical="top" textRotation="180"/>
    </xf>
    <xf numFmtId="0" fontId="1" fillId="0" borderId="15" xfId="0" applyFont="1" applyBorder="1" applyAlignment="1">
      <alignment horizontal="center" vertical="top" textRotation="180"/>
    </xf>
    <xf numFmtId="0" fontId="1" fillId="0" borderId="16" xfId="0" applyFont="1" applyBorder="1" applyAlignment="1">
      <alignment horizontal="center" vertical="top" textRotation="180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0" xfId="0" applyBorder="1"/>
    <xf numFmtId="0" fontId="14" fillId="0" borderId="40" xfId="0" applyFont="1" applyBorder="1"/>
    <xf numFmtId="0" fontId="14" fillId="0" borderId="41" xfId="0" applyFont="1" applyBorder="1"/>
    <xf numFmtId="0" fontId="24" fillId="0" borderId="0" xfId="0" applyFont="1" applyAlignment="1">
      <alignment horizontal="center" vertical="top" textRotation="180"/>
    </xf>
    <xf numFmtId="0" fontId="25" fillId="0" borderId="0" xfId="0" applyFont="1" applyAlignment="1">
      <alignment horizontal="center" vertical="top" textRotation="180"/>
    </xf>
    <xf numFmtId="0" fontId="26" fillId="0" borderId="0" xfId="0" applyFont="1" applyAlignment="1">
      <alignment horizontal="center" vertical="top" textRotation="180"/>
    </xf>
    <xf numFmtId="0" fontId="27" fillId="0" borderId="0" xfId="0" applyFont="1" applyAlignment="1">
      <alignment horizontal="center" vertical="top" textRotation="180"/>
    </xf>
    <xf numFmtId="0" fontId="0" fillId="0" borderId="41" xfId="0" applyBorder="1"/>
    <xf numFmtId="0" fontId="0" fillId="0" borderId="42" xfId="0" applyBorder="1"/>
    <xf numFmtId="0" fontId="23" fillId="0" borderId="24" xfId="0" applyFont="1" applyBorder="1" applyAlignment="1">
      <alignment horizontal="center" textRotation="180"/>
    </xf>
    <xf numFmtId="0" fontId="23" fillId="0" borderId="0" xfId="0" applyFont="1" applyAlignment="1">
      <alignment textRotation="180"/>
    </xf>
    <xf numFmtId="0" fontId="23" fillId="0" borderId="4" xfId="0" applyFont="1" applyBorder="1" applyAlignment="1">
      <alignment textRotation="180"/>
    </xf>
    <xf numFmtId="0" fontId="24" fillId="0" borderId="24" xfId="0" applyFont="1" applyBorder="1" applyAlignment="1">
      <alignment horizontal="center" textRotation="180"/>
    </xf>
    <xf numFmtId="0" fontId="24" fillId="0" borderId="24" xfId="0" applyFont="1" applyBorder="1" applyAlignment="1">
      <alignment textRotation="180"/>
    </xf>
    <xf numFmtId="0" fontId="24" fillId="0" borderId="0" xfId="0" applyFont="1" applyAlignment="1">
      <alignment vertical="top" textRotation="180"/>
    </xf>
    <xf numFmtId="0" fontId="28" fillId="0" borderId="0" xfId="0" quotePrefix="1" applyFont="1" applyBorder="1" applyAlignment="1">
      <alignment horizontal="center" textRotation="180" wrapText="1"/>
    </xf>
    <xf numFmtId="0" fontId="28" fillId="0" borderId="0" xfId="0" applyFont="1" applyBorder="1" applyAlignment="1">
      <alignment horizontal="center" textRotation="180" wrapText="1"/>
    </xf>
    <xf numFmtId="0" fontId="28" fillId="0" borderId="1" xfId="0" applyFont="1" applyBorder="1" applyAlignment="1">
      <alignment horizontal="center" textRotation="180" wrapText="1"/>
    </xf>
    <xf numFmtId="0" fontId="29" fillId="0" borderId="0" xfId="0" quotePrefix="1" applyFont="1" applyBorder="1" applyAlignment="1">
      <alignment horizontal="center" textRotation="180" wrapText="1"/>
    </xf>
    <xf numFmtId="0" fontId="29" fillId="0" borderId="0" xfId="0" applyFont="1" applyBorder="1" applyAlignment="1">
      <alignment horizontal="center" textRotation="180" wrapText="1"/>
    </xf>
    <xf numFmtId="0" fontId="29" fillId="0" borderId="1" xfId="0" applyFont="1" applyBorder="1" applyAlignment="1">
      <alignment horizontal="center" textRotation="180" wrapText="1"/>
    </xf>
    <xf numFmtId="0" fontId="29" fillId="0" borderId="0" xfId="0" quotePrefix="1" applyFont="1" applyBorder="1" applyAlignment="1">
      <alignment horizontal="center" vertical="top" textRotation="180" wrapText="1"/>
    </xf>
    <xf numFmtId="0" fontId="29" fillId="0" borderId="0" xfId="0" applyFont="1" applyBorder="1" applyAlignment="1">
      <alignment horizontal="center" vertical="top" textRotation="180" wrapText="1"/>
    </xf>
    <xf numFmtId="0" fontId="29" fillId="0" borderId="1" xfId="0" applyFont="1" applyBorder="1" applyAlignment="1">
      <alignment horizontal="center" vertical="top" textRotation="180" wrapText="1"/>
    </xf>
    <xf numFmtId="0" fontId="30" fillId="0" borderId="0" xfId="0" quotePrefix="1" applyFont="1" applyAlignment="1">
      <alignment horizontal="center" vertical="top" textRotation="180"/>
    </xf>
    <xf numFmtId="0" fontId="30" fillId="0" borderId="0" xfId="0" quotePrefix="1" applyFont="1" applyBorder="1" applyAlignment="1">
      <alignment horizontal="center" vertical="top" textRotation="180" wrapText="1"/>
    </xf>
    <xf numFmtId="0" fontId="29" fillId="0" borderId="0" xfId="0" quotePrefix="1" applyFont="1" applyBorder="1" applyAlignment="1">
      <alignment textRotation="180" wrapText="1"/>
    </xf>
    <xf numFmtId="0" fontId="30" fillId="0" borderId="0" xfId="0" applyFont="1" applyBorder="1" applyAlignment="1">
      <alignment vertical="top" textRotation="180" wrapText="1"/>
    </xf>
    <xf numFmtId="0" fontId="30" fillId="0" borderId="0" xfId="0" applyFont="1" applyBorder="1" applyAlignment="1">
      <alignment textRotation="180" wrapText="1"/>
    </xf>
    <xf numFmtId="0" fontId="31" fillId="0" borderId="0" xfId="0" quotePrefix="1" applyFont="1" applyBorder="1" applyAlignment="1">
      <alignment horizontal="center" vertical="top" textRotation="180" wrapText="1"/>
    </xf>
    <xf numFmtId="0" fontId="30" fillId="0" borderId="0" xfId="0" quotePrefix="1" applyFont="1" applyAlignment="1">
      <alignment vertical="top" textRotation="180"/>
    </xf>
    <xf numFmtId="0" fontId="31" fillId="0" borderId="0" xfId="0" quotePrefix="1" applyFont="1" applyAlignment="1">
      <alignment horizontal="center" vertical="top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35061611946323E-2"/>
          <c:y val="5.7449554619923231E-2"/>
          <c:w val="0.96924086020710942"/>
          <c:h val="0.9047440374301039"/>
        </c:manualLayout>
      </c:layout>
      <c:lineChart>
        <c:grouping val="standard"/>
        <c:varyColors val="0"/>
        <c:ser>
          <c:idx val="1"/>
          <c:order val="0"/>
          <c:tx>
            <c:strRef>
              <c:f>'Sud - 10 Milles'!$V$104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'Sud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- 10 Milles'!$W$104:$AO$104</c:f>
              <c:numCache>
                <c:formatCode>General</c:formatCode>
                <c:ptCount val="19"/>
                <c:pt idx="0">
                  <c:v>15</c:v>
                </c:pt>
                <c:pt idx="1">
                  <c:v>14.942920471376183</c:v>
                </c:pt>
                <c:pt idx="2">
                  <c:v>14.772116295183121</c:v>
                </c:pt>
                <c:pt idx="3">
                  <c:v>14.488887394336025</c:v>
                </c:pt>
                <c:pt idx="4">
                  <c:v>14.095389311788626</c:v>
                </c:pt>
                <c:pt idx="5">
                  <c:v>13.59461680554975</c:v>
                </c:pt>
                <c:pt idx="6">
                  <c:v>12.99038105676658</c:v>
                </c:pt>
                <c:pt idx="7">
                  <c:v>12.287280664334878</c:v>
                </c:pt>
                <c:pt idx="8">
                  <c:v>11.490666646784669</c:v>
                </c:pt>
                <c:pt idx="9">
                  <c:v>10.606601717798213</c:v>
                </c:pt>
                <c:pt idx="10">
                  <c:v>9.6418141452980901</c:v>
                </c:pt>
                <c:pt idx="11">
                  <c:v>8.6036465452656916</c:v>
                </c:pt>
                <c:pt idx="12">
                  <c:v>7.5000000000000018</c:v>
                </c:pt>
                <c:pt idx="13">
                  <c:v>6.3392739261104918</c:v>
                </c:pt>
                <c:pt idx="14">
                  <c:v>5.1303021498850327</c:v>
                </c:pt>
                <c:pt idx="15">
                  <c:v>3.8822856765378111</c:v>
                </c:pt>
                <c:pt idx="16">
                  <c:v>2.6047226650039561</c:v>
                </c:pt>
                <c:pt idx="17">
                  <c:v>1.3073361412148721</c:v>
                </c:pt>
                <c:pt idx="18">
                  <c:v>9.1886134118146501E-16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3-4A41-A26B-A12B01967A72}"/>
            </c:ext>
          </c:extLst>
        </c:ser>
        <c:ser>
          <c:idx val="2"/>
          <c:order val="1"/>
          <c:tx>
            <c:strRef>
              <c:f>'Sud - 10 Milles'!$V$105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'Sud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- 10 Milles'!$W$105:$AO$105</c:f>
              <c:numCache>
                <c:formatCode>General</c:formatCode>
                <c:ptCount val="19"/>
                <c:pt idx="0">
                  <c:v>10</c:v>
                </c:pt>
                <c:pt idx="1">
                  <c:v>9.961946980917455</c:v>
                </c:pt>
                <c:pt idx="2">
                  <c:v>9.8480775301220795</c:v>
                </c:pt>
                <c:pt idx="3">
                  <c:v>9.6592582628906829</c:v>
                </c:pt>
                <c:pt idx="4">
                  <c:v>9.3969262078590852</c:v>
                </c:pt>
                <c:pt idx="5">
                  <c:v>9.0630778703664987</c:v>
                </c:pt>
                <c:pt idx="6">
                  <c:v>8.6602540378443873</c:v>
                </c:pt>
                <c:pt idx="7">
                  <c:v>8.1915204428899173</c:v>
                </c:pt>
                <c:pt idx="8">
                  <c:v>7.6604444311897799</c:v>
                </c:pt>
                <c:pt idx="9">
                  <c:v>7.0710678118654755</c:v>
                </c:pt>
                <c:pt idx="10">
                  <c:v>6.4278760968653934</c:v>
                </c:pt>
                <c:pt idx="11">
                  <c:v>5.7357643635104614</c:v>
                </c:pt>
                <c:pt idx="12">
                  <c:v>5.0000000000000009</c:v>
                </c:pt>
                <c:pt idx="13">
                  <c:v>4.2261826174069945</c:v>
                </c:pt>
                <c:pt idx="14">
                  <c:v>3.4202014332566884</c:v>
                </c:pt>
                <c:pt idx="15">
                  <c:v>2.5881904510252074</c:v>
                </c:pt>
                <c:pt idx="16">
                  <c:v>1.7364817766693041</c:v>
                </c:pt>
                <c:pt idx="17">
                  <c:v>0.87155742747658138</c:v>
                </c:pt>
                <c:pt idx="18">
                  <c:v>6.1257422745431001E-16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3-4A41-A26B-A12B01967A72}"/>
            </c:ext>
          </c:extLst>
        </c:ser>
        <c:ser>
          <c:idx val="3"/>
          <c:order val="2"/>
          <c:tx>
            <c:strRef>
              <c:f>'Sud - 10 Milles'!$V$106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'Sud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- 10 Milles'!$W$106:$AO$106</c:f>
              <c:numCache>
                <c:formatCode>General</c:formatCode>
                <c:ptCount val="19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33-4A41-A26B-A12B01967A72}"/>
            </c:ext>
          </c:extLst>
        </c:ser>
        <c:ser>
          <c:idx val="4"/>
          <c:order val="3"/>
          <c:tx>
            <c:strRef>
              <c:f>'Sud - 10 Milles'!$V$107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'Sud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- 10 Milles'!$W$107:$AO$107</c:f>
              <c:numCache>
                <c:formatCode>General</c:formatCode>
                <c:ptCount val="19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33-4A41-A26B-A12B01967A72}"/>
            </c:ext>
          </c:extLst>
        </c:ser>
        <c:ser>
          <c:idx val="5"/>
          <c:order val="4"/>
          <c:tx>
            <c:strRef>
              <c:f>'Sud - 10 Milles'!$V$108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'Sud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- 10 Milles'!$W$108:$AO$108</c:f>
              <c:numCache>
                <c:formatCode>General</c:formatCode>
                <c:ptCount val="19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33-4A41-A26B-A12B01967A72}"/>
            </c:ext>
          </c:extLst>
        </c:ser>
        <c:ser>
          <c:idx val="6"/>
          <c:order val="5"/>
          <c:tx>
            <c:strRef>
              <c:f>'Sud - 10 Milles'!$V$109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'Sud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- 10 Milles'!$W$109:$AO$109</c:f>
              <c:numCache>
                <c:formatCode>General</c:formatCode>
                <c:ptCount val="19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33-4A41-A26B-A12B01967A72}"/>
            </c:ext>
          </c:extLst>
        </c:ser>
        <c:ser>
          <c:idx val="7"/>
          <c:order val="6"/>
          <c:tx>
            <c:strRef>
              <c:f>'Sud - 10 Milles'!$V$110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'Sud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- 10 Milles'!$W$110:$AO$110</c:f>
              <c:numCache>
                <c:formatCode>General</c:formatCode>
                <c:ptCount val="19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33-4A41-A26B-A12B01967A72}"/>
            </c:ext>
          </c:extLst>
        </c:ser>
        <c:ser>
          <c:idx val="0"/>
          <c:order val="7"/>
          <c:tx>
            <c:v>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- 10 Milles'!$W$111:$AO$111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33-4A41-A26B-A12B01967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52680"/>
        <c:axId val="499653008"/>
      </c:lineChart>
      <c:catAx>
        <c:axId val="499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Latitude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94675313111392689"/>
              <c:y val="0.7029601742943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2">
                <a:lumMod val="75000"/>
                <a:alpha val="24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3008"/>
        <c:crosses val="autoZero"/>
        <c:auto val="1"/>
        <c:lblAlgn val="ctr"/>
        <c:lblOffset val="100"/>
        <c:noMultiLvlLbl val="0"/>
      </c:catAx>
      <c:valAx>
        <c:axId val="49965300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Longitude</a:t>
                </a:r>
                <a:endParaRPr lang="fr-FR" sz="1600" b="1"/>
              </a:p>
            </c:rich>
          </c:tx>
          <c:layout>
            <c:manualLayout>
              <c:xMode val="edge"/>
              <c:yMode val="edge"/>
              <c:x val="4.6955887796838507E-2"/>
              <c:y val="0.1470223283730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26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35061611946323E-2"/>
          <c:y val="5.7449554619923231E-2"/>
          <c:w val="0.96924086020710942"/>
          <c:h val="0.9047440374301039"/>
        </c:manualLayout>
      </c:layout>
      <c:lineChart>
        <c:grouping val="standard"/>
        <c:varyColors val="0"/>
        <c:ser>
          <c:idx val="1"/>
          <c:order val="0"/>
          <c:tx>
            <c:strRef>
              <c:f>'Sud - 5 Milles'!$V$104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'Sud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- 5 Milles'!$W$104:$AO$104</c:f>
              <c:numCache>
                <c:formatCode>General</c:formatCode>
                <c:ptCount val="19"/>
                <c:pt idx="0">
                  <c:v>15</c:v>
                </c:pt>
                <c:pt idx="1">
                  <c:v>14.942920471376183</c:v>
                </c:pt>
                <c:pt idx="2">
                  <c:v>14.772116295183121</c:v>
                </c:pt>
                <c:pt idx="3">
                  <c:v>14.488887394336025</c:v>
                </c:pt>
                <c:pt idx="4">
                  <c:v>14.095389311788626</c:v>
                </c:pt>
                <c:pt idx="5">
                  <c:v>13.59461680554975</c:v>
                </c:pt>
                <c:pt idx="6">
                  <c:v>12.99038105676658</c:v>
                </c:pt>
                <c:pt idx="7">
                  <c:v>12.287280664334878</c:v>
                </c:pt>
                <c:pt idx="8">
                  <c:v>11.490666646784669</c:v>
                </c:pt>
                <c:pt idx="9">
                  <c:v>10.606601717798213</c:v>
                </c:pt>
                <c:pt idx="10">
                  <c:v>9.6418141452980901</c:v>
                </c:pt>
                <c:pt idx="11">
                  <c:v>8.6036465452656916</c:v>
                </c:pt>
                <c:pt idx="12">
                  <c:v>7.5000000000000018</c:v>
                </c:pt>
                <c:pt idx="13">
                  <c:v>6.3392739261104918</c:v>
                </c:pt>
                <c:pt idx="14">
                  <c:v>5.1303021498850327</c:v>
                </c:pt>
                <c:pt idx="15">
                  <c:v>3.8822856765378111</c:v>
                </c:pt>
                <c:pt idx="16">
                  <c:v>2.6047226650039561</c:v>
                </c:pt>
                <c:pt idx="17">
                  <c:v>1.3073361412148721</c:v>
                </c:pt>
                <c:pt idx="18">
                  <c:v>9.1886134118146501E-16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6-438F-ADC4-C47E16628D84}"/>
            </c:ext>
          </c:extLst>
        </c:ser>
        <c:ser>
          <c:idx val="2"/>
          <c:order val="1"/>
          <c:tx>
            <c:strRef>
              <c:f>'Sud - 5 Milles'!$V$105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'Sud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- 5 Milles'!$W$105:$AO$105</c:f>
              <c:numCache>
                <c:formatCode>General</c:formatCode>
                <c:ptCount val="19"/>
                <c:pt idx="0">
                  <c:v>10</c:v>
                </c:pt>
                <c:pt idx="1">
                  <c:v>9.961946980917455</c:v>
                </c:pt>
                <c:pt idx="2">
                  <c:v>9.8480775301220795</c:v>
                </c:pt>
                <c:pt idx="3">
                  <c:v>9.6592582628906829</c:v>
                </c:pt>
                <c:pt idx="4">
                  <c:v>9.3969262078590852</c:v>
                </c:pt>
                <c:pt idx="5">
                  <c:v>9.0630778703664987</c:v>
                </c:pt>
                <c:pt idx="6">
                  <c:v>8.6602540378443873</c:v>
                </c:pt>
                <c:pt idx="7">
                  <c:v>8.1915204428899173</c:v>
                </c:pt>
                <c:pt idx="8">
                  <c:v>7.6604444311897799</c:v>
                </c:pt>
                <c:pt idx="9">
                  <c:v>7.0710678118654755</c:v>
                </c:pt>
                <c:pt idx="10">
                  <c:v>6.4278760968653934</c:v>
                </c:pt>
                <c:pt idx="11">
                  <c:v>5.7357643635104614</c:v>
                </c:pt>
                <c:pt idx="12">
                  <c:v>5.0000000000000009</c:v>
                </c:pt>
                <c:pt idx="13">
                  <c:v>4.2261826174069945</c:v>
                </c:pt>
                <c:pt idx="14">
                  <c:v>3.4202014332566884</c:v>
                </c:pt>
                <c:pt idx="15">
                  <c:v>2.5881904510252074</c:v>
                </c:pt>
                <c:pt idx="16">
                  <c:v>1.7364817766693041</c:v>
                </c:pt>
                <c:pt idx="17">
                  <c:v>0.87155742747658138</c:v>
                </c:pt>
                <c:pt idx="18">
                  <c:v>6.1257422745431001E-16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6-438F-ADC4-C47E16628D84}"/>
            </c:ext>
          </c:extLst>
        </c:ser>
        <c:ser>
          <c:idx val="3"/>
          <c:order val="2"/>
          <c:tx>
            <c:strRef>
              <c:f>'Sud - 5 Milles'!$V$106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'Sud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- 5 Milles'!$W$106:$AO$106</c:f>
              <c:numCache>
                <c:formatCode>General</c:formatCode>
                <c:ptCount val="19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6-438F-ADC4-C47E16628D84}"/>
            </c:ext>
          </c:extLst>
        </c:ser>
        <c:ser>
          <c:idx val="4"/>
          <c:order val="3"/>
          <c:tx>
            <c:strRef>
              <c:f>'Sud - 5 Milles'!$V$107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'Sud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- 5 Milles'!$W$107:$AO$107</c:f>
              <c:numCache>
                <c:formatCode>General</c:formatCode>
                <c:ptCount val="19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C6-438F-ADC4-C47E16628D84}"/>
            </c:ext>
          </c:extLst>
        </c:ser>
        <c:ser>
          <c:idx val="5"/>
          <c:order val="4"/>
          <c:tx>
            <c:strRef>
              <c:f>'Sud - 5 Milles'!$V$108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'Sud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- 5 Milles'!$W$108:$AO$108</c:f>
              <c:numCache>
                <c:formatCode>General</c:formatCode>
                <c:ptCount val="19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C6-438F-ADC4-C47E16628D84}"/>
            </c:ext>
          </c:extLst>
        </c:ser>
        <c:ser>
          <c:idx val="6"/>
          <c:order val="5"/>
          <c:tx>
            <c:strRef>
              <c:f>'Sud - 5 Milles'!$V$109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'Sud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- 5 Milles'!$W$109:$AO$109</c:f>
              <c:numCache>
                <c:formatCode>General</c:formatCode>
                <c:ptCount val="19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C6-438F-ADC4-C47E16628D84}"/>
            </c:ext>
          </c:extLst>
        </c:ser>
        <c:ser>
          <c:idx val="7"/>
          <c:order val="6"/>
          <c:tx>
            <c:strRef>
              <c:f>'Sud - 5 Milles'!$V$110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'Sud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- 5 Milles'!$W$110:$AO$110</c:f>
              <c:numCache>
                <c:formatCode>General</c:formatCode>
                <c:ptCount val="19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C6-438F-ADC4-C47E16628D84}"/>
            </c:ext>
          </c:extLst>
        </c:ser>
        <c:ser>
          <c:idx val="0"/>
          <c:order val="7"/>
          <c:tx>
            <c:v>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- 5 Milles'!$W$111:$AO$111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C6-438F-ADC4-C47E16628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52680"/>
        <c:axId val="499653008"/>
      </c:lineChart>
      <c:catAx>
        <c:axId val="499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Latitude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94675313111392689"/>
              <c:y val="0.7029601742943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2">
                <a:lumMod val="75000"/>
                <a:alpha val="24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3008"/>
        <c:crosses val="autoZero"/>
        <c:auto val="1"/>
        <c:lblAlgn val="ctr"/>
        <c:lblOffset val="100"/>
        <c:noMultiLvlLbl val="0"/>
      </c:catAx>
      <c:valAx>
        <c:axId val="49965300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Longitude</a:t>
                </a:r>
                <a:endParaRPr lang="fr-FR" sz="1600" b="1"/>
              </a:p>
            </c:rich>
          </c:tx>
          <c:layout>
            <c:manualLayout>
              <c:xMode val="edge"/>
              <c:yMode val="edge"/>
              <c:x val="4.6955887796838507E-2"/>
              <c:y val="0.1470223283730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26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35061611946323E-2"/>
          <c:y val="5.7449554619923231E-2"/>
          <c:w val="0.96924086020710942"/>
          <c:h val="0.9047440374301039"/>
        </c:manualLayout>
      </c:layout>
      <c:lineChart>
        <c:grouping val="standard"/>
        <c:varyColors val="0"/>
        <c:ser>
          <c:idx val="1"/>
          <c:order val="0"/>
          <c:tx>
            <c:strRef>
              <c:f>'Sud - X Mn'!$V$104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'Sud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X Mn'!$W$104:$AO$104</c:f>
              <c:numCache>
                <c:formatCode>General</c:formatCode>
                <c:ptCount val="19"/>
                <c:pt idx="0">
                  <c:v>15</c:v>
                </c:pt>
                <c:pt idx="1">
                  <c:v>14.942920471376183</c:v>
                </c:pt>
                <c:pt idx="2">
                  <c:v>14.772116295183121</c:v>
                </c:pt>
                <c:pt idx="3">
                  <c:v>14.488887394336025</c:v>
                </c:pt>
                <c:pt idx="4">
                  <c:v>14.095389311788626</c:v>
                </c:pt>
                <c:pt idx="5">
                  <c:v>13.59461680554975</c:v>
                </c:pt>
                <c:pt idx="6">
                  <c:v>12.99038105676658</c:v>
                </c:pt>
                <c:pt idx="7">
                  <c:v>12.287280664334878</c:v>
                </c:pt>
                <c:pt idx="8">
                  <c:v>11.490666646784669</c:v>
                </c:pt>
                <c:pt idx="9">
                  <c:v>10.606601717798213</c:v>
                </c:pt>
                <c:pt idx="10">
                  <c:v>9.6418141452980901</c:v>
                </c:pt>
                <c:pt idx="11">
                  <c:v>8.6036465452656916</c:v>
                </c:pt>
                <c:pt idx="12">
                  <c:v>7.5000000000000018</c:v>
                </c:pt>
                <c:pt idx="13">
                  <c:v>6.3392739261104918</c:v>
                </c:pt>
                <c:pt idx="14">
                  <c:v>5.1303021498850327</c:v>
                </c:pt>
                <c:pt idx="15">
                  <c:v>3.8822856765378111</c:v>
                </c:pt>
                <c:pt idx="16">
                  <c:v>2.6047226650039561</c:v>
                </c:pt>
                <c:pt idx="17">
                  <c:v>1.3073361412148721</c:v>
                </c:pt>
                <c:pt idx="18">
                  <c:v>9.1886134118146501E-16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3-4842-9F5E-2C3A2DEB3B96}"/>
            </c:ext>
          </c:extLst>
        </c:ser>
        <c:ser>
          <c:idx val="2"/>
          <c:order val="1"/>
          <c:tx>
            <c:strRef>
              <c:f>'Sud - X Mn'!$V$105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'Sud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X Mn'!$W$105:$AO$105</c:f>
              <c:numCache>
                <c:formatCode>General</c:formatCode>
                <c:ptCount val="19"/>
                <c:pt idx="0">
                  <c:v>10</c:v>
                </c:pt>
                <c:pt idx="1">
                  <c:v>9.961946980917455</c:v>
                </c:pt>
                <c:pt idx="2">
                  <c:v>9.8480775301220795</c:v>
                </c:pt>
                <c:pt idx="3">
                  <c:v>9.6592582628906829</c:v>
                </c:pt>
                <c:pt idx="4">
                  <c:v>9.3969262078590852</c:v>
                </c:pt>
                <c:pt idx="5">
                  <c:v>9.0630778703664987</c:v>
                </c:pt>
                <c:pt idx="6">
                  <c:v>8.6602540378443873</c:v>
                </c:pt>
                <c:pt idx="7">
                  <c:v>8.1915204428899173</c:v>
                </c:pt>
                <c:pt idx="8">
                  <c:v>7.6604444311897799</c:v>
                </c:pt>
                <c:pt idx="9">
                  <c:v>7.0710678118654755</c:v>
                </c:pt>
                <c:pt idx="10">
                  <c:v>6.4278760968653934</c:v>
                </c:pt>
                <c:pt idx="11">
                  <c:v>5.7357643635104614</c:v>
                </c:pt>
                <c:pt idx="12">
                  <c:v>5.0000000000000009</c:v>
                </c:pt>
                <c:pt idx="13">
                  <c:v>4.2261826174069945</c:v>
                </c:pt>
                <c:pt idx="14">
                  <c:v>3.4202014332566884</c:v>
                </c:pt>
                <c:pt idx="15">
                  <c:v>2.5881904510252074</c:v>
                </c:pt>
                <c:pt idx="16">
                  <c:v>1.7364817766693041</c:v>
                </c:pt>
                <c:pt idx="17">
                  <c:v>0.87155742747658138</c:v>
                </c:pt>
                <c:pt idx="18">
                  <c:v>6.1257422745431001E-16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3-4842-9F5E-2C3A2DEB3B96}"/>
            </c:ext>
          </c:extLst>
        </c:ser>
        <c:ser>
          <c:idx val="3"/>
          <c:order val="2"/>
          <c:tx>
            <c:strRef>
              <c:f>'Sud - X Mn'!$V$106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'Sud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X Mn'!$W$106:$AO$106</c:f>
              <c:numCache>
                <c:formatCode>General</c:formatCode>
                <c:ptCount val="19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63-4842-9F5E-2C3A2DEB3B96}"/>
            </c:ext>
          </c:extLst>
        </c:ser>
        <c:ser>
          <c:idx val="4"/>
          <c:order val="3"/>
          <c:tx>
            <c:strRef>
              <c:f>'Sud - X Mn'!$V$107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'Sud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X Mn'!$W$107:$AO$107</c:f>
              <c:numCache>
                <c:formatCode>General</c:formatCode>
                <c:ptCount val="19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63-4842-9F5E-2C3A2DEB3B96}"/>
            </c:ext>
          </c:extLst>
        </c:ser>
        <c:ser>
          <c:idx val="5"/>
          <c:order val="4"/>
          <c:tx>
            <c:strRef>
              <c:f>'Sud - X Mn'!$V$108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'Sud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X Mn'!$W$108:$AO$108</c:f>
              <c:numCache>
                <c:formatCode>General</c:formatCode>
                <c:ptCount val="19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63-4842-9F5E-2C3A2DEB3B96}"/>
            </c:ext>
          </c:extLst>
        </c:ser>
        <c:ser>
          <c:idx val="6"/>
          <c:order val="5"/>
          <c:tx>
            <c:strRef>
              <c:f>'Sud - X Mn'!$V$109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'Sud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X Mn'!$W$109:$AO$109</c:f>
              <c:numCache>
                <c:formatCode>General</c:formatCode>
                <c:ptCount val="19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63-4842-9F5E-2C3A2DEB3B96}"/>
            </c:ext>
          </c:extLst>
        </c:ser>
        <c:ser>
          <c:idx val="7"/>
          <c:order val="6"/>
          <c:tx>
            <c:strRef>
              <c:f>'Sud - X Mn'!$V$110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'Sud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X Mn'!$W$110:$AO$110</c:f>
              <c:numCache>
                <c:formatCode>General</c:formatCode>
                <c:ptCount val="19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63-4842-9F5E-2C3A2DEB3B96}"/>
            </c:ext>
          </c:extLst>
        </c:ser>
        <c:ser>
          <c:idx val="0"/>
          <c:order val="7"/>
          <c:tx>
            <c:v>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'Sud - X Mn'!$W$111:$AO$111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F63-4842-9F5E-2C3A2DEB3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52680"/>
        <c:axId val="499653008"/>
      </c:lineChart>
      <c:catAx>
        <c:axId val="499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Latitude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94675313111392689"/>
              <c:y val="0.7029601742943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2">
                <a:lumMod val="75000"/>
                <a:alpha val="24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3008"/>
        <c:crosses val="autoZero"/>
        <c:auto val="1"/>
        <c:lblAlgn val="ctr"/>
        <c:lblOffset val="100"/>
        <c:noMultiLvlLbl val="0"/>
      </c:catAx>
      <c:valAx>
        <c:axId val="49965300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Longitude</a:t>
                </a:r>
                <a:endParaRPr lang="fr-FR" sz="1600" b="1"/>
              </a:p>
            </c:rich>
          </c:tx>
          <c:layout>
            <c:manualLayout>
              <c:xMode val="edge"/>
              <c:yMode val="edge"/>
              <c:x val="4.6955887796838507E-2"/>
              <c:y val="0.1470223283730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26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35061611946323E-2"/>
          <c:y val="5.7449554619923231E-2"/>
          <c:w val="0.96924086020710942"/>
          <c:h val="0.9047440374301039"/>
        </c:manualLayout>
      </c:layout>
      <c:lineChart>
        <c:grouping val="standard"/>
        <c:varyColors val="0"/>
        <c:ser>
          <c:idx val="1"/>
          <c:order val="0"/>
          <c:tx>
            <c:strRef>
              <c:f>'Nord - X Mn'!$V$104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'Nord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X Mn'!$W$104:$AO$104</c:f>
              <c:numCache>
                <c:formatCode>General</c:formatCode>
                <c:ptCount val="19"/>
                <c:pt idx="0">
                  <c:v>15</c:v>
                </c:pt>
                <c:pt idx="1">
                  <c:v>14.942920471376183</c:v>
                </c:pt>
                <c:pt idx="2">
                  <c:v>14.772116295183121</c:v>
                </c:pt>
                <c:pt idx="3">
                  <c:v>14.488887394336025</c:v>
                </c:pt>
                <c:pt idx="4">
                  <c:v>14.095389311788626</c:v>
                </c:pt>
                <c:pt idx="5">
                  <c:v>13.59461680554975</c:v>
                </c:pt>
                <c:pt idx="6">
                  <c:v>12.99038105676658</c:v>
                </c:pt>
                <c:pt idx="7">
                  <c:v>12.287280664334878</c:v>
                </c:pt>
                <c:pt idx="8">
                  <c:v>11.490666646784669</c:v>
                </c:pt>
                <c:pt idx="9">
                  <c:v>10.606601717798213</c:v>
                </c:pt>
                <c:pt idx="10">
                  <c:v>9.6418141452980901</c:v>
                </c:pt>
                <c:pt idx="11">
                  <c:v>8.6036465452656916</c:v>
                </c:pt>
                <c:pt idx="12">
                  <c:v>7.5000000000000018</c:v>
                </c:pt>
                <c:pt idx="13">
                  <c:v>6.3392739261104918</c:v>
                </c:pt>
                <c:pt idx="14">
                  <c:v>5.1303021498850327</c:v>
                </c:pt>
                <c:pt idx="15">
                  <c:v>3.8822856765378111</c:v>
                </c:pt>
                <c:pt idx="16">
                  <c:v>2.6047226650039561</c:v>
                </c:pt>
                <c:pt idx="17">
                  <c:v>1.3073361412148721</c:v>
                </c:pt>
                <c:pt idx="18">
                  <c:v>9.1886134118146501E-16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E-4F7E-8E5E-FE5F10CD8B54}"/>
            </c:ext>
          </c:extLst>
        </c:ser>
        <c:ser>
          <c:idx val="2"/>
          <c:order val="1"/>
          <c:tx>
            <c:strRef>
              <c:f>'Nord - X Mn'!$V$105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'Nord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X Mn'!$W$105:$AO$105</c:f>
              <c:numCache>
                <c:formatCode>General</c:formatCode>
                <c:ptCount val="19"/>
                <c:pt idx="0">
                  <c:v>10</c:v>
                </c:pt>
                <c:pt idx="1">
                  <c:v>9.961946980917455</c:v>
                </c:pt>
                <c:pt idx="2">
                  <c:v>9.8480775301220795</c:v>
                </c:pt>
                <c:pt idx="3">
                  <c:v>9.6592582628906829</c:v>
                </c:pt>
                <c:pt idx="4">
                  <c:v>9.3969262078590852</c:v>
                </c:pt>
                <c:pt idx="5">
                  <c:v>9.0630778703664987</c:v>
                </c:pt>
                <c:pt idx="6">
                  <c:v>8.6602540378443873</c:v>
                </c:pt>
                <c:pt idx="7">
                  <c:v>8.1915204428899173</c:v>
                </c:pt>
                <c:pt idx="8">
                  <c:v>7.6604444311897799</c:v>
                </c:pt>
                <c:pt idx="9">
                  <c:v>7.0710678118654755</c:v>
                </c:pt>
                <c:pt idx="10">
                  <c:v>6.4278760968653934</c:v>
                </c:pt>
                <c:pt idx="11">
                  <c:v>5.7357643635104614</c:v>
                </c:pt>
                <c:pt idx="12">
                  <c:v>5.0000000000000009</c:v>
                </c:pt>
                <c:pt idx="13">
                  <c:v>4.2261826174069945</c:v>
                </c:pt>
                <c:pt idx="14">
                  <c:v>3.4202014332566884</c:v>
                </c:pt>
                <c:pt idx="15">
                  <c:v>2.5881904510252074</c:v>
                </c:pt>
                <c:pt idx="16">
                  <c:v>1.7364817766693041</c:v>
                </c:pt>
                <c:pt idx="17">
                  <c:v>0.87155742747658138</c:v>
                </c:pt>
                <c:pt idx="18">
                  <c:v>6.1257422745431001E-16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E-4F7E-8E5E-FE5F10CD8B54}"/>
            </c:ext>
          </c:extLst>
        </c:ser>
        <c:ser>
          <c:idx val="3"/>
          <c:order val="2"/>
          <c:tx>
            <c:strRef>
              <c:f>'Nord - X Mn'!$V$106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'Nord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X Mn'!$W$106:$AO$106</c:f>
              <c:numCache>
                <c:formatCode>General</c:formatCode>
                <c:ptCount val="19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7E-4F7E-8E5E-FE5F10CD8B54}"/>
            </c:ext>
          </c:extLst>
        </c:ser>
        <c:ser>
          <c:idx val="4"/>
          <c:order val="3"/>
          <c:tx>
            <c:strRef>
              <c:f>'Nord - X Mn'!$V$107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'Nord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X Mn'!$W$107:$AO$107</c:f>
              <c:numCache>
                <c:formatCode>General</c:formatCode>
                <c:ptCount val="19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7E-4F7E-8E5E-FE5F10CD8B54}"/>
            </c:ext>
          </c:extLst>
        </c:ser>
        <c:ser>
          <c:idx val="5"/>
          <c:order val="4"/>
          <c:tx>
            <c:strRef>
              <c:f>'Nord - X Mn'!$V$108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'Nord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X Mn'!$W$108:$AO$108</c:f>
              <c:numCache>
                <c:formatCode>General</c:formatCode>
                <c:ptCount val="19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7E-4F7E-8E5E-FE5F10CD8B54}"/>
            </c:ext>
          </c:extLst>
        </c:ser>
        <c:ser>
          <c:idx val="6"/>
          <c:order val="5"/>
          <c:tx>
            <c:strRef>
              <c:f>'Nord - X Mn'!$V$109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'Nord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X Mn'!$W$109:$AO$109</c:f>
              <c:numCache>
                <c:formatCode>General</c:formatCode>
                <c:ptCount val="19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7E-4F7E-8E5E-FE5F10CD8B54}"/>
            </c:ext>
          </c:extLst>
        </c:ser>
        <c:ser>
          <c:idx val="7"/>
          <c:order val="6"/>
          <c:tx>
            <c:strRef>
              <c:f>'Nord - X Mn'!$V$110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'Nord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X Mn'!$W$110:$AO$110</c:f>
              <c:numCache>
                <c:formatCode>General</c:formatCode>
                <c:ptCount val="19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7E-4F7E-8E5E-FE5F10CD8B54}"/>
            </c:ext>
          </c:extLst>
        </c:ser>
        <c:ser>
          <c:idx val="0"/>
          <c:order val="7"/>
          <c:tx>
            <c:v>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'Nord - X Mn'!$W$103:$AO$103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X Mn'!$W$111:$AO$111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7E-4F7E-8E5E-FE5F10CD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52680"/>
        <c:axId val="499653008"/>
      </c:lineChart>
      <c:catAx>
        <c:axId val="499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Latitude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94675313111392689"/>
              <c:y val="0.7029601742943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2">
                <a:lumMod val="75000"/>
                <a:alpha val="24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3008"/>
        <c:crosses val="autoZero"/>
        <c:auto val="1"/>
        <c:lblAlgn val="ctr"/>
        <c:lblOffset val="100"/>
        <c:noMultiLvlLbl val="0"/>
      </c:catAx>
      <c:valAx>
        <c:axId val="49965300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Longitude</a:t>
                </a:r>
                <a:endParaRPr lang="fr-FR" sz="1600" b="1"/>
              </a:p>
            </c:rich>
          </c:tx>
          <c:layout>
            <c:manualLayout>
              <c:xMode val="edge"/>
              <c:yMode val="edge"/>
              <c:x val="4.6955887796838507E-2"/>
              <c:y val="0.1470223283730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26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35061611946323E-2"/>
          <c:y val="5.7449554619923231E-2"/>
          <c:w val="0.96924086020710942"/>
          <c:h val="0.9047440374301039"/>
        </c:manualLayout>
      </c:layout>
      <c:lineChart>
        <c:grouping val="standard"/>
        <c:varyColors val="0"/>
        <c:ser>
          <c:idx val="1"/>
          <c:order val="0"/>
          <c:tx>
            <c:strRef>
              <c:f>'Nord - 5 Milles'!$V$104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'Nord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- 5 Milles'!$W$104:$AO$104</c:f>
              <c:numCache>
                <c:formatCode>General</c:formatCode>
                <c:ptCount val="19"/>
                <c:pt idx="0">
                  <c:v>15</c:v>
                </c:pt>
                <c:pt idx="1">
                  <c:v>14.942920471376183</c:v>
                </c:pt>
                <c:pt idx="2">
                  <c:v>14.772116295183121</c:v>
                </c:pt>
                <c:pt idx="3">
                  <c:v>14.488887394336025</c:v>
                </c:pt>
                <c:pt idx="4">
                  <c:v>14.095389311788626</c:v>
                </c:pt>
                <c:pt idx="5">
                  <c:v>13.59461680554975</c:v>
                </c:pt>
                <c:pt idx="6">
                  <c:v>12.99038105676658</c:v>
                </c:pt>
                <c:pt idx="7">
                  <c:v>12.287280664334878</c:v>
                </c:pt>
                <c:pt idx="8">
                  <c:v>11.490666646784669</c:v>
                </c:pt>
                <c:pt idx="9">
                  <c:v>10.606601717798213</c:v>
                </c:pt>
                <c:pt idx="10">
                  <c:v>9.6418141452980901</c:v>
                </c:pt>
                <c:pt idx="11">
                  <c:v>8.6036465452656916</c:v>
                </c:pt>
                <c:pt idx="12">
                  <c:v>7.5000000000000018</c:v>
                </c:pt>
                <c:pt idx="13">
                  <c:v>6.3392739261104918</c:v>
                </c:pt>
                <c:pt idx="14">
                  <c:v>5.1303021498850327</c:v>
                </c:pt>
                <c:pt idx="15">
                  <c:v>3.8822856765378111</c:v>
                </c:pt>
                <c:pt idx="16">
                  <c:v>2.6047226650039561</c:v>
                </c:pt>
                <c:pt idx="17">
                  <c:v>1.3073361412148721</c:v>
                </c:pt>
                <c:pt idx="18">
                  <c:v>9.1886134118146501E-16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1-4688-A24F-A7D30CDBAB22}"/>
            </c:ext>
          </c:extLst>
        </c:ser>
        <c:ser>
          <c:idx val="2"/>
          <c:order val="1"/>
          <c:tx>
            <c:strRef>
              <c:f>'Nord - 5 Milles'!$V$105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'Nord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- 5 Milles'!$W$105:$AO$105</c:f>
              <c:numCache>
                <c:formatCode>General</c:formatCode>
                <c:ptCount val="19"/>
                <c:pt idx="0">
                  <c:v>10</c:v>
                </c:pt>
                <c:pt idx="1">
                  <c:v>9.961946980917455</c:v>
                </c:pt>
                <c:pt idx="2">
                  <c:v>9.8480775301220795</c:v>
                </c:pt>
                <c:pt idx="3">
                  <c:v>9.6592582628906829</c:v>
                </c:pt>
                <c:pt idx="4">
                  <c:v>9.3969262078590852</c:v>
                </c:pt>
                <c:pt idx="5">
                  <c:v>9.0630778703664987</c:v>
                </c:pt>
                <c:pt idx="6">
                  <c:v>8.6602540378443873</c:v>
                </c:pt>
                <c:pt idx="7">
                  <c:v>8.1915204428899173</c:v>
                </c:pt>
                <c:pt idx="8">
                  <c:v>7.6604444311897799</c:v>
                </c:pt>
                <c:pt idx="9">
                  <c:v>7.0710678118654755</c:v>
                </c:pt>
                <c:pt idx="10">
                  <c:v>6.4278760968653934</c:v>
                </c:pt>
                <c:pt idx="11">
                  <c:v>5.7357643635104614</c:v>
                </c:pt>
                <c:pt idx="12">
                  <c:v>5.0000000000000009</c:v>
                </c:pt>
                <c:pt idx="13">
                  <c:v>4.2261826174069945</c:v>
                </c:pt>
                <c:pt idx="14">
                  <c:v>3.4202014332566884</c:v>
                </c:pt>
                <c:pt idx="15">
                  <c:v>2.5881904510252074</c:v>
                </c:pt>
                <c:pt idx="16">
                  <c:v>1.7364817766693041</c:v>
                </c:pt>
                <c:pt idx="17">
                  <c:v>0.87155742747658138</c:v>
                </c:pt>
                <c:pt idx="18">
                  <c:v>6.1257422745431001E-16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1-4688-A24F-A7D30CDBAB22}"/>
            </c:ext>
          </c:extLst>
        </c:ser>
        <c:ser>
          <c:idx val="3"/>
          <c:order val="2"/>
          <c:tx>
            <c:strRef>
              <c:f>'Nord - 5 Milles'!$V$106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'Nord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- 5 Milles'!$W$106:$AO$106</c:f>
              <c:numCache>
                <c:formatCode>General</c:formatCode>
                <c:ptCount val="19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71-4688-A24F-A7D30CDBAB22}"/>
            </c:ext>
          </c:extLst>
        </c:ser>
        <c:ser>
          <c:idx val="4"/>
          <c:order val="3"/>
          <c:tx>
            <c:strRef>
              <c:f>'Nord - 5 Milles'!$V$107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'Nord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- 5 Milles'!$W$107:$AO$107</c:f>
              <c:numCache>
                <c:formatCode>General</c:formatCode>
                <c:ptCount val="19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71-4688-A24F-A7D30CDBAB22}"/>
            </c:ext>
          </c:extLst>
        </c:ser>
        <c:ser>
          <c:idx val="5"/>
          <c:order val="4"/>
          <c:tx>
            <c:strRef>
              <c:f>'Nord - 5 Milles'!$V$108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'Nord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- 5 Milles'!$W$108:$AO$108</c:f>
              <c:numCache>
                <c:formatCode>General</c:formatCode>
                <c:ptCount val="19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71-4688-A24F-A7D30CDBAB22}"/>
            </c:ext>
          </c:extLst>
        </c:ser>
        <c:ser>
          <c:idx val="6"/>
          <c:order val="5"/>
          <c:tx>
            <c:strRef>
              <c:f>'Nord - 5 Milles'!$V$109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'Nord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- 5 Milles'!$W$109:$AO$109</c:f>
              <c:numCache>
                <c:formatCode>General</c:formatCode>
                <c:ptCount val="19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71-4688-A24F-A7D30CDBAB22}"/>
            </c:ext>
          </c:extLst>
        </c:ser>
        <c:ser>
          <c:idx val="7"/>
          <c:order val="6"/>
          <c:tx>
            <c:strRef>
              <c:f>'Nord - 5 Milles'!$V$110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'Nord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- 5 Milles'!$W$110:$AO$110</c:f>
              <c:numCache>
                <c:formatCode>General</c:formatCode>
                <c:ptCount val="19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71-4688-A24F-A7D30CDBAB22}"/>
            </c:ext>
          </c:extLst>
        </c:ser>
        <c:ser>
          <c:idx val="0"/>
          <c:order val="7"/>
          <c:tx>
            <c:v>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'Nord - 5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- 5 Milles'!$W$111:$AO$111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71-4688-A24F-A7D30CDBA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52680"/>
        <c:axId val="499653008"/>
      </c:lineChart>
      <c:catAx>
        <c:axId val="499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Latitude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94675313111392689"/>
              <c:y val="0.7029601742943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2">
                <a:lumMod val="75000"/>
                <a:alpha val="24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3008"/>
        <c:crosses val="autoZero"/>
        <c:auto val="1"/>
        <c:lblAlgn val="ctr"/>
        <c:lblOffset val="100"/>
        <c:noMultiLvlLbl val="0"/>
      </c:catAx>
      <c:valAx>
        <c:axId val="49965300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Longitude</a:t>
                </a:r>
                <a:endParaRPr lang="fr-FR" sz="1600" b="1"/>
              </a:p>
            </c:rich>
          </c:tx>
          <c:layout>
            <c:manualLayout>
              <c:xMode val="edge"/>
              <c:yMode val="edge"/>
              <c:x val="4.6955887796838507E-2"/>
              <c:y val="0.1470223283730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26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35061611946323E-2"/>
          <c:y val="5.7449554619923231E-2"/>
          <c:w val="0.96924086020710942"/>
          <c:h val="0.9047440374301039"/>
        </c:manualLayout>
      </c:layout>
      <c:lineChart>
        <c:grouping val="standard"/>
        <c:varyColors val="0"/>
        <c:ser>
          <c:idx val="1"/>
          <c:order val="0"/>
          <c:tx>
            <c:strRef>
              <c:f>'Nord - 10 Milles'!$V$104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'Nord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- 10 Milles'!$W$104:$AO$104</c:f>
              <c:numCache>
                <c:formatCode>General</c:formatCode>
                <c:ptCount val="19"/>
                <c:pt idx="0">
                  <c:v>15</c:v>
                </c:pt>
                <c:pt idx="1">
                  <c:v>14.942920471376183</c:v>
                </c:pt>
                <c:pt idx="2">
                  <c:v>14.772116295183121</c:v>
                </c:pt>
                <c:pt idx="3">
                  <c:v>14.488887394336025</c:v>
                </c:pt>
                <c:pt idx="4">
                  <c:v>14.095389311788626</c:v>
                </c:pt>
                <c:pt idx="5">
                  <c:v>13.59461680554975</c:v>
                </c:pt>
                <c:pt idx="6">
                  <c:v>12.99038105676658</c:v>
                </c:pt>
                <c:pt idx="7">
                  <c:v>12.287280664334878</c:v>
                </c:pt>
                <c:pt idx="8">
                  <c:v>11.490666646784669</c:v>
                </c:pt>
                <c:pt idx="9">
                  <c:v>10.606601717798213</c:v>
                </c:pt>
                <c:pt idx="10">
                  <c:v>9.6418141452980901</c:v>
                </c:pt>
                <c:pt idx="11">
                  <c:v>8.6036465452656916</c:v>
                </c:pt>
                <c:pt idx="12">
                  <c:v>7.5000000000000018</c:v>
                </c:pt>
                <c:pt idx="13">
                  <c:v>6.3392739261104918</c:v>
                </c:pt>
                <c:pt idx="14">
                  <c:v>5.1303021498850327</c:v>
                </c:pt>
                <c:pt idx="15">
                  <c:v>3.8822856765378111</c:v>
                </c:pt>
                <c:pt idx="16">
                  <c:v>2.6047226650039561</c:v>
                </c:pt>
                <c:pt idx="17">
                  <c:v>1.3073361412148721</c:v>
                </c:pt>
                <c:pt idx="18">
                  <c:v>9.1886134118146501E-16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6-478E-824C-DDBAB472A333}"/>
            </c:ext>
          </c:extLst>
        </c:ser>
        <c:ser>
          <c:idx val="2"/>
          <c:order val="1"/>
          <c:tx>
            <c:strRef>
              <c:f>'Nord - 10 Milles'!$V$105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'Nord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- 10 Milles'!$W$105:$AO$105</c:f>
              <c:numCache>
                <c:formatCode>General</c:formatCode>
                <c:ptCount val="19"/>
                <c:pt idx="0">
                  <c:v>10</c:v>
                </c:pt>
                <c:pt idx="1">
                  <c:v>9.961946980917455</c:v>
                </c:pt>
                <c:pt idx="2">
                  <c:v>9.8480775301220795</c:v>
                </c:pt>
                <c:pt idx="3">
                  <c:v>9.6592582628906829</c:v>
                </c:pt>
                <c:pt idx="4">
                  <c:v>9.3969262078590852</c:v>
                </c:pt>
                <c:pt idx="5">
                  <c:v>9.0630778703664987</c:v>
                </c:pt>
                <c:pt idx="6">
                  <c:v>8.6602540378443873</c:v>
                </c:pt>
                <c:pt idx="7">
                  <c:v>8.1915204428899173</c:v>
                </c:pt>
                <c:pt idx="8">
                  <c:v>7.6604444311897799</c:v>
                </c:pt>
                <c:pt idx="9">
                  <c:v>7.0710678118654755</c:v>
                </c:pt>
                <c:pt idx="10">
                  <c:v>6.4278760968653934</c:v>
                </c:pt>
                <c:pt idx="11">
                  <c:v>5.7357643635104614</c:v>
                </c:pt>
                <c:pt idx="12">
                  <c:v>5.0000000000000009</c:v>
                </c:pt>
                <c:pt idx="13">
                  <c:v>4.2261826174069945</c:v>
                </c:pt>
                <c:pt idx="14">
                  <c:v>3.4202014332566884</c:v>
                </c:pt>
                <c:pt idx="15">
                  <c:v>2.5881904510252074</c:v>
                </c:pt>
                <c:pt idx="16">
                  <c:v>1.7364817766693041</c:v>
                </c:pt>
                <c:pt idx="17">
                  <c:v>0.87155742747658138</c:v>
                </c:pt>
                <c:pt idx="18">
                  <c:v>6.1257422745431001E-16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6-478E-824C-DDBAB472A333}"/>
            </c:ext>
          </c:extLst>
        </c:ser>
        <c:ser>
          <c:idx val="3"/>
          <c:order val="2"/>
          <c:tx>
            <c:strRef>
              <c:f>'Nord - 10 Milles'!$V$106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'Nord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- 10 Milles'!$W$106:$AO$106</c:f>
              <c:numCache>
                <c:formatCode>General</c:formatCode>
                <c:ptCount val="19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6-478E-824C-DDBAB472A333}"/>
            </c:ext>
          </c:extLst>
        </c:ser>
        <c:ser>
          <c:idx val="4"/>
          <c:order val="3"/>
          <c:tx>
            <c:strRef>
              <c:f>'Nord - 10 Milles'!$V$107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'Nord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- 10 Milles'!$W$107:$AO$107</c:f>
              <c:numCache>
                <c:formatCode>General</c:formatCode>
                <c:ptCount val="19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A6-478E-824C-DDBAB472A333}"/>
            </c:ext>
          </c:extLst>
        </c:ser>
        <c:ser>
          <c:idx val="5"/>
          <c:order val="4"/>
          <c:tx>
            <c:strRef>
              <c:f>'Nord - 10 Milles'!$V$108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'Nord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- 10 Milles'!$W$108:$AO$108</c:f>
              <c:numCache>
                <c:formatCode>General</c:formatCode>
                <c:ptCount val="19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A6-478E-824C-DDBAB472A333}"/>
            </c:ext>
          </c:extLst>
        </c:ser>
        <c:ser>
          <c:idx val="6"/>
          <c:order val="5"/>
          <c:tx>
            <c:strRef>
              <c:f>'Nord - 10 Milles'!$V$109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'Nord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- 10 Milles'!$W$109:$AO$109</c:f>
              <c:numCache>
                <c:formatCode>General</c:formatCode>
                <c:ptCount val="19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A6-478E-824C-DDBAB472A333}"/>
            </c:ext>
          </c:extLst>
        </c:ser>
        <c:ser>
          <c:idx val="7"/>
          <c:order val="6"/>
          <c:tx>
            <c:strRef>
              <c:f>'Nord - 10 Milles'!$V$110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'Nord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- 10 Milles'!$W$110:$AO$110</c:f>
              <c:numCache>
                <c:formatCode>General</c:formatCode>
                <c:ptCount val="19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A6-478E-824C-DDBAB472A333}"/>
            </c:ext>
          </c:extLst>
        </c:ser>
        <c:ser>
          <c:idx val="0"/>
          <c:order val="7"/>
          <c:tx>
            <c:v>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'Nord - 10 Milles'!$W$103:$AO$103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'Nord - 10 Milles'!$W$111:$AO$111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A6-478E-824C-DDBAB472A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52680"/>
        <c:axId val="499653008"/>
      </c:lineChart>
      <c:catAx>
        <c:axId val="499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Latitude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94675313111392689"/>
              <c:y val="0.7029601742943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2">
                <a:lumMod val="75000"/>
                <a:alpha val="24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3008"/>
        <c:crosses val="autoZero"/>
        <c:auto val="1"/>
        <c:lblAlgn val="ctr"/>
        <c:lblOffset val="100"/>
        <c:noMultiLvlLbl val="0"/>
      </c:catAx>
      <c:valAx>
        <c:axId val="49965300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Longitude</a:t>
                </a:r>
                <a:endParaRPr lang="fr-FR" sz="1600" b="1"/>
              </a:p>
            </c:rich>
          </c:tx>
          <c:layout>
            <c:manualLayout>
              <c:xMode val="edge"/>
              <c:yMode val="edge"/>
              <c:x val="4.6955887796838507E-2"/>
              <c:y val="0.1470223283730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26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35061611946323E-2"/>
          <c:y val="5.7449554619923231E-2"/>
          <c:w val="0.96924086020710942"/>
          <c:h val="0.9047440374301039"/>
        </c:manualLayout>
      </c:layout>
      <c:lineChart>
        <c:grouping val="standard"/>
        <c:varyColors val="0"/>
        <c:ser>
          <c:idx val="1"/>
          <c:order val="0"/>
          <c:tx>
            <c:strRef>
              <c:f>Sud!$V$104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Sud!$W$103:$AO$103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Sud!$W$104:$AO$104</c:f>
              <c:numCache>
                <c:formatCode>General</c:formatCode>
                <c:ptCount val="19"/>
                <c:pt idx="0">
                  <c:v>15</c:v>
                </c:pt>
                <c:pt idx="1">
                  <c:v>14.942920471376183</c:v>
                </c:pt>
                <c:pt idx="2">
                  <c:v>14.772116295183121</c:v>
                </c:pt>
                <c:pt idx="3">
                  <c:v>14.488887394336025</c:v>
                </c:pt>
                <c:pt idx="4">
                  <c:v>14.095389311788626</c:v>
                </c:pt>
                <c:pt idx="5">
                  <c:v>13.59461680554975</c:v>
                </c:pt>
                <c:pt idx="6">
                  <c:v>12.99038105676658</c:v>
                </c:pt>
                <c:pt idx="7">
                  <c:v>12.287280664334878</c:v>
                </c:pt>
                <c:pt idx="8">
                  <c:v>11.490666646784669</c:v>
                </c:pt>
                <c:pt idx="9">
                  <c:v>10.606601717798213</c:v>
                </c:pt>
                <c:pt idx="10">
                  <c:v>9.6418141452980901</c:v>
                </c:pt>
                <c:pt idx="11">
                  <c:v>8.6036465452656916</c:v>
                </c:pt>
                <c:pt idx="12">
                  <c:v>7.5000000000000018</c:v>
                </c:pt>
                <c:pt idx="13">
                  <c:v>6.3392739261104918</c:v>
                </c:pt>
                <c:pt idx="14">
                  <c:v>5.1303021498850327</c:v>
                </c:pt>
                <c:pt idx="15">
                  <c:v>3.8822856765378111</c:v>
                </c:pt>
                <c:pt idx="16">
                  <c:v>2.6047226650039561</c:v>
                </c:pt>
                <c:pt idx="17">
                  <c:v>1.3073361412148721</c:v>
                </c:pt>
                <c:pt idx="18">
                  <c:v>9.1886134118146501E-16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D-4C40-95D1-B56E2418EA6E}"/>
            </c:ext>
          </c:extLst>
        </c:ser>
        <c:ser>
          <c:idx val="2"/>
          <c:order val="1"/>
          <c:tx>
            <c:strRef>
              <c:f>Sud!$V$105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Sud!$W$103:$AO$103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Sud!$W$105:$AO$105</c:f>
              <c:numCache>
                <c:formatCode>General</c:formatCode>
                <c:ptCount val="19"/>
                <c:pt idx="0">
                  <c:v>10</c:v>
                </c:pt>
                <c:pt idx="1">
                  <c:v>9.961946980917455</c:v>
                </c:pt>
                <c:pt idx="2">
                  <c:v>9.8480775301220795</c:v>
                </c:pt>
                <c:pt idx="3">
                  <c:v>9.6592582628906829</c:v>
                </c:pt>
                <c:pt idx="4">
                  <c:v>9.3969262078590852</c:v>
                </c:pt>
                <c:pt idx="5">
                  <c:v>9.0630778703664987</c:v>
                </c:pt>
                <c:pt idx="6">
                  <c:v>8.6602540378443873</c:v>
                </c:pt>
                <c:pt idx="7">
                  <c:v>8.1915204428899173</c:v>
                </c:pt>
                <c:pt idx="8">
                  <c:v>7.6604444311897799</c:v>
                </c:pt>
                <c:pt idx="9">
                  <c:v>7.0710678118654755</c:v>
                </c:pt>
                <c:pt idx="10">
                  <c:v>6.4278760968653934</c:v>
                </c:pt>
                <c:pt idx="11">
                  <c:v>5.7357643635104614</c:v>
                </c:pt>
                <c:pt idx="12">
                  <c:v>5.0000000000000009</c:v>
                </c:pt>
                <c:pt idx="13">
                  <c:v>4.2261826174069945</c:v>
                </c:pt>
                <c:pt idx="14">
                  <c:v>3.4202014332566884</c:v>
                </c:pt>
                <c:pt idx="15">
                  <c:v>2.5881904510252074</c:v>
                </c:pt>
                <c:pt idx="16">
                  <c:v>1.7364817766693041</c:v>
                </c:pt>
                <c:pt idx="17">
                  <c:v>0.87155742747658138</c:v>
                </c:pt>
                <c:pt idx="18">
                  <c:v>6.1257422745431001E-16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6D-4C40-95D1-B56E2418EA6E}"/>
            </c:ext>
          </c:extLst>
        </c:ser>
        <c:ser>
          <c:idx val="3"/>
          <c:order val="2"/>
          <c:tx>
            <c:strRef>
              <c:f>Sud!$V$106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Sud!$W$103:$AO$103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Sud!$W$106:$AO$106</c:f>
              <c:numCache>
                <c:formatCode>General</c:formatCode>
                <c:ptCount val="19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6D-4C40-95D1-B56E2418EA6E}"/>
            </c:ext>
          </c:extLst>
        </c:ser>
        <c:ser>
          <c:idx val="4"/>
          <c:order val="3"/>
          <c:tx>
            <c:strRef>
              <c:f>Sud!$V$107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Sud!$W$103:$AO$103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Sud!$W$107:$AO$107</c:f>
              <c:numCache>
                <c:formatCode>General</c:formatCode>
                <c:ptCount val="19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6D-4C40-95D1-B56E2418EA6E}"/>
            </c:ext>
          </c:extLst>
        </c:ser>
        <c:ser>
          <c:idx val="5"/>
          <c:order val="4"/>
          <c:tx>
            <c:strRef>
              <c:f>Sud!$V$108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Sud!$W$103:$AO$103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Sud!$W$108:$AO$108</c:f>
              <c:numCache>
                <c:formatCode>General</c:formatCode>
                <c:ptCount val="19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6D-4C40-95D1-B56E2418EA6E}"/>
            </c:ext>
          </c:extLst>
        </c:ser>
        <c:ser>
          <c:idx val="6"/>
          <c:order val="5"/>
          <c:tx>
            <c:strRef>
              <c:f>Sud!$V$109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Sud!$W$103:$AO$103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Sud!$W$109:$AO$109</c:f>
              <c:numCache>
                <c:formatCode>General</c:formatCode>
                <c:ptCount val="19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6D-4C40-95D1-B56E2418EA6E}"/>
            </c:ext>
          </c:extLst>
        </c:ser>
        <c:ser>
          <c:idx val="7"/>
          <c:order val="6"/>
          <c:tx>
            <c:strRef>
              <c:f>Sud!$V$110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Sud!$W$103:$AO$103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Sud!$W$110:$AO$110</c:f>
              <c:numCache>
                <c:formatCode>General</c:formatCode>
                <c:ptCount val="19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6D-4C40-95D1-B56E2418EA6E}"/>
            </c:ext>
          </c:extLst>
        </c:ser>
        <c:ser>
          <c:idx val="0"/>
          <c:order val="7"/>
          <c:tx>
            <c:v>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Sud!$W$103:$AO$103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Sud!$W$111:$AO$111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6D-4C40-95D1-B56E2418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52680"/>
        <c:axId val="499653008"/>
      </c:lineChart>
      <c:catAx>
        <c:axId val="499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Latitude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94675313111392689"/>
              <c:y val="0.7029601742943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2">
                <a:lumMod val="75000"/>
                <a:alpha val="24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3008"/>
        <c:crosses val="autoZero"/>
        <c:auto val="1"/>
        <c:lblAlgn val="ctr"/>
        <c:lblOffset val="100"/>
        <c:noMultiLvlLbl val="0"/>
      </c:catAx>
      <c:valAx>
        <c:axId val="49965300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 b="1"/>
                  <a:t>Longitude</a:t>
                </a:r>
                <a:endParaRPr lang="fr-FR" sz="1600" b="1"/>
              </a:p>
            </c:rich>
          </c:tx>
          <c:layout>
            <c:manualLayout>
              <c:xMode val="edge"/>
              <c:yMode val="edge"/>
              <c:x val="4.6955887796838507E-2"/>
              <c:y val="0.1470223283730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26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540000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Echelle</a:t>
            </a:r>
            <a:r>
              <a:rPr lang="fr-FR" baseline="0"/>
              <a:t> de longitude</a:t>
            </a:r>
            <a:endParaRPr lang="fr-FR"/>
          </a:p>
        </c:rich>
      </c:tx>
      <c:layout>
        <c:manualLayout>
          <c:xMode val="edge"/>
          <c:yMode val="edge"/>
          <c:x val="0.91068585357034149"/>
          <c:y val="3.1884057971014491E-2"/>
        </c:manualLayout>
      </c:layout>
      <c:overlay val="0"/>
      <c:spPr>
        <a:noFill/>
        <a:ln>
          <a:noFill/>
        </a:ln>
        <a:effectLst/>
      </c:spPr>
      <c:txPr>
        <a:bodyPr rot="540000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5162442059028671E-2"/>
          <c:y val="2.3347940203126756E-2"/>
          <c:w val="0.88166531619660082"/>
          <c:h val="0.9047440374301039"/>
        </c:manualLayout>
      </c:layout>
      <c:lineChart>
        <c:grouping val="standard"/>
        <c:varyColors val="0"/>
        <c:ser>
          <c:idx val="1"/>
          <c:order val="0"/>
          <c:tx>
            <c:strRef>
              <c:f>Sheet1!$CY$47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Sheet1!$CZ$46:$DR$46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Sheet1!$CZ$47:$DR$47</c:f>
              <c:numCache>
                <c:formatCode>General</c:formatCode>
                <c:ptCount val="19"/>
                <c:pt idx="0">
                  <c:v>15</c:v>
                </c:pt>
                <c:pt idx="1">
                  <c:v>14.942920471376183</c:v>
                </c:pt>
                <c:pt idx="2">
                  <c:v>14.772116295183121</c:v>
                </c:pt>
                <c:pt idx="3">
                  <c:v>14.488887394336025</c:v>
                </c:pt>
                <c:pt idx="4">
                  <c:v>14.095389311788626</c:v>
                </c:pt>
                <c:pt idx="5">
                  <c:v>13.59461680554975</c:v>
                </c:pt>
                <c:pt idx="6">
                  <c:v>12.99038105676658</c:v>
                </c:pt>
                <c:pt idx="7">
                  <c:v>12.287280664334878</c:v>
                </c:pt>
                <c:pt idx="8">
                  <c:v>11.490666646784669</c:v>
                </c:pt>
                <c:pt idx="9">
                  <c:v>10.606601717798213</c:v>
                </c:pt>
                <c:pt idx="10">
                  <c:v>9.6418141452980901</c:v>
                </c:pt>
                <c:pt idx="11">
                  <c:v>8.6036465452656916</c:v>
                </c:pt>
                <c:pt idx="12">
                  <c:v>7.5000000000000018</c:v>
                </c:pt>
                <c:pt idx="13">
                  <c:v>6.3392739261104918</c:v>
                </c:pt>
                <c:pt idx="14">
                  <c:v>5.1303021498850327</c:v>
                </c:pt>
                <c:pt idx="15">
                  <c:v>3.8822856765378111</c:v>
                </c:pt>
                <c:pt idx="16">
                  <c:v>2.6047226650039561</c:v>
                </c:pt>
                <c:pt idx="17">
                  <c:v>1.3073361412148721</c:v>
                </c:pt>
                <c:pt idx="18">
                  <c:v>9.1886134118146501E-16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2-4CA4-A39E-EE5F1C525115}"/>
            </c:ext>
          </c:extLst>
        </c:ser>
        <c:ser>
          <c:idx val="2"/>
          <c:order val="1"/>
          <c:tx>
            <c:strRef>
              <c:f>Sheet1!$CY$48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Sheet1!$CZ$46:$DR$46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Sheet1!$CZ$48:$DR$48</c:f>
              <c:numCache>
                <c:formatCode>General</c:formatCode>
                <c:ptCount val="19"/>
                <c:pt idx="0">
                  <c:v>10</c:v>
                </c:pt>
                <c:pt idx="1">
                  <c:v>9.961946980917455</c:v>
                </c:pt>
                <c:pt idx="2">
                  <c:v>9.8480775301220795</c:v>
                </c:pt>
                <c:pt idx="3">
                  <c:v>9.6592582628906829</c:v>
                </c:pt>
                <c:pt idx="4">
                  <c:v>9.3969262078590852</c:v>
                </c:pt>
                <c:pt idx="5">
                  <c:v>9.0630778703664987</c:v>
                </c:pt>
                <c:pt idx="6">
                  <c:v>8.6602540378443873</c:v>
                </c:pt>
                <c:pt idx="7">
                  <c:v>8.1915204428899173</c:v>
                </c:pt>
                <c:pt idx="8">
                  <c:v>7.6604444311897799</c:v>
                </c:pt>
                <c:pt idx="9">
                  <c:v>7.0710678118654755</c:v>
                </c:pt>
                <c:pt idx="10">
                  <c:v>6.4278760968653934</c:v>
                </c:pt>
                <c:pt idx="11">
                  <c:v>5.7357643635104614</c:v>
                </c:pt>
                <c:pt idx="12">
                  <c:v>5.0000000000000009</c:v>
                </c:pt>
                <c:pt idx="13">
                  <c:v>4.2261826174069945</c:v>
                </c:pt>
                <c:pt idx="14">
                  <c:v>3.4202014332566884</c:v>
                </c:pt>
                <c:pt idx="15">
                  <c:v>2.5881904510252074</c:v>
                </c:pt>
                <c:pt idx="16">
                  <c:v>1.7364817766693041</c:v>
                </c:pt>
                <c:pt idx="17">
                  <c:v>0.87155742747658138</c:v>
                </c:pt>
                <c:pt idx="18">
                  <c:v>6.1257422745431001E-16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F2-4CA4-A39E-EE5F1C525115}"/>
            </c:ext>
          </c:extLst>
        </c:ser>
        <c:ser>
          <c:idx val="3"/>
          <c:order val="2"/>
          <c:tx>
            <c:strRef>
              <c:f>Sheet1!$CY$49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Sheet1!$CZ$46:$DR$46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Sheet1!$CZ$49:$DR$49</c:f>
              <c:numCache>
                <c:formatCode>General</c:formatCode>
                <c:ptCount val="19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F2-4CA4-A39E-EE5F1C525115}"/>
            </c:ext>
          </c:extLst>
        </c:ser>
        <c:ser>
          <c:idx val="4"/>
          <c:order val="3"/>
          <c:tx>
            <c:strRef>
              <c:f>Sheet1!$CY$50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Sheet1!$CZ$46:$DR$46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Sheet1!$CZ$50:$DR$50</c:f>
              <c:numCache>
                <c:formatCode>General</c:formatCode>
                <c:ptCount val="19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F2-4CA4-A39E-EE5F1C525115}"/>
            </c:ext>
          </c:extLst>
        </c:ser>
        <c:ser>
          <c:idx val="5"/>
          <c:order val="4"/>
          <c:tx>
            <c:strRef>
              <c:f>Sheet1!$CY$51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Sheet1!$CZ$46:$DR$46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Sheet1!$CZ$51:$DR$51</c:f>
              <c:numCache>
                <c:formatCode>General</c:formatCode>
                <c:ptCount val="19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F2-4CA4-A39E-EE5F1C525115}"/>
            </c:ext>
          </c:extLst>
        </c:ser>
        <c:ser>
          <c:idx val="6"/>
          <c:order val="5"/>
          <c:tx>
            <c:strRef>
              <c:f>Sheet1!$CY$52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Sheet1!$CZ$46:$DR$46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Sheet1!$CZ$52:$DR$52</c:f>
              <c:numCache>
                <c:formatCode>General</c:formatCode>
                <c:ptCount val="19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F2-4CA4-A39E-EE5F1C525115}"/>
            </c:ext>
          </c:extLst>
        </c:ser>
        <c:ser>
          <c:idx val="7"/>
          <c:order val="6"/>
          <c:tx>
            <c:strRef>
              <c:f>Sheet1!$CY$53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Sheet1!$CZ$46:$DR$46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Sheet1!$CZ$53:$DR$53</c:f>
              <c:numCache>
                <c:formatCode>General</c:formatCode>
                <c:ptCount val="19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F2-4CA4-A39E-EE5F1C525115}"/>
            </c:ext>
          </c:extLst>
        </c:ser>
        <c:ser>
          <c:idx val="0"/>
          <c:order val="7"/>
          <c:tx>
            <c:v>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Sheet1!$CZ$46:$DR$46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Sheet1!$CZ$54:$DR$54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F2-4CA4-A39E-EE5F1C525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52680"/>
        <c:axId val="499653008"/>
      </c:lineChart>
      <c:catAx>
        <c:axId val="499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 b="1"/>
                  <a:t>Latitude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9349735808245967"/>
              <c:y val="0.66266712313134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2">
                <a:lumMod val="75000"/>
                <a:alpha val="24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3008"/>
        <c:crosses val="autoZero"/>
        <c:auto val="1"/>
        <c:lblAlgn val="ctr"/>
        <c:lblOffset val="100"/>
        <c:noMultiLvlLbl val="0"/>
      </c:catAx>
      <c:valAx>
        <c:axId val="49965300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 b="1"/>
                  <a:t>Longitude</a:t>
                </a:r>
                <a:endParaRPr lang="fr-FR" sz="1100" b="1"/>
              </a:p>
            </c:rich>
          </c:tx>
          <c:layout>
            <c:manualLayout>
              <c:xMode val="edge"/>
              <c:yMode val="edge"/>
              <c:x val="1.6852539450451294E-2"/>
              <c:y val="5.63630492627508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96526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394855</xdr:colOff>
      <xdr:row>2</xdr:row>
      <xdr:rowOff>504826</xdr:rowOff>
    </xdr:from>
    <xdr:to>
      <xdr:col>4</xdr:col>
      <xdr:colOff>1438275</xdr:colOff>
      <xdr:row>2</xdr:row>
      <xdr:rowOff>1400176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FBA02CDE-FDE7-B346-54B6-2EB2B3D82778}"/>
            </a:ext>
          </a:extLst>
        </xdr:cNvPr>
        <xdr:cNvSpPr/>
      </xdr:nvSpPr>
      <xdr:spPr>
        <a:xfrm>
          <a:off x="19644880" y="2790826"/>
          <a:ext cx="1043420" cy="895350"/>
        </a:xfrm>
        <a:prstGeom prst="triangl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141143</xdr:colOff>
      <xdr:row>4</xdr:row>
      <xdr:rowOff>599210</xdr:rowOff>
    </xdr:from>
    <xdr:to>
      <xdr:col>2</xdr:col>
      <xdr:colOff>1761259</xdr:colOff>
      <xdr:row>4</xdr:row>
      <xdr:rowOff>1628775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B082F5AE-29DC-1AA2-5A7C-1E3BE5CCCB52}"/>
            </a:ext>
          </a:extLst>
        </xdr:cNvPr>
        <xdr:cNvGrpSpPr/>
      </xdr:nvGrpSpPr>
      <xdr:grpSpPr>
        <a:xfrm>
          <a:off x="1017443" y="7000010"/>
          <a:ext cx="1620116" cy="1029565"/>
          <a:chOff x="1858890" y="8837252"/>
          <a:chExt cx="841880" cy="1024154"/>
        </a:xfrm>
      </xdr:grpSpPr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576D6672-4F37-4D76-8E21-A3FDDA8C059E}"/>
              </a:ext>
            </a:extLst>
          </xdr:cNvPr>
          <xdr:cNvCxnSpPr/>
        </xdr:nvCxnSpPr>
        <xdr:spPr>
          <a:xfrm>
            <a:off x="1858890" y="8837252"/>
            <a:ext cx="841880" cy="1024154"/>
          </a:xfrm>
          <a:prstGeom prst="line">
            <a:avLst/>
          </a:prstGeom>
          <a:ln w="28575">
            <a:solidFill>
              <a:sysClr val="windowText" lastClr="000000"/>
            </a:solidFill>
            <a:headEnd type="none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440BF26E-7CD2-413A-9B1B-7B0EF6FE588D}"/>
              </a:ext>
            </a:extLst>
          </xdr:cNvPr>
          <xdr:cNvCxnSpPr/>
        </xdr:nvCxnSpPr>
        <xdr:spPr>
          <a:xfrm flipH="1">
            <a:off x="1925565" y="8965406"/>
            <a:ext cx="225137" cy="18617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8A09FF21-0694-4C77-B700-1D3B0C6D4F3F}"/>
              </a:ext>
            </a:extLst>
          </xdr:cNvPr>
          <xdr:cNvCxnSpPr/>
        </xdr:nvCxnSpPr>
        <xdr:spPr>
          <a:xfrm flipH="1">
            <a:off x="1974056" y="9013897"/>
            <a:ext cx="225137" cy="18617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2130135</xdr:colOff>
      <xdr:row>5</xdr:row>
      <xdr:rowOff>773205</xdr:rowOff>
    </xdr:from>
    <xdr:to>
      <xdr:col>3</xdr:col>
      <xdr:colOff>1472044</xdr:colOff>
      <xdr:row>5</xdr:row>
      <xdr:rowOff>1253631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7188CFE4-1C1E-48F8-24F5-D945DE550E47}"/>
            </a:ext>
          </a:extLst>
        </xdr:cNvPr>
        <xdr:cNvGrpSpPr/>
      </xdr:nvGrpSpPr>
      <xdr:grpSpPr>
        <a:xfrm>
          <a:off x="3006435" y="9117105"/>
          <a:ext cx="1818409" cy="480426"/>
          <a:chOff x="1214438" y="10494659"/>
          <a:chExt cx="1832862" cy="471767"/>
        </a:xfrm>
      </xdr:grpSpPr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5DDC0A41-5BC9-430A-A027-C45FC9E1E571}"/>
              </a:ext>
            </a:extLst>
          </xdr:cNvPr>
          <xdr:cNvCxnSpPr/>
        </xdr:nvCxnSpPr>
        <xdr:spPr>
          <a:xfrm flipV="1">
            <a:off x="1214438" y="10707571"/>
            <a:ext cx="1832862" cy="14007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7FD9FE0E-5B0B-44D7-B736-5722CB23A173}"/>
              </a:ext>
            </a:extLst>
          </xdr:cNvPr>
          <xdr:cNvCxnSpPr/>
        </xdr:nvCxnSpPr>
        <xdr:spPr>
          <a:xfrm>
            <a:off x="1808350" y="10494659"/>
            <a:ext cx="13306" cy="465044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9039E8FF-69BC-4F29-937B-30D87A30EDE7}"/>
              </a:ext>
            </a:extLst>
          </xdr:cNvPr>
          <xdr:cNvCxnSpPr/>
        </xdr:nvCxnSpPr>
        <xdr:spPr>
          <a:xfrm>
            <a:off x="1759044" y="10501382"/>
            <a:ext cx="11206" cy="465044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2017057</xdr:colOff>
      <xdr:row>5</xdr:row>
      <xdr:rowOff>885264</xdr:rowOff>
    </xdr:from>
    <xdr:to>
      <xdr:col>2</xdr:col>
      <xdr:colOff>2253400</xdr:colOff>
      <xdr:row>5</xdr:row>
      <xdr:rowOff>1127717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E5B20F1F-0A57-18D6-2D0C-9D96684754B2}"/>
            </a:ext>
          </a:extLst>
        </xdr:cNvPr>
        <xdr:cNvSpPr/>
      </xdr:nvSpPr>
      <xdr:spPr>
        <a:xfrm>
          <a:off x="16737512" y="8955537"/>
          <a:ext cx="236343" cy="242453"/>
        </a:xfrm>
        <a:prstGeom prst="ellipse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1439090</xdr:colOff>
      <xdr:row>5</xdr:row>
      <xdr:rowOff>867946</xdr:rowOff>
    </xdr:from>
    <xdr:to>
      <xdr:col>3</xdr:col>
      <xdr:colOff>1718574</xdr:colOff>
      <xdr:row>5</xdr:row>
      <xdr:rowOff>1127769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98167FA3-48AA-4402-9C79-2D0997C7E35D}"/>
            </a:ext>
          </a:extLst>
        </xdr:cNvPr>
        <xdr:cNvSpPr/>
      </xdr:nvSpPr>
      <xdr:spPr>
        <a:xfrm>
          <a:off x="18653363" y="8938219"/>
          <a:ext cx="279484" cy="259823"/>
        </a:xfrm>
        <a:prstGeom prst="triangle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363683</xdr:colOff>
      <xdr:row>1</xdr:row>
      <xdr:rowOff>501209</xdr:rowOff>
    </xdr:from>
    <xdr:to>
      <xdr:col>2</xdr:col>
      <xdr:colOff>1535208</xdr:colOff>
      <xdr:row>1</xdr:row>
      <xdr:rowOff>1420091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2E907E0-142C-432A-A7D9-1994E91EF64E}"/>
            </a:ext>
          </a:extLst>
        </xdr:cNvPr>
        <xdr:cNvCxnSpPr/>
      </xdr:nvCxnSpPr>
      <xdr:spPr>
        <a:xfrm flipV="1">
          <a:off x="14304819" y="743664"/>
          <a:ext cx="1171525" cy="918882"/>
        </a:xfrm>
        <a:prstGeom prst="line">
          <a:avLst/>
        </a:prstGeom>
        <a:ln w="28575"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374889</xdr:colOff>
      <xdr:row>2</xdr:row>
      <xdr:rowOff>85572</xdr:rowOff>
    </xdr:from>
    <xdr:to>
      <xdr:col>2</xdr:col>
      <xdr:colOff>1587162</xdr:colOff>
      <xdr:row>2</xdr:row>
      <xdr:rowOff>1910094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1FEB2CCC-1436-0331-1943-C02B403799D6}"/>
            </a:ext>
          </a:extLst>
        </xdr:cNvPr>
        <xdr:cNvGrpSpPr/>
      </xdr:nvGrpSpPr>
      <xdr:grpSpPr>
        <a:xfrm>
          <a:off x="1251189" y="2600172"/>
          <a:ext cx="1212273" cy="1824522"/>
          <a:chOff x="11856843" y="7567026"/>
          <a:chExt cx="1212273" cy="1824523"/>
        </a:xfrm>
      </xdr:grpSpPr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D928B7B3-68CD-470E-9B99-7B1B584704BD}"/>
              </a:ext>
            </a:extLst>
          </xdr:cNvPr>
          <xdr:cNvCxnSpPr/>
        </xdr:nvCxnSpPr>
        <xdr:spPr>
          <a:xfrm flipV="1">
            <a:off x="11882056" y="7567026"/>
            <a:ext cx="1175854" cy="1398749"/>
          </a:xfrm>
          <a:prstGeom prst="line">
            <a:avLst/>
          </a:prstGeom>
          <a:ln w="28575">
            <a:solidFill>
              <a:schemeClr val="tx1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790A251D-30D4-4E49-A9DA-5AF2E5397DAB}"/>
              </a:ext>
            </a:extLst>
          </xdr:cNvPr>
          <xdr:cNvCxnSpPr/>
        </xdr:nvCxnSpPr>
        <xdr:spPr>
          <a:xfrm>
            <a:off x="11856843" y="8762999"/>
            <a:ext cx="1212273" cy="617343"/>
          </a:xfrm>
          <a:prstGeom prst="line">
            <a:avLst/>
          </a:prstGeom>
          <a:ln w="28575">
            <a:solidFill>
              <a:schemeClr val="tx1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8663403B-0500-4002-9E05-399634B64A72}"/>
              </a:ext>
            </a:extLst>
          </xdr:cNvPr>
          <xdr:cNvCxnSpPr/>
        </xdr:nvCxnSpPr>
        <xdr:spPr>
          <a:xfrm flipH="1" flipV="1">
            <a:off x="12024931" y="7960252"/>
            <a:ext cx="819049" cy="1431297"/>
          </a:xfrm>
          <a:prstGeom prst="line">
            <a:avLst/>
          </a:prstGeom>
          <a:ln w="28575">
            <a:solidFill>
              <a:schemeClr val="tx1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Oval 69">
            <a:extLst>
              <a:ext uri="{FF2B5EF4-FFF2-40B4-BE49-F238E27FC236}">
                <a16:creationId xmlns:a16="http://schemas.microsoft.com/office/drawing/2014/main" id="{619588C4-411C-471E-BCD9-9C948F6F3DC0}"/>
              </a:ext>
            </a:extLst>
          </xdr:cNvPr>
          <xdr:cNvSpPr/>
        </xdr:nvSpPr>
        <xdr:spPr>
          <a:xfrm>
            <a:off x="12193019" y="8695763"/>
            <a:ext cx="235324" cy="241435"/>
          </a:xfrm>
          <a:prstGeom prst="ellipse">
            <a:avLst/>
          </a:prstGeom>
          <a:noFill/>
          <a:ln w="3810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2</xdr:col>
      <xdr:colOff>474315</xdr:colOff>
      <xdr:row>3</xdr:row>
      <xdr:rowOff>75386</xdr:rowOff>
    </xdr:from>
    <xdr:to>
      <xdr:col>2</xdr:col>
      <xdr:colOff>1686588</xdr:colOff>
      <xdr:row>3</xdr:row>
      <xdr:rowOff>1930061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7F2DEE90-6DB7-6D21-9593-609A208550FA}"/>
            </a:ext>
          </a:extLst>
        </xdr:cNvPr>
        <xdr:cNvGrpSpPr/>
      </xdr:nvGrpSpPr>
      <xdr:grpSpPr>
        <a:xfrm>
          <a:off x="1350615" y="4533086"/>
          <a:ext cx="1212273" cy="1854675"/>
          <a:chOff x="7280360" y="20441568"/>
          <a:chExt cx="1212273" cy="1854675"/>
        </a:xfrm>
      </xdr:grpSpPr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88A5DA58-EC35-496E-8E00-C9A701B319BB}"/>
              </a:ext>
            </a:extLst>
          </xdr:cNvPr>
          <xdr:cNvCxnSpPr/>
        </xdr:nvCxnSpPr>
        <xdr:spPr>
          <a:xfrm flipV="1">
            <a:off x="7305573" y="20448291"/>
            <a:ext cx="1174836" cy="1392636"/>
          </a:xfrm>
          <a:prstGeom prst="line">
            <a:avLst/>
          </a:prstGeom>
          <a:ln w="28575">
            <a:solidFill>
              <a:schemeClr val="tx1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288BD1D7-4F33-4612-960F-11A62966E0FF}"/>
              </a:ext>
            </a:extLst>
          </xdr:cNvPr>
          <xdr:cNvCxnSpPr/>
        </xdr:nvCxnSpPr>
        <xdr:spPr>
          <a:xfrm>
            <a:off x="7280360" y="21644264"/>
            <a:ext cx="1212273" cy="640772"/>
          </a:xfrm>
          <a:prstGeom prst="line">
            <a:avLst/>
          </a:prstGeom>
          <a:ln w="28575">
            <a:solidFill>
              <a:schemeClr val="tx1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7CCE40C8-A873-45C9-BF3A-31B087799DEC}"/>
              </a:ext>
            </a:extLst>
          </xdr:cNvPr>
          <xdr:cNvCxnSpPr/>
        </xdr:nvCxnSpPr>
        <xdr:spPr>
          <a:xfrm flipH="1" flipV="1">
            <a:off x="7448448" y="20841516"/>
            <a:ext cx="819049" cy="1454727"/>
          </a:xfrm>
          <a:prstGeom prst="line">
            <a:avLst/>
          </a:prstGeom>
          <a:ln w="28575">
            <a:solidFill>
              <a:schemeClr val="tx1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Oval 73">
            <a:extLst>
              <a:ext uri="{FF2B5EF4-FFF2-40B4-BE49-F238E27FC236}">
                <a16:creationId xmlns:a16="http://schemas.microsoft.com/office/drawing/2014/main" id="{5BAE22B5-E7DE-4304-BA8C-3693D55F49AA}"/>
              </a:ext>
            </a:extLst>
          </xdr:cNvPr>
          <xdr:cNvSpPr/>
        </xdr:nvSpPr>
        <xdr:spPr>
          <a:xfrm>
            <a:off x="7616536" y="21245945"/>
            <a:ext cx="235324" cy="241435"/>
          </a:xfrm>
          <a:prstGeom prst="ellipse">
            <a:avLst/>
          </a:prstGeom>
          <a:noFill/>
          <a:ln w="3810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E7100485-6DF9-0F54-1090-E74E9C8059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576195" y="20441568"/>
            <a:ext cx="477336" cy="515386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2140201</xdr:colOff>
      <xdr:row>6</xdr:row>
      <xdr:rowOff>621455</xdr:rowOff>
    </xdr:from>
    <xdr:to>
      <xdr:col>3</xdr:col>
      <xdr:colOff>1475998</xdr:colOff>
      <xdr:row>6</xdr:row>
      <xdr:rowOff>1101882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76533C40-8CF7-4772-B915-232AB23357D6}"/>
            </a:ext>
          </a:extLst>
        </xdr:cNvPr>
        <xdr:cNvGrpSpPr/>
      </xdr:nvGrpSpPr>
      <xdr:grpSpPr>
        <a:xfrm>
          <a:off x="3016501" y="10375055"/>
          <a:ext cx="1812297" cy="480427"/>
          <a:chOff x="1214438" y="10494659"/>
          <a:chExt cx="1832862" cy="471767"/>
        </a:xfrm>
      </xdr:grpSpPr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8C808302-1A4B-1070-6296-E663263C7363}"/>
              </a:ext>
            </a:extLst>
          </xdr:cNvPr>
          <xdr:cNvCxnSpPr/>
        </xdr:nvCxnSpPr>
        <xdr:spPr>
          <a:xfrm flipV="1">
            <a:off x="1214438" y="10707571"/>
            <a:ext cx="1832862" cy="14007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02A9CEDA-004A-7035-2D42-8DECA2E1D45A}"/>
              </a:ext>
            </a:extLst>
          </xdr:cNvPr>
          <xdr:cNvCxnSpPr/>
        </xdr:nvCxnSpPr>
        <xdr:spPr>
          <a:xfrm>
            <a:off x="1808350" y="10494659"/>
            <a:ext cx="13306" cy="465044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0110AD31-ED6C-A6A6-34E2-9C3DA2C7E8FC}"/>
              </a:ext>
            </a:extLst>
          </xdr:cNvPr>
          <xdr:cNvCxnSpPr/>
        </xdr:nvCxnSpPr>
        <xdr:spPr>
          <a:xfrm>
            <a:off x="1759044" y="10501382"/>
            <a:ext cx="11206" cy="465044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1521590</xdr:colOff>
      <xdr:row>6</xdr:row>
      <xdr:rowOff>355550</xdr:rowOff>
    </xdr:from>
    <xdr:to>
      <xdr:col>3</xdr:col>
      <xdr:colOff>103946</xdr:colOff>
      <xdr:row>6</xdr:row>
      <xdr:rowOff>1342272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2B6D7BC9-9651-428E-85ED-1CA507EDFF1A}"/>
            </a:ext>
          </a:extLst>
        </xdr:cNvPr>
        <xdr:cNvGrpSpPr/>
      </xdr:nvGrpSpPr>
      <xdr:grpSpPr>
        <a:xfrm>
          <a:off x="2397890" y="10109150"/>
          <a:ext cx="1058856" cy="986722"/>
          <a:chOff x="1974056" y="5031581"/>
          <a:chExt cx="1071563" cy="96916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59EF5011-F640-B9D5-F315-EF2068C3B4B2}"/>
              </a:ext>
            </a:extLst>
          </xdr:cNvPr>
          <xdr:cNvCxnSpPr/>
        </xdr:nvCxnSpPr>
        <xdr:spPr>
          <a:xfrm flipV="1">
            <a:off x="1974056" y="5031581"/>
            <a:ext cx="1045369" cy="909638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9CBFB9E5-F8EE-4D78-78F4-DC639515C1AB}"/>
              </a:ext>
            </a:extLst>
          </xdr:cNvPr>
          <xdr:cNvCxnSpPr/>
        </xdr:nvCxnSpPr>
        <xdr:spPr>
          <a:xfrm flipV="1">
            <a:off x="2002631" y="5088731"/>
            <a:ext cx="1042988" cy="912019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732031</xdr:colOff>
      <xdr:row>6</xdr:row>
      <xdr:rowOff>626917</xdr:rowOff>
    </xdr:from>
    <xdr:to>
      <xdr:col>3</xdr:col>
      <xdr:colOff>1801429</xdr:colOff>
      <xdr:row>6</xdr:row>
      <xdr:rowOff>1596322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A39FB294-990A-4D15-B132-DCC64E3B799D}"/>
            </a:ext>
          </a:extLst>
        </xdr:cNvPr>
        <xdr:cNvGrpSpPr/>
      </xdr:nvGrpSpPr>
      <xdr:grpSpPr>
        <a:xfrm>
          <a:off x="4084831" y="10380517"/>
          <a:ext cx="1069398" cy="969405"/>
          <a:chOff x="1974056" y="5031581"/>
          <a:chExt cx="1071563" cy="969169"/>
        </a:xfrm>
      </xdr:grpSpPr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9D1FEC42-8A1D-D53B-6FF5-0F3FDD2B0EA2}"/>
              </a:ext>
            </a:extLst>
          </xdr:cNvPr>
          <xdr:cNvCxnSpPr/>
        </xdr:nvCxnSpPr>
        <xdr:spPr>
          <a:xfrm flipV="1">
            <a:off x="1974056" y="5031581"/>
            <a:ext cx="1045369" cy="909638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C6EB2614-EB82-AFED-5E99-66957F7CE167}"/>
              </a:ext>
            </a:extLst>
          </xdr:cNvPr>
          <xdr:cNvCxnSpPr/>
        </xdr:nvCxnSpPr>
        <xdr:spPr>
          <a:xfrm flipV="1">
            <a:off x="2002631" y="5088731"/>
            <a:ext cx="1042988" cy="912019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755222</xdr:colOff>
      <xdr:row>6</xdr:row>
      <xdr:rowOff>1390725</xdr:rowOff>
    </xdr:from>
    <xdr:to>
      <xdr:col>3</xdr:col>
      <xdr:colOff>948471</xdr:colOff>
      <xdr:row>6</xdr:row>
      <xdr:rowOff>1579756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5788C16-744D-A942-C83B-6907FBB21653}"/>
            </a:ext>
          </a:extLst>
        </xdr:cNvPr>
        <xdr:cNvGrpSpPr/>
      </xdr:nvGrpSpPr>
      <xdr:grpSpPr>
        <a:xfrm>
          <a:off x="4108022" y="11144325"/>
          <a:ext cx="193249" cy="189031"/>
          <a:chOff x="2708413" y="13260457"/>
          <a:chExt cx="200025" cy="186772"/>
        </a:xfrm>
      </xdr:grpSpPr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4BC3CC91-0AD6-8E34-8AA4-09D265FC7CE9}"/>
              </a:ext>
            </a:extLst>
          </xdr:cNvPr>
          <xdr:cNvCxnSpPr/>
        </xdr:nvCxnSpPr>
        <xdr:spPr>
          <a:xfrm>
            <a:off x="2758109" y="13260457"/>
            <a:ext cx="150329" cy="160299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04F7A4F8-F3EA-D3FB-923C-D5056C0F7945}"/>
              </a:ext>
            </a:extLst>
          </xdr:cNvPr>
          <xdr:cNvCxnSpPr/>
        </xdr:nvCxnSpPr>
        <xdr:spPr>
          <a:xfrm>
            <a:off x="2708413" y="13293587"/>
            <a:ext cx="143394" cy="153642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1353213</xdr:colOff>
      <xdr:row>7</xdr:row>
      <xdr:rowOff>108596</xdr:rowOff>
    </xdr:from>
    <xdr:to>
      <xdr:col>3</xdr:col>
      <xdr:colOff>34230</xdr:colOff>
      <xdr:row>7</xdr:row>
      <xdr:rowOff>1501232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70CCEB59-034D-4063-9D74-D8CC575D390F}"/>
            </a:ext>
          </a:extLst>
        </xdr:cNvPr>
        <xdr:cNvCxnSpPr/>
      </xdr:nvCxnSpPr>
      <xdr:spPr>
        <a:xfrm flipV="1">
          <a:off x="16073668" y="11538596"/>
          <a:ext cx="1174835" cy="1392636"/>
        </a:xfrm>
        <a:prstGeom prst="line">
          <a:avLst/>
        </a:prstGeom>
        <a:ln w="28575"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1686466</xdr:colOff>
      <xdr:row>7</xdr:row>
      <xdr:rowOff>964356</xdr:rowOff>
    </xdr:from>
    <xdr:to>
      <xdr:col>3</xdr:col>
      <xdr:colOff>1022263</xdr:colOff>
      <xdr:row>7</xdr:row>
      <xdr:rowOff>1444782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55C01A3B-ABCC-47A9-AFF4-01CAF78EFD82}"/>
            </a:ext>
          </a:extLst>
        </xdr:cNvPr>
        <xdr:cNvGrpSpPr/>
      </xdr:nvGrpSpPr>
      <xdr:grpSpPr>
        <a:xfrm>
          <a:off x="2562766" y="12661056"/>
          <a:ext cx="1812297" cy="480426"/>
          <a:chOff x="1214438" y="10494659"/>
          <a:chExt cx="1832862" cy="471767"/>
        </a:xfrm>
      </xdr:grpSpPr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1B575859-D6A4-5205-6256-73DC2FC9869D}"/>
              </a:ext>
            </a:extLst>
          </xdr:cNvPr>
          <xdr:cNvCxnSpPr/>
        </xdr:nvCxnSpPr>
        <xdr:spPr>
          <a:xfrm flipV="1">
            <a:off x="1214438" y="10707571"/>
            <a:ext cx="1832862" cy="14007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32EFFEC4-6600-6B51-0D53-98D8564CDD71}"/>
              </a:ext>
            </a:extLst>
          </xdr:cNvPr>
          <xdr:cNvCxnSpPr/>
        </xdr:nvCxnSpPr>
        <xdr:spPr>
          <a:xfrm>
            <a:off x="1808350" y="10494659"/>
            <a:ext cx="13306" cy="465044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2D1BC3F7-AAED-16F2-DF4D-75214973ADD2}"/>
              </a:ext>
            </a:extLst>
          </xdr:cNvPr>
          <xdr:cNvCxnSpPr/>
        </xdr:nvCxnSpPr>
        <xdr:spPr>
          <a:xfrm>
            <a:off x="1759044" y="10501382"/>
            <a:ext cx="11206" cy="465044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518477</xdr:colOff>
      <xdr:row>7</xdr:row>
      <xdr:rowOff>434178</xdr:rowOff>
    </xdr:from>
    <xdr:to>
      <xdr:col>3</xdr:col>
      <xdr:colOff>1693312</xdr:colOff>
      <xdr:row>7</xdr:row>
      <xdr:rowOff>1826813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2EF9731B-D3A7-4418-9E0B-A75B0DDB1AF8}"/>
            </a:ext>
          </a:extLst>
        </xdr:cNvPr>
        <xdr:cNvCxnSpPr/>
      </xdr:nvCxnSpPr>
      <xdr:spPr>
        <a:xfrm flipV="1">
          <a:off x="17732750" y="11864178"/>
          <a:ext cx="1174835" cy="1392635"/>
        </a:xfrm>
        <a:prstGeom prst="line">
          <a:avLst/>
        </a:prstGeom>
        <a:ln w="28575"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647852</xdr:colOff>
      <xdr:row>7</xdr:row>
      <xdr:rowOff>1491171</xdr:rowOff>
    </xdr:from>
    <xdr:to>
      <xdr:col>3</xdr:col>
      <xdr:colOff>841100</xdr:colOff>
      <xdr:row>7</xdr:row>
      <xdr:rowOff>1680201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80F14A37-AA6A-4E4A-B27C-52DA145B0929}"/>
            </a:ext>
          </a:extLst>
        </xdr:cNvPr>
        <xdr:cNvGrpSpPr/>
      </xdr:nvGrpSpPr>
      <xdr:grpSpPr>
        <a:xfrm>
          <a:off x="4000652" y="13187871"/>
          <a:ext cx="193248" cy="189030"/>
          <a:chOff x="2708413" y="13260457"/>
          <a:chExt cx="200025" cy="186772"/>
        </a:xfrm>
      </xdr:grpSpPr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6803CC86-6C8D-C913-6342-5F9AC01C8B5A}"/>
              </a:ext>
            </a:extLst>
          </xdr:cNvPr>
          <xdr:cNvCxnSpPr/>
        </xdr:nvCxnSpPr>
        <xdr:spPr>
          <a:xfrm>
            <a:off x="2758109" y="13260457"/>
            <a:ext cx="150329" cy="160299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DF7E10FC-4E1A-7D69-2C7D-D7171DE51820}"/>
              </a:ext>
            </a:extLst>
          </xdr:cNvPr>
          <xdr:cNvCxnSpPr/>
        </xdr:nvCxnSpPr>
        <xdr:spPr>
          <a:xfrm>
            <a:off x="2708413" y="13293587"/>
            <a:ext cx="143394" cy="153642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</xdr:col>
      <xdr:colOff>2182090</xdr:colOff>
      <xdr:row>5</xdr:row>
      <xdr:rowOff>415635</xdr:rowOff>
    </xdr:from>
    <xdr:ext cx="1618905" cy="40543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B5250F-72C6-A48F-C2C4-D7B40A6BA5D8}"/>
            </a:ext>
          </a:extLst>
        </xdr:cNvPr>
        <xdr:cNvSpPr txBox="1"/>
      </xdr:nvSpPr>
      <xdr:spPr>
        <a:xfrm>
          <a:off x="16902545" y="8485908"/>
          <a:ext cx="16189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V: 5kt / T: 2</a:t>
          </a:r>
          <a:r>
            <a:rPr lang="fr-FR" sz="2000" b="1" baseline="3000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15</a:t>
          </a:r>
        </a:p>
      </xdr:txBody>
    </xdr:sp>
    <xdr:clientData/>
  </xdr:oneCellAnchor>
  <xdr:oneCellAnchor>
    <xdr:from>
      <xdr:col>2</xdr:col>
      <xdr:colOff>502398</xdr:colOff>
      <xdr:row>1</xdr:row>
      <xdr:rowOff>585357</xdr:rowOff>
    </xdr:from>
    <xdr:ext cx="506549" cy="40543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AACB1B-DCFD-4824-9620-744BB2C7FAFC}"/>
            </a:ext>
          </a:extLst>
        </xdr:cNvPr>
        <xdr:cNvSpPr txBox="1"/>
      </xdr:nvSpPr>
      <xdr:spPr>
        <a:xfrm rot="19141257">
          <a:off x="15222853" y="827812"/>
          <a:ext cx="50654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Z</a:t>
          </a:r>
          <a:r>
            <a:rPr lang="fr-FR" sz="2000" b="1" baseline="-2500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v</a:t>
          </a:r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°</a:t>
          </a:r>
        </a:p>
      </xdr:txBody>
    </xdr:sp>
    <xdr:clientData/>
  </xdr:oneCellAnchor>
  <xdr:oneCellAnchor>
    <xdr:from>
      <xdr:col>3</xdr:col>
      <xdr:colOff>273626</xdr:colOff>
      <xdr:row>6</xdr:row>
      <xdr:rowOff>290944</xdr:rowOff>
    </xdr:from>
    <xdr:ext cx="1618905" cy="40543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A44009-1F22-4AB2-AEF3-AA4E29C93DB9}"/>
            </a:ext>
          </a:extLst>
        </xdr:cNvPr>
        <xdr:cNvSpPr txBox="1"/>
      </xdr:nvSpPr>
      <xdr:spPr>
        <a:xfrm>
          <a:off x="17487899" y="9763989"/>
          <a:ext cx="16189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V: 5kt / T: 2</a:t>
          </a:r>
          <a:r>
            <a:rPr lang="fr-FR" sz="2000" b="1" baseline="3000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15</a:t>
          </a:r>
        </a:p>
      </xdr:txBody>
    </xdr:sp>
    <xdr:clientData/>
  </xdr:oneCellAnchor>
  <xdr:oneCellAnchor>
    <xdr:from>
      <xdr:col>2</xdr:col>
      <xdr:colOff>2192481</xdr:colOff>
      <xdr:row>7</xdr:row>
      <xdr:rowOff>720435</xdr:rowOff>
    </xdr:from>
    <xdr:ext cx="1618905" cy="40543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6647216-1FDF-461D-A126-B47454DB8946}"/>
            </a:ext>
          </a:extLst>
        </xdr:cNvPr>
        <xdr:cNvSpPr txBox="1"/>
      </xdr:nvSpPr>
      <xdr:spPr>
        <a:xfrm>
          <a:off x="16912936" y="12150435"/>
          <a:ext cx="16189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V: 5kt / T: 2</a:t>
          </a:r>
          <a:r>
            <a:rPr lang="fr-FR" sz="2000" b="1" baseline="3000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15</a:t>
          </a:r>
        </a:p>
      </xdr:txBody>
    </xdr:sp>
    <xdr:clientData/>
  </xdr:oneCellAnchor>
  <xdr:twoCellAnchor>
    <xdr:from>
      <xdr:col>4</xdr:col>
      <xdr:colOff>73602</xdr:colOff>
      <xdr:row>4</xdr:row>
      <xdr:rowOff>221671</xdr:rowOff>
    </xdr:from>
    <xdr:to>
      <xdr:col>5</xdr:col>
      <xdr:colOff>55504</xdr:colOff>
      <xdr:row>4</xdr:row>
      <xdr:rowOff>883226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F2D4CAF7-43AE-9B23-CB7D-162547D6198F}"/>
            </a:ext>
          </a:extLst>
        </xdr:cNvPr>
        <xdr:cNvGrpSpPr/>
      </xdr:nvGrpSpPr>
      <xdr:grpSpPr>
        <a:xfrm>
          <a:off x="5560002" y="6622471"/>
          <a:ext cx="1963102" cy="661555"/>
          <a:chOff x="19333152" y="936046"/>
          <a:chExt cx="1944052" cy="661555"/>
        </a:xfrm>
      </xdr:grpSpPr>
      <xdr:sp macro="" textlink="">
        <xdr:nvSpPr>
          <xdr:cNvPr id="28" name="Isosceles Triangle 27">
            <a:extLst>
              <a:ext uri="{FF2B5EF4-FFF2-40B4-BE49-F238E27FC236}">
                <a16:creationId xmlns:a16="http://schemas.microsoft.com/office/drawing/2014/main" id="{E1B314BB-B6E4-40B7-B0F2-94A10060A567}"/>
              </a:ext>
            </a:extLst>
          </xdr:cNvPr>
          <xdr:cNvSpPr/>
        </xdr:nvSpPr>
        <xdr:spPr>
          <a:xfrm rot="10800000">
            <a:off x="19379046" y="1464251"/>
            <a:ext cx="253711" cy="133350"/>
          </a:xfrm>
          <a:prstGeom prst="triangle">
            <a:avLst/>
          </a:prstGeom>
          <a:noFill/>
          <a:ln w="3810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9" name="Isosceles Triangle 28">
            <a:extLst>
              <a:ext uri="{FF2B5EF4-FFF2-40B4-BE49-F238E27FC236}">
                <a16:creationId xmlns:a16="http://schemas.microsoft.com/office/drawing/2014/main" id="{CC63572E-A01C-4DD9-9300-1557652FB56C}"/>
              </a:ext>
            </a:extLst>
          </xdr:cNvPr>
          <xdr:cNvSpPr/>
        </xdr:nvSpPr>
        <xdr:spPr>
          <a:xfrm rot="10800000">
            <a:off x="20854555" y="1464251"/>
            <a:ext cx="257175" cy="133350"/>
          </a:xfrm>
          <a:prstGeom prst="triangle">
            <a:avLst/>
          </a:prstGeom>
          <a:noFill/>
          <a:ln w="3810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BC486744-0524-4873-8313-A4852B22EC83}"/>
              </a:ext>
            </a:extLst>
          </xdr:cNvPr>
          <xdr:cNvCxnSpPr/>
        </xdr:nvCxnSpPr>
        <xdr:spPr>
          <a:xfrm>
            <a:off x="19340946" y="1340426"/>
            <a:ext cx="1818409" cy="0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4BCFDF02-6F26-48B4-B001-320072539D1C}"/>
              </a:ext>
            </a:extLst>
          </xdr:cNvPr>
          <xdr:cNvCxnSpPr/>
        </xdr:nvCxnSpPr>
        <xdr:spPr>
          <a:xfrm>
            <a:off x="19340946" y="1405859"/>
            <a:ext cx="1818409" cy="0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A76A2E0-834E-4878-BDFF-30D803966B82}"/>
              </a:ext>
            </a:extLst>
          </xdr:cNvPr>
          <xdr:cNvSpPr txBox="1"/>
        </xdr:nvSpPr>
        <xdr:spPr>
          <a:xfrm>
            <a:off x="19333152" y="936046"/>
            <a:ext cx="504433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FR" sz="2000" b="1">
                <a:solidFill>
                  <a:schemeClr val="accent2">
                    <a:lumMod val="75000"/>
                  </a:schemeClr>
                </a:solidFill>
                <a:latin typeface="Aptos" panose="020B0004020202020204" pitchFamily="34" charset="0"/>
              </a:rPr>
              <a:t>2</a:t>
            </a:r>
            <a:r>
              <a:rPr lang="fr-FR" sz="2000" b="1" baseline="30000">
                <a:solidFill>
                  <a:schemeClr val="accent2">
                    <a:lumMod val="75000"/>
                  </a:schemeClr>
                </a:solidFill>
                <a:latin typeface="Aptos" panose="020B0004020202020204" pitchFamily="34" charset="0"/>
              </a:rPr>
              <a:t>15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084D954-9C51-4412-B0E0-C9FA568CAAEA}"/>
              </a:ext>
            </a:extLst>
          </xdr:cNvPr>
          <xdr:cNvSpPr txBox="1"/>
        </xdr:nvSpPr>
        <xdr:spPr>
          <a:xfrm>
            <a:off x="20472688" y="984537"/>
            <a:ext cx="804516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FR" sz="2000" b="1" baseline="0">
                <a:solidFill>
                  <a:schemeClr val="accent2">
                    <a:lumMod val="75000"/>
                  </a:schemeClr>
                </a:solidFill>
                <a:latin typeface="Aptos" panose="020B0004020202020204" pitchFamily="34" charset="0"/>
              </a:rPr>
              <a:t>Astre</a:t>
            </a:r>
          </a:p>
        </xdr:txBody>
      </xdr:sp>
    </xdr:grpSp>
    <xdr:clientData/>
  </xdr:twoCellAnchor>
  <xdr:oneCellAnchor>
    <xdr:from>
      <xdr:col>4</xdr:col>
      <xdr:colOff>15586</xdr:colOff>
      <xdr:row>4</xdr:row>
      <xdr:rowOff>1067663</xdr:rowOff>
    </xdr:from>
    <xdr:ext cx="1892569" cy="40543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C83B8EC-6596-48AE-AA04-AD81B33198AF}"/>
            </a:ext>
          </a:extLst>
        </xdr:cNvPr>
        <xdr:cNvSpPr txBox="1"/>
      </xdr:nvSpPr>
      <xdr:spPr>
        <a:xfrm>
          <a:off x="19265611" y="7258913"/>
          <a:ext cx="189256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0" baseline="0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</a:rPr>
            <a:t>Vers l'astre (Pg)</a:t>
          </a:r>
        </a:p>
      </xdr:txBody>
    </xdr:sp>
    <xdr:clientData/>
  </xdr:oneCellAnchor>
  <xdr:twoCellAnchor>
    <xdr:from>
      <xdr:col>4</xdr:col>
      <xdr:colOff>529936</xdr:colOff>
      <xdr:row>3</xdr:row>
      <xdr:rowOff>663287</xdr:rowOff>
    </xdr:from>
    <xdr:to>
      <xdr:col>4</xdr:col>
      <xdr:colOff>1599334</xdr:colOff>
      <xdr:row>3</xdr:row>
      <xdr:rowOff>1653021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7A7D7C9-D20E-45B2-8C68-AA37BB219260}"/>
            </a:ext>
          </a:extLst>
        </xdr:cNvPr>
        <xdr:cNvGrpSpPr/>
      </xdr:nvGrpSpPr>
      <xdr:grpSpPr>
        <a:xfrm>
          <a:off x="6016336" y="5120987"/>
          <a:ext cx="1069398" cy="989734"/>
          <a:chOff x="1974056" y="5031581"/>
          <a:chExt cx="1071563" cy="969169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B09B4810-BED6-8D8C-8743-4046A6F1D152}"/>
              </a:ext>
            </a:extLst>
          </xdr:cNvPr>
          <xdr:cNvCxnSpPr/>
        </xdr:nvCxnSpPr>
        <xdr:spPr>
          <a:xfrm flipV="1">
            <a:off x="1974056" y="5031581"/>
            <a:ext cx="1045369" cy="909638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BF0C25FB-64E6-2928-0D0A-E1455C92169C}"/>
              </a:ext>
            </a:extLst>
          </xdr:cNvPr>
          <xdr:cNvCxnSpPr/>
        </xdr:nvCxnSpPr>
        <xdr:spPr>
          <a:xfrm flipV="1">
            <a:off x="2002631" y="5088731"/>
            <a:ext cx="1042988" cy="912019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338571</xdr:colOff>
      <xdr:row>3</xdr:row>
      <xdr:rowOff>222539</xdr:rowOff>
    </xdr:from>
    <xdr:to>
      <xdr:col>4</xdr:col>
      <xdr:colOff>1040822</xdr:colOff>
      <xdr:row>3</xdr:row>
      <xdr:rowOff>1096241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7D0DED2-AE5D-4B0B-A32B-142586D2438F}"/>
            </a:ext>
          </a:extLst>
        </xdr:cNvPr>
        <xdr:cNvCxnSpPr/>
      </xdr:nvCxnSpPr>
      <xdr:spPr>
        <a:xfrm>
          <a:off x="19588596" y="4461164"/>
          <a:ext cx="702251" cy="873702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1107497</xdr:colOff>
      <xdr:row>3</xdr:row>
      <xdr:rowOff>1189759</xdr:rowOff>
    </xdr:from>
    <xdr:to>
      <xdr:col>4</xdr:col>
      <xdr:colOff>1568162</xdr:colOff>
      <xdr:row>3</xdr:row>
      <xdr:rowOff>1798493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E9DAD8D-0025-4E7D-8FD8-BD2E6E917B6E}"/>
            </a:ext>
          </a:extLst>
        </xdr:cNvPr>
        <xdr:cNvCxnSpPr/>
      </xdr:nvCxnSpPr>
      <xdr:spPr>
        <a:xfrm>
          <a:off x="20357522" y="5428384"/>
          <a:ext cx="460665" cy="608734"/>
        </a:xfrm>
        <a:prstGeom prst="line">
          <a:avLst/>
        </a:prstGeom>
        <a:ln w="28575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989734</xdr:colOff>
      <xdr:row>3</xdr:row>
      <xdr:rowOff>354155</xdr:rowOff>
    </xdr:from>
    <xdr:ext cx="804516" cy="405432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80FC034-5F45-4D4A-908D-315A452A3349}"/>
            </a:ext>
          </a:extLst>
        </xdr:cNvPr>
        <xdr:cNvSpPr txBox="1"/>
      </xdr:nvSpPr>
      <xdr:spPr>
        <a:xfrm rot="19119482">
          <a:off x="20239759" y="4592780"/>
          <a:ext cx="80451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 baseline="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Astre</a:t>
          </a:r>
        </a:p>
      </xdr:txBody>
    </xdr:sp>
    <xdr:clientData/>
  </xdr:oneCellAnchor>
  <xdr:oneCellAnchor>
    <xdr:from>
      <xdr:col>4</xdr:col>
      <xdr:colOff>300471</xdr:colOff>
      <xdr:row>3</xdr:row>
      <xdr:rowOff>1136937</xdr:rowOff>
    </xdr:from>
    <xdr:ext cx="504433" cy="405432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D293AF7-126B-45F2-94E5-18CAC89FF2B3}"/>
            </a:ext>
          </a:extLst>
        </xdr:cNvPr>
        <xdr:cNvSpPr txBox="1"/>
      </xdr:nvSpPr>
      <xdr:spPr>
        <a:xfrm rot="19193577">
          <a:off x="19550496" y="5375562"/>
          <a:ext cx="50443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2</a:t>
          </a:r>
          <a:r>
            <a:rPr lang="fr-FR" sz="2000" b="1" baseline="3000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15</a:t>
          </a:r>
        </a:p>
      </xdr:txBody>
    </xdr:sp>
    <xdr:clientData/>
  </xdr:oneCellAnchor>
  <xdr:oneCellAnchor>
    <xdr:from>
      <xdr:col>4</xdr:col>
      <xdr:colOff>1155122</xdr:colOff>
      <xdr:row>3</xdr:row>
      <xdr:rowOff>1101434</xdr:rowOff>
    </xdr:from>
    <xdr:ext cx="1892569" cy="40543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8B6A068-D5CB-4C4D-B106-594DD22BF90C}"/>
            </a:ext>
          </a:extLst>
        </xdr:cNvPr>
        <xdr:cNvSpPr txBox="1"/>
      </xdr:nvSpPr>
      <xdr:spPr>
        <a:xfrm>
          <a:off x="20405147" y="5340059"/>
          <a:ext cx="189256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0" baseline="0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</a:rPr>
            <a:t>Vers l'astre (Pg)</a:t>
          </a:r>
        </a:p>
      </xdr:txBody>
    </xdr:sp>
    <xdr:clientData/>
  </xdr:oneCellAnchor>
  <xdr:twoCellAnchor>
    <xdr:from>
      <xdr:col>4</xdr:col>
      <xdr:colOff>647700</xdr:colOff>
      <xdr:row>5</xdr:row>
      <xdr:rowOff>285750</xdr:rowOff>
    </xdr:from>
    <xdr:to>
      <xdr:col>4</xdr:col>
      <xdr:colOff>1390650</xdr:colOff>
      <xdr:row>5</xdr:row>
      <xdr:rowOff>1066800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211607F-C509-4E55-BD74-B63F36FBE5C1}"/>
            </a:ext>
          </a:extLst>
        </xdr:cNvPr>
        <xdr:cNvSpPr/>
      </xdr:nvSpPr>
      <xdr:spPr>
        <a:xfrm>
          <a:off x="19897725" y="8429625"/>
          <a:ext cx="742950" cy="781050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933450</xdr:colOff>
      <xdr:row>5</xdr:row>
      <xdr:rowOff>600074</xdr:rowOff>
    </xdr:from>
    <xdr:to>
      <xdr:col>4</xdr:col>
      <xdr:colOff>1085850</xdr:colOff>
      <xdr:row>5</xdr:row>
      <xdr:rowOff>752474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200B17ED-8C53-48B3-BF4F-9C434CEF1C12}"/>
            </a:ext>
          </a:extLst>
        </xdr:cNvPr>
        <xdr:cNvSpPr/>
      </xdr:nvSpPr>
      <xdr:spPr>
        <a:xfrm>
          <a:off x="20183475" y="8743949"/>
          <a:ext cx="152400" cy="152400"/>
        </a:xfrm>
        <a:prstGeom prst="ellipse">
          <a:avLst/>
        </a:prstGeom>
        <a:solidFill>
          <a:schemeClr val="tx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838200</xdr:colOff>
      <xdr:row>2</xdr:row>
      <xdr:rowOff>981075</xdr:rowOff>
    </xdr:from>
    <xdr:to>
      <xdr:col>4</xdr:col>
      <xdr:colOff>990600</xdr:colOff>
      <xdr:row>2</xdr:row>
      <xdr:rowOff>1133475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04ECDE7-3D05-4763-B46F-D95E2B8373E3}"/>
            </a:ext>
          </a:extLst>
        </xdr:cNvPr>
        <xdr:cNvSpPr/>
      </xdr:nvSpPr>
      <xdr:spPr>
        <a:xfrm>
          <a:off x="20088225" y="3267075"/>
          <a:ext cx="152400" cy="152400"/>
        </a:xfrm>
        <a:prstGeom prst="ellipse">
          <a:avLst/>
        </a:prstGeom>
        <a:solidFill>
          <a:schemeClr val="tx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447675</xdr:colOff>
      <xdr:row>1</xdr:row>
      <xdr:rowOff>533400</xdr:rowOff>
    </xdr:from>
    <xdr:to>
      <xdr:col>4</xdr:col>
      <xdr:colOff>1443471</xdr:colOff>
      <xdr:row>1</xdr:row>
      <xdr:rowOff>1478108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CD6D5AE-0D6A-4274-8D2B-C3203E5F81C9}"/>
            </a:ext>
          </a:extLst>
        </xdr:cNvPr>
        <xdr:cNvSpPr/>
      </xdr:nvSpPr>
      <xdr:spPr>
        <a:xfrm>
          <a:off x="19697700" y="866775"/>
          <a:ext cx="995796" cy="944708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862445</xdr:colOff>
      <xdr:row>1</xdr:row>
      <xdr:rowOff>920461</xdr:rowOff>
    </xdr:from>
    <xdr:to>
      <xdr:col>4</xdr:col>
      <xdr:colOff>1014845</xdr:colOff>
      <xdr:row>1</xdr:row>
      <xdr:rowOff>1063336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D809A2A-4195-4603-A5FB-CEA99ED1CD8C}"/>
            </a:ext>
          </a:extLst>
        </xdr:cNvPr>
        <xdr:cNvSpPr/>
      </xdr:nvSpPr>
      <xdr:spPr>
        <a:xfrm>
          <a:off x="20112470" y="1253836"/>
          <a:ext cx="152400" cy="142875"/>
        </a:xfrm>
        <a:prstGeom prst="ellipse">
          <a:avLst/>
        </a:prstGeom>
        <a:solidFill>
          <a:schemeClr val="tx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4</xdr:col>
      <xdr:colOff>695325</xdr:colOff>
      <xdr:row>1</xdr:row>
      <xdr:rowOff>152400</xdr:rowOff>
    </xdr:from>
    <xdr:ext cx="504433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2F64575-E529-4FAC-BE4F-800BB563D812}"/>
            </a:ext>
          </a:extLst>
        </xdr:cNvPr>
        <xdr:cNvSpPr txBox="1"/>
      </xdr:nvSpPr>
      <xdr:spPr>
        <a:xfrm>
          <a:off x="19945350" y="485775"/>
          <a:ext cx="50443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2</a:t>
          </a:r>
          <a:r>
            <a:rPr lang="fr-FR" sz="2000" b="1" baseline="3000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15</a:t>
          </a:r>
        </a:p>
      </xdr:txBody>
    </xdr:sp>
    <xdr:clientData/>
  </xdr:oneCellAnchor>
  <xdr:oneCellAnchor>
    <xdr:from>
      <xdr:col>4</xdr:col>
      <xdr:colOff>628650</xdr:colOff>
      <xdr:row>2</xdr:row>
      <xdr:rowOff>142875</xdr:rowOff>
    </xdr:from>
    <xdr:ext cx="504433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161A16E-055B-46F6-87FC-1AF004F7EABA}"/>
            </a:ext>
          </a:extLst>
        </xdr:cNvPr>
        <xdr:cNvSpPr txBox="1"/>
      </xdr:nvSpPr>
      <xdr:spPr>
        <a:xfrm>
          <a:off x="19878675" y="2428875"/>
          <a:ext cx="50443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2</a:t>
          </a:r>
          <a:r>
            <a:rPr lang="fr-FR" sz="2000" b="1" baseline="3000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15</a:t>
          </a:r>
        </a:p>
      </xdr:txBody>
    </xdr:sp>
    <xdr:clientData/>
  </xdr:oneCellAnchor>
  <xdr:oneCellAnchor>
    <xdr:from>
      <xdr:col>4</xdr:col>
      <xdr:colOff>809625</xdr:colOff>
      <xdr:row>4</xdr:row>
      <xdr:rowOff>1905000</xdr:rowOff>
    </xdr:from>
    <xdr:ext cx="504433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1736808-8E39-4B1A-9976-8E9ADABF92DD}"/>
            </a:ext>
          </a:extLst>
        </xdr:cNvPr>
        <xdr:cNvSpPr txBox="1"/>
      </xdr:nvSpPr>
      <xdr:spPr>
        <a:xfrm>
          <a:off x="20059650" y="8096250"/>
          <a:ext cx="50443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2</a:t>
          </a:r>
          <a:r>
            <a:rPr lang="fr-FR" sz="2000" b="1" baseline="30000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15</a:t>
          </a:r>
        </a:p>
      </xdr:txBody>
    </xdr:sp>
    <xdr:clientData/>
  </xdr:oneCellAnchor>
  <xdr:twoCellAnchor>
    <xdr:from>
      <xdr:col>4</xdr:col>
      <xdr:colOff>68035</xdr:colOff>
      <xdr:row>6</xdr:row>
      <xdr:rowOff>612321</xdr:rowOff>
    </xdr:from>
    <xdr:to>
      <xdr:col>4</xdr:col>
      <xdr:colOff>1581071</xdr:colOff>
      <xdr:row>6</xdr:row>
      <xdr:rowOff>1146455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81CE616-B28F-40AD-A80C-FA792CB323AF}"/>
            </a:ext>
          </a:extLst>
        </xdr:cNvPr>
        <xdr:cNvCxnSpPr/>
      </xdr:nvCxnSpPr>
      <xdr:spPr>
        <a:xfrm flipH="1" flipV="1">
          <a:off x="5578928" y="10409464"/>
          <a:ext cx="1513036" cy="534134"/>
        </a:xfrm>
        <a:prstGeom prst="line">
          <a:avLst/>
        </a:prstGeom>
        <a:ln w="28575"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136071</xdr:colOff>
      <xdr:row>6</xdr:row>
      <xdr:rowOff>1238249</xdr:rowOff>
    </xdr:from>
    <xdr:to>
      <xdr:col>4</xdr:col>
      <xdr:colOff>1592035</xdr:colOff>
      <xdr:row>6</xdr:row>
      <xdr:rowOff>1904999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0A0C935-1981-4A02-A7CC-6F4AC7DC0E2A}"/>
            </a:ext>
          </a:extLst>
        </xdr:cNvPr>
        <xdr:cNvCxnSpPr/>
      </xdr:nvCxnSpPr>
      <xdr:spPr>
        <a:xfrm flipH="1">
          <a:off x="5646964" y="11035392"/>
          <a:ext cx="1455964" cy="666750"/>
        </a:xfrm>
        <a:prstGeom prst="line">
          <a:avLst/>
        </a:prstGeom>
        <a:ln w="28575"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179614</xdr:colOff>
      <xdr:row>6</xdr:row>
      <xdr:rowOff>655864</xdr:rowOff>
    </xdr:from>
    <xdr:to>
      <xdr:col>4</xdr:col>
      <xdr:colOff>1692650</xdr:colOff>
      <xdr:row>6</xdr:row>
      <xdr:rowOff>1189998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A2DF85D-8FBC-4DE2-93D1-2432F58A5AD3}"/>
            </a:ext>
          </a:extLst>
        </xdr:cNvPr>
        <xdr:cNvCxnSpPr/>
      </xdr:nvCxnSpPr>
      <xdr:spPr>
        <a:xfrm flipH="1" flipV="1">
          <a:off x="5690507" y="10453007"/>
          <a:ext cx="1513036" cy="534134"/>
        </a:xfrm>
        <a:prstGeom prst="line">
          <a:avLst/>
        </a:prstGeom>
        <a:ln w="28575"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234042</xdr:colOff>
      <xdr:row>6</xdr:row>
      <xdr:rowOff>1200149</xdr:rowOff>
    </xdr:from>
    <xdr:to>
      <xdr:col>4</xdr:col>
      <xdr:colOff>1690006</xdr:colOff>
      <xdr:row>6</xdr:row>
      <xdr:rowOff>1866899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F6B5CEE-1BC5-44BD-9605-7E8642FF4473}"/>
            </a:ext>
          </a:extLst>
        </xdr:cNvPr>
        <xdr:cNvCxnSpPr/>
      </xdr:nvCxnSpPr>
      <xdr:spPr>
        <a:xfrm flipH="1">
          <a:off x="5744935" y="10997292"/>
          <a:ext cx="1455964" cy="666750"/>
        </a:xfrm>
        <a:prstGeom prst="line">
          <a:avLst/>
        </a:prstGeom>
        <a:ln w="28575"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489857</xdr:colOff>
      <xdr:row>6</xdr:row>
      <xdr:rowOff>517070</xdr:rowOff>
    </xdr:from>
    <xdr:to>
      <xdr:col>4</xdr:col>
      <xdr:colOff>1891393</xdr:colOff>
      <xdr:row>7</xdr:row>
      <xdr:rowOff>95249</xdr:rowOff>
    </xdr:to>
    <xdr:sp macro="" textlink="">
      <xdr:nvSpPr>
        <xdr:cNvPr id="67" name="Arc 66">
          <a:extLst>
            <a:ext uri="{FF2B5EF4-FFF2-40B4-BE49-F238E27FC236}">
              <a16:creationId xmlns:a16="http://schemas.microsoft.com/office/drawing/2014/main" id="{02A7B0FD-9C42-6D3F-F14E-F563EE1E2FD2}"/>
            </a:ext>
          </a:extLst>
        </xdr:cNvPr>
        <xdr:cNvSpPr/>
      </xdr:nvSpPr>
      <xdr:spPr>
        <a:xfrm rot="13740232">
          <a:off x="5932714" y="10382249"/>
          <a:ext cx="1537607" cy="1401536"/>
        </a:xfrm>
        <a:prstGeom prst="arc">
          <a:avLst>
            <a:gd name="adj1" fmla="val 16607223"/>
            <a:gd name="adj2" fmla="val 21019407"/>
          </a:avLst>
        </a:prstGeom>
        <a:ln w="38100"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492579</xdr:colOff>
      <xdr:row>6</xdr:row>
      <xdr:rowOff>533399</xdr:rowOff>
    </xdr:from>
    <xdr:to>
      <xdr:col>4</xdr:col>
      <xdr:colOff>1894115</xdr:colOff>
      <xdr:row>7</xdr:row>
      <xdr:rowOff>111578</xdr:rowOff>
    </xdr:to>
    <xdr:sp macro="" textlink="">
      <xdr:nvSpPr>
        <xdr:cNvPr id="68" name="Arc 67">
          <a:extLst>
            <a:ext uri="{FF2B5EF4-FFF2-40B4-BE49-F238E27FC236}">
              <a16:creationId xmlns:a16="http://schemas.microsoft.com/office/drawing/2014/main" id="{FA3E246E-0050-44B7-AB5C-32704E9AFAAD}"/>
            </a:ext>
          </a:extLst>
        </xdr:cNvPr>
        <xdr:cNvSpPr/>
      </xdr:nvSpPr>
      <xdr:spPr>
        <a:xfrm rot="13740232">
          <a:off x="5935436" y="10398578"/>
          <a:ext cx="1537607" cy="1401536"/>
        </a:xfrm>
        <a:prstGeom prst="arc">
          <a:avLst>
            <a:gd name="adj1" fmla="val 17670522"/>
            <a:gd name="adj2" fmla="val 20432642"/>
          </a:avLst>
        </a:prstGeom>
        <a:ln w="38100"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4</xdr:col>
      <xdr:colOff>635302</xdr:colOff>
      <xdr:row>6</xdr:row>
      <xdr:rowOff>405992</xdr:rowOff>
    </xdr:from>
    <xdr:ext cx="589585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8EA9B87-8E36-4CBE-87FC-FD6D703FFAB5}"/>
            </a:ext>
          </a:extLst>
        </xdr:cNvPr>
        <xdr:cNvSpPr txBox="1"/>
      </xdr:nvSpPr>
      <xdr:spPr>
        <a:xfrm rot="1243201">
          <a:off x="6146195" y="10203135"/>
          <a:ext cx="58958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Cv°</a:t>
          </a:r>
        </a:p>
      </xdr:txBody>
    </xdr:sp>
    <xdr:clientData/>
  </xdr:oneCellAnchor>
  <xdr:oneCellAnchor>
    <xdr:from>
      <xdr:col>4</xdr:col>
      <xdr:colOff>71455</xdr:colOff>
      <xdr:row>6</xdr:row>
      <xdr:rowOff>998932</xdr:rowOff>
    </xdr:from>
    <xdr:ext cx="443648" cy="42242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DAD5F91-6E23-4670-9C22-B44E3453DF95}"/>
            </a:ext>
          </a:extLst>
        </xdr:cNvPr>
        <xdr:cNvSpPr txBox="1"/>
      </xdr:nvSpPr>
      <xdr:spPr>
        <a:xfrm>
          <a:off x="5582348" y="10796075"/>
          <a:ext cx="443648" cy="422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Symbol" panose="05050102010706020507" pitchFamily="18" charset="2"/>
            </a:rPr>
            <a:t>a</a:t>
          </a:r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°</a:t>
          </a:r>
        </a:p>
      </xdr:txBody>
    </xdr:sp>
    <xdr:clientData/>
  </xdr:oneCellAnchor>
  <xdr:oneCellAnchor>
    <xdr:from>
      <xdr:col>4</xdr:col>
      <xdr:colOff>869344</xdr:colOff>
      <xdr:row>6</xdr:row>
      <xdr:rowOff>1415641</xdr:rowOff>
    </xdr:from>
    <xdr:ext cx="589585" cy="405432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E5EAE8-90D2-4B40-A7D7-14BC1C737E54}"/>
            </a:ext>
          </a:extLst>
        </xdr:cNvPr>
        <xdr:cNvSpPr txBox="1"/>
      </xdr:nvSpPr>
      <xdr:spPr>
        <a:xfrm rot="19978822">
          <a:off x="6380237" y="11212784"/>
          <a:ext cx="58958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chemeClr val="accent2">
                  <a:lumMod val="75000"/>
                </a:schemeClr>
              </a:solidFill>
              <a:latin typeface="Aptos" panose="020B0004020202020204" pitchFamily="34" charset="0"/>
            </a:rPr>
            <a:t>Cv°</a:t>
          </a:r>
        </a:p>
      </xdr:txBody>
    </xdr:sp>
    <xdr:clientData/>
  </xdr:oneCellAnchor>
  <xdr:twoCellAnchor>
    <xdr:from>
      <xdr:col>4</xdr:col>
      <xdr:colOff>666749</xdr:colOff>
      <xdr:row>6</xdr:row>
      <xdr:rowOff>1646464</xdr:rowOff>
    </xdr:from>
    <xdr:to>
      <xdr:col>4</xdr:col>
      <xdr:colOff>966106</xdr:colOff>
      <xdr:row>7</xdr:row>
      <xdr:rowOff>10256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95BA358-74A1-4363-BF5F-AC800512E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7642" y="11443607"/>
          <a:ext cx="299357" cy="323220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6</xdr:row>
      <xdr:rowOff>261257</xdr:rowOff>
    </xdr:from>
    <xdr:to>
      <xdr:col>4</xdr:col>
      <xdr:colOff>547007</xdr:colOff>
      <xdr:row>6</xdr:row>
      <xdr:rowOff>584477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AAF3704-BA1F-40CD-8D6C-BF5AF4317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8543" y="10058400"/>
          <a:ext cx="299357" cy="323220"/>
        </a:xfrm>
        <a:prstGeom prst="rect">
          <a:avLst/>
        </a:prstGeom>
      </xdr:spPr>
    </xdr:pic>
    <xdr:clientData/>
  </xdr:twoCellAnchor>
  <xdr:twoCellAnchor editAs="oneCell">
    <xdr:from>
      <xdr:col>4</xdr:col>
      <xdr:colOff>1672440</xdr:colOff>
      <xdr:row>6</xdr:row>
      <xdr:rowOff>952499</xdr:rowOff>
    </xdr:from>
    <xdr:to>
      <xdr:col>5</xdr:col>
      <xdr:colOff>102165</xdr:colOff>
      <xdr:row>6</xdr:row>
      <xdr:rowOff>1305026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7CECB63C-A7DB-84B8-F1AD-5637400C6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3333" y="10749642"/>
          <a:ext cx="389153" cy="3525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79785</xdr:colOff>
      <xdr:row>80</xdr:row>
      <xdr:rowOff>259772</xdr:rowOff>
    </xdr:from>
    <xdr:to>
      <xdr:col>43</xdr:col>
      <xdr:colOff>258041</xdr:colOff>
      <xdr:row>98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8949C-7849-4B65-BE99-D07CE1E42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343319</xdr:colOff>
      <xdr:row>2</xdr:row>
      <xdr:rowOff>158769</xdr:rowOff>
    </xdr:from>
    <xdr:to>
      <xdr:col>48</xdr:col>
      <xdr:colOff>271882</xdr:colOff>
      <xdr:row>2</xdr:row>
      <xdr:rowOff>158769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94A32EE-376A-490D-8099-6AAC1EA6B207}"/>
            </a:ext>
          </a:extLst>
        </xdr:cNvPr>
        <xdr:cNvCxnSpPr/>
      </xdr:nvCxnSpPr>
      <xdr:spPr>
        <a:xfrm flipH="1">
          <a:off x="14116469" y="920769"/>
          <a:ext cx="2214563" cy="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136616</xdr:colOff>
      <xdr:row>2</xdr:row>
      <xdr:rowOff>157291</xdr:rowOff>
    </xdr:from>
    <xdr:to>
      <xdr:col>54</xdr:col>
      <xdr:colOff>356184</xdr:colOff>
      <xdr:row>2</xdr:row>
      <xdr:rowOff>160247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C21E6F9-1FEA-490B-B2C7-2F7829118AB6}"/>
            </a:ext>
          </a:extLst>
        </xdr:cNvPr>
        <xdr:cNvCxnSpPr/>
      </xdr:nvCxnSpPr>
      <xdr:spPr>
        <a:xfrm flipV="1">
          <a:off x="16576766" y="919291"/>
          <a:ext cx="2124568" cy="2956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79785</xdr:colOff>
      <xdr:row>80</xdr:row>
      <xdr:rowOff>259772</xdr:rowOff>
    </xdr:from>
    <xdr:to>
      <xdr:col>43</xdr:col>
      <xdr:colOff>258041</xdr:colOff>
      <xdr:row>98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8E423-1E46-44C8-AD7A-ADE0211B6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343319</xdr:colOff>
      <xdr:row>2</xdr:row>
      <xdr:rowOff>158769</xdr:rowOff>
    </xdr:from>
    <xdr:to>
      <xdr:col>48</xdr:col>
      <xdr:colOff>271882</xdr:colOff>
      <xdr:row>2</xdr:row>
      <xdr:rowOff>158769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78F7098-CB62-43E7-9D70-942EF43BE9AD}"/>
            </a:ext>
          </a:extLst>
        </xdr:cNvPr>
        <xdr:cNvCxnSpPr/>
      </xdr:nvCxnSpPr>
      <xdr:spPr>
        <a:xfrm flipH="1">
          <a:off x="14116469" y="920769"/>
          <a:ext cx="2214563" cy="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136616</xdr:colOff>
      <xdr:row>2</xdr:row>
      <xdr:rowOff>157291</xdr:rowOff>
    </xdr:from>
    <xdr:to>
      <xdr:col>54</xdr:col>
      <xdr:colOff>356184</xdr:colOff>
      <xdr:row>2</xdr:row>
      <xdr:rowOff>160247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768C30C-2428-47EE-AF82-665627014B4B}"/>
            </a:ext>
          </a:extLst>
        </xdr:cNvPr>
        <xdr:cNvCxnSpPr/>
      </xdr:nvCxnSpPr>
      <xdr:spPr>
        <a:xfrm flipV="1">
          <a:off x="16576766" y="919291"/>
          <a:ext cx="2124568" cy="2956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79785</xdr:colOff>
      <xdr:row>80</xdr:row>
      <xdr:rowOff>259772</xdr:rowOff>
    </xdr:from>
    <xdr:to>
      <xdr:col>43</xdr:col>
      <xdr:colOff>258041</xdr:colOff>
      <xdr:row>98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A86A6-A940-4CA1-A516-F19DFAD8F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343319</xdr:colOff>
      <xdr:row>2</xdr:row>
      <xdr:rowOff>158769</xdr:rowOff>
    </xdr:from>
    <xdr:to>
      <xdr:col>48</xdr:col>
      <xdr:colOff>271882</xdr:colOff>
      <xdr:row>2</xdr:row>
      <xdr:rowOff>158769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B888506-9677-46F7-B4A6-F5B8C70C92EC}"/>
            </a:ext>
          </a:extLst>
        </xdr:cNvPr>
        <xdr:cNvCxnSpPr/>
      </xdr:nvCxnSpPr>
      <xdr:spPr>
        <a:xfrm flipH="1">
          <a:off x="14116469" y="920769"/>
          <a:ext cx="2214563" cy="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136616</xdr:colOff>
      <xdr:row>2</xdr:row>
      <xdr:rowOff>157291</xdr:rowOff>
    </xdr:from>
    <xdr:to>
      <xdr:col>54</xdr:col>
      <xdr:colOff>356184</xdr:colOff>
      <xdr:row>2</xdr:row>
      <xdr:rowOff>160247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95A18DE-E6A0-42DA-829D-B3509766852A}"/>
            </a:ext>
          </a:extLst>
        </xdr:cNvPr>
        <xdr:cNvCxnSpPr/>
      </xdr:nvCxnSpPr>
      <xdr:spPr>
        <a:xfrm flipV="1">
          <a:off x="16576766" y="919291"/>
          <a:ext cx="2124568" cy="2956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79785</xdr:colOff>
      <xdr:row>80</xdr:row>
      <xdr:rowOff>259772</xdr:rowOff>
    </xdr:from>
    <xdr:to>
      <xdr:col>43</xdr:col>
      <xdr:colOff>258041</xdr:colOff>
      <xdr:row>98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385A3-E4A9-4403-B309-351D8B7D0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343319</xdr:colOff>
      <xdr:row>2</xdr:row>
      <xdr:rowOff>158769</xdr:rowOff>
    </xdr:from>
    <xdr:to>
      <xdr:col>48</xdr:col>
      <xdr:colOff>271882</xdr:colOff>
      <xdr:row>2</xdr:row>
      <xdr:rowOff>158769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CED98CB-E4AF-46EF-91D1-16DC7E89F3C0}"/>
            </a:ext>
          </a:extLst>
        </xdr:cNvPr>
        <xdr:cNvCxnSpPr/>
      </xdr:nvCxnSpPr>
      <xdr:spPr>
        <a:xfrm flipH="1">
          <a:off x="14116469" y="920769"/>
          <a:ext cx="2214563" cy="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136616</xdr:colOff>
      <xdr:row>2</xdr:row>
      <xdr:rowOff>157291</xdr:rowOff>
    </xdr:from>
    <xdr:to>
      <xdr:col>54</xdr:col>
      <xdr:colOff>356184</xdr:colOff>
      <xdr:row>2</xdr:row>
      <xdr:rowOff>160247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997DFCB-F9EE-4974-ACF9-85BD14437844}"/>
            </a:ext>
          </a:extLst>
        </xdr:cNvPr>
        <xdr:cNvCxnSpPr/>
      </xdr:nvCxnSpPr>
      <xdr:spPr>
        <a:xfrm flipV="1">
          <a:off x="16576766" y="919291"/>
          <a:ext cx="2124568" cy="2956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79785</xdr:colOff>
      <xdr:row>80</xdr:row>
      <xdr:rowOff>259772</xdr:rowOff>
    </xdr:from>
    <xdr:to>
      <xdr:col>43</xdr:col>
      <xdr:colOff>258041</xdr:colOff>
      <xdr:row>98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3A2B7-96C2-41B2-A6C0-91FF73D14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343319</xdr:colOff>
      <xdr:row>2</xdr:row>
      <xdr:rowOff>158769</xdr:rowOff>
    </xdr:from>
    <xdr:to>
      <xdr:col>48</xdr:col>
      <xdr:colOff>271882</xdr:colOff>
      <xdr:row>2</xdr:row>
      <xdr:rowOff>158769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669CBB4-D97F-40CC-AB3D-A1F945385701}"/>
            </a:ext>
          </a:extLst>
        </xdr:cNvPr>
        <xdr:cNvCxnSpPr/>
      </xdr:nvCxnSpPr>
      <xdr:spPr>
        <a:xfrm flipH="1">
          <a:off x="14116469" y="920769"/>
          <a:ext cx="2214563" cy="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136616</xdr:colOff>
      <xdr:row>2</xdr:row>
      <xdr:rowOff>157291</xdr:rowOff>
    </xdr:from>
    <xdr:to>
      <xdr:col>54</xdr:col>
      <xdr:colOff>356184</xdr:colOff>
      <xdr:row>2</xdr:row>
      <xdr:rowOff>160247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8BE3AE1-B712-4B31-B5F7-F76FB4E10F03}"/>
            </a:ext>
          </a:extLst>
        </xdr:cNvPr>
        <xdr:cNvCxnSpPr/>
      </xdr:nvCxnSpPr>
      <xdr:spPr>
        <a:xfrm flipV="1">
          <a:off x="16576766" y="919291"/>
          <a:ext cx="2124568" cy="2956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79785</xdr:colOff>
      <xdr:row>80</xdr:row>
      <xdr:rowOff>259772</xdr:rowOff>
    </xdr:from>
    <xdr:to>
      <xdr:col>43</xdr:col>
      <xdr:colOff>258041</xdr:colOff>
      <xdr:row>98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343319</xdr:colOff>
      <xdr:row>2</xdr:row>
      <xdr:rowOff>158769</xdr:rowOff>
    </xdr:from>
    <xdr:to>
      <xdr:col>48</xdr:col>
      <xdr:colOff>271882</xdr:colOff>
      <xdr:row>2</xdr:row>
      <xdr:rowOff>158769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166EAC4-C7A2-CF8A-FC32-F6665D1506E9}"/>
            </a:ext>
          </a:extLst>
        </xdr:cNvPr>
        <xdr:cNvCxnSpPr/>
      </xdr:nvCxnSpPr>
      <xdr:spPr>
        <a:xfrm flipH="1">
          <a:off x="14048736" y="920769"/>
          <a:ext cx="2214563" cy="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136616</xdr:colOff>
      <xdr:row>2</xdr:row>
      <xdr:rowOff>157291</xdr:rowOff>
    </xdr:from>
    <xdr:to>
      <xdr:col>54</xdr:col>
      <xdr:colOff>356184</xdr:colOff>
      <xdr:row>2</xdr:row>
      <xdr:rowOff>160247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664C042-38D9-41F9-906D-52306CB18659}"/>
            </a:ext>
          </a:extLst>
        </xdr:cNvPr>
        <xdr:cNvCxnSpPr/>
      </xdr:nvCxnSpPr>
      <xdr:spPr>
        <a:xfrm flipV="1">
          <a:off x="16509033" y="919291"/>
          <a:ext cx="2124568" cy="2956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79785</xdr:colOff>
      <xdr:row>80</xdr:row>
      <xdr:rowOff>259772</xdr:rowOff>
    </xdr:from>
    <xdr:to>
      <xdr:col>43</xdr:col>
      <xdr:colOff>258041</xdr:colOff>
      <xdr:row>98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0FE1C-30CA-483E-AD0A-7AF5B54E4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190499</xdr:colOff>
      <xdr:row>38</xdr:row>
      <xdr:rowOff>112059</xdr:rowOff>
    </xdr:from>
    <xdr:to>
      <xdr:col>99</xdr:col>
      <xdr:colOff>123264</xdr:colOff>
      <xdr:row>61</xdr:row>
      <xdr:rowOff>112059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A2F7-98CB-4C0B-8BDF-7E0BFA2999D2}">
  <sheetPr>
    <pageSetUpPr fitToPage="1"/>
  </sheetPr>
  <dimension ref="B1:BD99"/>
  <sheetViews>
    <sheetView tabSelected="1" zoomScale="25" zoomScaleNormal="25" workbookViewId="0">
      <selection activeCell="W7" sqref="W7"/>
    </sheetView>
  </sheetViews>
  <sheetFormatPr defaultRowHeight="26.25" x14ac:dyDescent="0.3"/>
  <cols>
    <col min="1" max="1" width="9.140625" style="66"/>
    <col min="2" max="2" width="4.140625" style="66" customWidth="1"/>
    <col min="3" max="3" width="37.28515625" style="66" customWidth="1"/>
    <col min="4" max="4" width="32" style="77" customWidth="1"/>
    <col min="5" max="5" width="29.42578125" style="66" customWidth="1"/>
    <col min="6" max="6" width="45.5703125" style="82" customWidth="1"/>
    <col min="7" max="7" width="4.140625" style="66" customWidth="1"/>
    <col min="8" max="16384" width="9.140625" style="66"/>
  </cols>
  <sheetData>
    <row r="1" spans="2:56" ht="43.5" customHeight="1" x14ac:dyDescent="0.3">
      <c r="B1" s="87" t="s">
        <v>31</v>
      </c>
      <c r="C1" s="87"/>
      <c r="D1" s="87"/>
      <c r="E1" s="87"/>
      <c r="F1" s="87"/>
      <c r="G1" s="87"/>
    </row>
    <row r="2" spans="2:56" ht="153.75" customHeight="1" x14ac:dyDescent="0.3">
      <c r="B2" s="69"/>
      <c r="C2" s="68"/>
      <c r="D2" s="74" t="s">
        <v>32</v>
      </c>
      <c r="E2" s="72"/>
      <c r="F2" s="78" t="s">
        <v>36</v>
      </c>
    </row>
    <row r="3" spans="2:56" ht="153.75" customHeight="1" x14ac:dyDescent="0.3">
      <c r="C3" s="67"/>
      <c r="D3" s="74" t="s">
        <v>33</v>
      </c>
      <c r="E3" s="73"/>
      <c r="F3" s="79" t="s">
        <v>37</v>
      </c>
      <c r="AQ3" s="84" t="s">
        <v>27</v>
      </c>
      <c r="BD3" s="83" t="s">
        <v>26</v>
      </c>
    </row>
    <row r="4" spans="2:56" ht="153.75" customHeight="1" x14ac:dyDescent="0.3">
      <c r="C4" s="67"/>
      <c r="D4" s="75" t="s">
        <v>34</v>
      </c>
      <c r="E4" s="73"/>
      <c r="F4" s="79" t="s">
        <v>29</v>
      </c>
    </row>
    <row r="5" spans="2:56" ht="153.75" customHeight="1" x14ac:dyDescent="0.3">
      <c r="C5" s="71"/>
      <c r="D5" s="74" t="s">
        <v>28</v>
      </c>
      <c r="E5" s="73"/>
      <c r="F5" s="79" t="s">
        <v>30</v>
      </c>
      <c r="AW5" s="125"/>
      <c r="AX5" s="126"/>
    </row>
    <row r="6" spans="2:56" ht="110.25" customHeight="1" x14ac:dyDescent="0.3">
      <c r="C6" s="85"/>
      <c r="D6" s="86"/>
      <c r="E6" s="73"/>
      <c r="F6" s="79" t="s">
        <v>35</v>
      </c>
      <c r="AW6" s="130" t="s">
        <v>66</v>
      </c>
      <c r="AX6" s="130"/>
    </row>
    <row r="7" spans="2:56" ht="153.75" customHeight="1" x14ac:dyDescent="0.3">
      <c r="C7" s="85"/>
      <c r="D7" s="86"/>
      <c r="E7" s="73"/>
      <c r="F7" s="79" t="s">
        <v>38</v>
      </c>
      <c r="AW7" s="130"/>
      <c r="AX7" s="130"/>
    </row>
    <row r="8" spans="2:56" ht="153.75" customHeight="1" x14ac:dyDescent="0.3">
      <c r="C8" s="85"/>
      <c r="D8" s="86"/>
      <c r="E8" s="73"/>
      <c r="F8" s="80"/>
    </row>
    <row r="9" spans="2:56" ht="33" customHeight="1" x14ac:dyDescent="0.3">
      <c r="C9" s="70"/>
      <c r="D9" s="76"/>
      <c r="E9" s="70"/>
      <c r="F9" s="81"/>
    </row>
    <row r="98" spans="49:50" x14ac:dyDescent="0.3">
      <c r="AW98" s="126"/>
      <c r="AX98" s="125"/>
    </row>
    <row r="99" spans="49:50" x14ac:dyDescent="0.3">
      <c r="AW99" s="66" t="s">
        <v>67</v>
      </c>
    </row>
  </sheetData>
  <mergeCells count="5">
    <mergeCell ref="C6:D6"/>
    <mergeCell ref="C7:D7"/>
    <mergeCell ref="C8:D8"/>
    <mergeCell ref="B1:G1"/>
    <mergeCell ref="AW6:AX7"/>
  </mergeCells>
  <printOptions horizontalCentered="1" verticalCentered="1"/>
  <pageMargins left="0" right="0" top="0" bottom="0" header="0" footer="0"/>
  <pageSetup paperSize="9"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2D0E-EAAC-4900-BE8F-CC7DC7E62446}">
  <sheetPr>
    <pageSetUpPr fitToPage="1"/>
  </sheetPr>
  <dimension ref="A1:DE111"/>
  <sheetViews>
    <sheetView showGridLines="0" tabSelected="1" topLeftCell="T74" zoomScale="55" zoomScaleNormal="55" workbookViewId="0">
      <selection activeCell="W7" sqref="W7"/>
    </sheetView>
  </sheetViews>
  <sheetFormatPr defaultColWidth="2.85546875" defaultRowHeight="30" customHeight="1" x14ac:dyDescent="0.25"/>
  <cols>
    <col min="1" max="17" width="3.7109375" style="33" customWidth="1"/>
    <col min="18" max="18" width="6.28515625" style="33" customWidth="1"/>
    <col min="19" max="49" width="5.7109375" style="33" customWidth="1"/>
    <col min="50" max="50" width="5.7109375" style="8" customWidth="1"/>
    <col min="51" max="80" width="5.7109375" style="33" customWidth="1"/>
    <col min="81" max="102" width="3.7109375" style="33" customWidth="1"/>
    <col min="103" max="103" width="5.42578125" style="33" customWidth="1"/>
    <col min="104" max="104" width="7" style="33" customWidth="1"/>
    <col min="105" max="105" width="9" style="33" customWidth="1"/>
    <col min="106" max="118" width="5.42578125" style="33" customWidth="1"/>
    <col min="119" max="16384" width="2.85546875" style="33"/>
  </cols>
  <sheetData>
    <row r="1" spans="2:80" ht="30" customHeight="1" x14ac:dyDescent="0.25">
      <c r="S1" s="14"/>
      <c r="T1" s="53"/>
      <c r="U1" s="15"/>
      <c r="V1" s="15"/>
      <c r="W1" s="15"/>
      <c r="X1" s="15"/>
      <c r="Y1" s="53"/>
      <c r="Z1" s="15"/>
      <c r="AA1" s="15"/>
      <c r="AB1" s="15"/>
      <c r="AC1" s="15"/>
      <c r="AD1" s="53"/>
      <c r="AE1" s="15"/>
      <c r="AF1" s="15"/>
      <c r="AG1" s="15"/>
      <c r="AH1" s="15"/>
      <c r="AI1" s="53"/>
      <c r="AJ1" s="15"/>
      <c r="AK1" s="15"/>
      <c r="AL1" s="15"/>
      <c r="AM1" s="15"/>
      <c r="AN1" s="53"/>
      <c r="AO1" s="15"/>
      <c r="AP1" s="41"/>
      <c r="AQ1" s="41"/>
      <c r="AR1" s="108" t="s">
        <v>55</v>
      </c>
      <c r="AS1" s="56"/>
      <c r="AT1" s="42"/>
      <c r="AU1" s="42"/>
      <c r="AV1" s="108" t="s">
        <v>54</v>
      </c>
      <c r="AW1" s="110" t="s">
        <v>53</v>
      </c>
      <c r="AX1" s="112" t="s">
        <v>50</v>
      </c>
      <c r="AY1" s="114" t="s">
        <v>51</v>
      </c>
      <c r="AZ1" s="43"/>
      <c r="BA1" s="43"/>
      <c r="BB1" s="43"/>
      <c r="BC1" s="116" t="s">
        <v>52</v>
      </c>
      <c r="BD1" s="41"/>
      <c r="BE1" s="41"/>
      <c r="BF1" s="15"/>
      <c r="BG1" s="15"/>
      <c r="BH1" s="53"/>
      <c r="BI1" s="15"/>
      <c r="BJ1" s="15"/>
      <c r="BK1" s="15"/>
      <c r="BL1" s="15"/>
      <c r="BM1" s="53"/>
      <c r="BN1" s="15"/>
      <c r="BO1" s="15"/>
      <c r="BP1" s="15"/>
      <c r="BQ1" s="30"/>
      <c r="BR1" s="15"/>
      <c r="BS1" s="15"/>
      <c r="BT1" s="15"/>
      <c r="BU1" s="15"/>
      <c r="BV1" s="15"/>
      <c r="BW1" s="53"/>
      <c r="BX1" s="15"/>
      <c r="BY1" s="15"/>
      <c r="BZ1" s="15"/>
      <c r="CA1" s="15"/>
      <c r="CB1" s="60"/>
    </row>
    <row r="2" spans="2:80" ht="30" customHeight="1" x14ac:dyDescent="0.25">
      <c r="S2" s="18"/>
      <c r="T2" s="54"/>
      <c r="X2" s="49"/>
      <c r="Y2" s="54"/>
      <c r="AC2" s="49"/>
      <c r="AD2" s="54"/>
      <c r="AH2" s="49"/>
      <c r="AI2" s="54"/>
      <c r="AM2" s="49"/>
      <c r="AN2" s="54"/>
      <c r="AP2" s="44"/>
      <c r="AQ2" s="44"/>
      <c r="AR2" s="109"/>
      <c r="AS2" s="57"/>
      <c r="AT2" s="45"/>
      <c r="AU2" s="45"/>
      <c r="AV2" s="109"/>
      <c r="AW2" s="111"/>
      <c r="AX2" s="113"/>
      <c r="AY2" s="115"/>
      <c r="AZ2" s="45"/>
      <c r="BA2" s="45"/>
      <c r="BB2" s="50"/>
      <c r="BC2" s="117"/>
      <c r="BD2" s="44"/>
      <c r="BE2" s="44"/>
      <c r="BG2" s="49"/>
      <c r="BH2" s="54"/>
      <c r="BL2" s="49"/>
      <c r="BM2" s="54"/>
      <c r="BQ2" s="31"/>
      <c r="BS2" s="39"/>
      <c r="BT2" s="39"/>
      <c r="BU2" s="39"/>
      <c r="BV2" s="52"/>
      <c r="BW2" s="59"/>
      <c r="BX2" s="40"/>
      <c r="BZ2" s="100" t="s">
        <v>5</v>
      </c>
      <c r="CA2" s="101"/>
      <c r="CB2" s="19"/>
    </row>
    <row r="3" spans="2:80" ht="30" customHeight="1" x14ac:dyDescent="0.25">
      <c r="S3" s="18"/>
      <c r="T3" s="54"/>
      <c r="X3" s="49"/>
      <c r="Y3" s="54"/>
      <c r="AC3" s="49"/>
      <c r="AD3" s="54"/>
      <c r="AH3" s="49"/>
      <c r="AI3" s="54"/>
      <c r="AM3" s="49"/>
      <c r="AN3" s="54"/>
      <c r="AP3" s="44"/>
      <c r="AQ3" s="84" t="s">
        <v>26</v>
      </c>
      <c r="AR3" s="109"/>
      <c r="AS3" s="58"/>
      <c r="AT3" s="46"/>
      <c r="AU3" s="46"/>
      <c r="AV3" s="109"/>
      <c r="AW3" s="111"/>
      <c r="AX3" s="113"/>
      <c r="AY3" s="115"/>
      <c r="AZ3" s="46"/>
      <c r="BA3" s="46"/>
      <c r="BB3" s="51"/>
      <c r="BC3" s="117"/>
      <c r="BD3" s="83" t="s">
        <v>27</v>
      </c>
      <c r="BE3" s="44"/>
      <c r="BG3" s="49"/>
      <c r="BH3" s="54"/>
      <c r="BL3" s="49"/>
      <c r="BM3" s="54"/>
      <c r="BQ3" s="31"/>
      <c r="BS3" s="106"/>
      <c r="BT3" s="107"/>
      <c r="BU3" s="106"/>
      <c r="BV3" s="107"/>
      <c r="BW3" s="97"/>
      <c r="BX3" s="107"/>
      <c r="BZ3" s="102"/>
      <c r="CA3" s="103"/>
      <c r="CB3" s="19"/>
    </row>
    <row r="4" spans="2:80" ht="30" customHeight="1" x14ac:dyDescent="0.25">
      <c r="S4" s="18"/>
      <c r="T4" s="54"/>
      <c r="X4" s="49"/>
      <c r="Y4" s="54"/>
      <c r="AC4" s="49"/>
      <c r="AD4" s="54"/>
      <c r="AH4" s="49"/>
      <c r="AI4" s="54"/>
      <c r="AM4" s="49"/>
      <c r="AN4" s="54"/>
      <c r="AP4" s="44"/>
      <c r="AQ4" s="44"/>
      <c r="AR4" s="109"/>
      <c r="AS4" s="58"/>
      <c r="AT4" s="46"/>
      <c r="AU4" s="46"/>
      <c r="AV4" s="109"/>
      <c r="AW4" s="111"/>
      <c r="AX4" s="113"/>
      <c r="AY4" s="115"/>
      <c r="AZ4" s="46"/>
      <c r="BA4" s="46"/>
      <c r="BB4" s="51"/>
      <c r="BC4" s="117"/>
      <c r="BD4" s="44"/>
      <c r="BE4" s="44"/>
      <c r="BG4" s="49"/>
      <c r="BH4" s="54"/>
      <c r="BL4" s="49"/>
      <c r="BM4" s="54"/>
      <c r="BQ4" s="49"/>
      <c r="BR4" s="97"/>
      <c r="BS4" s="106"/>
      <c r="BT4" s="107"/>
      <c r="BU4" s="106"/>
      <c r="BV4" s="107"/>
      <c r="BW4" s="97"/>
      <c r="BX4" s="107"/>
      <c r="BZ4" s="102"/>
      <c r="CA4" s="103"/>
      <c r="CB4" s="19"/>
    </row>
    <row r="5" spans="2:80" ht="30" customHeight="1" x14ac:dyDescent="0.25">
      <c r="S5" s="18"/>
      <c r="T5" s="54"/>
      <c r="X5" s="49"/>
      <c r="Y5" s="54"/>
      <c r="AC5" s="49"/>
      <c r="AD5" s="54"/>
      <c r="AH5" s="49"/>
      <c r="AI5" s="54"/>
      <c r="AM5" s="49"/>
      <c r="AN5" s="54"/>
      <c r="AR5" s="49"/>
      <c r="AS5" s="54"/>
      <c r="AW5" s="124"/>
      <c r="AX5" s="131"/>
      <c r="BB5" s="49"/>
      <c r="BC5" s="54"/>
      <c r="BG5" s="49"/>
      <c r="BH5" s="54"/>
      <c r="BL5" s="49"/>
      <c r="BM5" s="54"/>
      <c r="BQ5" s="49"/>
      <c r="BR5" s="97"/>
      <c r="BS5" s="106"/>
      <c r="BT5" s="107"/>
      <c r="BU5" s="106"/>
      <c r="BV5" s="107"/>
      <c r="BW5" s="97"/>
      <c r="BX5" s="107"/>
      <c r="BZ5" s="102"/>
      <c r="CA5" s="103"/>
      <c r="CB5" s="19"/>
    </row>
    <row r="6" spans="2:80" ht="30" customHeight="1" x14ac:dyDescent="0.25">
      <c r="S6" s="18"/>
      <c r="T6" s="54"/>
      <c r="X6" s="49"/>
      <c r="Y6" s="54"/>
      <c r="AC6" s="49"/>
      <c r="AD6" s="54"/>
      <c r="AH6" s="49"/>
      <c r="AI6" s="54"/>
      <c r="AM6" s="49"/>
      <c r="AN6" s="54"/>
      <c r="AR6" s="49"/>
      <c r="AS6" s="54"/>
      <c r="AW6" s="128" t="s">
        <v>66</v>
      </c>
      <c r="AX6" s="128"/>
      <c r="BB6" s="49"/>
      <c r="BC6" s="54"/>
      <c r="BG6" s="49"/>
      <c r="BH6" s="54"/>
      <c r="BL6" s="49"/>
      <c r="BM6" s="54"/>
      <c r="BQ6" s="49"/>
      <c r="BR6" s="97"/>
      <c r="BS6" s="106"/>
      <c r="BT6" s="107"/>
      <c r="BU6" s="106"/>
      <c r="BV6" s="107"/>
      <c r="BW6" s="97"/>
      <c r="BX6" s="107"/>
      <c r="BZ6" s="104"/>
      <c r="CA6" s="105"/>
      <c r="CB6" s="19"/>
    </row>
    <row r="7" spans="2:80" ht="30" customHeight="1" x14ac:dyDescent="0.25">
      <c r="S7" s="18"/>
      <c r="T7" s="54"/>
      <c r="X7" s="49"/>
      <c r="Y7" s="54"/>
      <c r="AC7" s="49"/>
      <c r="AD7" s="54"/>
      <c r="AH7" s="49"/>
      <c r="AI7" s="54"/>
      <c r="AM7" s="49"/>
      <c r="AN7" s="54"/>
      <c r="AR7" s="49"/>
      <c r="AS7" s="54"/>
      <c r="AW7" s="128"/>
      <c r="AX7" s="128"/>
      <c r="BB7" s="49"/>
      <c r="BC7" s="54"/>
      <c r="BG7" s="49"/>
      <c r="BH7" s="54"/>
      <c r="BL7" s="49"/>
      <c r="BM7" s="54"/>
      <c r="BQ7" s="49"/>
      <c r="BR7" s="97"/>
      <c r="BS7" s="106"/>
      <c r="BT7" s="107"/>
      <c r="BU7" s="106"/>
      <c r="BV7" s="107"/>
      <c r="BW7" s="97"/>
      <c r="BX7" s="107"/>
      <c r="CA7" s="49"/>
      <c r="CB7" s="61"/>
    </row>
    <row r="8" spans="2:80" ht="30" customHeight="1" x14ac:dyDescent="0.25">
      <c r="S8" s="18"/>
      <c r="T8" s="54"/>
      <c r="X8" s="49"/>
      <c r="Y8" s="54"/>
      <c r="AC8" s="49"/>
      <c r="AD8" s="54"/>
      <c r="AH8" s="49"/>
      <c r="AI8" s="54"/>
      <c r="AM8" s="49"/>
      <c r="AN8" s="54"/>
      <c r="AR8" s="49"/>
      <c r="AS8" s="54"/>
      <c r="BB8" s="49"/>
      <c r="BC8" s="54"/>
      <c r="BG8" s="49"/>
      <c r="BH8" s="54"/>
      <c r="BL8" s="49"/>
      <c r="BM8" s="54"/>
      <c r="BQ8" s="49"/>
      <c r="BR8" s="97"/>
      <c r="BT8" s="107"/>
      <c r="BV8" s="49"/>
      <c r="BW8" s="54"/>
      <c r="BX8" s="107"/>
      <c r="CA8" s="49"/>
      <c r="CB8" s="61"/>
    </row>
    <row r="9" spans="2:80" ht="30" customHeight="1" x14ac:dyDescent="0.25">
      <c r="S9" s="18"/>
      <c r="T9" s="54"/>
      <c r="X9" s="49"/>
      <c r="Y9" s="54"/>
      <c r="AC9" s="49"/>
      <c r="AD9" s="54"/>
      <c r="AH9" s="49"/>
      <c r="AI9" s="54"/>
      <c r="AM9" s="49"/>
      <c r="AN9" s="54"/>
      <c r="AR9" s="49"/>
      <c r="AS9" s="54"/>
      <c r="BB9" s="49"/>
      <c r="BC9" s="54"/>
      <c r="BG9" s="49"/>
      <c r="BH9" s="54"/>
      <c r="BL9" s="49"/>
      <c r="BM9" s="54"/>
      <c r="BQ9" s="49"/>
      <c r="BR9" s="97"/>
      <c r="BT9" s="107"/>
      <c r="BV9" s="49"/>
      <c r="BW9" s="54"/>
      <c r="BX9" s="107"/>
      <c r="CA9" s="49"/>
      <c r="CB9" s="61"/>
    </row>
    <row r="10" spans="2:80" ht="30" customHeight="1" x14ac:dyDescent="0.25">
      <c r="S10" s="18"/>
      <c r="T10" s="54"/>
      <c r="X10" s="49"/>
      <c r="Y10" s="54"/>
      <c r="AC10" s="49"/>
      <c r="AD10" s="54"/>
      <c r="AH10" s="49"/>
      <c r="AI10" s="54"/>
      <c r="AM10" s="49"/>
      <c r="AN10" s="54"/>
      <c r="AR10" s="49"/>
      <c r="AS10" s="54"/>
      <c r="BB10" s="49"/>
      <c r="BC10" s="54"/>
      <c r="BG10" s="49"/>
      <c r="BH10" s="54"/>
      <c r="BL10" s="49"/>
      <c r="BM10" s="54"/>
      <c r="BQ10" s="49"/>
      <c r="BR10" s="97"/>
      <c r="BV10" s="49"/>
      <c r="BW10" s="54"/>
      <c r="CA10" s="49"/>
      <c r="CB10" s="61"/>
    </row>
    <row r="11" spans="2:80" ht="30" customHeight="1" x14ac:dyDescent="0.25">
      <c r="B11" s="34" t="s">
        <v>8</v>
      </c>
      <c r="C11" s="35" t="s">
        <v>9</v>
      </c>
      <c r="S11" s="18"/>
      <c r="T11" s="54"/>
      <c r="X11" s="49"/>
      <c r="Y11" s="54"/>
      <c r="AC11" s="49"/>
      <c r="AD11" s="54"/>
      <c r="AH11" s="49"/>
      <c r="AI11" s="54"/>
      <c r="AM11" s="49"/>
      <c r="AN11" s="54"/>
      <c r="AR11" s="49"/>
      <c r="AS11" s="54"/>
      <c r="BB11" s="49"/>
      <c r="BC11" s="54"/>
      <c r="BG11" s="49"/>
      <c r="BH11" s="54"/>
      <c r="BL11" s="49"/>
      <c r="BM11" s="54"/>
      <c r="BQ11" s="49"/>
      <c r="BR11" s="54"/>
      <c r="BV11" s="49"/>
      <c r="BW11" s="54"/>
      <c r="CA11" s="49"/>
      <c r="CB11" s="61"/>
    </row>
    <row r="12" spans="2:80" ht="30" customHeight="1" x14ac:dyDescent="0.25">
      <c r="B12" s="34" t="s">
        <v>10</v>
      </c>
      <c r="C12" s="35" t="s">
        <v>11</v>
      </c>
      <c r="S12" s="18"/>
      <c r="T12" s="54"/>
      <c r="X12" s="49"/>
      <c r="Y12" s="54"/>
      <c r="AC12" s="49"/>
      <c r="AD12" s="54"/>
      <c r="AH12" s="49"/>
      <c r="AI12" s="54"/>
      <c r="AM12" s="49"/>
      <c r="AN12" s="54"/>
      <c r="AR12" s="49"/>
      <c r="AS12" s="54"/>
      <c r="BB12" s="49"/>
      <c r="BC12" s="54"/>
      <c r="BG12" s="49"/>
      <c r="BH12" s="54"/>
      <c r="BL12" s="49"/>
      <c r="BM12" s="54"/>
      <c r="BQ12" s="49"/>
      <c r="BR12" s="54"/>
      <c r="BV12" s="49"/>
      <c r="BW12" s="54"/>
      <c r="CA12" s="49"/>
      <c r="CB12" s="61"/>
    </row>
    <row r="13" spans="2:80" ht="30" customHeight="1" x14ac:dyDescent="0.25">
      <c r="B13" s="36" t="s">
        <v>12</v>
      </c>
      <c r="C13" s="35" t="s">
        <v>13</v>
      </c>
      <c r="S13" s="18"/>
      <c r="T13" s="54"/>
      <c r="X13" s="49"/>
      <c r="Y13" s="54"/>
      <c r="AC13" s="49"/>
      <c r="AD13" s="54"/>
      <c r="AH13" s="49"/>
      <c r="AI13" s="54"/>
      <c r="AM13" s="49"/>
      <c r="AN13" s="54"/>
      <c r="AR13" s="49"/>
      <c r="AS13" s="54"/>
      <c r="BB13" s="49"/>
      <c r="BC13" s="54"/>
      <c r="BG13" s="49"/>
      <c r="BH13" s="54"/>
      <c r="BL13" s="49"/>
      <c r="BM13" s="54"/>
      <c r="BQ13" s="49"/>
      <c r="BR13" s="54"/>
      <c r="BV13" s="49"/>
      <c r="BW13" s="54"/>
      <c r="CA13" s="49"/>
      <c r="CB13" s="61"/>
    </row>
    <row r="14" spans="2:80" ht="30" customHeight="1" x14ac:dyDescent="0.25">
      <c r="B14" s="36">
        <v>5</v>
      </c>
      <c r="C14" s="35" t="s">
        <v>14</v>
      </c>
      <c r="S14" s="18"/>
      <c r="T14" s="54"/>
      <c r="X14" s="49"/>
      <c r="Y14" s="54"/>
      <c r="AC14" s="49"/>
      <c r="AD14" s="54"/>
      <c r="AH14" s="49"/>
      <c r="AI14" s="54"/>
      <c r="AM14" s="49"/>
      <c r="AN14" s="54"/>
      <c r="AR14" s="49"/>
      <c r="AS14" s="54"/>
      <c r="BB14" s="49"/>
      <c r="BC14" s="54"/>
      <c r="BG14" s="49"/>
      <c r="BH14" s="54"/>
      <c r="BL14" s="49"/>
      <c r="BM14" s="54"/>
      <c r="BQ14" s="49"/>
      <c r="BR14" s="54"/>
      <c r="BV14" s="49"/>
      <c r="BW14" s="54"/>
      <c r="CA14" s="49"/>
      <c r="CB14" s="61"/>
    </row>
    <row r="15" spans="2:80" ht="30" customHeight="1" x14ac:dyDescent="0.25">
      <c r="B15" s="36" t="s">
        <v>15</v>
      </c>
      <c r="C15" s="35" t="s">
        <v>16</v>
      </c>
      <c r="S15" s="18"/>
      <c r="T15" s="54"/>
      <c r="X15" s="49"/>
      <c r="Y15" s="54"/>
      <c r="AC15" s="49"/>
      <c r="AD15" s="54"/>
      <c r="AH15" s="49"/>
      <c r="AI15" s="54"/>
      <c r="AM15" s="49"/>
      <c r="AN15" s="54"/>
      <c r="AR15" s="49"/>
      <c r="AS15" s="54"/>
      <c r="BB15" s="49"/>
      <c r="BC15" s="54"/>
      <c r="BG15" s="49"/>
      <c r="BH15" s="54"/>
      <c r="BL15" s="49"/>
      <c r="BM15" s="54"/>
      <c r="BQ15" s="49"/>
      <c r="BR15" s="54"/>
      <c r="BV15" s="49"/>
      <c r="BW15" s="54"/>
      <c r="CA15" s="49"/>
      <c r="CB15" s="61"/>
    </row>
    <row r="16" spans="2:80" ht="30" customHeight="1" x14ac:dyDescent="0.25">
      <c r="B16" s="36">
        <v>0</v>
      </c>
      <c r="C16" s="35" t="s">
        <v>17</v>
      </c>
      <c r="S16" s="18"/>
      <c r="T16" s="54"/>
      <c r="X16" s="49"/>
      <c r="Y16" s="54"/>
      <c r="AC16" s="49"/>
      <c r="AD16" s="54"/>
      <c r="AH16" s="49"/>
      <c r="AI16" s="54"/>
      <c r="AM16" s="49"/>
      <c r="AN16" s="54"/>
      <c r="AR16" s="49"/>
      <c r="AS16" s="54"/>
      <c r="BB16" s="49"/>
      <c r="BC16" s="54"/>
      <c r="BG16" s="49"/>
      <c r="BH16" s="54"/>
      <c r="BL16" s="49"/>
      <c r="BM16" s="54"/>
      <c r="BQ16" s="49"/>
      <c r="BR16" s="54"/>
      <c r="BV16" s="49"/>
      <c r="BW16" s="54"/>
      <c r="CA16" s="49"/>
      <c r="CB16" s="61"/>
    </row>
    <row r="17" spans="9:80" ht="30" customHeight="1" x14ac:dyDescent="0.25">
      <c r="S17" s="18"/>
      <c r="T17" s="54"/>
      <c r="X17" s="49"/>
      <c r="Y17" s="54"/>
      <c r="AC17" s="49"/>
      <c r="AD17" s="54"/>
      <c r="AH17" s="49"/>
      <c r="AI17" s="54"/>
      <c r="AM17" s="49"/>
      <c r="AN17" s="54"/>
      <c r="AR17" s="49"/>
      <c r="AS17" s="54"/>
      <c r="BB17" s="49"/>
      <c r="BC17" s="54"/>
      <c r="BG17" s="49"/>
      <c r="BH17" s="54"/>
      <c r="BL17" s="49"/>
      <c r="BM17" s="54"/>
      <c r="BQ17" s="49"/>
      <c r="BR17" s="54"/>
      <c r="BV17" s="49"/>
      <c r="BW17" s="54"/>
      <c r="CA17" s="49"/>
      <c r="CB17" s="61"/>
    </row>
    <row r="18" spans="9:80" ht="30" customHeight="1" x14ac:dyDescent="0.25">
      <c r="I18" s="37" t="s">
        <v>8</v>
      </c>
      <c r="J18" s="37" t="s">
        <v>10</v>
      </c>
      <c r="K18" s="38" t="s">
        <v>12</v>
      </c>
      <c r="L18" s="38">
        <v>5</v>
      </c>
      <c r="M18" s="38" t="s">
        <v>15</v>
      </c>
      <c r="N18" s="38">
        <v>0</v>
      </c>
      <c r="S18" s="18"/>
      <c r="T18" s="54"/>
      <c r="X18" s="49"/>
      <c r="Y18" s="54"/>
      <c r="AC18" s="49"/>
      <c r="AD18" s="54"/>
      <c r="AH18" s="49"/>
      <c r="AI18" s="54"/>
      <c r="AM18" s="49"/>
      <c r="AN18" s="54"/>
      <c r="AR18" s="49"/>
      <c r="AS18" s="54"/>
      <c r="BB18" s="49"/>
      <c r="BC18" s="54"/>
      <c r="BG18" s="49"/>
      <c r="BH18" s="54"/>
      <c r="BL18" s="49"/>
      <c r="BM18" s="54"/>
      <c r="BQ18" s="49"/>
      <c r="BR18" s="54"/>
      <c r="BV18" s="49"/>
      <c r="BW18" s="54"/>
      <c r="CA18" s="49"/>
      <c r="CB18" s="61"/>
    </row>
    <row r="19" spans="9:80" ht="30" customHeight="1" x14ac:dyDescent="0.25">
      <c r="I19" s="98" t="s">
        <v>9</v>
      </c>
      <c r="J19" s="32" t="s">
        <v>11</v>
      </c>
      <c r="K19" s="32" t="s">
        <v>13</v>
      </c>
      <c r="L19" s="32" t="s">
        <v>14</v>
      </c>
      <c r="M19" s="32" t="s">
        <v>16</v>
      </c>
      <c r="N19" s="32" t="s">
        <v>17</v>
      </c>
      <c r="S19" s="18"/>
      <c r="T19" s="54"/>
      <c r="X19" s="49"/>
      <c r="Y19" s="54"/>
      <c r="AC19" s="49"/>
      <c r="AD19" s="54"/>
      <c r="AH19" s="49"/>
      <c r="AI19" s="54"/>
      <c r="AM19" s="49"/>
      <c r="AN19" s="54"/>
      <c r="AR19" s="49"/>
      <c r="AS19" s="54"/>
      <c r="BB19" s="49"/>
      <c r="BC19" s="54"/>
      <c r="BG19" s="49"/>
      <c r="BH19" s="54"/>
      <c r="BL19" s="49"/>
      <c r="BM19" s="54"/>
      <c r="BQ19" s="49"/>
      <c r="BR19" s="54"/>
      <c r="BV19" s="49"/>
      <c r="BW19" s="54"/>
      <c r="CA19" s="49"/>
      <c r="CB19" s="61"/>
    </row>
    <row r="20" spans="9:80" ht="30" customHeight="1" x14ac:dyDescent="0.25">
      <c r="I20" s="99"/>
      <c r="S20" s="18"/>
      <c r="T20" s="54"/>
      <c r="X20" s="49"/>
      <c r="Y20" s="54"/>
      <c r="AC20" s="49"/>
      <c r="AD20" s="54"/>
      <c r="AH20" s="49"/>
      <c r="AI20" s="54"/>
      <c r="AM20" s="49"/>
      <c r="AN20" s="54"/>
      <c r="AR20" s="49"/>
      <c r="AS20" s="54"/>
      <c r="BB20" s="49"/>
      <c r="BC20" s="54"/>
      <c r="BG20" s="49"/>
      <c r="BH20" s="54"/>
      <c r="BL20" s="49"/>
      <c r="BM20" s="54"/>
      <c r="BQ20" s="49"/>
      <c r="BR20" s="54"/>
      <c r="BV20" s="49"/>
      <c r="BW20" s="54"/>
      <c r="CA20" s="49"/>
      <c r="CB20" s="61"/>
    </row>
    <row r="21" spans="9:80" ht="30" customHeight="1" x14ac:dyDescent="0.25">
      <c r="I21" s="99"/>
      <c r="S21" s="18"/>
      <c r="T21" s="54"/>
      <c r="X21" s="49"/>
      <c r="Y21" s="54"/>
      <c r="AC21" s="49"/>
      <c r="AD21" s="54"/>
      <c r="AH21" s="49"/>
      <c r="AI21" s="54"/>
      <c r="AM21" s="49"/>
      <c r="AN21" s="54"/>
      <c r="AR21" s="49"/>
      <c r="AS21" s="54"/>
      <c r="BB21" s="49"/>
      <c r="BC21" s="54"/>
      <c r="BG21" s="49"/>
      <c r="BH21" s="54"/>
      <c r="BL21" s="49"/>
      <c r="BM21" s="54"/>
      <c r="BQ21" s="49"/>
      <c r="BR21" s="54"/>
      <c r="BV21" s="49"/>
      <c r="BW21" s="54"/>
      <c r="CA21" s="49"/>
      <c r="CB21" s="61"/>
    </row>
    <row r="22" spans="9:80" ht="30" customHeight="1" x14ac:dyDescent="0.25">
      <c r="I22" s="99"/>
      <c r="S22" s="18"/>
      <c r="T22" s="54"/>
      <c r="X22" s="49"/>
      <c r="Y22" s="54"/>
      <c r="AC22" s="49"/>
      <c r="AD22" s="54"/>
      <c r="AH22" s="49"/>
      <c r="AI22" s="54"/>
      <c r="AM22" s="49"/>
      <c r="AN22" s="54"/>
      <c r="AR22" s="49"/>
      <c r="AS22" s="54"/>
      <c r="BB22" s="49"/>
      <c r="BC22" s="54"/>
      <c r="BG22" s="49"/>
      <c r="BH22" s="54"/>
      <c r="BL22" s="49"/>
      <c r="BM22" s="54"/>
      <c r="BQ22" s="49"/>
      <c r="BR22" s="54"/>
      <c r="BV22" s="49"/>
      <c r="BW22" s="54"/>
      <c r="CA22" s="49"/>
      <c r="CB22" s="61"/>
    </row>
    <row r="23" spans="9:80" ht="30" customHeight="1" x14ac:dyDescent="0.25">
      <c r="I23" s="99"/>
      <c r="S23" s="18"/>
      <c r="T23" s="54"/>
      <c r="X23" s="49"/>
      <c r="Y23" s="54"/>
      <c r="AC23" s="49"/>
      <c r="AD23" s="54"/>
      <c r="AH23" s="49"/>
      <c r="AI23" s="54"/>
      <c r="AM23" s="49"/>
      <c r="AN23" s="54"/>
      <c r="AR23" s="49"/>
      <c r="AS23" s="54"/>
      <c r="BB23" s="49"/>
      <c r="BC23" s="54"/>
      <c r="BG23" s="49"/>
      <c r="BH23" s="54"/>
      <c r="BL23" s="49"/>
      <c r="BM23" s="54"/>
      <c r="BQ23" s="49"/>
      <c r="BR23" s="54"/>
      <c r="BV23" s="49"/>
      <c r="BW23" s="54"/>
      <c r="CA23" s="49"/>
      <c r="CB23" s="61"/>
    </row>
    <row r="24" spans="9:80" ht="30" customHeight="1" x14ac:dyDescent="0.25">
      <c r="S24" s="18"/>
      <c r="T24" s="54"/>
      <c r="X24" s="49"/>
      <c r="Y24" s="54"/>
      <c r="AC24" s="49"/>
      <c r="AD24" s="54"/>
      <c r="AH24" s="49"/>
      <c r="AI24" s="54"/>
      <c r="AM24" s="49"/>
      <c r="AN24" s="54"/>
      <c r="AR24" s="49"/>
      <c r="AS24" s="54"/>
      <c r="BB24" s="49"/>
      <c r="BC24" s="54"/>
      <c r="BG24" s="49"/>
      <c r="BH24" s="54"/>
      <c r="BL24" s="49"/>
      <c r="BM24" s="54"/>
      <c r="BQ24" s="49"/>
      <c r="BR24" s="54"/>
      <c r="BV24" s="49"/>
      <c r="BW24" s="54"/>
      <c r="CA24" s="49"/>
      <c r="CB24" s="61"/>
    </row>
    <row r="25" spans="9:80" ht="30" customHeight="1" x14ac:dyDescent="0.25">
      <c r="S25" s="18"/>
      <c r="T25" s="54"/>
      <c r="X25" s="49"/>
      <c r="Y25" s="54"/>
      <c r="AC25" s="49"/>
      <c r="AD25" s="54"/>
      <c r="AH25" s="49"/>
      <c r="AI25" s="54"/>
      <c r="AM25" s="49"/>
      <c r="AN25" s="54"/>
      <c r="AR25" s="49"/>
      <c r="AS25" s="54"/>
      <c r="BB25" s="49"/>
      <c r="BC25" s="54"/>
      <c r="BG25" s="49"/>
      <c r="BH25" s="54"/>
      <c r="BL25" s="49"/>
      <c r="BM25" s="54"/>
      <c r="BQ25" s="49"/>
      <c r="BR25" s="54"/>
      <c r="BV25" s="49"/>
      <c r="BW25" s="54"/>
      <c r="CA25" s="49"/>
      <c r="CB25" s="61"/>
    </row>
    <row r="26" spans="9:80" ht="30" customHeight="1" x14ac:dyDescent="0.25">
      <c r="S26" s="18"/>
      <c r="T26" s="54"/>
      <c r="X26" s="49"/>
      <c r="Y26" s="54"/>
      <c r="AC26" s="49"/>
      <c r="AD26" s="54"/>
      <c r="AH26" s="49"/>
      <c r="AI26" s="54"/>
      <c r="AM26" s="49"/>
      <c r="AN26" s="54"/>
      <c r="AR26" s="49"/>
      <c r="AS26" s="54"/>
      <c r="BB26" s="49"/>
      <c r="BC26" s="54"/>
      <c r="BG26" s="49"/>
      <c r="BH26" s="54"/>
      <c r="BL26" s="49"/>
      <c r="BM26" s="54"/>
      <c r="BQ26" s="49"/>
      <c r="BR26" s="54"/>
      <c r="BV26" s="49"/>
      <c r="BW26" s="54"/>
      <c r="CA26" s="49"/>
      <c r="CB26" s="61"/>
    </row>
    <row r="27" spans="9:80" ht="30" customHeight="1" x14ac:dyDescent="0.25">
      <c r="S27" s="18"/>
      <c r="T27" s="54"/>
      <c r="X27" s="49"/>
      <c r="Y27" s="54"/>
      <c r="AC27" s="49"/>
      <c r="AD27" s="54"/>
      <c r="AH27" s="49"/>
      <c r="AI27" s="54"/>
      <c r="AM27" s="49"/>
      <c r="AN27" s="54"/>
      <c r="AR27" s="49"/>
      <c r="AS27" s="54"/>
      <c r="BB27" s="49"/>
      <c r="BC27" s="54"/>
      <c r="BG27" s="49"/>
      <c r="BH27" s="54"/>
      <c r="BL27" s="49"/>
      <c r="BM27" s="54"/>
      <c r="BQ27" s="49"/>
      <c r="BR27" s="54"/>
      <c r="BV27" s="49"/>
      <c r="BW27" s="54"/>
      <c r="CA27" s="49"/>
      <c r="CB27" s="61"/>
    </row>
    <row r="28" spans="9:80" ht="30" customHeight="1" x14ac:dyDescent="0.25">
      <c r="S28" s="18"/>
      <c r="T28" s="54"/>
      <c r="X28" s="49"/>
      <c r="Y28" s="54"/>
      <c r="AC28" s="49"/>
      <c r="AD28" s="54"/>
      <c r="AH28" s="49"/>
      <c r="AI28" s="54"/>
      <c r="AM28" s="49"/>
      <c r="AN28" s="54"/>
      <c r="AR28" s="49"/>
      <c r="AS28" s="54"/>
      <c r="BB28" s="49"/>
      <c r="BC28" s="54"/>
      <c r="BG28" s="49"/>
      <c r="BH28" s="54"/>
      <c r="BL28" s="49"/>
      <c r="BM28" s="54"/>
      <c r="BQ28" s="49"/>
      <c r="BR28" s="54"/>
      <c r="BV28" s="49"/>
      <c r="BW28" s="54"/>
      <c r="CA28" s="49"/>
      <c r="CB28" s="61"/>
    </row>
    <row r="29" spans="9:80" ht="30" customHeight="1" x14ac:dyDescent="0.25">
      <c r="S29" s="18"/>
      <c r="T29" s="54"/>
      <c r="X29" s="49"/>
      <c r="Y29" s="54"/>
      <c r="AC29" s="49"/>
      <c r="AD29" s="54"/>
      <c r="AH29" s="49"/>
      <c r="AI29" s="54"/>
      <c r="AM29" s="49"/>
      <c r="AN29" s="54"/>
      <c r="AR29" s="49"/>
      <c r="AS29" s="54"/>
      <c r="BB29" s="49"/>
      <c r="BC29" s="54"/>
      <c r="BG29" s="49"/>
      <c r="BH29" s="54"/>
      <c r="BL29" s="49"/>
      <c r="BM29" s="54"/>
      <c r="BQ29" s="49"/>
      <c r="BR29" s="54"/>
      <c r="BV29" s="49"/>
      <c r="BW29" s="54"/>
      <c r="CA29" s="49"/>
      <c r="CB29" s="61"/>
    </row>
    <row r="30" spans="9:80" ht="30" customHeight="1" x14ac:dyDescent="0.25">
      <c r="S30" s="18"/>
      <c r="T30" s="54"/>
      <c r="X30" s="49"/>
      <c r="Y30" s="54"/>
      <c r="AC30" s="49"/>
      <c r="AD30" s="54"/>
      <c r="AH30" s="49"/>
      <c r="AI30" s="54"/>
      <c r="AM30" s="49"/>
      <c r="AN30" s="54"/>
      <c r="AR30" s="49"/>
      <c r="AS30" s="54"/>
      <c r="BB30" s="49"/>
      <c r="BC30" s="54"/>
      <c r="BG30" s="49"/>
      <c r="BH30" s="54"/>
      <c r="BL30" s="49"/>
      <c r="BM30" s="54"/>
      <c r="BQ30" s="49"/>
      <c r="BR30" s="54"/>
      <c r="BV30" s="49"/>
      <c r="BW30" s="54"/>
      <c r="CA30" s="49"/>
      <c r="CB30" s="61"/>
    </row>
    <row r="31" spans="9:80" ht="30" customHeight="1" x14ac:dyDescent="0.25">
      <c r="S31" s="18"/>
      <c r="T31" s="54"/>
      <c r="X31" s="49"/>
      <c r="Y31" s="54"/>
      <c r="AC31" s="49"/>
      <c r="AD31" s="54"/>
      <c r="AH31" s="49"/>
      <c r="AI31" s="54"/>
      <c r="AM31" s="49"/>
      <c r="AN31" s="54"/>
      <c r="AR31" s="49"/>
      <c r="AS31" s="54"/>
      <c r="BB31" s="49"/>
      <c r="BC31" s="54"/>
      <c r="BG31" s="49"/>
      <c r="BH31" s="54"/>
      <c r="BL31" s="49"/>
      <c r="BM31" s="54"/>
      <c r="BQ31" s="49"/>
      <c r="BR31" s="54"/>
      <c r="BV31" s="49"/>
      <c r="BW31" s="54"/>
      <c r="CA31" s="49"/>
      <c r="CB31" s="61"/>
    </row>
    <row r="32" spans="9:80" ht="30" customHeight="1" x14ac:dyDescent="0.25">
      <c r="S32" s="18"/>
      <c r="T32" s="54"/>
      <c r="X32" s="49"/>
      <c r="Y32" s="54"/>
      <c r="AC32" s="49"/>
      <c r="AD32" s="54"/>
      <c r="AH32" s="49"/>
      <c r="AI32" s="54"/>
      <c r="AM32" s="49"/>
      <c r="AN32" s="54"/>
      <c r="AR32" s="49"/>
      <c r="AS32" s="54"/>
      <c r="BB32" s="49"/>
      <c r="BC32" s="54"/>
      <c r="BG32" s="49"/>
      <c r="BH32" s="54"/>
      <c r="BL32" s="49"/>
      <c r="BM32" s="54"/>
      <c r="BQ32" s="49"/>
      <c r="BR32" s="54"/>
      <c r="BV32" s="49"/>
      <c r="BW32" s="54"/>
      <c r="CA32" s="49"/>
      <c r="CB32" s="61"/>
    </row>
    <row r="33" spans="1:109" ht="30" customHeight="1" x14ac:dyDescent="0.25">
      <c r="S33" s="18"/>
      <c r="T33" s="54"/>
      <c r="X33" s="49"/>
      <c r="Y33" s="54"/>
      <c r="AC33" s="49"/>
      <c r="AD33" s="54"/>
      <c r="AH33" s="49"/>
      <c r="AI33" s="54"/>
      <c r="AM33" s="49"/>
      <c r="AN33" s="54"/>
      <c r="AR33" s="49"/>
      <c r="AS33" s="54"/>
      <c r="BB33" s="49"/>
      <c r="BC33" s="54"/>
      <c r="BG33" s="49"/>
      <c r="BH33" s="54"/>
      <c r="BL33" s="49"/>
      <c r="BM33" s="54"/>
      <c r="BQ33" s="49"/>
      <c r="BR33" s="54"/>
      <c r="BV33" s="49"/>
      <c r="BW33" s="54"/>
      <c r="CA33" s="49"/>
      <c r="CB33" s="61"/>
    </row>
    <row r="34" spans="1:109" ht="30" customHeight="1" x14ac:dyDescent="0.25">
      <c r="S34" s="18"/>
      <c r="T34" s="54"/>
      <c r="X34" s="49"/>
      <c r="Y34" s="54"/>
      <c r="AC34" s="49"/>
      <c r="AD34" s="54"/>
      <c r="AH34" s="49"/>
      <c r="AI34" s="54"/>
      <c r="AM34" s="49"/>
      <c r="AN34" s="54"/>
      <c r="AR34" s="49"/>
      <c r="AS34" s="54"/>
      <c r="BB34" s="49"/>
      <c r="BC34" s="54"/>
      <c r="BG34" s="49"/>
      <c r="BH34" s="54"/>
      <c r="BL34" s="49"/>
      <c r="BM34" s="54"/>
      <c r="BQ34" s="49"/>
      <c r="BR34" s="54"/>
      <c r="BV34" s="49"/>
      <c r="BW34" s="54"/>
      <c r="CA34" s="49"/>
      <c r="CB34" s="61"/>
    </row>
    <row r="35" spans="1:109" ht="30" customHeight="1" x14ac:dyDescent="0.25">
      <c r="S35" s="18"/>
      <c r="T35" s="54"/>
      <c r="X35" s="49"/>
      <c r="Y35" s="54"/>
      <c r="AC35" s="49"/>
      <c r="AD35" s="54"/>
      <c r="AH35" s="49"/>
      <c r="AI35" s="54"/>
      <c r="AM35" s="49"/>
      <c r="AN35" s="54"/>
      <c r="AR35" s="49"/>
      <c r="AS35" s="54"/>
      <c r="BB35" s="49"/>
      <c r="BC35" s="54"/>
      <c r="BG35" s="49"/>
      <c r="BH35" s="54"/>
      <c r="BL35" s="49"/>
      <c r="BM35" s="54"/>
      <c r="BQ35" s="49"/>
      <c r="BR35" s="54"/>
      <c r="BV35" s="49"/>
      <c r="BW35" s="54"/>
      <c r="CA35" s="49"/>
      <c r="CB35" s="61"/>
    </row>
    <row r="36" spans="1:109" ht="30" customHeight="1" x14ac:dyDescent="0.25">
      <c r="S36" s="18"/>
      <c r="T36" s="54"/>
      <c r="X36" s="49"/>
      <c r="Y36" s="54"/>
      <c r="AC36" s="49"/>
      <c r="AD36" s="54"/>
      <c r="AH36" s="49"/>
      <c r="AI36" s="54"/>
      <c r="AM36" s="49"/>
      <c r="AN36" s="54"/>
      <c r="AR36" s="49"/>
      <c r="AS36" s="54"/>
      <c r="BB36" s="49"/>
      <c r="BC36" s="54"/>
      <c r="BG36" s="49"/>
      <c r="BH36" s="54"/>
      <c r="BL36" s="49"/>
      <c r="BM36" s="54"/>
      <c r="BQ36" s="49"/>
      <c r="BR36" s="54"/>
      <c r="BV36" s="49"/>
      <c r="BW36" s="54"/>
      <c r="CA36" s="49"/>
      <c r="CB36" s="61"/>
    </row>
    <row r="37" spans="1:109" ht="30" customHeight="1" x14ac:dyDescent="0.25">
      <c r="S37" s="18"/>
      <c r="T37" s="54"/>
      <c r="X37" s="49"/>
      <c r="Y37" s="54"/>
      <c r="AC37" s="49"/>
      <c r="AD37" s="54"/>
      <c r="AH37" s="49"/>
      <c r="AI37" s="54"/>
      <c r="AM37" s="49"/>
      <c r="AN37" s="54"/>
      <c r="AR37" s="49"/>
      <c r="AS37" s="54"/>
      <c r="BB37" s="49"/>
      <c r="BC37" s="54"/>
      <c r="BG37" s="49"/>
      <c r="BH37" s="54"/>
      <c r="BL37" s="49"/>
      <c r="BM37" s="54"/>
      <c r="BQ37" s="49"/>
      <c r="BR37" s="54"/>
      <c r="BV37" s="49"/>
      <c r="BW37" s="54"/>
      <c r="CA37" s="49"/>
      <c r="CB37" s="61"/>
    </row>
    <row r="38" spans="1:109" ht="30" customHeight="1" x14ac:dyDescent="0.25">
      <c r="S38" s="18"/>
      <c r="T38" s="54"/>
      <c r="X38" s="49"/>
      <c r="Y38" s="54"/>
      <c r="AC38" s="49"/>
      <c r="AD38" s="54"/>
      <c r="AH38" s="49"/>
      <c r="AI38" s="54"/>
      <c r="AM38" s="49"/>
      <c r="AN38" s="54"/>
      <c r="AR38" s="49"/>
      <c r="AS38" s="54"/>
      <c r="BB38" s="49"/>
      <c r="BC38" s="54"/>
      <c r="BG38" s="49"/>
      <c r="BH38" s="54"/>
      <c r="BL38" s="49"/>
      <c r="BM38" s="54"/>
      <c r="BQ38" s="49"/>
      <c r="BR38" s="54"/>
      <c r="BV38" s="49"/>
      <c r="BW38" s="54"/>
      <c r="CA38" s="49"/>
      <c r="CB38" s="61"/>
    </row>
    <row r="39" spans="1:109" ht="30" customHeight="1" x14ac:dyDescent="0.25">
      <c r="S39" s="18"/>
      <c r="T39" s="54"/>
      <c r="X39" s="49"/>
      <c r="Y39" s="54"/>
      <c r="AC39" s="49"/>
      <c r="AD39" s="54"/>
      <c r="AH39" s="49"/>
      <c r="AI39" s="54"/>
      <c r="AM39" s="49"/>
      <c r="AN39" s="54"/>
      <c r="AR39" s="49"/>
      <c r="AS39" s="54"/>
      <c r="BB39" s="49"/>
      <c r="BC39" s="54"/>
      <c r="BG39" s="49"/>
      <c r="BH39" s="54"/>
      <c r="BL39" s="49"/>
      <c r="BM39" s="54"/>
      <c r="BQ39" s="49"/>
      <c r="BR39" s="54"/>
      <c r="BV39" s="49"/>
      <c r="BW39" s="54"/>
      <c r="CA39" s="49"/>
      <c r="CB39" s="61"/>
    </row>
    <row r="40" spans="1:109" ht="30" customHeight="1" x14ac:dyDescent="0.25">
      <c r="S40" s="18"/>
      <c r="T40" s="54"/>
      <c r="X40" s="49"/>
      <c r="Y40" s="54"/>
      <c r="AC40" s="49"/>
      <c r="AD40" s="54"/>
      <c r="AH40" s="49"/>
      <c r="AI40" s="54"/>
      <c r="AM40" s="49"/>
      <c r="AN40" s="54"/>
      <c r="AR40" s="49"/>
      <c r="AS40" s="54"/>
      <c r="BB40" s="49"/>
      <c r="BC40" s="54"/>
      <c r="BG40" s="49"/>
      <c r="BH40" s="54"/>
      <c r="BL40" s="49"/>
      <c r="BM40" s="54"/>
      <c r="BQ40" s="49"/>
      <c r="BR40" s="54"/>
      <c r="BV40" s="49"/>
      <c r="BW40" s="54"/>
      <c r="CA40" s="49"/>
      <c r="CB40" s="61"/>
    </row>
    <row r="41" spans="1:109" ht="30" customHeight="1" x14ac:dyDescent="0.25">
      <c r="S41" s="88" t="s">
        <v>57</v>
      </c>
      <c r="T41" s="88"/>
      <c r="X41" s="49"/>
      <c r="Y41" s="54"/>
      <c r="AC41" s="49"/>
      <c r="AD41" s="54"/>
      <c r="AH41" s="49"/>
      <c r="AI41" s="54"/>
      <c r="AM41" s="49"/>
      <c r="AN41" s="54"/>
      <c r="AR41" s="49"/>
      <c r="AS41" s="54"/>
      <c r="BB41" s="49"/>
      <c r="BC41" s="54"/>
      <c r="BG41" s="49"/>
      <c r="BH41" s="54"/>
      <c r="BL41" s="49"/>
      <c r="BM41" s="54"/>
      <c r="BQ41" s="49"/>
      <c r="BR41" s="54"/>
      <c r="BV41" s="49"/>
      <c r="BW41" s="54"/>
      <c r="CA41" s="88" t="s">
        <v>57</v>
      </c>
      <c r="CB41" s="89"/>
    </row>
    <row r="42" spans="1:109" ht="30" customHeight="1" x14ac:dyDescent="0.25">
      <c r="S42" s="88"/>
      <c r="T42" s="88"/>
      <c r="X42" s="49"/>
      <c r="Y42" s="54"/>
      <c r="AC42" s="49"/>
      <c r="AD42" s="54"/>
      <c r="AH42" s="49"/>
      <c r="AI42" s="54"/>
      <c r="AM42" s="49"/>
      <c r="AN42" s="54"/>
      <c r="AR42" s="49"/>
      <c r="AS42" s="54"/>
      <c r="BB42" s="49"/>
      <c r="BC42" s="54"/>
      <c r="BG42" s="49"/>
      <c r="BH42" s="54"/>
      <c r="BL42" s="49"/>
      <c r="BM42" s="54"/>
      <c r="BQ42" s="49"/>
      <c r="BR42" s="54"/>
      <c r="BV42" s="49"/>
      <c r="BW42" s="54"/>
      <c r="CA42" s="88"/>
      <c r="CB42" s="89"/>
    </row>
    <row r="43" spans="1:109" s="1" customFormat="1" ht="30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90"/>
      <c r="T43" s="90"/>
      <c r="Y43" s="55"/>
      <c r="AD43" s="55"/>
      <c r="AI43" s="55"/>
      <c r="AN43" s="55"/>
      <c r="AS43" s="55"/>
      <c r="AX43" s="5"/>
      <c r="BC43" s="55"/>
      <c r="BH43" s="55"/>
      <c r="BM43" s="55"/>
      <c r="BR43" s="55"/>
      <c r="BW43" s="55"/>
      <c r="CA43" s="90"/>
      <c r="CB43" s="91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</row>
    <row r="44" spans="1:109" ht="11.25" customHeight="1" x14ac:dyDescent="0.25">
      <c r="S44" s="18"/>
      <c r="T44" s="8"/>
      <c r="U44" s="7"/>
      <c r="V44" s="7"/>
      <c r="W44" s="7"/>
      <c r="X44" s="7"/>
      <c r="Y44" s="8"/>
      <c r="Z44" s="7"/>
      <c r="AA44" s="7"/>
      <c r="AB44" s="7"/>
      <c r="AC44" s="7"/>
      <c r="AD44" s="8"/>
      <c r="AE44" s="7"/>
      <c r="AF44" s="7"/>
      <c r="AG44" s="7"/>
      <c r="AH44" s="7"/>
      <c r="AI44" s="8"/>
      <c r="AJ44" s="7"/>
      <c r="AK44" s="7"/>
      <c r="AL44" s="7"/>
      <c r="AM44" s="7"/>
      <c r="AN44" s="8"/>
      <c r="AO44" s="7"/>
      <c r="AP44" s="7"/>
      <c r="AQ44" s="7"/>
      <c r="AR44" s="7"/>
      <c r="AS44" s="8"/>
      <c r="AT44" s="7"/>
      <c r="AU44" s="7"/>
      <c r="AV44" s="7"/>
      <c r="AW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23"/>
    </row>
    <row r="45" spans="1:109" ht="11.25" customHeight="1" x14ac:dyDescent="0.25">
      <c r="S45" s="24"/>
      <c r="T45" s="8"/>
      <c r="X45" s="10"/>
      <c r="Y45" s="8"/>
      <c r="AC45" s="10"/>
      <c r="AD45" s="8"/>
      <c r="AH45" s="10"/>
      <c r="AI45" s="8"/>
      <c r="AM45" s="10"/>
      <c r="AN45" s="8"/>
      <c r="AR45" s="10"/>
      <c r="AS45" s="8"/>
      <c r="AW45" s="10"/>
      <c r="BB45" s="10"/>
      <c r="BC45" s="8"/>
      <c r="BG45" s="10"/>
      <c r="BH45" s="8"/>
      <c r="BL45" s="10"/>
      <c r="BM45" s="8"/>
      <c r="BQ45" s="10"/>
      <c r="BR45" s="8"/>
      <c r="BV45" s="10"/>
      <c r="BW45" s="8"/>
      <c r="CA45" s="10"/>
      <c r="CB45" s="25"/>
      <c r="CZ45" s="10"/>
      <c r="DA45" s="8"/>
      <c r="DE45" s="10"/>
    </row>
    <row r="46" spans="1:109" ht="13.5" customHeight="1" x14ac:dyDescent="0.25">
      <c r="S46" s="96" t="s">
        <v>56</v>
      </c>
      <c r="T46" s="96"/>
      <c r="X46" s="92" t="s">
        <v>40</v>
      </c>
      <c r="Y46" s="92"/>
      <c r="AC46" s="92" t="s">
        <v>41</v>
      </c>
      <c r="AD46" s="92"/>
      <c r="AH46" s="92" t="s">
        <v>42</v>
      </c>
      <c r="AI46" s="92"/>
      <c r="AM46" s="92" t="s">
        <v>43</v>
      </c>
      <c r="AN46" s="92"/>
      <c r="AR46" s="92" t="s">
        <v>39</v>
      </c>
      <c r="AS46" s="92"/>
      <c r="BB46" s="92" t="s">
        <v>40</v>
      </c>
      <c r="BC46" s="92"/>
      <c r="BG46" s="92" t="s">
        <v>41</v>
      </c>
      <c r="BH46" s="92"/>
      <c r="BL46" s="92" t="s">
        <v>42</v>
      </c>
      <c r="BM46" s="92"/>
      <c r="BQ46" s="92" t="s">
        <v>43</v>
      </c>
      <c r="BR46" s="92"/>
      <c r="BV46" s="92" t="s">
        <v>39</v>
      </c>
      <c r="BW46" s="92"/>
      <c r="CA46" s="96" t="s">
        <v>60</v>
      </c>
      <c r="CB46" s="96"/>
    </row>
    <row r="47" spans="1:109" s="12" customFormat="1" ht="30" customHeight="1" x14ac:dyDescent="0.45">
      <c r="S47" s="96"/>
      <c r="T47" s="96"/>
      <c r="X47" s="92"/>
      <c r="Y47" s="92"/>
      <c r="AC47" s="92"/>
      <c r="AD47" s="92"/>
      <c r="AH47" s="92"/>
      <c r="AI47" s="92"/>
      <c r="AM47" s="92"/>
      <c r="AN47" s="92"/>
      <c r="AR47" s="92"/>
      <c r="AS47" s="92"/>
      <c r="AX47" s="13"/>
      <c r="BB47" s="92"/>
      <c r="BC47" s="92"/>
      <c r="BG47" s="92"/>
      <c r="BH47" s="92"/>
      <c r="BL47" s="92"/>
      <c r="BM47" s="92"/>
      <c r="BQ47" s="92"/>
      <c r="BR47" s="92"/>
      <c r="BV47" s="92"/>
      <c r="BW47" s="92"/>
      <c r="CA47" s="96"/>
      <c r="CB47" s="96"/>
    </row>
    <row r="48" spans="1:109" s="12" customFormat="1" ht="30" customHeight="1" x14ac:dyDescent="0.45">
      <c r="S48" s="96"/>
      <c r="T48" s="96"/>
      <c r="X48" s="48"/>
      <c r="Y48" s="64"/>
      <c r="AC48" s="48"/>
      <c r="AD48" s="64"/>
      <c r="AH48" s="48"/>
      <c r="AI48" s="64"/>
      <c r="AM48" s="48"/>
      <c r="AN48" s="64"/>
      <c r="AR48" s="92"/>
      <c r="AS48" s="92"/>
      <c r="AX48" s="13"/>
      <c r="BB48" s="92"/>
      <c r="BC48" s="92"/>
      <c r="BG48" s="48"/>
      <c r="BH48" s="64"/>
      <c r="BL48" s="48"/>
      <c r="BM48" s="64"/>
      <c r="BQ48" s="48"/>
      <c r="BR48" s="64"/>
      <c r="BV48" s="48"/>
      <c r="BW48" s="64"/>
      <c r="CA48" s="96"/>
      <c r="CB48" s="96"/>
    </row>
    <row r="49" spans="19:80" s="12" customFormat="1" ht="30" customHeight="1" x14ac:dyDescent="0.45">
      <c r="S49" s="96"/>
      <c r="T49" s="96"/>
      <c r="X49" s="48"/>
      <c r="Y49" s="64"/>
      <c r="AC49" s="48"/>
      <c r="AD49" s="64"/>
      <c r="AH49" s="48"/>
      <c r="AI49" s="64"/>
      <c r="AM49" s="48"/>
      <c r="AN49" s="64"/>
      <c r="AR49" s="48"/>
      <c r="AS49" s="54"/>
      <c r="AX49" s="13"/>
      <c r="BB49" s="48"/>
      <c r="BC49" s="64"/>
      <c r="BG49" s="48"/>
      <c r="BH49" s="64"/>
      <c r="BL49" s="48"/>
      <c r="BM49" s="64"/>
      <c r="BQ49" s="48"/>
      <c r="BR49" s="64"/>
      <c r="BV49" s="48"/>
      <c r="BW49" s="64"/>
      <c r="CA49" s="48"/>
      <c r="CB49" s="62"/>
    </row>
    <row r="50" spans="19:80" ht="30" customHeight="1" x14ac:dyDescent="0.25">
      <c r="S50" s="18"/>
      <c r="T50" s="54"/>
      <c r="X50" s="49"/>
      <c r="Y50" s="54"/>
      <c r="AC50" s="49"/>
      <c r="AD50" s="54"/>
      <c r="AH50" s="49"/>
      <c r="AI50" s="54"/>
      <c r="AM50" s="49"/>
      <c r="AN50" s="54"/>
      <c r="AR50" s="49"/>
      <c r="AS50" s="54"/>
      <c r="BB50" s="49"/>
      <c r="BC50" s="54"/>
      <c r="BG50" s="49"/>
      <c r="BH50" s="54"/>
      <c r="BL50" s="49"/>
      <c r="BM50" s="54"/>
      <c r="BQ50" s="49"/>
      <c r="BR50" s="54"/>
      <c r="BV50" s="49"/>
      <c r="BW50" s="54"/>
      <c r="CA50" s="49"/>
      <c r="CB50" s="61"/>
    </row>
    <row r="51" spans="19:80" ht="30" customHeight="1" x14ac:dyDescent="0.25">
      <c r="S51" s="18"/>
      <c r="T51" s="54"/>
      <c r="X51" s="49"/>
      <c r="Y51" s="54"/>
      <c r="AC51" s="49"/>
      <c r="AD51" s="54"/>
      <c r="AH51" s="49"/>
      <c r="AI51" s="54"/>
      <c r="AM51" s="49"/>
      <c r="AN51" s="54"/>
      <c r="AR51" s="49"/>
      <c r="AS51" s="54"/>
      <c r="BB51" s="49"/>
      <c r="BC51" s="54"/>
      <c r="BG51" s="49"/>
      <c r="BH51" s="54"/>
      <c r="BL51" s="49"/>
      <c r="BM51" s="54"/>
      <c r="BQ51" s="49"/>
      <c r="BR51" s="54"/>
      <c r="BV51" s="49"/>
      <c r="BW51" s="54"/>
      <c r="CA51" s="49"/>
      <c r="CB51" s="61"/>
    </row>
    <row r="52" spans="19:80" ht="30" customHeight="1" x14ac:dyDescent="0.25">
      <c r="S52" s="18"/>
      <c r="T52" s="54"/>
      <c r="X52" s="49"/>
      <c r="Y52" s="54"/>
      <c r="AC52" s="49"/>
      <c r="AD52" s="54"/>
      <c r="AH52" s="49"/>
      <c r="AI52" s="54"/>
      <c r="AM52" s="49"/>
      <c r="AN52" s="54"/>
      <c r="AR52" s="49"/>
      <c r="AS52" s="54"/>
      <c r="BB52" s="49"/>
      <c r="BC52" s="54"/>
      <c r="BG52" s="49"/>
      <c r="BH52" s="54"/>
      <c r="BL52" s="49"/>
      <c r="BM52" s="54"/>
      <c r="BQ52" s="49"/>
      <c r="BR52" s="54"/>
      <c r="BV52" s="49"/>
      <c r="BW52" s="54"/>
      <c r="CA52" s="49"/>
      <c r="CB52" s="61"/>
    </row>
    <row r="53" spans="19:80" ht="30" customHeight="1" x14ac:dyDescent="0.25">
      <c r="S53" s="18"/>
      <c r="T53" s="54"/>
      <c r="X53" s="49"/>
      <c r="Y53" s="54"/>
      <c r="AC53" s="49"/>
      <c r="AD53" s="54"/>
      <c r="AH53" s="49"/>
      <c r="AI53" s="54"/>
      <c r="AM53" s="49"/>
      <c r="AN53" s="54"/>
      <c r="AR53" s="49"/>
      <c r="AS53" s="54"/>
      <c r="BB53" s="49"/>
      <c r="BC53" s="54"/>
      <c r="BG53" s="49"/>
      <c r="BH53" s="54"/>
      <c r="BL53" s="49"/>
      <c r="BM53" s="54"/>
      <c r="BQ53" s="49"/>
      <c r="BR53" s="54"/>
      <c r="BV53" s="49"/>
      <c r="BW53" s="54"/>
      <c r="CA53" s="49"/>
      <c r="CB53" s="61"/>
    </row>
    <row r="54" spans="19:80" ht="30" customHeight="1" x14ac:dyDescent="0.25">
      <c r="S54" s="18"/>
      <c r="T54" s="54"/>
      <c r="X54" s="49"/>
      <c r="Y54" s="54"/>
      <c r="AC54" s="49"/>
      <c r="AD54" s="54"/>
      <c r="AH54" s="49"/>
      <c r="AI54" s="54"/>
      <c r="AM54" s="49"/>
      <c r="AN54" s="54"/>
      <c r="AR54" s="49"/>
      <c r="AS54" s="54"/>
      <c r="BB54" s="49"/>
      <c r="BC54" s="54"/>
      <c r="BG54" s="49"/>
      <c r="BH54" s="54"/>
      <c r="BL54" s="49"/>
      <c r="BM54" s="54"/>
      <c r="BQ54" s="49"/>
      <c r="BR54" s="54"/>
      <c r="BV54" s="49"/>
      <c r="BW54" s="54"/>
      <c r="CA54" s="49"/>
      <c r="CB54" s="61"/>
    </row>
    <row r="55" spans="19:80" ht="30" customHeight="1" x14ac:dyDescent="0.25">
      <c r="S55" s="18"/>
      <c r="T55" s="54"/>
      <c r="X55" s="49"/>
      <c r="Y55" s="54"/>
      <c r="AC55" s="49"/>
      <c r="AD55" s="54"/>
      <c r="AH55" s="49"/>
      <c r="AI55" s="54"/>
      <c r="AM55" s="49"/>
      <c r="AN55" s="54"/>
      <c r="AR55" s="49"/>
      <c r="AS55" s="54"/>
      <c r="BB55" s="49"/>
      <c r="BC55" s="54"/>
      <c r="BG55" s="49"/>
      <c r="BH55" s="54"/>
      <c r="BL55" s="49"/>
      <c r="BM55" s="54"/>
      <c r="BQ55" s="49"/>
      <c r="BR55" s="54"/>
      <c r="BV55" s="49"/>
      <c r="BW55" s="54"/>
      <c r="CA55" s="49"/>
      <c r="CB55" s="61"/>
    </row>
    <row r="56" spans="19:80" ht="30" customHeight="1" x14ac:dyDescent="0.25">
      <c r="S56" s="18"/>
      <c r="T56" s="54"/>
      <c r="X56" s="49"/>
      <c r="Y56" s="54"/>
      <c r="AC56" s="49"/>
      <c r="AD56" s="54"/>
      <c r="AH56" s="49"/>
      <c r="AI56" s="54"/>
      <c r="AM56" s="49"/>
      <c r="AN56" s="54"/>
      <c r="AR56" s="49"/>
      <c r="AS56" s="54"/>
      <c r="BB56" s="49"/>
      <c r="BC56" s="54"/>
      <c r="BG56" s="49"/>
      <c r="BH56" s="54"/>
      <c r="BL56" s="49"/>
      <c r="BM56" s="54"/>
      <c r="BQ56" s="49"/>
      <c r="BR56" s="54"/>
      <c r="BV56" s="49"/>
      <c r="BW56" s="54"/>
      <c r="CA56" s="49"/>
      <c r="CB56" s="61"/>
    </row>
    <row r="57" spans="19:80" ht="30" customHeight="1" x14ac:dyDescent="0.25">
      <c r="S57" s="18"/>
      <c r="T57" s="54"/>
      <c r="X57" s="49"/>
      <c r="Y57" s="54"/>
      <c r="AC57" s="49"/>
      <c r="AD57" s="54"/>
      <c r="AH57" s="49"/>
      <c r="AI57" s="54"/>
      <c r="AM57" s="49"/>
      <c r="AN57" s="54"/>
      <c r="AR57" s="49"/>
      <c r="AS57" s="54"/>
      <c r="BB57" s="49"/>
      <c r="BC57" s="54"/>
      <c r="BG57" s="49"/>
      <c r="BH57" s="54"/>
      <c r="BL57" s="49"/>
      <c r="BM57" s="54"/>
      <c r="BQ57" s="49"/>
      <c r="BR57" s="54"/>
      <c r="BV57" s="49"/>
      <c r="BW57" s="54"/>
      <c r="CA57" s="49"/>
      <c r="CB57" s="61"/>
    </row>
    <row r="58" spans="19:80" ht="30" customHeight="1" x14ac:dyDescent="0.25">
      <c r="S58" s="18"/>
      <c r="T58" s="54"/>
      <c r="X58" s="49"/>
      <c r="Y58" s="54"/>
      <c r="AC58" s="49"/>
      <c r="AD58" s="54"/>
      <c r="AH58" s="49"/>
      <c r="AI58" s="54"/>
      <c r="AM58" s="49"/>
      <c r="AN58" s="54"/>
      <c r="AR58" s="49"/>
      <c r="AS58" s="54"/>
      <c r="BB58" s="49"/>
      <c r="BC58" s="54"/>
      <c r="BG58" s="49"/>
      <c r="BH58" s="54"/>
      <c r="BL58" s="49"/>
      <c r="BM58" s="54"/>
      <c r="BQ58" s="49"/>
      <c r="BR58" s="54"/>
      <c r="BV58" s="49"/>
      <c r="BW58" s="54"/>
      <c r="CA58" s="49"/>
      <c r="CB58" s="61"/>
    </row>
    <row r="59" spans="19:80" ht="30" customHeight="1" x14ac:dyDescent="0.25">
      <c r="S59" s="18"/>
      <c r="T59" s="54"/>
      <c r="X59" s="49"/>
      <c r="Y59" s="54"/>
      <c r="AC59" s="49"/>
      <c r="AD59" s="54"/>
      <c r="AH59" s="49"/>
      <c r="AI59" s="54"/>
      <c r="AM59" s="49"/>
      <c r="AN59" s="54"/>
      <c r="AR59" s="49"/>
      <c r="AS59" s="54"/>
      <c r="BB59" s="49"/>
      <c r="BC59" s="54"/>
      <c r="BG59" s="49"/>
      <c r="BH59" s="54"/>
      <c r="BL59" s="49"/>
      <c r="BM59" s="54"/>
      <c r="BQ59" s="49"/>
      <c r="BR59" s="54"/>
      <c r="BV59" s="49"/>
      <c r="BW59" s="54"/>
      <c r="CA59" s="49"/>
      <c r="CB59" s="61"/>
    </row>
    <row r="60" spans="19:80" ht="30" customHeight="1" x14ac:dyDescent="0.25">
      <c r="S60" s="18"/>
      <c r="T60" s="54"/>
      <c r="X60" s="49"/>
      <c r="Y60" s="54"/>
      <c r="AC60" s="49"/>
      <c r="AD60" s="54"/>
      <c r="AH60" s="49"/>
      <c r="AI60" s="54"/>
      <c r="AM60" s="49"/>
      <c r="AN60" s="54"/>
      <c r="AR60" s="49"/>
      <c r="AS60" s="54"/>
      <c r="BB60" s="49"/>
      <c r="BC60" s="54"/>
      <c r="BG60" s="49"/>
      <c r="BH60" s="54"/>
      <c r="BL60" s="49"/>
      <c r="BM60" s="54"/>
      <c r="BQ60" s="49"/>
      <c r="BR60" s="54"/>
      <c r="BV60" s="49"/>
      <c r="BW60" s="54"/>
      <c r="CA60" s="49"/>
      <c r="CB60" s="61"/>
    </row>
    <row r="61" spans="19:80" ht="30" customHeight="1" x14ac:dyDescent="0.25">
      <c r="S61" s="18"/>
      <c r="T61" s="54"/>
      <c r="X61" s="49"/>
      <c r="Y61" s="54"/>
      <c r="AC61" s="49"/>
      <c r="AD61" s="54"/>
      <c r="AH61" s="49"/>
      <c r="AI61" s="54"/>
      <c r="AM61" s="49"/>
      <c r="AN61" s="54"/>
      <c r="AR61" s="49"/>
      <c r="AS61" s="54"/>
      <c r="BB61" s="49"/>
      <c r="BC61" s="54"/>
      <c r="BG61" s="49"/>
      <c r="BH61" s="54"/>
      <c r="BL61" s="49"/>
      <c r="BM61" s="54"/>
      <c r="BQ61" s="49"/>
      <c r="BR61" s="54"/>
      <c r="BV61" s="49"/>
      <c r="BW61" s="54"/>
      <c r="CA61" s="49"/>
      <c r="CB61" s="61"/>
    </row>
    <row r="62" spans="19:80" ht="30" customHeight="1" x14ac:dyDescent="0.25">
      <c r="S62" s="18"/>
      <c r="T62" s="54"/>
      <c r="X62" s="49"/>
      <c r="Y62" s="54"/>
      <c r="AC62" s="49"/>
      <c r="AD62" s="54"/>
      <c r="AH62" s="49"/>
      <c r="AI62" s="54"/>
      <c r="AM62" s="49"/>
      <c r="AN62" s="54"/>
      <c r="AR62" s="49"/>
      <c r="AS62" s="54"/>
      <c r="BB62" s="49"/>
      <c r="BC62" s="54"/>
      <c r="BG62" s="49"/>
      <c r="BH62" s="54"/>
      <c r="BL62" s="49"/>
      <c r="BM62" s="54"/>
      <c r="BQ62" s="49"/>
      <c r="BR62" s="54"/>
      <c r="BV62" s="49"/>
      <c r="BW62" s="54"/>
      <c r="CA62" s="49"/>
      <c r="CB62" s="61"/>
    </row>
    <row r="63" spans="19:80" ht="30" customHeight="1" x14ac:dyDescent="0.25">
      <c r="S63" s="18"/>
      <c r="T63" s="54"/>
      <c r="X63" s="49"/>
      <c r="Y63" s="54"/>
      <c r="AC63" s="49"/>
      <c r="AD63" s="54"/>
      <c r="AH63" s="49"/>
      <c r="AI63" s="54"/>
      <c r="AM63" s="49"/>
      <c r="AN63" s="54"/>
      <c r="AR63" s="49"/>
      <c r="AS63" s="54"/>
      <c r="BB63" s="49"/>
      <c r="BC63" s="54"/>
      <c r="BG63" s="49"/>
      <c r="BH63" s="54"/>
      <c r="BL63" s="49"/>
      <c r="BM63" s="54"/>
      <c r="BQ63" s="49"/>
      <c r="BR63" s="54"/>
      <c r="BV63" s="49"/>
      <c r="BW63" s="54"/>
      <c r="CA63" s="49"/>
      <c r="CB63" s="61"/>
    </row>
    <row r="64" spans="19:80" ht="30" customHeight="1" x14ac:dyDescent="0.25">
      <c r="S64" s="18"/>
      <c r="T64" s="54"/>
      <c r="X64" s="49"/>
      <c r="Y64" s="54"/>
      <c r="AC64" s="49"/>
      <c r="AD64" s="54"/>
      <c r="AH64" s="49"/>
      <c r="AI64" s="54"/>
      <c r="AM64" s="49"/>
      <c r="AN64" s="54"/>
      <c r="AR64" s="49"/>
      <c r="AS64" s="54"/>
      <c r="BB64" s="49"/>
      <c r="BC64" s="54"/>
      <c r="BG64" s="49"/>
      <c r="BH64" s="54"/>
      <c r="BL64" s="49"/>
      <c r="BM64" s="54"/>
      <c r="BQ64" s="49"/>
      <c r="BR64" s="54"/>
      <c r="BV64" s="49"/>
      <c r="BW64" s="54"/>
      <c r="CA64" s="49"/>
      <c r="CB64" s="61"/>
    </row>
    <row r="65" spans="19:80" ht="30" customHeight="1" x14ac:dyDescent="0.25">
      <c r="S65" s="18"/>
      <c r="T65" s="54"/>
      <c r="X65" s="49"/>
      <c r="Y65" s="54"/>
      <c r="AC65" s="49"/>
      <c r="AD65" s="54"/>
      <c r="AH65" s="49"/>
      <c r="AI65" s="54"/>
      <c r="AM65" s="49"/>
      <c r="AN65" s="54"/>
      <c r="AR65" s="49"/>
      <c r="AS65" s="54"/>
      <c r="BB65" s="49"/>
      <c r="BC65" s="54"/>
      <c r="BG65" s="49"/>
      <c r="BH65" s="54"/>
      <c r="BL65" s="49"/>
      <c r="BM65" s="54"/>
      <c r="BQ65" s="49"/>
      <c r="BR65" s="54"/>
      <c r="BV65" s="49"/>
      <c r="BW65" s="54"/>
      <c r="CA65" s="49"/>
      <c r="CB65" s="61"/>
    </row>
    <row r="66" spans="19:80" ht="30" customHeight="1" x14ac:dyDescent="0.25">
      <c r="S66" s="18"/>
      <c r="T66" s="54"/>
      <c r="X66" s="49"/>
      <c r="Y66" s="54"/>
      <c r="AC66" s="49"/>
      <c r="AD66" s="54"/>
      <c r="AH66" s="49"/>
      <c r="AI66" s="54"/>
      <c r="AM66" s="49"/>
      <c r="AN66" s="54"/>
      <c r="AR66" s="49"/>
      <c r="AS66" s="54"/>
      <c r="BB66" s="49"/>
      <c r="BC66" s="54"/>
      <c r="BG66" s="49"/>
      <c r="BH66" s="54"/>
      <c r="BL66" s="49"/>
      <c r="BM66" s="54"/>
      <c r="BQ66" s="49"/>
      <c r="BR66" s="54"/>
      <c r="BV66" s="49"/>
      <c r="BW66" s="54"/>
      <c r="CA66" s="49"/>
      <c r="CB66" s="61"/>
    </row>
    <row r="67" spans="19:80" ht="30" customHeight="1" x14ac:dyDescent="0.25">
      <c r="S67" s="18"/>
      <c r="T67" s="54"/>
      <c r="X67" s="49"/>
      <c r="Y67" s="54"/>
      <c r="AC67" s="49"/>
      <c r="AD67" s="54"/>
      <c r="AH67" s="49"/>
      <c r="AI67" s="54"/>
      <c r="AM67" s="49"/>
      <c r="AN67" s="54"/>
      <c r="AR67" s="49"/>
      <c r="AS67" s="54"/>
      <c r="BB67" s="49"/>
      <c r="BC67" s="54"/>
      <c r="BG67" s="49"/>
      <c r="BH67" s="54"/>
      <c r="BL67" s="49"/>
      <c r="BM67" s="54"/>
      <c r="BQ67" s="49"/>
      <c r="BR67" s="54"/>
      <c r="BV67" s="49"/>
      <c r="BW67" s="54"/>
      <c r="CA67" s="49"/>
      <c r="CB67" s="61"/>
    </row>
    <row r="68" spans="19:80" ht="30" customHeight="1" x14ac:dyDescent="0.25">
      <c r="S68" s="18"/>
      <c r="T68" s="54"/>
      <c r="X68" s="49"/>
      <c r="Y68" s="54"/>
      <c r="AC68" s="49"/>
      <c r="AD68" s="54"/>
      <c r="AH68" s="49"/>
      <c r="AI68" s="54"/>
      <c r="AM68" s="49"/>
      <c r="AN68" s="54"/>
      <c r="AR68" s="49"/>
      <c r="AS68" s="54"/>
      <c r="BB68" s="49"/>
      <c r="BC68" s="54"/>
      <c r="BG68" s="49"/>
      <c r="BH68" s="54"/>
      <c r="BL68" s="49"/>
      <c r="BM68" s="54"/>
      <c r="BQ68" s="49"/>
      <c r="BR68" s="54"/>
      <c r="BV68" s="49"/>
      <c r="BW68" s="54"/>
      <c r="CA68" s="49"/>
      <c r="CB68" s="61"/>
    </row>
    <row r="69" spans="19:80" ht="30" customHeight="1" x14ac:dyDescent="0.25">
      <c r="S69" s="18"/>
      <c r="T69" s="54"/>
      <c r="X69" s="49"/>
      <c r="Y69" s="54"/>
      <c r="AC69" s="49"/>
      <c r="AD69" s="54"/>
      <c r="AH69" s="49"/>
      <c r="AI69" s="54"/>
      <c r="AM69" s="49"/>
      <c r="AN69" s="54"/>
      <c r="AR69" s="49"/>
      <c r="AS69" s="54"/>
      <c r="BB69" s="49"/>
      <c r="BC69" s="54"/>
      <c r="BG69" s="49"/>
      <c r="BH69" s="54"/>
      <c r="BL69" s="49"/>
      <c r="BM69" s="54"/>
      <c r="BQ69" s="49"/>
      <c r="BR69" s="54"/>
      <c r="BV69" s="49"/>
      <c r="BW69" s="54"/>
      <c r="CA69" s="49"/>
      <c r="CB69" s="61"/>
    </row>
    <row r="70" spans="19:80" ht="30" customHeight="1" x14ac:dyDescent="0.25">
      <c r="S70" s="18"/>
      <c r="T70" s="54"/>
      <c r="X70" s="49"/>
      <c r="Y70" s="54"/>
      <c r="AC70" s="49"/>
      <c r="AD70" s="54"/>
      <c r="AH70" s="49"/>
      <c r="AI70" s="54"/>
      <c r="AM70" s="49"/>
      <c r="AN70" s="54"/>
      <c r="AR70" s="49"/>
      <c r="AS70" s="54"/>
      <c r="BB70" s="49"/>
      <c r="BC70" s="54"/>
      <c r="BG70" s="49"/>
      <c r="BH70" s="54"/>
      <c r="BL70" s="49"/>
      <c r="BM70" s="54"/>
      <c r="BQ70" s="49"/>
      <c r="BR70" s="54"/>
      <c r="BV70" s="49"/>
      <c r="BW70" s="54"/>
      <c r="CA70" s="49"/>
      <c r="CB70" s="61"/>
    </row>
    <row r="71" spans="19:80" ht="30" customHeight="1" x14ac:dyDescent="0.25">
      <c r="S71" s="18"/>
      <c r="T71" s="54"/>
      <c r="X71" s="49"/>
      <c r="Y71" s="54"/>
      <c r="AC71" s="49"/>
      <c r="AD71" s="54"/>
      <c r="AH71" s="49"/>
      <c r="AI71" s="54"/>
      <c r="AM71" s="49"/>
      <c r="AN71" s="54"/>
      <c r="AR71" s="49"/>
      <c r="AS71" s="54"/>
      <c r="BB71" s="49"/>
      <c r="BC71" s="54"/>
      <c r="BG71" s="49"/>
      <c r="BH71" s="54"/>
      <c r="BL71" s="49"/>
      <c r="BM71" s="54"/>
      <c r="BQ71" s="49"/>
      <c r="BR71" s="54"/>
      <c r="BV71" s="49"/>
      <c r="BW71" s="54"/>
      <c r="CA71" s="49"/>
      <c r="CB71" s="61"/>
    </row>
    <row r="72" spans="19:80" ht="30" customHeight="1" x14ac:dyDescent="0.25">
      <c r="S72" s="18"/>
      <c r="T72" s="54"/>
      <c r="X72" s="49"/>
      <c r="Y72" s="54"/>
      <c r="AC72" s="49"/>
      <c r="AD72" s="54"/>
      <c r="AH72" s="49"/>
      <c r="AI72" s="54"/>
      <c r="AM72" s="49"/>
      <c r="AN72" s="54"/>
      <c r="AR72" s="49"/>
      <c r="AS72" s="54"/>
      <c r="BB72" s="49"/>
      <c r="BC72" s="54"/>
      <c r="BG72" s="49"/>
      <c r="BH72" s="54"/>
      <c r="BL72" s="49"/>
      <c r="BM72" s="54"/>
      <c r="BQ72" s="49"/>
      <c r="BR72" s="54"/>
      <c r="BV72" s="49"/>
      <c r="BW72" s="54"/>
      <c r="CA72" s="49"/>
      <c r="CB72" s="61"/>
    </row>
    <row r="73" spans="19:80" ht="30" customHeight="1" x14ac:dyDescent="0.25">
      <c r="S73" s="18"/>
      <c r="T73" s="54"/>
      <c r="X73" s="49"/>
      <c r="Y73" s="54"/>
      <c r="AC73" s="49"/>
      <c r="AD73" s="54"/>
      <c r="AH73" s="49"/>
      <c r="AI73" s="54"/>
      <c r="AM73" s="49"/>
      <c r="AN73" s="54"/>
      <c r="AR73" s="49"/>
      <c r="AS73" s="54"/>
      <c r="BB73" s="49"/>
      <c r="BC73" s="54"/>
      <c r="BG73" s="49"/>
      <c r="BH73" s="54"/>
      <c r="BL73" s="49"/>
      <c r="BM73" s="54"/>
      <c r="BQ73" s="49"/>
      <c r="BR73" s="54"/>
      <c r="BV73" s="49"/>
      <c r="BW73" s="54"/>
      <c r="CA73" s="49"/>
      <c r="CB73" s="61"/>
    </row>
    <row r="74" spans="19:80" ht="30" customHeight="1" x14ac:dyDescent="0.25">
      <c r="S74" s="18"/>
      <c r="T74" s="54"/>
      <c r="X74" s="49"/>
      <c r="Y74" s="54"/>
      <c r="AC74" s="49"/>
      <c r="AD74" s="54"/>
      <c r="AH74" s="49"/>
      <c r="AI74" s="54"/>
      <c r="AM74" s="49"/>
      <c r="AN74" s="54"/>
      <c r="AR74" s="49"/>
      <c r="AS74" s="54"/>
      <c r="BB74" s="49"/>
      <c r="BC74" s="54"/>
      <c r="BG74" s="49"/>
      <c r="BH74" s="54"/>
      <c r="BL74" s="49"/>
      <c r="BM74" s="54"/>
      <c r="BQ74" s="49"/>
      <c r="BR74" s="54"/>
      <c r="BV74" s="49"/>
      <c r="BW74" s="54"/>
      <c r="CA74" s="49"/>
      <c r="CB74" s="61"/>
    </row>
    <row r="75" spans="19:80" ht="30" customHeight="1" x14ac:dyDescent="0.25">
      <c r="S75" s="18"/>
      <c r="T75" s="54"/>
      <c r="X75" s="49"/>
      <c r="Y75" s="54"/>
      <c r="AC75" s="49"/>
      <c r="AD75" s="54"/>
      <c r="AH75" s="49"/>
      <c r="AI75" s="54"/>
      <c r="AM75" s="49"/>
      <c r="AN75" s="54"/>
      <c r="AR75" s="49"/>
      <c r="AS75" s="54"/>
      <c r="BB75" s="49"/>
      <c r="BC75" s="54"/>
      <c r="BG75" s="49"/>
      <c r="BH75" s="54"/>
      <c r="BL75" s="49"/>
      <c r="BM75" s="54"/>
      <c r="BQ75" s="49"/>
      <c r="BR75" s="54"/>
      <c r="BV75" s="49"/>
      <c r="BW75" s="54"/>
      <c r="CA75" s="49"/>
      <c r="CB75" s="61"/>
    </row>
    <row r="76" spans="19:80" ht="30" customHeight="1" x14ac:dyDescent="0.25">
      <c r="S76" s="18"/>
      <c r="T76" s="54"/>
      <c r="X76" s="49"/>
      <c r="Y76" s="54"/>
      <c r="AC76" s="49"/>
      <c r="AD76" s="54"/>
      <c r="AH76" s="49"/>
      <c r="AI76" s="54"/>
      <c r="AM76" s="49"/>
      <c r="AN76" s="54"/>
      <c r="AR76" s="49"/>
      <c r="AS76" s="54"/>
      <c r="BB76" s="49"/>
      <c r="BC76" s="54"/>
      <c r="BG76" s="49"/>
      <c r="BH76" s="54"/>
      <c r="BL76" s="49"/>
      <c r="BM76" s="54"/>
      <c r="BQ76" s="49"/>
      <c r="BR76" s="54"/>
      <c r="BV76" s="49"/>
      <c r="BW76" s="54"/>
      <c r="CA76" s="49"/>
      <c r="CB76" s="61"/>
    </row>
    <row r="77" spans="19:80" ht="30" customHeight="1" x14ac:dyDescent="0.25">
      <c r="S77" s="93" t="s">
        <v>19</v>
      </c>
      <c r="T77" s="54"/>
      <c r="X77" s="49"/>
      <c r="Y77" s="54"/>
      <c r="AC77" s="49"/>
      <c r="AD77" s="54"/>
      <c r="AH77" s="49"/>
      <c r="AI77" s="54"/>
      <c r="AM77" s="49"/>
      <c r="AN77" s="54"/>
      <c r="AR77" s="49"/>
      <c r="AS77" s="54"/>
      <c r="BB77" s="49"/>
      <c r="BC77" s="54"/>
      <c r="BG77" s="49"/>
      <c r="BH77" s="54"/>
      <c r="BL77" s="49"/>
      <c r="BM77" s="54"/>
      <c r="BQ77" s="49"/>
      <c r="BR77" s="54"/>
      <c r="BV77" s="49"/>
      <c r="BW77" s="54"/>
      <c r="CA77" s="49"/>
      <c r="CB77" s="61"/>
    </row>
    <row r="78" spans="19:80" ht="30" customHeight="1" x14ac:dyDescent="0.25">
      <c r="S78" s="93"/>
      <c r="T78" s="54"/>
      <c r="X78" s="49"/>
      <c r="Y78" s="54"/>
      <c r="AC78" s="49"/>
      <c r="AD78" s="54"/>
      <c r="AH78" s="49"/>
      <c r="AI78" s="54"/>
      <c r="AM78" s="49"/>
      <c r="AN78" s="54"/>
      <c r="AR78" s="49"/>
      <c r="AS78" s="54"/>
      <c r="BB78" s="49"/>
      <c r="BC78" s="54"/>
      <c r="BG78" s="49"/>
      <c r="BH78" s="54"/>
      <c r="BL78" s="49"/>
      <c r="BM78" s="54"/>
      <c r="BQ78" s="49"/>
      <c r="BR78" s="54"/>
      <c r="BV78" s="49"/>
      <c r="BW78" s="54"/>
      <c r="CA78" s="49"/>
      <c r="CB78" s="61"/>
    </row>
    <row r="79" spans="19:80" ht="30" customHeight="1" x14ac:dyDescent="0.25">
      <c r="S79" s="93"/>
      <c r="T79" s="54"/>
      <c r="X79" s="49"/>
      <c r="Y79" s="54"/>
      <c r="AC79" s="49"/>
      <c r="AD79" s="54"/>
      <c r="AH79" s="49"/>
      <c r="AI79" s="54"/>
      <c r="AM79" s="49"/>
      <c r="AN79" s="54"/>
      <c r="AR79" s="49"/>
      <c r="AS79" s="54"/>
      <c r="BB79" s="49"/>
      <c r="BC79" s="54"/>
      <c r="BG79" s="49"/>
      <c r="BH79" s="54"/>
      <c r="BL79" s="49"/>
      <c r="BM79" s="54"/>
      <c r="BQ79" s="49"/>
      <c r="BR79" s="54"/>
      <c r="BV79" s="49"/>
      <c r="BW79" s="54"/>
      <c r="CA79" s="49"/>
      <c r="CB79" s="61"/>
    </row>
    <row r="80" spans="19:80" ht="30" customHeight="1" x14ac:dyDescent="0.25">
      <c r="S80" s="93"/>
      <c r="T80" s="54"/>
      <c r="X80" s="49"/>
      <c r="Y80" s="54"/>
      <c r="AC80" s="49"/>
      <c r="AD80" s="54"/>
      <c r="AH80" s="49"/>
      <c r="AI80" s="54"/>
      <c r="AM80" s="49"/>
      <c r="AN80" s="54"/>
      <c r="AR80" s="49"/>
      <c r="AS80" s="54"/>
      <c r="BB80" s="49"/>
      <c r="BC80" s="54"/>
      <c r="BG80" s="49"/>
      <c r="BH80" s="54"/>
      <c r="BL80" s="49"/>
      <c r="BM80" s="54"/>
      <c r="BQ80" s="49"/>
      <c r="BR80" s="54"/>
      <c r="BV80" s="49"/>
      <c r="BW80" s="54"/>
      <c r="CA80" s="49"/>
      <c r="CB80" s="61"/>
    </row>
    <row r="81" spans="19:80" ht="30" customHeight="1" x14ac:dyDescent="0.25">
      <c r="S81" s="93"/>
      <c r="T81" s="54"/>
      <c r="X81" s="49"/>
      <c r="Y81" s="54"/>
      <c r="AC81" s="49"/>
      <c r="AD81" s="54"/>
      <c r="AH81" s="49"/>
      <c r="AI81" s="54"/>
      <c r="AM81" s="49"/>
      <c r="AN81" s="54"/>
      <c r="AR81" s="49"/>
      <c r="AS81" s="54"/>
      <c r="BB81" s="49"/>
      <c r="BC81" s="54"/>
      <c r="BG81" s="49"/>
      <c r="BH81" s="54"/>
      <c r="BL81" s="49"/>
      <c r="BM81" s="54"/>
      <c r="BQ81" s="49"/>
      <c r="BR81" s="54"/>
      <c r="BV81" s="49"/>
      <c r="BW81" s="54"/>
      <c r="CA81" s="49"/>
      <c r="CB81" s="61"/>
    </row>
    <row r="82" spans="19:80" ht="30" customHeight="1" x14ac:dyDescent="0.25">
      <c r="S82" s="18"/>
      <c r="AS82" s="54"/>
      <c r="BB82" s="49"/>
      <c r="BC82" s="54"/>
      <c r="BG82" s="49"/>
      <c r="BH82" s="54"/>
      <c r="BL82" s="49"/>
      <c r="BM82" s="54"/>
      <c r="BQ82" s="49"/>
      <c r="BR82" s="54"/>
      <c r="BV82" s="49"/>
      <c r="BW82" s="54"/>
      <c r="CA82" s="49"/>
      <c r="CB82" s="61"/>
    </row>
    <row r="83" spans="19:80" ht="30" customHeight="1" x14ac:dyDescent="0.25">
      <c r="S83" s="18"/>
      <c r="AS83" s="54"/>
      <c r="BB83" s="49"/>
      <c r="BC83" s="54"/>
      <c r="BG83" s="49"/>
      <c r="BH83" s="54"/>
      <c r="BL83" s="49"/>
      <c r="BM83" s="54"/>
      <c r="BQ83" s="49"/>
      <c r="BR83" s="54"/>
      <c r="BV83" s="49"/>
      <c r="BW83" s="54"/>
      <c r="CA83" s="49"/>
      <c r="CB83" s="61"/>
    </row>
    <row r="84" spans="19:80" ht="30" customHeight="1" x14ac:dyDescent="0.25">
      <c r="S84" s="18"/>
      <c r="AS84" s="54"/>
      <c r="BB84" s="49"/>
      <c r="BC84" s="54"/>
      <c r="BG84" s="49"/>
      <c r="BH84" s="54"/>
      <c r="BL84" s="49"/>
      <c r="BM84" s="54"/>
      <c r="BQ84" s="49"/>
      <c r="BR84" s="54"/>
      <c r="BV84" s="49"/>
      <c r="BW84" s="54"/>
      <c r="CA84" s="49"/>
      <c r="CB84" s="61"/>
    </row>
    <row r="85" spans="19:80" ht="30" customHeight="1" x14ac:dyDescent="0.25">
      <c r="S85" s="18"/>
      <c r="AS85" s="54"/>
      <c r="BB85" s="49"/>
      <c r="BC85" s="54"/>
      <c r="BG85" s="49"/>
      <c r="BH85" s="54"/>
      <c r="BL85" s="49"/>
      <c r="BM85" s="54"/>
      <c r="BQ85" s="49"/>
      <c r="BR85" s="54"/>
      <c r="BV85" s="49"/>
      <c r="BW85" s="54"/>
      <c r="CA85" s="49"/>
      <c r="CB85" s="61"/>
    </row>
    <row r="86" spans="19:80" ht="30" customHeight="1" x14ac:dyDescent="0.25">
      <c r="S86" s="18"/>
      <c r="AS86" s="54"/>
      <c r="BB86" s="49"/>
      <c r="BC86" s="54"/>
      <c r="BG86" s="49"/>
      <c r="BH86" s="54"/>
      <c r="BL86" s="49"/>
      <c r="BM86" s="54"/>
      <c r="BQ86" s="49"/>
      <c r="BR86" s="54"/>
      <c r="BV86" s="49"/>
      <c r="BW86" s="54"/>
      <c r="CA86" s="49"/>
      <c r="CB86" s="61"/>
    </row>
    <row r="87" spans="19:80" ht="30" customHeight="1" x14ac:dyDescent="0.25">
      <c r="S87" s="18"/>
      <c r="AS87" s="54"/>
      <c r="BB87" s="49"/>
      <c r="BC87" s="54"/>
      <c r="BG87" s="49"/>
      <c r="BH87" s="54"/>
      <c r="BL87" s="49"/>
      <c r="BM87" s="54"/>
      <c r="BQ87" s="49"/>
      <c r="BR87" s="54"/>
      <c r="BV87" s="49"/>
      <c r="BW87" s="54"/>
      <c r="CA87" s="49"/>
      <c r="CB87" s="61"/>
    </row>
    <row r="88" spans="19:80" ht="30" customHeight="1" x14ac:dyDescent="0.25">
      <c r="S88" s="18"/>
      <c r="AS88" s="54"/>
      <c r="BB88" s="49"/>
      <c r="BC88" s="54"/>
      <c r="BG88" s="49"/>
      <c r="BH88" s="54"/>
      <c r="BL88" s="49"/>
      <c r="BM88" s="54"/>
      <c r="BQ88" s="49"/>
      <c r="BR88" s="54"/>
      <c r="BV88" s="49"/>
      <c r="BW88" s="54"/>
      <c r="CA88" s="49"/>
      <c r="CB88" s="61"/>
    </row>
    <row r="89" spans="19:80" ht="30" customHeight="1" x14ac:dyDescent="0.25">
      <c r="S89" s="18"/>
      <c r="AS89" s="54"/>
      <c r="BB89" s="49"/>
      <c r="BC89" s="54"/>
      <c r="BG89" s="49"/>
      <c r="BH89" s="54"/>
      <c r="BL89" s="49"/>
      <c r="BM89" s="54"/>
      <c r="BQ89" s="49"/>
      <c r="BR89" s="54"/>
      <c r="BV89" s="49"/>
      <c r="BW89" s="54"/>
      <c r="CA89" s="49"/>
      <c r="CB89" s="61"/>
    </row>
    <row r="90" spans="19:80" ht="30" customHeight="1" x14ac:dyDescent="0.25">
      <c r="S90" s="18"/>
      <c r="AS90" s="54"/>
      <c r="BB90" s="49"/>
      <c r="BC90" s="54"/>
      <c r="BG90" s="49"/>
      <c r="BH90" s="54"/>
      <c r="BL90" s="49"/>
      <c r="BM90" s="54"/>
      <c r="BQ90" s="49"/>
      <c r="BR90" s="54"/>
      <c r="BV90" s="49"/>
      <c r="BW90" s="54"/>
      <c r="CA90" s="49"/>
      <c r="CB90" s="61"/>
    </row>
    <row r="91" spans="19:80" ht="30" customHeight="1" x14ac:dyDescent="0.25">
      <c r="S91" s="18"/>
      <c r="AS91" s="54"/>
      <c r="BB91" s="49"/>
      <c r="BC91" s="54"/>
      <c r="BG91" s="49"/>
      <c r="BH91" s="54"/>
      <c r="BL91" s="49"/>
      <c r="BM91" s="54"/>
      <c r="BQ91" s="49"/>
      <c r="BR91" s="54"/>
      <c r="BV91" s="49"/>
      <c r="BW91" s="54"/>
      <c r="CA91" s="49"/>
      <c r="CB91" s="61"/>
    </row>
    <row r="92" spans="19:80" ht="30" customHeight="1" x14ac:dyDescent="0.25">
      <c r="S92" s="18"/>
      <c r="AS92" s="54"/>
      <c r="BB92" s="49"/>
      <c r="BC92" s="54"/>
      <c r="BG92" s="49"/>
      <c r="BH92" s="54"/>
      <c r="BL92" s="49"/>
      <c r="BM92" s="54"/>
      <c r="BQ92" s="49"/>
      <c r="BR92" s="54"/>
      <c r="BV92" s="49"/>
      <c r="BW92" s="54"/>
      <c r="CA92" s="49"/>
      <c r="CB92" s="61"/>
    </row>
    <row r="93" spans="19:80" ht="30" customHeight="1" x14ac:dyDescent="0.25">
      <c r="S93" s="18"/>
      <c r="AS93" s="54"/>
      <c r="BB93" s="49"/>
      <c r="BC93" s="54"/>
      <c r="BG93" s="49"/>
      <c r="BH93" s="54"/>
      <c r="BL93" s="49"/>
      <c r="BM93" s="54"/>
      <c r="BQ93" s="49"/>
      <c r="BR93" s="54"/>
      <c r="BV93" s="49"/>
      <c r="BW93" s="54"/>
      <c r="CA93" s="49"/>
      <c r="CB93" s="61"/>
    </row>
    <row r="94" spans="19:80" ht="30" customHeight="1" x14ac:dyDescent="0.25">
      <c r="S94" s="18"/>
      <c r="AS94" s="54"/>
      <c r="BB94" s="49"/>
      <c r="BC94" s="54"/>
      <c r="BG94" s="49"/>
      <c r="BH94" s="54"/>
      <c r="BL94" s="49"/>
      <c r="BM94" s="54"/>
      <c r="BQ94" s="49"/>
      <c r="BR94" s="54"/>
      <c r="BV94" s="49"/>
      <c r="BW94" s="54"/>
      <c r="CA94" s="49"/>
      <c r="CB94" s="61"/>
    </row>
    <row r="95" spans="19:80" ht="30" customHeight="1" x14ac:dyDescent="0.25">
      <c r="S95" s="18"/>
      <c r="AS95" s="54"/>
      <c r="BB95" s="49"/>
      <c r="BC95" s="54"/>
      <c r="BG95" s="49"/>
      <c r="BH95" s="54"/>
      <c r="BL95" s="49"/>
      <c r="BM95" s="54"/>
      <c r="BQ95" s="49"/>
      <c r="BR95" s="54"/>
      <c r="BV95" s="49"/>
      <c r="BW95" s="54"/>
      <c r="CA95" s="49"/>
      <c r="CB95" s="61"/>
    </row>
    <row r="96" spans="19:80" ht="30" customHeight="1" x14ac:dyDescent="0.25">
      <c r="S96" s="18"/>
      <c r="AS96" s="54"/>
      <c r="BB96" s="49"/>
      <c r="BC96" s="54"/>
      <c r="BG96" s="49"/>
      <c r="BH96" s="54"/>
      <c r="BL96" s="49"/>
      <c r="BM96" s="54"/>
      <c r="BQ96" s="49"/>
      <c r="BR96" s="54"/>
      <c r="BV96" s="49"/>
      <c r="BW96" s="54"/>
      <c r="CA96" s="49"/>
      <c r="CB96" s="61"/>
    </row>
    <row r="97" spans="19:80" ht="30" customHeight="1" x14ac:dyDescent="0.25">
      <c r="S97" s="18"/>
      <c r="AS97" s="54"/>
      <c r="BB97" s="49"/>
      <c r="BC97" s="54"/>
      <c r="BG97" s="49"/>
      <c r="BH97" s="54"/>
      <c r="BL97" s="49"/>
      <c r="BM97" s="54"/>
      <c r="BQ97" s="49"/>
      <c r="BR97" s="54"/>
      <c r="BV97" s="49"/>
      <c r="BW97" s="54"/>
      <c r="CA97" s="49"/>
      <c r="CB97" s="61"/>
    </row>
    <row r="98" spans="19:80" ht="30" customHeight="1" x14ac:dyDescent="0.25">
      <c r="S98" s="18"/>
      <c r="AS98" s="94" t="s">
        <v>18</v>
      </c>
      <c r="AT98" s="94"/>
      <c r="AW98" s="131"/>
      <c r="AX98" s="132"/>
      <c r="BB98" s="49"/>
      <c r="BC98" s="54"/>
      <c r="BG98" s="49"/>
      <c r="BH98" s="54"/>
      <c r="BL98" s="49"/>
      <c r="BM98" s="54"/>
      <c r="BQ98" s="49"/>
      <c r="BR98" s="54"/>
      <c r="BV98" s="49"/>
      <c r="BW98" s="54"/>
      <c r="CA98" s="49"/>
      <c r="CB98" s="61"/>
    </row>
    <row r="99" spans="19:80" ht="30" customHeight="1" x14ac:dyDescent="0.25">
      <c r="S99" s="26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95"/>
      <c r="AT99" s="95"/>
      <c r="AU99" s="27"/>
      <c r="AV99" s="27"/>
      <c r="AW99" s="136" t="s">
        <v>67</v>
      </c>
      <c r="AX99" s="136"/>
      <c r="AY99" s="27"/>
      <c r="AZ99" s="27"/>
      <c r="BA99" s="27"/>
      <c r="BB99" s="27"/>
      <c r="BC99" s="65"/>
      <c r="BD99" s="27"/>
      <c r="BE99" s="27"/>
      <c r="BF99" s="27"/>
      <c r="BG99" s="27"/>
      <c r="BH99" s="65"/>
      <c r="BI99" s="27"/>
      <c r="BJ99" s="27"/>
      <c r="BK99" s="27"/>
      <c r="BL99" s="27"/>
      <c r="BM99" s="65"/>
      <c r="BN99" s="27"/>
      <c r="BO99" s="27"/>
      <c r="BP99" s="27"/>
      <c r="BQ99" s="27"/>
      <c r="BR99" s="65"/>
      <c r="BS99" s="27"/>
      <c r="BT99" s="27"/>
      <c r="BU99" s="27"/>
      <c r="BV99" s="27"/>
      <c r="BW99" s="65"/>
      <c r="BX99" s="27"/>
      <c r="BY99" s="27"/>
      <c r="BZ99" s="27"/>
      <c r="CA99" s="27"/>
      <c r="CB99" s="63"/>
    </row>
    <row r="100" spans="19:80" ht="30" customHeight="1" x14ac:dyDescent="0.25">
      <c r="AW100" s="137"/>
      <c r="AX100" s="137"/>
    </row>
    <row r="103" spans="19:80" ht="30" customHeight="1" x14ac:dyDescent="0.25">
      <c r="V103" s="33" t="s">
        <v>1</v>
      </c>
      <c r="W103" s="33">
        <v>0</v>
      </c>
      <c r="X103" s="33">
        <f>W103+5</f>
        <v>5</v>
      </c>
      <c r="Y103" s="33">
        <f t="shared" ref="Y103:AO103" si="0">X103+5</f>
        <v>10</v>
      </c>
      <c r="Z103" s="33">
        <f t="shared" si="0"/>
        <v>15</v>
      </c>
      <c r="AA103" s="33">
        <f t="shared" si="0"/>
        <v>20</v>
      </c>
      <c r="AB103" s="33">
        <f t="shared" si="0"/>
        <v>25</v>
      </c>
      <c r="AC103" s="33">
        <f t="shared" si="0"/>
        <v>30</v>
      </c>
      <c r="AD103" s="33">
        <f t="shared" si="0"/>
        <v>35</v>
      </c>
      <c r="AE103" s="33">
        <f t="shared" si="0"/>
        <v>40</v>
      </c>
      <c r="AF103" s="33">
        <f t="shared" si="0"/>
        <v>45</v>
      </c>
      <c r="AG103" s="33">
        <f t="shared" si="0"/>
        <v>50</v>
      </c>
      <c r="AH103" s="33">
        <f t="shared" si="0"/>
        <v>55</v>
      </c>
      <c r="AI103" s="33">
        <f t="shared" si="0"/>
        <v>60</v>
      </c>
      <c r="AJ103" s="33">
        <f t="shared" si="0"/>
        <v>65</v>
      </c>
      <c r="AK103" s="33">
        <f t="shared" si="0"/>
        <v>70</v>
      </c>
      <c r="AL103" s="33">
        <f t="shared" si="0"/>
        <v>75</v>
      </c>
      <c r="AM103" s="33">
        <f t="shared" si="0"/>
        <v>80</v>
      </c>
      <c r="AN103" s="33">
        <f t="shared" si="0"/>
        <v>85</v>
      </c>
      <c r="AO103" s="33">
        <f t="shared" si="0"/>
        <v>90</v>
      </c>
    </row>
    <row r="104" spans="19:80" ht="30" customHeight="1" x14ac:dyDescent="0.25">
      <c r="V104" s="33" t="s">
        <v>2</v>
      </c>
      <c r="W104" s="33">
        <f t="shared" ref="W104:AO104" si="1">15*COS(W$103 * PI()/180)</f>
        <v>15</v>
      </c>
      <c r="X104" s="33">
        <f t="shared" si="1"/>
        <v>14.942920471376183</v>
      </c>
      <c r="Y104" s="33">
        <f t="shared" si="1"/>
        <v>14.772116295183121</v>
      </c>
      <c r="Z104" s="33">
        <f t="shared" si="1"/>
        <v>14.488887394336025</v>
      </c>
      <c r="AA104" s="33">
        <f t="shared" si="1"/>
        <v>14.095389311788626</v>
      </c>
      <c r="AB104" s="33">
        <f t="shared" si="1"/>
        <v>13.59461680554975</v>
      </c>
      <c r="AC104" s="33">
        <f t="shared" si="1"/>
        <v>12.99038105676658</v>
      </c>
      <c r="AD104" s="33">
        <f t="shared" si="1"/>
        <v>12.287280664334878</v>
      </c>
      <c r="AE104" s="33">
        <f t="shared" si="1"/>
        <v>11.490666646784669</v>
      </c>
      <c r="AF104" s="33">
        <f t="shared" si="1"/>
        <v>10.606601717798213</v>
      </c>
      <c r="AG104" s="33">
        <f t="shared" si="1"/>
        <v>9.6418141452980901</v>
      </c>
      <c r="AH104" s="33">
        <f t="shared" si="1"/>
        <v>8.6036465452656916</v>
      </c>
      <c r="AI104" s="33">
        <f t="shared" si="1"/>
        <v>7.5000000000000018</v>
      </c>
      <c r="AJ104" s="33">
        <f t="shared" si="1"/>
        <v>6.3392739261104918</v>
      </c>
      <c r="AK104" s="33">
        <f t="shared" si="1"/>
        <v>5.1303021498850327</v>
      </c>
      <c r="AL104" s="33">
        <f t="shared" si="1"/>
        <v>3.8822856765378111</v>
      </c>
      <c r="AM104" s="33">
        <f t="shared" si="1"/>
        <v>2.6047226650039561</v>
      </c>
      <c r="AN104" s="33">
        <f t="shared" si="1"/>
        <v>1.3073361412148721</v>
      </c>
      <c r="AO104" s="33">
        <f t="shared" si="1"/>
        <v>9.1886134118146501E-16</v>
      </c>
    </row>
    <row r="105" spans="19:80" ht="30" customHeight="1" x14ac:dyDescent="0.25">
      <c r="V105" s="33" t="s">
        <v>2</v>
      </c>
      <c r="W105" s="33">
        <f t="shared" ref="W105:AO105" si="2">10*COS(W$103 * PI()/180)</f>
        <v>10</v>
      </c>
      <c r="X105" s="33">
        <f t="shared" si="2"/>
        <v>9.961946980917455</v>
      </c>
      <c r="Y105" s="33">
        <f t="shared" si="2"/>
        <v>9.8480775301220795</v>
      </c>
      <c r="Z105" s="33">
        <f t="shared" si="2"/>
        <v>9.6592582628906829</v>
      </c>
      <c r="AA105" s="33">
        <f t="shared" si="2"/>
        <v>9.3969262078590852</v>
      </c>
      <c r="AB105" s="33">
        <f t="shared" si="2"/>
        <v>9.0630778703664987</v>
      </c>
      <c r="AC105" s="33">
        <f t="shared" si="2"/>
        <v>8.6602540378443873</v>
      </c>
      <c r="AD105" s="33">
        <f t="shared" si="2"/>
        <v>8.1915204428899173</v>
      </c>
      <c r="AE105" s="33">
        <f t="shared" si="2"/>
        <v>7.6604444311897799</v>
      </c>
      <c r="AF105" s="33">
        <f t="shared" si="2"/>
        <v>7.0710678118654755</v>
      </c>
      <c r="AG105" s="33">
        <f t="shared" si="2"/>
        <v>6.4278760968653934</v>
      </c>
      <c r="AH105" s="33">
        <f t="shared" si="2"/>
        <v>5.7357643635104614</v>
      </c>
      <c r="AI105" s="33">
        <f t="shared" si="2"/>
        <v>5.0000000000000009</v>
      </c>
      <c r="AJ105" s="33">
        <f t="shared" si="2"/>
        <v>4.2261826174069945</v>
      </c>
      <c r="AK105" s="33">
        <f t="shared" si="2"/>
        <v>3.4202014332566884</v>
      </c>
      <c r="AL105" s="33">
        <f t="shared" si="2"/>
        <v>2.5881904510252074</v>
      </c>
      <c r="AM105" s="33">
        <f t="shared" si="2"/>
        <v>1.7364817766693041</v>
      </c>
      <c r="AN105" s="33">
        <f t="shared" si="2"/>
        <v>0.87155742747658138</v>
      </c>
      <c r="AO105" s="33">
        <f t="shared" si="2"/>
        <v>6.1257422745431001E-16</v>
      </c>
    </row>
    <row r="106" spans="19:80" ht="30" customHeight="1" x14ac:dyDescent="0.25">
      <c r="V106" s="33" t="s">
        <v>2</v>
      </c>
      <c r="W106" s="33">
        <f t="shared" ref="W106:AO106" si="3">5*COS(W$103 * PI()/180)</f>
        <v>5</v>
      </c>
      <c r="X106" s="33">
        <f t="shared" si="3"/>
        <v>4.9809734904587275</v>
      </c>
      <c r="Y106" s="33">
        <f t="shared" si="3"/>
        <v>4.9240387650610398</v>
      </c>
      <c r="Z106" s="33">
        <f t="shared" si="3"/>
        <v>4.8296291314453415</v>
      </c>
      <c r="AA106" s="33">
        <f t="shared" si="3"/>
        <v>4.6984631039295426</v>
      </c>
      <c r="AB106" s="33">
        <f t="shared" si="3"/>
        <v>4.5315389351832494</v>
      </c>
      <c r="AC106" s="33">
        <f t="shared" si="3"/>
        <v>4.3301270189221936</v>
      </c>
      <c r="AD106" s="33">
        <f t="shared" si="3"/>
        <v>4.0957602214449587</v>
      </c>
      <c r="AE106" s="33">
        <f t="shared" si="3"/>
        <v>3.83022221559489</v>
      </c>
      <c r="AF106" s="33">
        <f t="shared" si="3"/>
        <v>3.5355339059327378</v>
      </c>
      <c r="AG106" s="33">
        <f t="shared" si="3"/>
        <v>3.2139380484326967</v>
      </c>
      <c r="AH106" s="33">
        <f t="shared" si="3"/>
        <v>2.8678821817552307</v>
      </c>
      <c r="AI106" s="33">
        <f t="shared" si="3"/>
        <v>2.5000000000000004</v>
      </c>
      <c r="AJ106" s="33">
        <f t="shared" si="3"/>
        <v>2.1130913087034973</v>
      </c>
      <c r="AK106" s="33">
        <f t="shared" si="3"/>
        <v>1.7101007166283442</v>
      </c>
      <c r="AL106" s="33">
        <f t="shared" si="3"/>
        <v>1.2940952255126037</v>
      </c>
      <c r="AM106" s="33">
        <f t="shared" si="3"/>
        <v>0.86824088833465207</v>
      </c>
      <c r="AN106" s="33">
        <f t="shared" si="3"/>
        <v>0.43577871373829069</v>
      </c>
      <c r="AO106" s="33">
        <f t="shared" si="3"/>
        <v>3.06287113727155E-16</v>
      </c>
    </row>
    <row r="107" spans="19:80" ht="30" customHeight="1" x14ac:dyDescent="0.25">
      <c r="V107" s="33" t="s">
        <v>2</v>
      </c>
      <c r="W107" s="33">
        <f t="shared" ref="W107:AO107" si="4">4*COS(W$103 * PI()/180)</f>
        <v>4</v>
      </c>
      <c r="X107" s="33">
        <f t="shared" si="4"/>
        <v>3.9847787923669822</v>
      </c>
      <c r="Y107" s="33">
        <f t="shared" si="4"/>
        <v>3.9392310120488321</v>
      </c>
      <c r="Z107" s="33">
        <f t="shared" si="4"/>
        <v>3.8637033051562732</v>
      </c>
      <c r="AA107" s="33">
        <f t="shared" si="4"/>
        <v>3.7587704831436337</v>
      </c>
      <c r="AB107" s="33">
        <f t="shared" si="4"/>
        <v>3.6252311481465997</v>
      </c>
      <c r="AC107" s="33">
        <f t="shared" si="4"/>
        <v>3.4641016151377548</v>
      </c>
      <c r="AD107" s="33">
        <f t="shared" si="4"/>
        <v>3.2766081771559672</v>
      </c>
      <c r="AE107" s="33">
        <f t="shared" si="4"/>
        <v>3.0641777724759121</v>
      </c>
      <c r="AF107" s="33">
        <f t="shared" si="4"/>
        <v>2.8284271247461903</v>
      </c>
      <c r="AG107" s="33">
        <f t="shared" si="4"/>
        <v>2.5711504387461575</v>
      </c>
      <c r="AH107" s="33">
        <f t="shared" si="4"/>
        <v>2.2943057454041846</v>
      </c>
      <c r="AI107" s="33">
        <f t="shared" si="4"/>
        <v>2.0000000000000004</v>
      </c>
      <c r="AJ107" s="33">
        <f t="shared" si="4"/>
        <v>1.6904730469627978</v>
      </c>
      <c r="AK107" s="33">
        <f t="shared" si="4"/>
        <v>1.3680805733026753</v>
      </c>
      <c r="AL107" s="33">
        <f t="shared" si="4"/>
        <v>1.035276180410083</v>
      </c>
      <c r="AM107" s="33">
        <f t="shared" si="4"/>
        <v>0.69459271066772166</v>
      </c>
      <c r="AN107" s="33">
        <f t="shared" si="4"/>
        <v>0.34862297099063255</v>
      </c>
      <c r="AO107" s="33">
        <f t="shared" si="4"/>
        <v>2.45029690981724E-16</v>
      </c>
    </row>
    <row r="108" spans="19:80" ht="30" customHeight="1" x14ac:dyDescent="0.25">
      <c r="V108" s="33" t="s">
        <v>2</v>
      </c>
      <c r="W108" s="33">
        <f t="shared" ref="W108:AO108" si="5">3*COS(W$103 * PI()/180)</f>
        <v>3</v>
      </c>
      <c r="X108" s="33">
        <f t="shared" si="5"/>
        <v>2.9885840942752369</v>
      </c>
      <c r="Y108" s="33">
        <f t="shared" si="5"/>
        <v>2.9544232590366239</v>
      </c>
      <c r="Z108" s="33">
        <f t="shared" si="5"/>
        <v>2.897777478867205</v>
      </c>
      <c r="AA108" s="33">
        <f t="shared" si="5"/>
        <v>2.8190778623577253</v>
      </c>
      <c r="AB108" s="33">
        <f t="shared" si="5"/>
        <v>2.7189233611099497</v>
      </c>
      <c r="AC108" s="33">
        <f t="shared" si="5"/>
        <v>2.598076211353316</v>
      </c>
      <c r="AD108" s="33">
        <f t="shared" si="5"/>
        <v>2.4574561328669753</v>
      </c>
      <c r="AE108" s="33">
        <f t="shared" si="5"/>
        <v>2.2981333293569342</v>
      </c>
      <c r="AF108" s="33">
        <f t="shared" si="5"/>
        <v>2.1213203435596428</v>
      </c>
      <c r="AG108" s="33">
        <f t="shared" si="5"/>
        <v>1.9283628290596182</v>
      </c>
      <c r="AH108" s="33">
        <f t="shared" si="5"/>
        <v>1.7207293090531386</v>
      </c>
      <c r="AI108" s="33">
        <f t="shared" si="5"/>
        <v>1.5000000000000004</v>
      </c>
      <c r="AJ108" s="33">
        <f t="shared" si="5"/>
        <v>1.2678547852220983</v>
      </c>
      <c r="AK108" s="33">
        <f t="shared" si="5"/>
        <v>1.0260604299770064</v>
      </c>
      <c r="AL108" s="33">
        <f t="shared" si="5"/>
        <v>0.77645713530756222</v>
      </c>
      <c r="AM108" s="33">
        <f t="shared" si="5"/>
        <v>0.52094453300079124</v>
      </c>
      <c r="AN108" s="33">
        <f t="shared" si="5"/>
        <v>0.26146722824297441</v>
      </c>
      <c r="AO108" s="33">
        <f t="shared" si="5"/>
        <v>1.83772268236293E-16</v>
      </c>
    </row>
    <row r="109" spans="19:80" ht="30" customHeight="1" x14ac:dyDescent="0.25">
      <c r="V109" s="33" t="s">
        <v>2</v>
      </c>
      <c r="W109" s="33">
        <f t="shared" ref="W109:AO109" si="6">2*COS(W$103 * PI()/180)</f>
        <v>2</v>
      </c>
      <c r="X109" s="33">
        <f t="shared" si="6"/>
        <v>1.9923893961834911</v>
      </c>
      <c r="Y109" s="33">
        <f t="shared" si="6"/>
        <v>1.969615506024416</v>
      </c>
      <c r="Z109" s="33">
        <f t="shared" si="6"/>
        <v>1.9318516525781366</v>
      </c>
      <c r="AA109" s="33">
        <f t="shared" si="6"/>
        <v>1.8793852415718169</v>
      </c>
      <c r="AB109" s="33">
        <f t="shared" si="6"/>
        <v>1.8126155740732999</v>
      </c>
      <c r="AC109" s="33">
        <f t="shared" si="6"/>
        <v>1.7320508075688774</v>
      </c>
      <c r="AD109" s="33">
        <f t="shared" si="6"/>
        <v>1.6383040885779836</v>
      </c>
      <c r="AE109" s="33">
        <f t="shared" si="6"/>
        <v>1.532088886237956</v>
      </c>
      <c r="AF109" s="33">
        <f t="shared" si="6"/>
        <v>1.4142135623730951</v>
      </c>
      <c r="AG109" s="33">
        <f t="shared" si="6"/>
        <v>1.2855752193730787</v>
      </c>
      <c r="AH109" s="33">
        <f t="shared" si="6"/>
        <v>1.1471528727020923</v>
      </c>
      <c r="AI109" s="33">
        <f t="shared" si="6"/>
        <v>1.0000000000000002</v>
      </c>
      <c r="AJ109" s="33">
        <f t="shared" si="6"/>
        <v>0.84523652348139888</v>
      </c>
      <c r="AK109" s="33">
        <f t="shared" si="6"/>
        <v>0.68404028665133765</v>
      </c>
      <c r="AL109" s="33">
        <f t="shared" si="6"/>
        <v>0.51763809020504148</v>
      </c>
      <c r="AM109" s="33">
        <f t="shared" si="6"/>
        <v>0.34729635533386083</v>
      </c>
      <c r="AN109" s="33">
        <f t="shared" si="6"/>
        <v>0.17431148549531628</v>
      </c>
      <c r="AO109" s="33">
        <f t="shared" si="6"/>
        <v>1.22514845490862E-16</v>
      </c>
    </row>
    <row r="110" spans="19:80" ht="30" customHeight="1" x14ac:dyDescent="0.25">
      <c r="V110" s="33" t="s">
        <v>2</v>
      </c>
      <c r="W110" s="33">
        <f t="shared" ref="W110:AO110" si="7">1*COS(W$103 * PI()/180)</f>
        <v>1</v>
      </c>
      <c r="X110" s="33">
        <f t="shared" si="7"/>
        <v>0.99619469809174555</v>
      </c>
      <c r="Y110" s="33">
        <f t="shared" si="7"/>
        <v>0.98480775301220802</v>
      </c>
      <c r="Z110" s="33">
        <f t="shared" si="7"/>
        <v>0.96592582628906831</v>
      </c>
      <c r="AA110" s="33">
        <f t="shared" si="7"/>
        <v>0.93969262078590843</v>
      </c>
      <c r="AB110" s="33">
        <f t="shared" si="7"/>
        <v>0.90630778703664994</v>
      </c>
      <c r="AC110" s="33">
        <f t="shared" si="7"/>
        <v>0.86602540378443871</v>
      </c>
      <c r="AD110" s="33">
        <f t="shared" si="7"/>
        <v>0.8191520442889918</v>
      </c>
      <c r="AE110" s="33">
        <f t="shared" si="7"/>
        <v>0.76604444311897801</v>
      </c>
      <c r="AF110" s="33">
        <f t="shared" si="7"/>
        <v>0.70710678118654757</v>
      </c>
      <c r="AG110" s="33">
        <f t="shared" si="7"/>
        <v>0.64278760968653936</v>
      </c>
      <c r="AH110" s="33">
        <f t="shared" si="7"/>
        <v>0.57357643635104616</v>
      </c>
      <c r="AI110" s="33">
        <f t="shared" si="7"/>
        <v>0.50000000000000011</v>
      </c>
      <c r="AJ110" s="33">
        <f t="shared" si="7"/>
        <v>0.42261826174069944</v>
      </c>
      <c r="AK110" s="33">
        <f t="shared" si="7"/>
        <v>0.34202014332566882</v>
      </c>
      <c r="AL110" s="33">
        <f t="shared" si="7"/>
        <v>0.25881904510252074</v>
      </c>
      <c r="AM110" s="33">
        <f t="shared" si="7"/>
        <v>0.17364817766693041</v>
      </c>
      <c r="AN110" s="33">
        <f t="shared" si="7"/>
        <v>8.7155742747658138E-2</v>
      </c>
      <c r="AO110" s="33">
        <f t="shared" si="7"/>
        <v>6.1257422745431001E-17</v>
      </c>
    </row>
    <row r="111" spans="19:80" ht="30" customHeight="1" x14ac:dyDescent="0.25">
      <c r="V111" s="33" t="s">
        <v>2</v>
      </c>
      <c r="W111" s="33">
        <f t="shared" ref="W111:AO111" si="8">0*COS(W$103 * PI()/180)</f>
        <v>0</v>
      </c>
      <c r="X111" s="33">
        <f t="shared" si="8"/>
        <v>0</v>
      </c>
      <c r="Y111" s="33">
        <f t="shared" si="8"/>
        <v>0</v>
      </c>
      <c r="Z111" s="33">
        <f t="shared" si="8"/>
        <v>0</v>
      </c>
      <c r="AA111" s="33">
        <f t="shared" si="8"/>
        <v>0</v>
      </c>
      <c r="AB111" s="33">
        <f t="shared" si="8"/>
        <v>0</v>
      </c>
      <c r="AC111" s="33">
        <f t="shared" si="8"/>
        <v>0</v>
      </c>
      <c r="AD111" s="33">
        <f t="shared" si="8"/>
        <v>0</v>
      </c>
      <c r="AE111" s="33">
        <f t="shared" si="8"/>
        <v>0</v>
      </c>
      <c r="AF111" s="33">
        <f t="shared" si="8"/>
        <v>0</v>
      </c>
      <c r="AG111" s="33">
        <f t="shared" si="8"/>
        <v>0</v>
      </c>
      <c r="AH111" s="33">
        <f t="shared" si="8"/>
        <v>0</v>
      </c>
      <c r="AI111" s="33">
        <f t="shared" si="8"/>
        <v>0</v>
      </c>
      <c r="AJ111" s="33">
        <f t="shared" si="8"/>
        <v>0</v>
      </c>
      <c r="AK111" s="33">
        <f t="shared" si="8"/>
        <v>0</v>
      </c>
      <c r="AL111" s="33">
        <f t="shared" si="8"/>
        <v>0</v>
      </c>
      <c r="AM111" s="33">
        <f t="shared" si="8"/>
        <v>0</v>
      </c>
      <c r="AN111" s="33">
        <f t="shared" si="8"/>
        <v>0</v>
      </c>
      <c r="AO111" s="33">
        <f t="shared" si="8"/>
        <v>0</v>
      </c>
    </row>
  </sheetData>
  <mergeCells count="33">
    <mergeCell ref="AW6:AX7"/>
    <mergeCell ref="AW99:AX99"/>
    <mergeCell ref="AV1:AV4"/>
    <mergeCell ref="AW1:AW4"/>
    <mergeCell ref="AX1:AX4"/>
    <mergeCell ref="AY1:AY4"/>
    <mergeCell ref="BC1:BC4"/>
    <mergeCell ref="I19:I23"/>
    <mergeCell ref="X46:Y47"/>
    <mergeCell ref="AC46:AD47"/>
    <mergeCell ref="AH46:AI47"/>
    <mergeCell ref="AM46:AN47"/>
    <mergeCell ref="S77:S81"/>
    <mergeCell ref="AS98:AT99"/>
    <mergeCell ref="CA46:CB48"/>
    <mergeCell ref="S46:T49"/>
    <mergeCell ref="BR4:BR10"/>
    <mergeCell ref="AR46:AS48"/>
    <mergeCell ref="BB46:BC48"/>
    <mergeCell ref="BG46:BH47"/>
    <mergeCell ref="BZ2:CA6"/>
    <mergeCell ref="BS3:BS7"/>
    <mergeCell ref="BT3:BT9"/>
    <mergeCell ref="BU3:BU7"/>
    <mergeCell ref="BV3:BV7"/>
    <mergeCell ref="BW3:BW7"/>
    <mergeCell ref="BX3:BX9"/>
    <mergeCell ref="AR1:AR4"/>
    <mergeCell ref="CA41:CB43"/>
    <mergeCell ref="S41:T43"/>
    <mergeCell ref="BL46:BM47"/>
    <mergeCell ref="BQ46:BR47"/>
    <mergeCell ref="BV46:BW47"/>
  </mergeCells>
  <printOptions horizontalCentered="1" verticalCentered="1"/>
  <pageMargins left="0" right="0" top="0" bottom="0" header="0" footer="0"/>
  <pageSetup paperSize="9" scale="2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6584-3C0E-4C73-A9BB-E0E7859A804E}">
  <sheetPr>
    <pageSetUpPr fitToPage="1"/>
  </sheetPr>
  <dimension ref="A1:DE111"/>
  <sheetViews>
    <sheetView showGridLines="0" tabSelected="1" topLeftCell="T62" zoomScale="55" zoomScaleNormal="55" workbookViewId="0">
      <selection activeCell="W7" sqref="W7"/>
    </sheetView>
  </sheetViews>
  <sheetFormatPr defaultColWidth="2.85546875" defaultRowHeight="30" customHeight="1" x14ac:dyDescent="0.25"/>
  <cols>
    <col min="1" max="17" width="3.7109375" style="33" customWidth="1"/>
    <col min="18" max="18" width="6.28515625" style="33" customWidth="1"/>
    <col min="19" max="49" width="5.7109375" style="33" customWidth="1"/>
    <col min="50" max="50" width="5.7109375" style="8" customWidth="1"/>
    <col min="51" max="80" width="5.7109375" style="33" customWidth="1"/>
    <col min="81" max="102" width="3.7109375" style="33" customWidth="1"/>
    <col min="103" max="103" width="5.42578125" style="33" customWidth="1"/>
    <col min="104" max="104" width="7" style="33" customWidth="1"/>
    <col min="105" max="105" width="9" style="33" customWidth="1"/>
    <col min="106" max="118" width="5.42578125" style="33" customWidth="1"/>
    <col min="119" max="16384" width="2.85546875" style="33"/>
  </cols>
  <sheetData>
    <row r="1" spans="2:80" ht="30" customHeight="1" x14ac:dyDescent="0.25">
      <c r="S1" s="14"/>
      <c r="T1" s="53"/>
      <c r="U1" s="15"/>
      <c r="V1" s="15"/>
      <c r="W1" s="15"/>
      <c r="X1" s="15"/>
      <c r="Y1" s="53"/>
      <c r="Z1" s="15"/>
      <c r="AA1" s="15"/>
      <c r="AB1" s="15"/>
      <c r="AC1" s="15"/>
      <c r="AD1" s="53"/>
      <c r="AE1" s="15"/>
      <c r="AF1" s="15"/>
      <c r="AG1" s="15"/>
      <c r="AH1" s="15"/>
      <c r="AI1" s="53"/>
      <c r="AJ1" s="15"/>
      <c r="AK1" s="15"/>
      <c r="AL1" s="15"/>
      <c r="AM1" s="15"/>
      <c r="AN1" s="53"/>
      <c r="AO1" s="15"/>
      <c r="AP1" s="41"/>
      <c r="AQ1" s="41"/>
      <c r="AR1" s="108" t="s">
        <v>55</v>
      </c>
      <c r="AS1" s="56"/>
      <c r="AT1" s="42"/>
      <c r="AU1" s="42"/>
      <c r="AV1" s="108" t="s">
        <v>54</v>
      </c>
      <c r="AW1" s="110" t="s">
        <v>53</v>
      </c>
      <c r="AX1" s="112" t="s">
        <v>50</v>
      </c>
      <c r="AY1" s="114" t="s">
        <v>51</v>
      </c>
      <c r="AZ1" s="43"/>
      <c r="BA1" s="43"/>
      <c r="BB1" s="43"/>
      <c r="BC1" s="116" t="s">
        <v>52</v>
      </c>
      <c r="BD1" s="41"/>
      <c r="BE1" s="41"/>
      <c r="BF1" s="15"/>
      <c r="BG1" s="15"/>
      <c r="BH1" s="53"/>
      <c r="BI1" s="15"/>
      <c r="BJ1" s="15"/>
      <c r="BK1" s="15"/>
      <c r="BL1" s="15"/>
      <c r="BM1" s="53"/>
      <c r="BN1" s="15"/>
      <c r="BO1" s="15"/>
      <c r="BP1" s="15"/>
      <c r="BQ1" s="30"/>
      <c r="BR1" s="15"/>
      <c r="BS1" s="15"/>
      <c r="BT1" s="15"/>
      <c r="BU1" s="15"/>
      <c r="BV1" s="15"/>
      <c r="BW1" s="53"/>
      <c r="BX1" s="15"/>
      <c r="BY1" s="15"/>
      <c r="BZ1" s="15"/>
      <c r="CA1" s="15"/>
      <c r="CB1" s="60"/>
    </row>
    <row r="2" spans="2:80" ht="30" customHeight="1" x14ac:dyDescent="0.25">
      <c r="S2" s="18"/>
      <c r="T2" s="54"/>
      <c r="X2" s="49"/>
      <c r="Y2" s="54"/>
      <c r="AC2" s="49"/>
      <c r="AD2" s="54"/>
      <c r="AH2" s="49"/>
      <c r="AI2" s="54"/>
      <c r="AM2" s="49"/>
      <c r="AN2" s="54"/>
      <c r="AP2" s="44"/>
      <c r="AQ2" s="44"/>
      <c r="AR2" s="109"/>
      <c r="AS2" s="57"/>
      <c r="AT2" s="45"/>
      <c r="AU2" s="45"/>
      <c r="AV2" s="109"/>
      <c r="AW2" s="111"/>
      <c r="AX2" s="113"/>
      <c r="AY2" s="115"/>
      <c r="AZ2" s="45"/>
      <c r="BA2" s="45"/>
      <c r="BB2" s="50"/>
      <c r="BC2" s="117"/>
      <c r="BD2" s="44"/>
      <c r="BE2" s="44"/>
      <c r="BG2" s="49"/>
      <c r="BH2" s="54"/>
      <c r="BL2" s="49"/>
      <c r="BM2" s="54"/>
      <c r="BQ2" s="31"/>
      <c r="BS2" s="39"/>
      <c r="BT2" s="39"/>
      <c r="BU2" s="39"/>
      <c r="BV2" s="52"/>
      <c r="BW2" s="59"/>
      <c r="BX2" s="40"/>
      <c r="BZ2" s="100" t="s">
        <v>5</v>
      </c>
      <c r="CA2" s="101"/>
      <c r="CB2" s="19"/>
    </row>
    <row r="3" spans="2:80" ht="30" customHeight="1" x14ac:dyDescent="0.25">
      <c r="S3" s="18"/>
      <c r="T3" s="54"/>
      <c r="X3" s="49"/>
      <c r="Y3" s="54"/>
      <c r="AC3" s="49"/>
      <c r="AD3" s="54"/>
      <c r="AH3" s="49"/>
      <c r="AI3" s="54"/>
      <c r="AM3" s="49"/>
      <c r="AN3" s="54"/>
      <c r="AP3" s="44"/>
      <c r="AQ3" s="84" t="s">
        <v>26</v>
      </c>
      <c r="AR3" s="109"/>
      <c r="AS3" s="58"/>
      <c r="AT3" s="46"/>
      <c r="AU3" s="46"/>
      <c r="AV3" s="109"/>
      <c r="AW3" s="111"/>
      <c r="AX3" s="113"/>
      <c r="AY3" s="115"/>
      <c r="AZ3" s="46"/>
      <c r="BA3" s="46"/>
      <c r="BB3" s="51"/>
      <c r="BC3" s="117"/>
      <c r="BD3" s="83" t="s">
        <v>27</v>
      </c>
      <c r="BE3" s="44"/>
      <c r="BG3" s="49"/>
      <c r="BH3" s="54"/>
      <c r="BL3" s="49"/>
      <c r="BM3" s="54"/>
      <c r="BQ3" s="31"/>
      <c r="BS3" s="106"/>
      <c r="BT3" s="107"/>
      <c r="BU3" s="106"/>
      <c r="BV3" s="107"/>
      <c r="BW3" s="97"/>
      <c r="BX3" s="107"/>
      <c r="BZ3" s="102"/>
      <c r="CA3" s="103"/>
      <c r="CB3" s="19"/>
    </row>
    <row r="4" spans="2:80" ht="30" customHeight="1" x14ac:dyDescent="0.25">
      <c r="S4" s="18"/>
      <c r="T4" s="54"/>
      <c r="X4" s="49"/>
      <c r="Y4" s="54"/>
      <c r="AC4" s="49"/>
      <c r="AD4" s="54"/>
      <c r="AH4" s="49"/>
      <c r="AI4" s="54"/>
      <c r="AM4" s="49"/>
      <c r="AN4" s="54"/>
      <c r="AP4" s="44"/>
      <c r="AQ4" s="44"/>
      <c r="AR4" s="109"/>
      <c r="AS4" s="58"/>
      <c r="AT4" s="46"/>
      <c r="AU4" s="46"/>
      <c r="AV4" s="109"/>
      <c r="AW4" s="111"/>
      <c r="AX4" s="113"/>
      <c r="AY4" s="115"/>
      <c r="AZ4" s="46"/>
      <c r="BA4" s="46"/>
      <c r="BB4" s="51"/>
      <c r="BC4" s="117"/>
      <c r="BD4" s="44"/>
      <c r="BE4" s="44"/>
      <c r="BG4" s="49"/>
      <c r="BH4" s="54"/>
      <c r="BL4" s="49"/>
      <c r="BM4" s="54"/>
      <c r="BQ4" s="49"/>
      <c r="BR4" s="97"/>
      <c r="BS4" s="106"/>
      <c r="BT4" s="107"/>
      <c r="BU4" s="106"/>
      <c r="BV4" s="107"/>
      <c r="BW4" s="97"/>
      <c r="BX4" s="107"/>
      <c r="BZ4" s="102"/>
      <c r="CA4" s="103"/>
      <c r="CB4" s="19"/>
    </row>
    <row r="5" spans="2:80" ht="30" customHeight="1" x14ac:dyDescent="0.25">
      <c r="S5" s="18"/>
      <c r="T5" s="54"/>
      <c r="X5" s="49"/>
      <c r="Y5" s="54"/>
      <c r="AC5" s="49"/>
      <c r="AD5" s="54"/>
      <c r="AH5" s="49"/>
      <c r="AI5" s="54"/>
      <c r="AM5" s="49"/>
      <c r="AN5" s="54"/>
      <c r="AR5" s="49"/>
      <c r="AS5" s="54"/>
      <c r="AW5" s="124"/>
      <c r="AX5" s="131"/>
      <c r="BB5" s="49"/>
      <c r="BC5" s="54"/>
      <c r="BG5" s="49"/>
      <c r="BH5" s="54"/>
      <c r="BL5" s="49"/>
      <c r="BM5" s="54"/>
      <c r="BQ5" s="49"/>
      <c r="BR5" s="97"/>
      <c r="BS5" s="106"/>
      <c r="BT5" s="107"/>
      <c r="BU5" s="106"/>
      <c r="BV5" s="107"/>
      <c r="BW5" s="97"/>
      <c r="BX5" s="107"/>
      <c r="BZ5" s="102"/>
      <c r="CA5" s="103"/>
      <c r="CB5" s="19"/>
    </row>
    <row r="6" spans="2:80" ht="30" customHeight="1" x14ac:dyDescent="0.25">
      <c r="S6" s="18"/>
      <c r="T6" s="54"/>
      <c r="X6" s="49"/>
      <c r="Y6" s="54"/>
      <c r="AC6" s="49"/>
      <c r="AD6" s="54"/>
      <c r="AH6" s="49"/>
      <c r="AI6" s="54"/>
      <c r="AM6" s="49"/>
      <c r="AN6" s="54"/>
      <c r="AR6" s="49"/>
      <c r="AS6" s="54"/>
      <c r="AW6" s="129" t="s">
        <v>66</v>
      </c>
      <c r="AX6" s="129"/>
      <c r="BB6" s="49"/>
      <c r="BC6" s="54"/>
      <c r="BG6" s="49"/>
      <c r="BH6" s="54"/>
      <c r="BL6" s="49"/>
      <c r="BM6" s="54"/>
      <c r="BQ6" s="49"/>
      <c r="BR6" s="97"/>
      <c r="BS6" s="106"/>
      <c r="BT6" s="107"/>
      <c r="BU6" s="106"/>
      <c r="BV6" s="107"/>
      <c r="BW6" s="97"/>
      <c r="BX6" s="107"/>
      <c r="BZ6" s="104"/>
      <c r="CA6" s="105"/>
      <c r="CB6" s="19"/>
    </row>
    <row r="7" spans="2:80" ht="30" customHeight="1" x14ac:dyDescent="0.25">
      <c r="S7" s="18"/>
      <c r="T7" s="54"/>
      <c r="X7" s="49"/>
      <c r="Y7" s="54"/>
      <c r="AC7" s="49"/>
      <c r="AD7" s="54"/>
      <c r="AH7" s="49"/>
      <c r="AI7" s="54"/>
      <c r="AM7" s="49"/>
      <c r="AN7" s="54"/>
      <c r="AR7" s="49"/>
      <c r="AS7" s="54"/>
      <c r="AW7" s="129"/>
      <c r="AX7" s="129"/>
      <c r="BB7" s="49"/>
      <c r="BC7" s="54"/>
      <c r="BG7" s="49"/>
      <c r="BH7" s="54"/>
      <c r="BL7" s="49"/>
      <c r="BM7" s="54"/>
      <c r="BQ7" s="49"/>
      <c r="BR7" s="97"/>
      <c r="BS7" s="106"/>
      <c r="BT7" s="107"/>
      <c r="BU7" s="106"/>
      <c r="BV7" s="107"/>
      <c r="BW7" s="97"/>
      <c r="BX7" s="107"/>
      <c r="CA7" s="49"/>
      <c r="CB7" s="61"/>
    </row>
    <row r="8" spans="2:80" ht="30" customHeight="1" x14ac:dyDescent="0.25">
      <c r="S8" s="18"/>
      <c r="T8" s="54"/>
      <c r="X8" s="49"/>
      <c r="Y8" s="54"/>
      <c r="AC8" s="49"/>
      <c r="AD8" s="54"/>
      <c r="AH8" s="49"/>
      <c r="AI8" s="54"/>
      <c r="AM8" s="49"/>
      <c r="AN8" s="54"/>
      <c r="AR8" s="49"/>
      <c r="AS8" s="54"/>
      <c r="BB8" s="49"/>
      <c r="BC8" s="54"/>
      <c r="BG8" s="49"/>
      <c r="BH8" s="54"/>
      <c r="BL8" s="49"/>
      <c r="BM8" s="54"/>
      <c r="BQ8" s="49"/>
      <c r="BR8" s="97"/>
      <c r="BT8" s="107"/>
      <c r="BV8" s="49"/>
      <c r="BW8" s="54"/>
      <c r="BX8" s="107"/>
      <c r="CA8" s="49"/>
      <c r="CB8" s="61"/>
    </row>
    <row r="9" spans="2:80" ht="30" customHeight="1" x14ac:dyDescent="0.25">
      <c r="S9" s="18"/>
      <c r="T9" s="54"/>
      <c r="X9" s="49"/>
      <c r="Y9" s="54"/>
      <c r="AC9" s="49"/>
      <c r="AD9" s="54"/>
      <c r="AH9" s="49"/>
      <c r="AI9" s="54"/>
      <c r="AM9" s="49"/>
      <c r="AN9" s="54"/>
      <c r="AR9" s="49"/>
      <c r="AS9" s="54"/>
      <c r="BB9" s="49"/>
      <c r="BC9" s="54"/>
      <c r="BG9" s="49"/>
      <c r="BH9" s="54"/>
      <c r="BL9" s="49"/>
      <c r="BM9" s="54"/>
      <c r="BQ9" s="49"/>
      <c r="BR9" s="97"/>
      <c r="BT9" s="107"/>
      <c r="BV9" s="49"/>
      <c r="BW9" s="54"/>
      <c r="BX9" s="107"/>
      <c r="CA9" s="49"/>
      <c r="CB9" s="61"/>
    </row>
    <row r="10" spans="2:80" ht="30" customHeight="1" x14ac:dyDescent="0.25">
      <c r="S10" s="18"/>
      <c r="T10" s="54"/>
      <c r="X10" s="49"/>
      <c r="Y10" s="54"/>
      <c r="AC10" s="49"/>
      <c r="AD10" s="54"/>
      <c r="AH10" s="49"/>
      <c r="AI10" s="54"/>
      <c r="AM10" s="49"/>
      <c r="AN10" s="54"/>
      <c r="AR10" s="49"/>
      <c r="AS10" s="54"/>
      <c r="BB10" s="49"/>
      <c r="BC10" s="54"/>
      <c r="BG10" s="49"/>
      <c r="BH10" s="54"/>
      <c r="BL10" s="49"/>
      <c r="BM10" s="54"/>
      <c r="BQ10" s="49"/>
      <c r="BR10" s="97"/>
      <c r="BV10" s="49"/>
      <c r="BW10" s="54"/>
      <c r="CA10" s="49"/>
      <c r="CB10" s="61"/>
    </row>
    <row r="11" spans="2:80" ht="30" customHeight="1" x14ac:dyDescent="0.25">
      <c r="B11" s="34" t="s">
        <v>8</v>
      </c>
      <c r="C11" s="35" t="s">
        <v>9</v>
      </c>
      <c r="S11" s="18"/>
      <c r="T11" s="54"/>
      <c r="X11" s="49"/>
      <c r="Y11" s="54"/>
      <c r="AC11" s="49"/>
      <c r="AD11" s="54"/>
      <c r="AH11" s="49"/>
      <c r="AI11" s="54"/>
      <c r="AM11" s="49"/>
      <c r="AN11" s="54"/>
      <c r="AR11" s="49"/>
      <c r="AS11" s="54"/>
      <c r="BB11" s="49"/>
      <c r="BC11" s="54"/>
      <c r="BG11" s="49"/>
      <c r="BH11" s="54"/>
      <c r="BL11" s="49"/>
      <c r="BM11" s="54"/>
      <c r="BQ11" s="49"/>
      <c r="BR11" s="54"/>
      <c r="BV11" s="49"/>
      <c r="BW11" s="54"/>
      <c r="CA11" s="49"/>
      <c r="CB11" s="61"/>
    </row>
    <row r="12" spans="2:80" ht="30" customHeight="1" x14ac:dyDescent="0.25">
      <c r="B12" s="34" t="s">
        <v>10</v>
      </c>
      <c r="C12" s="35" t="s">
        <v>11</v>
      </c>
      <c r="S12" s="18"/>
      <c r="T12" s="54"/>
      <c r="X12" s="49"/>
      <c r="Y12" s="54"/>
      <c r="AC12" s="49"/>
      <c r="AD12" s="54"/>
      <c r="AH12" s="49"/>
      <c r="AI12" s="54"/>
      <c r="AM12" s="49"/>
      <c r="AN12" s="54"/>
      <c r="AR12" s="49"/>
      <c r="AS12" s="54"/>
      <c r="BB12" s="49"/>
      <c r="BC12" s="54"/>
      <c r="BG12" s="49"/>
      <c r="BH12" s="54"/>
      <c r="BL12" s="49"/>
      <c r="BM12" s="54"/>
      <c r="BQ12" s="49"/>
      <c r="BR12" s="54"/>
      <c r="BV12" s="49"/>
      <c r="BW12" s="54"/>
      <c r="CA12" s="49"/>
      <c r="CB12" s="61"/>
    </row>
    <row r="13" spans="2:80" ht="30" customHeight="1" x14ac:dyDescent="0.25">
      <c r="B13" s="36" t="s">
        <v>12</v>
      </c>
      <c r="C13" s="35" t="s">
        <v>13</v>
      </c>
      <c r="S13" s="18"/>
      <c r="T13" s="54"/>
      <c r="X13" s="49"/>
      <c r="Y13" s="54"/>
      <c r="AC13" s="49"/>
      <c r="AD13" s="54"/>
      <c r="AH13" s="49"/>
      <c r="AI13" s="54"/>
      <c r="AM13" s="49"/>
      <c r="AN13" s="54"/>
      <c r="AR13" s="49"/>
      <c r="AS13" s="54"/>
      <c r="BB13" s="49"/>
      <c r="BC13" s="54"/>
      <c r="BG13" s="49"/>
      <c r="BH13" s="54"/>
      <c r="BL13" s="49"/>
      <c r="BM13" s="54"/>
      <c r="BQ13" s="49"/>
      <c r="BR13" s="54"/>
      <c r="BV13" s="49"/>
      <c r="BW13" s="54"/>
      <c r="CA13" s="49"/>
      <c r="CB13" s="61"/>
    </row>
    <row r="14" spans="2:80" ht="30" customHeight="1" x14ac:dyDescent="0.25">
      <c r="B14" s="36">
        <v>5</v>
      </c>
      <c r="C14" s="35" t="s">
        <v>14</v>
      </c>
      <c r="S14" s="18"/>
      <c r="T14" s="54"/>
      <c r="X14" s="49"/>
      <c r="Y14" s="54"/>
      <c r="AC14" s="49"/>
      <c r="AD14" s="54"/>
      <c r="AH14" s="49"/>
      <c r="AI14" s="54"/>
      <c r="AM14" s="49"/>
      <c r="AN14" s="54"/>
      <c r="AR14" s="49"/>
      <c r="AS14" s="54"/>
      <c r="BB14" s="49"/>
      <c r="BC14" s="54"/>
      <c r="BG14" s="49"/>
      <c r="BH14" s="54"/>
      <c r="BL14" s="49"/>
      <c r="BM14" s="54"/>
      <c r="BQ14" s="49"/>
      <c r="BR14" s="54"/>
      <c r="BV14" s="49"/>
      <c r="BW14" s="54"/>
      <c r="CA14" s="49"/>
      <c r="CB14" s="61"/>
    </row>
    <row r="15" spans="2:80" ht="30" customHeight="1" x14ac:dyDescent="0.25">
      <c r="B15" s="36" t="s">
        <v>15</v>
      </c>
      <c r="C15" s="35" t="s">
        <v>16</v>
      </c>
      <c r="S15" s="18"/>
      <c r="T15" s="54"/>
      <c r="X15" s="49"/>
      <c r="Y15" s="54"/>
      <c r="AC15" s="49"/>
      <c r="AD15" s="54"/>
      <c r="AH15" s="49"/>
      <c r="AI15" s="54"/>
      <c r="AM15" s="49"/>
      <c r="AN15" s="54"/>
      <c r="AR15" s="49"/>
      <c r="AS15" s="54"/>
      <c r="BB15" s="49"/>
      <c r="BC15" s="54"/>
      <c r="BG15" s="49"/>
      <c r="BH15" s="54"/>
      <c r="BL15" s="49"/>
      <c r="BM15" s="54"/>
      <c r="BQ15" s="49"/>
      <c r="BR15" s="54"/>
      <c r="BV15" s="49"/>
      <c r="BW15" s="54"/>
      <c r="CA15" s="49"/>
      <c r="CB15" s="61"/>
    </row>
    <row r="16" spans="2:80" ht="30" customHeight="1" x14ac:dyDescent="0.25">
      <c r="B16" s="36">
        <v>0</v>
      </c>
      <c r="C16" s="35" t="s">
        <v>17</v>
      </c>
      <c r="S16" s="18"/>
      <c r="T16" s="54"/>
      <c r="X16" s="49"/>
      <c r="Y16" s="54"/>
      <c r="AC16" s="49"/>
      <c r="AD16" s="54"/>
      <c r="AH16" s="49"/>
      <c r="AI16" s="54"/>
      <c r="AM16" s="49"/>
      <c r="AN16" s="54"/>
      <c r="AR16" s="49"/>
      <c r="AS16" s="54"/>
      <c r="BB16" s="49"/>
      <c r="BC16" s="54"/>
      <c r="BG16" s="49"/>
      <c r="BH16" s="54"/>
      <c r="BL16" s="49"/>
      <c r="BM16" s="54"/>
      <c r="BQ16" s="49"/>
      <c r="BR16" s="54"/>
      <c r="BV16" s="49"/>
      <c r="BW16" s="54"/>
      <c r="CA16" s="49"/>
      <c r="CB16" s="61"/>
    </row>
    <row r="17" spans="9:80" ht="30" customHeight="1" x14ac:dyDescent="0.25">
      <c r="S17" s="18"/>
      <c r="T17" s="54"/>
      <c r="X17" s="49"/>
      <c r="Y17" s="54"/>
      <c r="AC17" s="49"/>
      <c r="AD17" s="54"/>
      <c r="AH17" s="49"/>
      <c r="AI17" s="54"/>
      <c r="AM17" s="49"/>
      <c r="AN17" s="54"/>
      <c r="AR17" s="49"/>
      <c r="AS17" s="54"/>
      <c r="BB17" s="49"/>
      <c r="BC17" s="54"/>
      <c r="BG17" s="49"/>
      <c r="BH17" s="54"/>
      <c r="BL17" s="49"/>
      <c r="BM17" s="54"/>
      <c r="BQ17" s="49"/>
      <c r="BR17" s="54"/>
      <c r="BV17" s="49"/>
      <c r="BW17" s="54"/>
      <c r="CA17" s="49"/>
      <c r="CB17" s="61"/>
    </row>
    <row r="18" spans="9:80" ht="30" customHeight="1" x14ac:dyDescent="0.25">
      <c r="I18" s="37" t="s">
        <v>8</v>
      </c>
      <c r="J18" s="37" t="s">
        <v>10</v>
      </c>
      <c r="K18" s="38" t="s">
        <v>12</v>
      </c>
      <c r="L18" s="38">
        <v>5</v>
      </c>
      <c r="M18" s="38" t="s">
        <v>15</v>
      </c>
      <c r="N18" s="38">
        <v>0</v>
      </c>
      <c r="S18" s="18"/>
      <c r="T18" s="54"/>
      <c r="X18" s="49"/>
      <c r="Y18" s="54"/>
      <c r="AC18" s="49"/>
      <c r="AD18" s="54"/>
      <c r="AH18" s="49"/>
      <c r="AI18" s="54"/>
      <c r="AM18" s="49"/>
      <c r="AN18" s="54"/>
      <c r="AR18" s="49"/>
      <c r="AS18" s="54"/>
      <c r="BB18" s="49"/>
      <c r="BC18" s="54"/>
      <c r="BG18" s="49"/>
      <c r="BH18" s="54"/>
      <c r="BL18" s="49"/>
      <c r="BM18" s="54"/>
      <c r="BQ18" s="49"/>
      <c r="BR18" s="54"/>
      <c r="BV18" s="49"/>
      <c r="BW18" s="54"/>
      <c r="CA18" s="49"/>
      <c r="CB18" s="61"/>
    </row>
    <row r="19" spans="9:80" ht="30" customHeight="1" x14ac:dyDescent="0.25">
      <c r="I19" s="98" t="s">
        <v>9</v>
      </c>
      <c r="J19" s="32" t="s">
        <v>11</v>
      </c>
      <c r="K19" s="32" t="s">
        <v>13</v>
      </c>
      <c r="L19" s="32" t="s">
        <v>14</v>
      </c>
      <c r="M19" s="32" t="s">
        <v>16</v>
      </c>
      <c r="N19" s="32" t="s">
        <v>17</v>
      </c>
      <c r="S19" s="18"/>
      <c r="T19" s="54"/>
      <c r="X19" s="49"/>
      <c r="Y19" s="54"/>
      <c r="AC19" s="49"/>
      <c r="AD19" s="54"/>
      <c r="AH19" s="49"/>
      <c r="AI19" s="54"/>
      <c r="AM19" s="49"/>
      <c r="AN19" s="54"/>
      <c r="AR19" s="49"/>
      <c r="AS19" s="54"/>
      <c r="BB19" s="49"/>
      <c r="BC19" s="54"/>
      <c r="BG19" s="49"/>
      <c r="BH19" s="54"/>
      <c r="BL19" s="49"/>
      <c r="BM19" s="54"/>
      <c r="BQ19" s="49"/>
      <c r="BR19" s="54"/>
      <c r="BV19" s="49"/>
      <c r="BW19" s="54"/>
      <c r="CA19" s="49"/>
      <c r="CB19" s="61"/>
    </row>
    <row r="20" spans="9:80" ht="30" customHeight="1" x14ac:dyDescent="0.25">
      <c r="I20" s="99"/>
      <c r="S20" s="18"/>
      <c r="T20" s="54"/>
      <c r="X20" s="49"/>
      <c r="Y20" s="54"/>
      <c r="AC20" s="49"/>
      <c r="AD20" s="54"/>
      <c r="AH20" s="49"/>
      <c r="AI20" s="54"/>
      <c r="AM20" s="49"/>
      <c r="AN20" s="54"/>
      <c r="AR20" s="49"/>
      <c r="AS20" s="54"/>
      <c r="BB20" s="49"/>
      <c r="BC20" s="54"/>
      <c r="BG20" s="49"/>
      <c r="BH20" s="54"/>
      <c r="BL20" s="49"/>
      <c r="BM20" s="54"/>
      <c r="BQ20" s="49"/>
      <c r="BR20" s="54"/>
      <c r="BV20" s="49"/>
      <c r="BW20" s="54"/>
      <c r="CA20" s="49"/>
      <c r="CB20" s="61"/>
    </row>
    <row r="21" spans="9:80" ht="30" customHeight="1" x14ac:dyDescent="0.25">
      <c r="I21" s="99"/>
      <c r="S21" s="18"/>
      <c r="T21" s="54"/>
      <c r="X21" s="49"/>
      <c r="Y21" s="54"/>
      <c r="AC21" s="49"/>
      <c r="AD21" s="54"/>
      <c r="AH21" s="49"/>
      <c r="AI21" s="54"/>
      <c r="AM21" s="49"/>
      <c r="AN21" s="54"/>
      <c r="AR21" s="49"/>
      <c r="AS21" s="54"/>
      <c r="BB21" s="49"/>
      <c r="BC21" s="54"/>
      <c r="BG21" s="49"/>
      <c r="BH21" s="54"/>
      <c r="BL21" s="49"/>
      <c r="BM21" s="54"/>
      <c r="BQ21" s="49"/>
      <c r="BR21" s="54"/>
      <c r="BV21" s="49"/>
      <c r="BW21" s="54"/>
      <c r="CA21" s="49"/>
      <c r="CB21" s="61"/>
    </row>
    <row r="22" spans="9:80" ht="30" customHeight="1" x14ac:dyDescent="0.25">
      <c r="I22" s="99"/>
      <c r="S22" s="18"/>
      <c r="T22" s="54"/>
      <c r="X22" s="49"/>
      <c r="Y22" s="54"/>
      <c r="AC22" s="49"/>
      <c r="AD22" s="54"/>
      <c r="AH22" s="49"/>
      <c r="AI22" s="54"/>
      <c r="AM22" s="49"/>
      <c r="AN22" s="54"/>
      <c r="AR22" s="49"/>
      <c r="AS22" s="54"/>
      <c r="BB22" s="49"/>
      <c r="BC22" s="54"/>
      <c r="BG22" s="49"/>
      <c r="BH22" s="54"/>
      <c r="BL22" s="49"/>
      <c r="BM22" s="54"/>
      <c r="BQ22" s="49"/>
      <c r="BR22" s="54"/>
      <c r="BV22" s="49"/>
      <c r="BW22" s="54"/>
      <c r="CA22" s="49"/>
      <c r="CB22" s="61"/>
    </row>
    <row r="23" spans="9:80" ht="30" customHeight="1" x14ac:dyDescent="0.25">
      <c r="I23" s="99"/>
      <c r="S23" s="18"/>
      <c r="T23" s="54"/>
      <c r="X23" s="49"/>
      <c r="Y23" s="54"/>
      <c r="AC23" s="49"/>
      <c r="AD23" s="54"/>
      <c r="AH23" s="49"/>
      <c r="AI23" s="54"/>
      <c r="AM23" s="49"/>
      <c r="AN23" s="54"/>
      <c r="AR23" s="49"/>
      <c r="AS23" s="54"/>
      <c r="BB23" s="49"/>
      <c r="BC23" s="54"/>
      <c r="BG23" s="49"/>
      <c r="BH23" s="54"/>
      <c r="BL23" s="49"/>
      <c r="BM23" s="54"/>
      <c r="BQ23" s="49"/>
      <c r="BR23" s="54"/>
      <c r="BV23" s="49"/>
      <c r="BW23" s="54"/>
      <c r="CA23" s="49"/>
      <c r="CB23" s="61"/>
    </row>
    <row r="24" spans="9:80" ht="30" customHeight="1" x14ac:dyDescent="0.25">
      <c r="S24" s="18"/>
      <c r="T24" s="54"/>
      <c r="X24" s="49"/>
      <c r="Y24" s="54"/>
      <c r="AC24" s="49"/>
      <c r="AD24" s="54"/>
      <c r="AH24" s="49"/>
      <c r="AI24" s="54"/>
      <c r="AM24" s="49"/>
      <c r="AN24" s="54"/>
      <c r="AR24" s="49"/>
      <c r="AS24" s="54"/>
      <c r="BB24" s="49"/>
      <c r="BC24" s="54"/>
      <c r="BG24" s="49"/>
      <c r="BH24" s="54"/>
      <c r="BL24" s="49"/>
      <c r="BM24" s="54"/>
      <c r="BQ24" s="49"/>
      <c r="BR24" s="54"/>
      <c r="BV24" s="49"/>
      <c r="BW24" s="54"/>
      <c r="CA24" s="49"/>
      <c r="CB24" s="61"/>
    </row>
    <row r="25" spans="9:80" ht="30" customHeight="1" x14ac:dyDescent="0.25">
      <c r="S25" s="18"/>
      <c r="T25" s="54"/>
      <c r="X25" s="49"/>
      <c r="Y25" s="54"/>
      <c r="AC25" s="49"/>
      <c r="AD25" s="54"/>
      <c r="AH25" s="49"/>
      <c r="AI25" s="54"/>
      <c r="AM25" s="49"/>
      <c r="AN25" s="54"/>
      <c r="AR25" s="49"/>
      <c r="AS25" s="54"/>
      <c r="BB25" s="49"/>
      <c r="BC25" s="54"/>
      <c r="BG25" s="49"/>
      <c r="BH25" s="54"/>
      <c r="BL25" s="49"/>
      <c r="BM25" s="54"/>
      <c r="BQ25" s="49"/>
      <c r="BR25" s="54"/>
      <c r="BV25" s="49"/>
      <c r="BW25" s="54"/>
      <c r="CA25" s="49"/>
      <c r="CB25" s="61"/>
    </row>
    <row r="26" spans="9:80" ht="30" customHeight="1" x14ac:dyDescent="0.25">
      <c r="S26" s="18"/>
      <c r="T26" s="54"/>
      <c r="X26" s="49"/>
      <c r="Y26" s="54"/>
      <c r="AC26" s="49"/>
      <c r="AD26" s="54"/>
      <c r="AH26" s="49"/>
      <c r="AI26" s="54"/>
      <c r="AM26" s="49"/>
      <c r="AN26" s="54"/>
      <c r="AR26" s="49"/>
      <c r="AS26" s="54"/>
      <c r="BB26" s="49"/>
      <c r="BC26" s="54"/>
      <c r="BG26" s="49"/>
      <c r="BH26" s="54"/>
      <c r="BL26" s="49"/>
      <c r="BM26" s="54"/>
      <c r="BQ26" s="49"/>
      <c r="BR26" s="54"/>
      <c r="BV26" s="49"/>
      <c r="BW26" s="54"/>
      <c r="CA26" s="49"/>
      <c r="CB26" s="61"/>
    </row>
    <row r="27" spans="9:80" ht="30" customHeight="1" x14ac:dyDescent="0.25">
      <c r="S27" s="18"/>
      <c r="T27" s="54"/>
      <c r="X27" s="49"/>
      <c r="Y27" s="54"/>
      <c r="AC27" s="49"/>
      <c r="AD27" s="54"/>
      <c r="AH27" s="49"/>
      <c r="AI27" s="54"/>
      <c r="AM27" s="49"/>
      <c r="AN27" s="54"/>
      <c r="AR27" s="49"/>
      <c r="AS27" s="54"/>
      <c r="BB27" s="49"/>
      <c r="BC27" s="54"/>
      <c r="BG27" s="49"/>
      <c r="BH27" s="54"/>
      <c r="BL27" s="49"/>
      <c r="BM27" s="54"/>
      <c r="BQ27" s="49"/>
      <c r="BR27" s="54"/>
      <c r="BV27" s="49"/>
      <c r="BW27" s="54"/>
      <c r="CA27" s="49"/>
      <c r="CB27" s="61"/>
    </row>
    <row r="28" spans="9:80" ht="30" customHeight="1" x14ac:dyDescent="0.25">
      <c r="S28" s="18"/>
      <c r="T28" s="54"/>
      <c r="X28" s="49"/>
      <c r="Y28" s="54"/>
      <c r="AC28" s="49"/>
      <c r="AD28" s="54"/>
      <c r="AH28" s="49"/>
      <c r="AI28" s="54"/>
      <c r="AM28" s="49"/>
      <c r="AN28" s="54"/>
      <c r="AR28" s="49"/>
      <c r="AS28" s="54"/>
      <c r="BB28" s="49"/>
      <c r="BC28" s="54"/>
      <c r="BG28" s="49"/>
      <c r="BH28" s="54"/>
      <c r="BL28" s="49"/>
      <c r="BM28" s="54"/>
      <c r="BQ28" s="49"/>
      <c r="BR28" s="54"/>
      <c r="BV28" s="49"/>
      <c r="BW28" s="54"/>
      <c r="CA28" s="49"/>
      <c r="CB28" s="61"/>
    </row>
    <row r="29" spans="9:80" ht="30" customHeight="1" x14ac:dyDescent="0.25">
      <c r="S29" s="18"/>
      <c r="T29" s="54"/>
      <c r="X29" s="49"/>
      <c r="Y29" s="54"/>
      <c r="AC29" s="49"/>
      <c r="AD29" s="54"/>
      <c r="AH29" s="49"/>
      <c r="AI29" s="54"/>
      <c r="AM29" s="49"/>
      <c r="AN29" s="54"/>
      <c r="AR29" s="49"/>
      <c r="AS29" s="54"/>
      <c r="BB29" s="49"/>
      <c r="BC29" s="54"/>
      <c r="BG29" s="49"/>
      <c r="BH29" s="54"/>
      <c r="BL29" s="49"/>
      <c r="BM29" s="54"/>
      <c r="BQ29" s="49"/>
      <c r="BR29" s="54"/>
      <c r="BV29" s="49"/>
      <c r="BW29" s="54"/>
      <c r="CA29" s="49"/>
      <c r="CB29" s="61"/>
    </row>
    <row r="30" spans="9:80" ht="30" customHeight="1" x14ac:dyDescent="0.25">
      <c r="S30" s="18"/>
      <c r="T30" s="54"/>
      <c r="X30" s="49"/>
      <c r="Y30" s="54"/>
      <c r="AC30" s="49"/>
      <c r="AD30" s="54"/>
      <c r="AH30" s="49"/>
      <c r="AI30" s="54"/>
      <c r="AM30" s="49"/>
      <c r="AN30" s="54"/>
      <c r="AR30" s="49"/>
      <c r="AS30" s="54"/>
      <c r="BB30" s="49"/>
      <c r="BC30" s="54"/>
      <c r="BG30" s="49"/>
      <c r="BH30" s="54"/>
      <c r="BL30" s="49"/>
      <c r="BM30" s="54"/>
      <c r="BQ30" s="49"/>
      <c r="BR30" s="54"/>
      <c r="BV30" s="49"/>
      <c r="BW30" s="54"/>
      <c r="CA30" s="49"/>
      <c r="CB30" s="61"/>
    </row>
    <row r="31" spans="9:80" ht="30" customHeight="1" x14ac:dyDescent="0.25">
      <c r="S31" s="18"/>
      <c r="T31" s="54"/>
      <c r="X31" s="49"/>
      <c r="Y31" s="54"/>
      <c r="AC31" s="49"/>
      <c r="AD31" s="54"/>
      <c r="AH31" s="49"/>
      <c r="AI31" s="54"/>
      <c r="AM31" s="49"/>
      <c r="AN31" s="54"/>
      <c r="AR31" s="49"/>
      <c r="AS31" s="54"/>
      <c r="BB31" s="49"/>
      <c r="BC31" s="54"/>
      <c r="BG31" s="49"/>
      <c r="BH31" s="54"/>
      <c r="BL31" s="49"/>
      <c r="BM31" s="54"/>
      <c r="BQ31" s="49"/>
      <c r="BR31" s="54"/>
      <c r="BV31" s="49"/>
      <c r="BW31" s="54"/>
      <c r="CA31" s="49"/>
      <c r="CB31" s="61"/>
    </row>
    <row r="32" spans="9:80" ht="30" customHeight="1" x14ac:dyDescent="0.25">
      <c r="S32" s="18"/>
      <c r="T32" s="54"/>
      <c r="X32" s="49"/>
      <c r="Y32" s="54"/>
      <c r="AC32" s="49"/>
      <c r="AD32" s="54"/>
      <c r="AH32" s="49"/>
      <c r="AI32" s="54"/>
      <c r="AM32" s="49"/>
      <c r="AN32" s="54"/>
      <c r="AR32" s="49"/>
      <c r="AS32" s="54"/>
      <c r="BB32" s="49"/>
      <c r="BC32" s="54"/>
      <c r="BG32" s="49"/>
      <c r="BH32" s="54"/>
      <c r="BL32" s="49"/>
      <c r="BM32" s="54"/>
      <c r="BQ32" s="49"/>
      <c r="BR32" s="54"/>
      <c r="BV32" s="49"/>
      <c r="BW32" s="54"/>
      <c r="CA32" s="49"/>
      <c r="CB32" s="61"/>
    </row>
    <row r="33" spans="1:109" ht="30" customHeight="1" x14ac:dyDescent="0.25">
      <c r="S33" s="18"/>
      <c r="T33" s="54"/>
      <c r="X33" s="49"/>
      <c r="Y33" s="54"/>
      <c r="AC33" s="49"/>
      <c r="AD33" s="54"/>
      <c r="AH33" s="49"/>
      <c r="AI33" s="54"/>
      <c r="AM33" s="49"/>
      <c r="AN33" s="54"/>
      <c r="AR33" s="49"/>
      <c r="AS33" s="54"/>
      <c r="BB33" s="49"/>
      <c r="BC33" s="54"/>
      <c r="BG33" s="49"/>
      <c r="BH33" s="54"/>
      <c r="BL33" s="49"/>
      <c r="BM33" s="54"/>
      <c r="BQ33" s="49"/>
      <c r="BR33" s="54"/>
      <c r="BV33" s="49"/>
      <c r="BW33" s="54"/>
      <c r="CA33" s="49"/>
      <c r="CB33" s="61"/>
    </row>
    <row r="34" spans="1:109" ht="30" customHeight="1" x14ac:dyDescent="0.25">
      <c r="S34" s="18"/>
      <c r="T34" s="54"/>
      <c r="X34" s="49"/>
      <c r="Y34" s="54"/>
      <c r="AC34" s="49"/>
      <c r="AD34" s="54"/>
      <c r="AH34" s="49"/>
      <c r="AI34" s="54"/>
      <c r="AM34" s="49"/>
      <c r="AN34" s="54"/>
      <c r="AR34" s="49"/>
      <c r="AS34" s="54"/>
      <c r="BB34" s="49"/>
      <c r="BC34" s="54"/>
      <c r="BG34" s="49"/>
      <c r="BH34" s="54"/>
      <c r="BL34" s="49"/>
      <c r="BM34" s="54"/>
      <c r="BQ34" s="49"/>
      <c r="BR34" s="54"/>
      <c r="BV34" s="49"/>
      <c r="BW34" s="54"/>
      <c r="CA34" s="49"/>
      <c r="CB34" s="61"/>
    </row>
    <row r="35" spans="1:109" ht="30" customHeight="1" x14ac:dyDescent="0.25">
      <c r="S35" s="18"/>
      <c r="T35" s="54"/>
      <c r="X35" s="49"/>
      <c r="Y35" s="54"/>
      <c r="AC35" s="49"/>
      <c r="AD35" s="54"/>
      <c r="AH35" s="49"/>
      <c r="AI35" s="54"/>
      <c r="AM35" s="49"/>
      <c r="AN35" s="54"/>
      <c r="AR35" s="49"/>
      <c r="AS35" s="54"/>
      <c r="BB35" s="49"/>
      <c r="BC35" s="54"/>
      <c r="BG35" s="49"/>
      <c r="BH35" s="54"/>
      <c r="BL35" s="49"/>
      <c r="BM35" s="54"/>
      <c r="BQ35" s="49"/>
      <c r="BR35" s="54"/>
      <c r="BV35" s="49"/>
      <c r="BW35" s="54"/>
      <c r="CA35" s="49"/>
      <c r="CB35" s="61"/>
    </row>
    <row r="36" spans="1:109" ht="30" customHeight="1" x14ac:dyDescent="0.25">
      <c r="S36" s="18"/>
      <c r="T36" s="54"/>
      <c r="X36" s="49"/>
      <c r="Y36" s="54"/>
      <c r="AC36" s="49"/>
      <c r="AD36" s="54"/>
      <c r="AH36" s="49"/>
      <c r="AI36" s="54"/>
      <c r="AM36" s="49"/>
      <c r="AN36" s="54"/>
      <c r="AR36" s="49"/>
      <c r="AS36" s="54"/>
      <c r="BB36" s="49"/>
      <c r="BC36" s="54"/>
      <c r="BG36" s="49"/>
      <c r="BH36" s="54"/>
      <c r="BL36" s="49"/>
      <c r="BM36" s="54"/>
      <c r="BQ36" s="49"/>
      <c r="BR36" s="54"/>
      <c r="BV36" s="49"/>
      <c r="BW36" s="54"/>
      <c r="CA36" s="49"/>
      <c r="CB36" s="61"/>
    </row>
    <row r="37" spans="1:109" ht="30" customHeight="1" x14ac:dyDescent="0.25">
      <c r="S37" s="18"/>
      <c r="T37" s="54"/>
      <c r="X37" s="49"/>
      <c r="Y37" s="54"/>
      <c r="AC37" s="49"/>
      <c r="AD37" s="54"/>
      <c r="AH37" s="49"/>
      <c r="AI37" s="54"/>
      <c r="AM37" s="49"/>
      <c r="AN37" s="54"/>
      <c r="AR37" s="49"/>
      <c r="AS37" s="54"/>
      <c r="BB37" s="49"/>
      <c r="BC37" s="54"/>
      <c r="BG37" s="49"/>
      <c r="BH37" s="54"/>
      <c r="BL37" s="49"/>
      <c r="BM37" s="54"/>
      <c r="BQ37" s="49"/>
      <c r="BR37" s="54"/>
      <c r="BV37" s="49"/>
      <c r="BW37" s="54"/>
      <c r="CA37" s="49"/>
      <c r="CB37" s="61"/>
    </row>
    <row r="38" spans="1:109" ht="30" customHeight="1" x14ac:dyDescent="0.25">
      <c r="S38" s="18"/>
      <c r="T38" s="54"/>
      <c r="X38" s="49"/>
      <c r="Y38" s="54"/>
      <c r="AC38" s="49"/>
      <c r="AD38" s="54"/>
      <c r="AH38" s="49"/>
      <c r="AI38" s="54"/>
      <c r="AM38" s="49"/>
      <c r="AN38" s="54"/>
      <c r="AR38" s="49"/>
      <c r="AS38" s="54"/>
      <c r="BB38" s="49"/>
      <c r="BC38" s="54"/>
      <c r="BG38" s="49"/>
      <c r="BH38" s="54"/>
      <c r="BL38" s="49"/>
      <c r="BM38" s="54"/>
      <c r="BQ38" s="49"/>
      <c r="BR38" s="54"/>
      <c r="BV38" s="49"/>
      <c r="BW38" s="54"/>
      <c r="CA38" s="49"/>
      <c r="CB38" s="61"/>
    </row>
    <row r="39" spans="1:109" ht="30" customHeight="1" x14ac:dyDescent="0.25">
      <c r="S39" s="18"/>
      <c r="T39" s="54"/>
      <c r="X39" s="49"/>
      <c r="Y39" s="54"/>
      <c r="AC39" s="49"/>
      <c r="AD39" s="54"/>
      <c r="AH39" s="49"/>
      <c r="AI39" s="54"/>
      <c r="AM39" s="49"/>
      <c r="AN39" s="54"/>
      <c r="AR39" s="49"/>
      <c r="AS39" s="54"/>
      <c r="BB39" s="49"/>
      <c r="BC39" s="54"/>
      <c r="BG39" s="49"/>
      <c r="BH39" s="54"/>
      <c r="BL39" s="49"/>
      <c r="BM39" s="54"/>
      <c r="BQ39" s="49"/>
      <c r="BR39" s="54"/>
      <c r="BV39" s="49"/>
      <c r="BW39" s="54"/>
      <c r="CA39" s="49"/>
      <c r="CB39" s="61"/>
    </row>
    <row r="40" spans="1:109" ht="30" customHeight="1" x14ac:dyDescent="0.25">
      <c r="S40" s="18"/>
      <c r="T40" s="54"/>
      <c r="X40" s="49"/>
      <c r="Y40" s="54"/>
      <c r="AC40" s="49"/>
      <c r="AD40" s="54"/>
      <c r="AH40" s="49"/>
      <c r="AI40" s="54"/>
      <c r="AM40" s="49"/>
      <c r="AN40" s="54"/>
      <c r="AR40" s="49"/>
      <c r="AS40" s="54"/>
      <c r="BB40" s="49"/>
      <c r="BC40" s="54"/>
      <c r="BG40" s="49"/>
      <c r="BH40" s="54"/>
      <c r="BL40" s="49"/>
      <c r="BM40" s="54"/>
      <c r="BQ40" s="49"/>
      <c r="BR40" s="54"/>
      <c r="BV40" s="49"/>
      <c r="BW40" s="54"/>
      <c r="CA40" s="49"/>
      <c r="CB40" s="61"/>
    </row>
    <row r="41" spans="1:109" ht="30" customHeight="1" x14ac:dyDescent="0.25">
      <c r="S41" s="88" t="s">
        <v>61</v>
      </c>
      <c r="T41" s="88"/>
      <c r="X41" s="49"/>
      <c r="Y41" s="54"/>
      <c r="AC41" s="49"/>
      <c r="AD41" s="54"/>
      <c r="AH41" s="49"/>
      <c r="AI41" s="54"/>
      <c r="AM41" s="49"/>
      <c r="AN41" s="54"/>
      <c r="AR41" s="49"/>
      <c r="AS41" s="54"/>
      <c r="BB41" s="49"/>
      <c r="BC41" s="54"/>
      <c r="BG41" s="49"/>
      <c r="BH41" s="54"/>
      <c r="BL41" s="49"/>
      <c r="BM41" s="54"/>
      <c r="BQ41" s="49"/>
      <c r="BR41" s="54"/>
      <c r="BV41" s="49"/>
      <c r="BW41" s="54"/>
      <c r="CA41" s="88" t="s">
        <v>61</v>
      </c>
      <c r="CB41" s="88"/>
    </row>
    <row r="42" spans="1:109" ht="30" customHeight="1" x14ac:dyDescent="0.25">
      <c r="S42" s="88"/>
      <c r="T42" s="88"/>
      <c r="X42" s="49"/>
      <c r="Y42" s="54"/>
      <c r="AC42" s="49"/>
      <c r="AD42" s="54"/>
      <c r="AH42" s="49"/>
      <c r="AI42" s="54"/>
      <c r="AM42" s="49"/>
      <c r="AN42" s="54"/>
      <c r="AR42" s="49"/>
      <c r="AS42" s="54"/>
      <c r="BB42" s="49"/>
      <c r="BC42" s="54"/>
      <c r="BG42" s="49"/>
      <c r="BH42" s="54"/>
      <c r="BL42" s="49"/>
      <c r="BM42" s="54"/>
      <c r="BQ42" s="49"/>
      <c r="BR42" s="54"/>
      <c r="BV42" s="49"/>
      <c r="BW42" s="54"/>
      <c r="CA42" s="88"/>
      <c r="CB42" s="88"/>
    </row>
    <row r="43" spans="1:109" s="1" customFormat="1" ht="30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90"/>
      <c r="T43" s="90"/>
      <c r="Y43" s="55"/>
      <c r="AD43" s="55"/>
      <c r="AI43" s="55"/>
      <c r="AN43" s="55"/>
      <c r="AS43" s="55"/>
      <c r="AX43" s="5"/>
      <c r="BC43" s="55"/>
      <c r="BH43" s="55"/>
      <c r="BM43" s="55"/>
      <c r="BR43" s="55"/>
      <c r="BW43" s="55"/>
      <c r="CA43" s="90"/>
      <c r="CB43" s="90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</row>
    <row r="44" spans="1:109" ht="11.25" customHeight="1" x14ac:dyDescent="0.25">
      <c r="S44" s="22"/>
      <c r="T44" s="8"/>
      <c r="U44" s="7"/>
      <c r="V44" s="7"/>
      <c r="W44" s="7"/>
      <c r="X44" s="7"/>
      <c r="Y44" s="8"/>
      <c r="Z44" s="7"/>
      <c r="AA44" s="7"/>
      <c r="AB44" s="7"/>
      <c r="AC44" s="7"/>
      <c r="AD44" s="8"/>
      <c r="AE44" s="7"/>
      <c r="AF44" s="7"/>
      <c r="AG44" s="7"/>
      <c r="AH44" s="7"/>
      <c r="AI44" s="8"/>
      <c r="AJ44" s="7"/>
      <c r="AK44" s="7"/>
      <c r="AL44" s="7"/>
      <c r="AM44" s="7"/>
      <c r="AN44" s="8"/>
      <c r="AO44" s="7"/>
      <c r="AP44" s="7"/>
      <c r="AQ44" s="7"/>
      <c r="AR44" s="7"/>
      <c r="AS44" s="8"/>
      <c r="AT44" s="7"/>
      <c r="AU44" s="7"/>
      <c r="AV44" s="7"/>
      <c r="AW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23"/>
    </row>
    <row r="45" spans="1:109" ht="11.25" customHeight="1" x14ac:dyDescent="0.25">
      <c r="S45" s="24"/>
      <c r="T45" s="8"/>
      <c r="X45" s="10"/>
      <c r="Y45" s="8"/>
      <c r="AC45" s="10"/>
      <c r="AD45" s="8"/>
      <c r="AH45" s="10"/>
      <c r="AI45" s="8"/>
      <c r="AM45" s="10"/>
      <c r="AN45" s="8"/>
      <c r="AR45" s="10"/>
      <c r="AS45" s="8"/>
      <c r="AW45" s="10"/>
      <c r="BB45" s="10"/>
      <c r="BC45" s="8"/>
      <c r="BG45" s="10"/>
      <c r="BH45" s="8"/>
      <c r="BL45" s="10"/>
      <c r="BM45" s="8"/>
      <c r="BQ45" s="10"/>
      <c r="BR45" s="8"/>
      <c r="BV45" s="10"/>
      <c r="BW45" s="8"/>
      <c r="CA45" s="10"/>
      <c r="CB45" s="25"/>
      <c r="CZ45" s="10"/>
      <c r="DA45" s="8"/>
      <c r="DE45" s="10"/>
    </row>
    <row r="46" spans="1:109" ht="13.5" customHeight="1" x14ac:dyDescent="0.25">
      <c r="S46" s="118" t="s">
        <v>63</v>
      </c>
      <c r="T46" s="118"/>
      <c r="X46" s="92" t="s">
        <v>49</v>
      </c>
      <c r="Y46" s="92"/>
      <c r="AC46" s="92" t="s">
        <v>43</v>
      </c>
      <c r="AD46" s="92"/>
      <c r="AH46" s="92" t="s">
        <v>48</v>
      </c>
      <c r="AI46" s="92"/>
      <c r="AM46" s="92" t="s">
        <v>39</v>
      </c>
      <c r="AN46" s="92"/>
      <c r="AR46" s="92" t="s">
        <v>44</v>
      </c>
      <c r="AS46" s="92"/>
      <c r="BB46" s="92" t="s">
        <v>45</v>
      </c>
      <c r="BC46" s="92"/>
      <c r="BG46" s="92" t="s">
        <v>40</v>
      </c>
      <c r="BH46" s="92"/>
      <c r="BL46" s="92" t="s">
        <v>46</v>
      </c>
      <c r="BM46" s="92"/>
      <c r="BQ46" s="92" t="s">
        <v>41</v>
      </c>
      <c r="BR46" s="92"/>
      <c r="BV46" s="92" t="s">
        <v>47</v>
      </c>
      <c r="BW46" s="92"/>
      <c r="CA46" s="118" t="s">
        <v>62</v>
      </c>
      <c r="CB46" s="118"/>
    </row>
    <row r="47" spans="1:109" s="12" customFormat="1" ht="30" customHeight="1" x14ac:dyDescent="0.45">
      <c r="S47" s="118"/>
      <c r="T47" s="118"/>
      <c r="X47" s="92"/>
      <c r="Y47" s="92"/>
      <c r="AC47" s="92"/>
      <c r="AD47" s="92"/>
      <c r="AH47" s="92"/>
      <c r="AI47" s="92"/>
      <c r="AM47" s="92"/>
      <c r="AN47" s="92"/>
      <c r="AR47" s="92"/>
      <c r="AS47" s="92"/>
      <c r="AX47" s="13"/>
      <c r="BB47" s="92"/>
      <c r="BC47" s="92"/>
      <c r="BG47" s="92"/>
      <c r="BH47" s="92"/>
      <c r="BL47" s="92"/>
      <c r="BM47" s="92"/>
      <c r="BQ47" s="92"/>
      <c r="BR47" s="92"/>
      <c r="BV47" s="92"/>
      <c r="BW47" s="92"/>
      <c r="CA47" s="118"/>
      <c r="CB47" s="118"/>
    </row>
    <row r="48" spans="1:109" s="12" customFormat="1" ht="30" customHeight="1" x14ac:dyDescent="0.45">
      <c r="S48" s="118"/>
      <c r="T48" s="118"/>
      <c r="X48" s="48"/>
      <c r="Y48" s="64"/>
      <c r="AC48" s="48"/>
      <c r="AD48" s="64"/>
      <c r="AH48" s="48"/>
      <c r="AI48" s="64"/>
      <c r="AM48" s="48"/>
      <c r="AN48" s="64"/>
      <c r="AR48" s="92"/>
      <c r="AS48" s="92"/>
      <c r="AX48" s="13"/>
      <c r="BB48" s="92"/>
      <c r="BC48" s="92"/>
      <c r="BG48" s="48"/>
      <c r="BH48" s="64"/>
      <c r="BL48" s="48"/>
      <c r="BM48" s="64"/>
      <c r="BQ48" s="48"/>
      <c r="BR48" s="64"/>
      <c r="BV48" s="48"/>
      <c r="BW48" s="64"/>
      <c r="CA48" s="118"/>
      <c r="CB48" s="118"/>
    </row>
    <row r="49" spans="19:80" s="12" customFormat="1" ht="30" customHeight="1" x14ac:dyDescent="0.45">
      <c r="S49" s="47"/>
      <c r="T49" s="54"/>
      <c r="X49" s="48"/>
      <c r="Y49" s="64"/>
      <c r="AC49" s="48"/>
      <c r="AD49" s="64"/>
      <c r="AH49" s="48"/>
      <c r="AI49" s="64"/>
      <c r="AM49" s="48"/>
      <c r="AN49" s="64"/>
      <c r="AR49" s="48"/>
      <c r="AS49" s="54"/>
      <c r="AX49" s="13"/>
      <c r="BB49" s="48"/>
      <c r="BC49" s="64"/>
      <c r="BG49" s="48"/>
      <c r="BH49" s="64"/>
      <c r="BL49" s="48"/>
      <c r="BM49" s="64"/>
      <c r="BQ49" s="48"/>
      <c r="BR49" s="64"/>
      <c r="BV49" s="48"/>
      <c r="BW49" s="64"/>
      <c r="CA49" s="48"/>
      <c r="CB49" s="62"/>
    </row>
    <row r="50" spans="19:80" ht="30" customHeight="1" x14ac:dyDescent="0.25">
      <c r="S50" s="18"/>
      <c r="T50" s="54"/>
      <c r="X50" s="49"/>
      <c r="Y50" s="54"/>
      <c r="AC50" s="49"/>
      <c r="AD50" s="54"/>
      <c r="AH50" s="49"/>
      <c r="AI50" s="54"/>
      <c r="AM50" s="49"/>
      <c r="AN50" s="54"/>
      <c r="AR50" s="49"/>
      <c r="AS50" s="54"/>
      <c r="BB50" s="49"/>
      <c r="BC50" s="54"/>
      <c r="BG50" s="49"/>
      <c r="BH50" s="54"/>
      <c r="BL50" s="49"/>
      <c r="BM50" s="54"/>
      <c r="BQ50" s="49"/>
      <c r="BR50" s="54"/>
      <c r="BV50" s="49"/>
      <c r="BW50" s="54"/>
      <c r="CA50" s="49"/>
      <c r="CB50" s="61"/>
    </row>
    <row r="51" spans="19:80" ht="30" customHeight="1" x14ac:dyDescent="0.25">
      <c r="S51" s="18"/>
      <c r="T51" s="54"/>
      <c r="X51" s="49"/>
      <c r="Y51" s="54"/>
      <c r="AC51" s="49"/>
      <c r="AD51" s="54"/>
      <c r="AH51" s="49"/>
      <c r="AI51" s="54"/>
      <c r="AM51" s="49"/>
      <c r="AN51" s="54"/>
      <c r="AR51" s="49"/>
      <c r="AS51" s="54"/>
      <c r="BB51" s="49"/>
      <c r="BC51" s="54"/>
      <c r="BG51" s="49"/>
      <c r="BH51" s="54"/>
      <c r="BL51" s="49"/>
      <c r="BM51" s="54"/>
      <c r="BQ51" s="49"/>
      <c r="BR51" s="54"/>
      <c r="BV51" s="49"/>
      <c r="BW51" s="54"/>
      <c r="CA51" s="49"/>
      <c r="CB51" s="61"/>
    </row>
    <row r="52" spans="19:80" ht="30" customHeight="1" x14ac:dyDescent="0.25">
      <c r="S52" s="18"/>
      <c r="T52" s="54"/>
      <c r="X52" s="49"/>
      <c r="Y52" s="54"/>
      <c r="AC52" s="49"/>
      <c r="AD52" s="54"/>
      <c r="AH52" s="49"/>
      <c r="AI52" s="54"/>
      <c r="AM52" s="49"/>
      <c r="AN52" s="54"/>
      <c r="AR52" s="49"/>
      <c r="AS52" s="54"/>
      <c r="BB52" s="49"/>
      <c r="BC52" s="54"/>
      <c r="BG52" s="49"/>
      <c r="BH52" s="54"/>
      <c r="BL52" s="49"/>
      <c r="BM52" s="54"/>
      <c r="BQ52" s="49"/>
      <c r="BR52" s="54"/>
      <c r="BV52" s="49"/>
      <c r="BW52" s="54"/>
      <c r="CA52" s="49"/>
      <c r="CB52" s="61"/>
    </row>
    <row r="53" spans="19:80" ht="30" customHeight="1" x14ac:dyDescent="0.25">
      <c r="S53" s="18"/>
      <c r="T53" s="54"/>
      <c r="X53" s="49"/>
      <c r="Y53" s="54"/>
      <c r="AC53" s="49"/>
      <c r="AD53" s="54"/>
      <c r="AH53" s="49"/>
      <c r="AI53" s="54"/>
      <c r="AM53" s="49"/>
      <c r="AN53" s="54"/>
      <c r="AR53" s="49"/>
      <c r="AS53" s="54"/>
      <c r="BB53" s="49"/>
      <c r="BC53" s="54"/>
      <c r="BG53" s="49"/>
      <c r="BH53" s="54"/>
      <c r="BL53" s="49"/>
      <c r="BM53" s="54"/>
      <c r="BQ53" s="49"/>
      <c r="BR53" s="54"/>
      <c r="BV53" s="49"/>
      <c r="BW53" s="54"/>
      <c r="CA53" s="49"/>
      <c r="CB53" s="61"/>
    </row>
    <row r="54" spans="19:80" ht="30" customHeight="1" x14ac:dyDescent="0.25">
      <c r="S54" s="18"/>
      <c r="T54" s="54"/>
      <c r="X54" s="49"/>
      <c r="Y54" s="54"/>
      <c r="AC54" s="49"/>
      <c r="AD54" s="54"/>
      <c r="AH54" s="49"/>
      <c r="AI54" s="54"/>
      <c r="AM54" s="49"/>
      <c r="AN54" s="54"/>
      <c r="AR54" s="49"/>
      <c r="AS54" s="54"/>
      <c r="BB54" s="49"/>
      <c r="BC54" s="54"/>
      <c r="BG54" s="49"/>
      <c r="BH54" s="54"/>
      <c r="BL54" s="49"/>
      <c r="BM54" s="54"/>
      <c r="BQ54" s="49"/>
      <c r="BR54" s="54"/>
      <c r="BV54" s="49"/>
      <c r="BW54" s="54"/>
      <c r="CA54" s="49"/>
      <c r="CB54" s="61"/>
    </row>
    <row r="55" spans="19:80" ht="30" customHeight="1" x14ac:dyDescent="0.25">
      <c r="S55" s="18"/>
      <c r="T55" s="54"/>
      <c r="X55" s="49"/>
      <c r="Y55" s="54"/>
      <c r="AC55" s="49"/>
      <c r="AD55" s="54"/>
      <c r="AH55" s="49"/>
      <c r="AI55" s="54"/>
      <c r="AM55" s="49"/>
      <c r="AN55" s="54"/>
      <c r="AR55" s="49"/>
      <c r="AS55" s="54"/>
      <c r="BB55" s="49"/>
      <c r="BC55" s="54"/>
      <c r="BG55" s="49"/>
      <c r="BH55" s="54"/>
      <c r="BL55" s="49"/>
      <c r="BM55" s="54"/>
      <c r="BQ55" s="49"/>
      <c r="BR55" s="54"/>
      <c r="BV55" s="49"/>
      <c r="BW55" s="54"/>
      <c r="CA55" s="49"/>
      <c r="CB55" s="61"/>
    </row>
    <row r="56" spans="19:80" ht="30" customHeight="1" x14ac:dyDescent="0.25">
      <c r="S56" s="18"/>
      <c r="T56" s="54"/>
      <c r="X56" s="49"/>
      <c r="Y56" s="54"/>
      <c r="AC56" s="49"/>
      <c r="AD56" s="54"/>
      <c r="AH56" s="49"/>
      <c r="AI56" s="54"/>
      <c r="AM56" s="49"/>
      <c r="AN56" s="54"/>
      <c r="AR56" s="49"/>
      <c r="AS56" s="54"/>
      <c r="BB56" s="49"/>
      <c r="BC56" s="54"/>
      <c r="BG56" s="49"/>
      <c r="BH56" s="54"/>
      <c r="BL56" s="49"/>
      <c r="BM56" s="54"/>
      <c r="BQ56" s="49"/>
      <c r="BR56" s="54"/>
      <c r="BV56" s="49"/>
      <c r="BW56" s="54"/>
      <c r="CA56" s="49"/>
      <c r="CB56" s="61"/>
    </row>
    <row r="57" spans="19:80" ht="30" customHeight="1" x14ac:dyDescent="0.25">
      <c r="S57" s="18"/>
      <c r="T57" s="54"/>
      <c r="X57" s="49"/>
      <c r="Y57" s="54"/>
      <c r="AC57" s="49"/>
      <c r="AD57" s="54"/>
      <c r="AH57" s="49"/>
      <c r="AI57" s="54"/>
      <c r="AM57" s="49"/>
      <c r="AN57" s="54"/>
      <c r="AR57" s="49"/>
      <c r="AS57" s="54"/>
      <c r="BB57" s="49"/>
      <c r="BC57" s="54"/>
      <c r="BG57" s="49"/>
      <c r="BH57" s="54"/>
      <c r="BL57" s="49"/>
      <c r="BM57" s="54"/>
      <c r="BQ57" s="49"/>
      <c r="BR57" s="54"/>
      <c r="BV57" s="49"/>
      <c r="BW57" s="54"/>
      <c r="CA57" s="49"/>
      <c r="CB57" s="61"/>
    </row>
    <row r="58" spans="19:80" ht="30" customHeight="1" x14ac:dyDescent="0.25">
      <c r="S58" s="18"/>
      <c r="T58" s="54"/>
      <c r="X58" s="49"/>
      <c r="Y58" s="54"/>
      <c r="AC58" s="49"/>
      <c r="AD58" s="54"/>
      <c r="AH58" s="49"/>
      <c r="AI58" s="54"/>
      <c r="AM58" s="49"/>
      <c r="AN58" s="54"/>
      <c r="AR58" s="49"/>
      <c r="AS58" s="54"/>
      <c r="BB58" s="49"/>
      <c r="BC58" s="54"/>
      <c r="BG58" s="49"/>
      <c r="BH58" s="54"/>
      <c r="BL58" s="49"/>
      <c r="BM58" s="54"/>
      <c r="BQ58" s="49"/>
      <c r="BR58" s="54"/>
      <c r="BV58" s="49"/>
      <c r="BW58" s="54"/>
      <c r="CA58" s="49"/>
      <c r="CB58" s="61"/>
    </row>
    <row r="59" spans="19:80" ht="30" customHeight="1" x14ac:dyDescent="0.25">
      <c r="S59" s="18"/>
      <c r="T59" s="54"/>
      <c r="X59" s="49"/>
      <c r="Y59" s="54"/>
      <c r="AC59" s="49"/>
      <c r="AD59" s="54"/>
      <c r="AH59" s="49"/>
      <c r="AI59" s="54"/>
      <c r="AM59" s="49"/>
      <c r="AN59" s="54"/>
      <c r="AR59" s="49"/>
      <c r="AS59" s="54"/>
      <c r="BB59" s="49"/>
      <c r="BC59" s="54"/>
      <c r="BG59" s="49"/>
      <c r="BH59" s="54"/>
      <c r="BL59" s="49"/>
      <c r="BM59" s="54"/>
      <c r="BQ59" s="49"/>
      <c r="BR59" s="54"/>
      <c r="BV59" s="49"/>
      <c r="BW59" s="54"/>
      <c r="CA59" s="49"/>
      <c r="CB59" s="61"/>
    </row>
    <row r="60" spans="19:80" ht="30" customHeight="1" x14ac:dyDescent="0.25">
      <c r="S60" s="18"/>
      <c r="T60" s="54"/>
      <c r="X60" s="49"/>
      <c r="Y60" s="54"/>
      <c r="AC60" s="49"/>
      <c r="AD60" s="54"/>
      <c r="AH60" s="49"/>
      <c r="AI60" s="54"/>
      <c r="AM60" s="49"/>
      <c r="AN60" s="54"/>
      <c r="AR60" s="49"/>
      <c r="AS60" s="54"/>
      <c r="BB60" s="49"/>
      <c r="BC60" s="54"/>
      <c r="BG60" s="49"/>
      <c r="BH60" s="54"/>
      <c r="BL60" s="49"/>
      <c r="BM60" s="54"/>
      <c r="BQ60" s="49"/>
      <c r="BR60" s="54"/>
      <c r="BV60" s="49"/>
      <c r="BW60" s="54"/>
      <c r="CA60" s="49"/>
      <c r="CB60" s="61"/>
    </row>
    <row r="61" spans="19:80" ht="30" customHeight="1" x14ac:dyDescent="0.25">
      <c r="S61" s="18"/>
      <c r="T61" s="54"/>
      <c r="X61" s="49"/>
      <c r="Y61" s="54"/>
      <c r="AC61" s="49"/>
      <c r="AD61" s="54"/>
      <c r="AH61" s="49"/>
      <c r="AI61" s="54"/>
      <c r="AM61" s="49"/>
      <c r="AN61" s="54"/>
      <c r="AR61" s="49"/>
      <c r="AS61" s="54"/>
      <c r="BB61" s="49"/>
      <c r="BC61" s="54"/>
      <c r="BG61" s="49"/>
      <c r="BH61" s="54"/>
      <c r="BL61" s="49"/>
      <c r="BM61" s="54"/>
      <c r="BQ61" s="49"/>
      <c r="BR61" s="54"/>
      <c r="BV61" s="49"/>
      <c r="BW61" s="54"/>
      <c r="CA61" s="49"/>
      <c r="CB61" s="61"/>
    </row>
    <row r="62" spans="19:80" ht="30" customHeight="1" x14ac:dyDescent="0.25">
      <c r="S62" s="18"/>
      <c r="T62" s="54"/>
      <c r="X62" s="49"/>
      <c r="Y62" s="54"/>
      <c r="AC62" s="49"/>
      <c r="AD62" s="54"/>
      <c r="AH62" s="49"/>
      <c r="AI62" s="54"/>
      <c r="AM62" s="49"/>
      <c r="AN62" s="54"/>
      <c r="AR62" s="49"/>
      <c r="AS62" s="54"/>
      <c r="BB62" s="49"/>
      <c r="BC62" s="54"/>
      <c r="BG62" s="49"/>
      <c r="BH62" s="54"/>
      <c r="BL62" s="49"/>
      <c r="BM62" s="54"/>
      <c r="BQ62" s="49"/>
      <c r="BR62" s="54"/>
      <c r="BV62" s="49"/>
      <c r="BW62" s="54"/>
      <c r="CA62" s="49"/>
      <c r="CB62" s="61"/>
    </row>
    <row r="63" spans="19:80" ht="30" customHeight="1" x14ac:dyDescent="0.25">
      <c r="S63" s="18"/>
      <c r="T63" s="54"/>
      <c r="X63" s="49"/>
      <c r="Y63" s="54"/>
      <c r="AC63" s="49"/>
      <c r="AD63" s="54"/>
      <c r="AH63" s="49"/>
      <c r="AI63" s="54"/>
      <c r="AM63" s="49"/>
      <c r="AN63" s="54"/>
      <c r="AR63" s="49"/>
      <c r="AS63" s="54"/>
      <c r="BB63" s="49"/>
      <c r="BC63" s="54"/>
      <c r="BG63" s="49"/>
      <c r="BH63" s="54"/>
      <c r="BL63" s="49"/>
      <c r="BM63" s="54"/>
      <c r="BQ63" s="49"/>
      <c r="BR63" s="54"/>
      <c r="BV63" s="49"/>
      <c r="BW63" s="54"/>
      <c r="CA63" s="49"/>
      <c r="CB63" s="61"/>
    </row>
    <row r="64" spans="19:80" ht="30" customHeight="1" x14ac:dyDescent="0.25">
      <c r="S64" s="18"/>
      <c r="T64" s="54"/>
      <c r="X64" s="49"/>
      <c r="Y64" s="54"/>
      <c r="AC64" s="49"/>
      <c r="AD64" s="54"/>
      <c r="AH64" s="49"/>
      <c r="AI64" s="54"/>
      <c r="AM64" s="49"/>
      <c r="AN64" s="54"/>
      <c r="AR64" s="49"/>
      <c r="AS64" s="54"/>
      <c r="BB64" s="49"/>
      <c r="BC64" s="54"/>
      <c r="BG64" s="49"/>
      <c r="BH64" s="54"/>
      <c r="BL64" s="49"/>
      <c r="BM64" s="54"/>
      <c r="BQ64" s="49"/>
      <c r="BR64" s="54"/>
      <c r="BV64" s="49"/>
      <c r="BW64" s="54"/>
      <c r="CA64" s="49"/>
      <c r="CB64" s="61"/>
    </row>
    <row r="65" spans="19:80" ht="30" customHeight="1" x14ac:dyDescent="0.25">
      <c r="S65" s="18"/>
      <c r="T65" s="54"/>
      <c r="X65" s="49"/>
      <c r="Y65" s="54"/>
      <c r="AC65" s="49"/>
      <c r="AD65" s="54"/>
      <c r="AH65" s="49"/>
      <c r="AI65" s="54"/>
      <c r="AM65" s="49"/>
      <c r="AN65" s="54"/>
      <c r="AR65" s="49"/>
      <c r="AS65" s="54"/>
      <c r="BB65" s="49"/>
      <c r="BC65" s="54"/>
      <c r="BG65" s="49"/>
      <c r="BH65" s="54"/>
      <c r="BL65" s="49"/>
      <c r="BM65" s="54"/>
      <c r="BQ65" s="49"/>
      <c r="BR65" s="54"/>
      <c r="BV65" s="49"/>
      <c r="BW65" s="54"/>
      <c r="CA65" s="49"/>
      <c r="CB65" s="61"/>
    </row>
    <row r="66" spans="19:80" ht="30" customHeight="1" x14ac:dyDescent="0.25">
      <c r="S66" s="18"/>
      <c r="T66" s="54"/>
      <c r="X66" s="49"/>
      <c r="Y66" s="54"/>
      <c r="AC66" s="49"/>
      <c r="AD66" s="54"/>
      <c r="AH66" s="49"/>
      <c r="AI66" s="54"/>
      <c r="AM66" s="49"/>
      <c r="AN66" s="54"/>
      <c r="AR66" s="49"/>
      <c r="AS66" s="54"/>
      <c r="BB66" s="49"/>
      <c r="BC66" s="54"/>
      <c r="BG66" s="49"/>
      <c r="BH66" s="54"/>
      <c r="BL66" s="49"/>
      <c r="BM66" s="54"/>
      <c r="BQ66" s="49"/>
      <c r="BR66" s="54"/>
      <c r="BV66" s="49"/>
      <c r="BW66" s="54"/>
      <c r="CA66" s="49"/>
      <c r="CB66" s="61"/>
    </row>
    <row r="67" spans="19:80" ht="30" customHeight="1" x14ac:dyDescent="0.25">
      <c r="S67" s="18"/>
      <c r="T67" s="54"/>
      <c r="X67" s="49"/>
      <c r="Y67" s="54"/>
      <c r="AC67" s="49"/>
      <c r="AD67" s="54"/>
      <c r="AH67" s="49"/>
      <c r="AI67" s="54"/>
      <c r="AM67" s="49"/>
      <c r="AN67" s="54"/>
      <c r="AR67" s="49"/>
      <c r="AS67" s="54"/>
      <c r="BB67" s="49"/>
      <c r="BC67" s="54"/>
      <c r="BG67" s="49"/>
      <c r="BH67" s="54"/>
      <c r="BL67" s="49"/>
      <c r="BM67" s="54"/>
      <c r="BQ67" s="49"/>
      <c r="BR67" s="54"/>
      <c r="BV67" s="49"/>
      <c r="BW67" s="54"/>
      <c r="CA67" s="49"/>
      <c r="CB67" s="61"/>
    </row>
    <row r="68" spans="19:80" ht="30" customHeight="1" x14ac:dyDescent="0.25">
      <c r="S68" s="18"/>
      <c r="T68" s="54"/>
      <c r="X68" s="49"/>
      <c r="Y68" s="54"/>
      <c r="AC68" s="49"/>
      <c r="AD68" s="54"/>
      <c r="AH68" s="49"/>
      <c r="AI68" s="54"/>
      <c r="AM68" s="49"/>
      <c r="AN68" s="54"/>
      <c r="AR68" s="49"/>
      <c r="AS68" s="54"/>
      <c r="BB68" s="49"/>
      <c r="BC68" s="54"/>
      <c r="BG68" s="49"/>
      <c r="BH68" s="54"/>
      <c r="BL68" s="49"/>
      <c r="BM68" s="54"/>
      <c r="BQ68" s="49"/>
      <c r="BR68" s="54"/>
      <c r="BV68" s="49"/>
      <c r="BW68" s="54"/>
      <c r="CA68" s="49"/>
      <c r="CB68" s="61"/>
    </row>
    <row r="69" spans="19:80" ht="30" customHeight="1" x14ac:dyDescent="0.25">
      <c r="S69" s="18"/>
      <c r="T69" s="54"/>
      <c r="X69" s="49"/>
      <c r="Y69" s="54"/>
      <c r="AC69" s="49"/>
      <c r="AD69" s="54"/>
      <c r="AH69" s="49"/>
      <c r="AI69" s="54"/>
      <c r="AM69" s="49"/>
      <c r="AN69" s="54"/>
      <c r="AR69" s="49"/>
      <c r="AS69" s="54"/>
      <c r="BB69" s="49"/>
      <c r="BC69" s="54"/>
      <c r="BG69" s="49"/>
      <c r="BH69" s="54"/>
      <c r="BL69" s="49"/>
      <c r="BM69" s="54"/>
      <c r="BQ69" s="49"/>
      <c r="BR69" s="54"/>
      <c r="BV69" s="49"/>
      <c r="BW69" s="54"/>
      <c r="CA69" s="49"/>
      <c r="CB69" s="61"/>
    </row>
    <row r="70" spans="19:80" ht="30" customHeight="1" x14ac:dyDescent="0.25">
      <c r="S70" s="18"/>
      <c r="T70" s="54"/>
      <c r="X70" s="49"/>
      <c r="Y70" s="54"/>
      <c r="AC70" s="49"/>
      <c r="AD70" s="54"/>
      <c r="AH70" s="49"/>
      <c r="AI70" s="54"/>
      <c r="AM70" s="49"/>
      <c r="AN70" s="54"/>
      <c r="AR70" s="49"/>
      <c r="AS70" s="54"/>
      <c r="BB70" s="49"/>
      <c r="BC70" s="54"/>
      <c r="BG70" s="49"/>
      <c r="BH70" s="54"/>
      <c r="BL70" s="49"/>
      <c r="BM70" s="54"/>
      <c r="BQ70" s="49"/>
      <c r="BR70" s="54"/>
      <c r="BV70" s="49"/>
      <c r="BW70" s="54"/>
      <c r="CA70" s="49"/>
      <c r="CB70" s="61"/>
    </row>
    <row r="71" spans="19:80" ht="30" customHeight="1" x14ac:dyDescent="0.25">
      <c r="S71" s="18"/>
      <c r="T71" s="54"/>
      <c r="X71" s="49"/>
      <c r="Y71" s="54"/>
      <c r="AC71" s="49"/>
      <c r="AD71" s="54"/>
      <c r="AH71" s="49"/>
      <c r="AI71" s="54"/>
      <c r="AM71" s="49"/>
      <c r="AN71" s="54"/>
      <c r="AR71" s="49"/>
      <c r="AS71" s="54"/>
      <c r="BB71" s="49"/>
      <c r="BC71" s="54"/>
      <c r="BG71" s="49"/>
      <c r="BH71" s="54"/>
      <c r="BL71" s="49"/>
      <c r="BM71" s="54"/>
      <c r="BQ71" s="49"/>
      <c r="BR71" s="54"/>
      <c r="BV71" s="49"/>
      <c r="BW71" s="54"/>
      <c r="CA71" s="49"/>
      <c r="CB71" s="61"/>
    </row>
    <row r="72" spans="19:80" ht="30" customHeight="1" x14ac:dyDescent="0.25">
      <c r="S72" s="18"/>
      <c r="T72" s="54"/>
      <c r="X72" s="49"/>
      <c r="Y72" s="54"/>
      <c r="AC72" s="49"/>
      <c r="AD72" s="54"/>
      <c r="AH72" s="49"/>
      <c r="AI72" s="54"/>
      <c r="AM72" s="49"/>
      <c r="AN72" s="54"/>
      <c r="AR72" s="49"/>
      <c r="AS72" s="54"/>
      <c r="BB72" s="49"/>
      <c r="BC72" s="54"/>
      <c r="BG72" s="49"/>
      <c r="BH72" s="54"/>
      <c r="BL72" s="49"/>
      <c r="BM72" s="54"/>
      <c r="BQ72" s="49"/>
      <c r="BR72" s="54"/>
      <c r="BV72" s="49"/>
      <c r="BW72" s="54"/>
      <c r="CA72" s="49"/>
      <c r="CB72" s="61"/>
    </row>
    <row r="73" spans="19:80" ht="30" customHeight="1" x14ac:dyDescent="0.25">
      <c r="S73" s="18"/>
      <c r="T73" s="54"/>
      <c r="X73" s="49"/>
      <c r="Y73" s="54"/>
      <c r="AC73" s="49"/>
      <c r="AD73" s="54"/>
      <c r="AH73" s="49"/>
      <c r="AI73" s="54"/>
      <c r="AM73" s="49"/>
      <c r="AN73" s="54"/>
      <c r="AR73" s="49"/>
      <c r="AS73" s="54"/>
      <c r="BB73" s="49"/>
      <c r="BC73" s="54"/>
      <c r="BG73" s="49"/>
      <c r="BH73" s="54"/>
      <c r="BL73" s="49"/>
      <c r="BM73" s="54"/>
      <c r="BQ73" s="49"/>
      <c r="BR73" s="54"/>
      <c r="BV73" s="49"/>
      <c r="BW73" s="54"/>
      <c r="CA73" s="49"/>
      <c r="CB73" s="61"/>
    </row>
    <row r="74" spans="19:80" ht="30" customHeight="1" x14ac:dyDescent="0.25">
      <c r="S74" s="18"/>
      <c r="T74" s="54"/>
      <c r="X74" s="49"/>
      <c r="Y74" s="54"/>
      <c r="AC74" s="49"/>
      <c r="AD74" s="54"/>
      <c r="AH74" s="49"/>
      <c r="AI74" s="54"/>
      <c r="AM74" s="49"/>
      <c r="AN74" s="54"/>
      <c r="AR74" s="49"/>
      <c r="AS74" s="54"/>
      <c r="BB74" s="49"/>
      <c r="BC74" s="54"/>
      <c r="BG74" s="49"/>
      <c r="BH74" s="54"/>
      <c r="BL74" s="49"/>
      <c r="BM74" s="54"/>
      <c r="BQ74" s="49"/>
      <c r="BR74" s="54"/>
      <c r="BV74" s="49"/>
      <c r="BW74" s="54"/>
      <c r="CA74" s="49"/>
      <c r="CB74" s="61"/>
    </row>
    <row r="75" spans="19:80" ht="30" customHeight="1" x14ac:dyDescent="0.25">
      <c r="S75" s="18"/>
      <c r="T75" s="54"/>
      <c r="X75" s="49"/>
      <c r="Y75" s="54"/>
      <c r="AC75" s="49"/>
      <c r="AD75" s="54"/>
      <c r="AH75" s="49"/>
      <c r="AI75" s="54"/>
      <c r="AM75" s="49"/>
      <c r="AN75" s="54"/>
      <c r="AR75" s="49"/>
      <c r="AS75" s="54"/>
      <c r="BB75" s="49"/>
      <c r="BC75" s="54"/>
      <c r="BG75" s="49"/>
      <c r="BH75" s="54"/>
      <c r="BL75" s="49"/>
      <c r="BM75" s="54"/>
      <c r="BQ75" s="49"/>
      <c r="BR75" s="54"/>
      <c r="BV75" s="49"/>
      <c r="BW75" s="54"/>
      <c r="CA75" s="49"/>
      <c r="CB75" s="61"/>
    </row>
    <row r="76" spans="19:80" ht="30" customHeight="1" x14ac:dyDescent="0.25">
      <c r="S76" s="18"/>
      <c r="T76" s="54"/>
      <c r="X76" s="49"/>
      <c r="Y76" s="54"/>
      <c r="AC76" s="49"/>
      <c r="AD76" s="54"/>
      <c r="AH76" s="49"/>
      <c r="AI76" s="54"/>
      <c r="AM76" s="49"/>
      <c r="AN76" s="54"/>
      <c r="AR76" s="49"/>
      <c r="AS76" s="54"/>
      <c r="BB76" s="49"/>
      <c r="BC76" s="54"/>
      <c r="BG76" s="49"/>
      <c r="BH76" s="54"/>
      <c r="BL76" s="49"/>
      <c r="BM76" s="54"/>
      <c r="BQ76" s="49"/>
      <c r="BR76" s="54"/>
      <c r="BV76" s="49"/>
      <c r="BW76" s="54"/>
      <c r="CA76" s="49"/>
      <c r="CB76" s="61"/>
    </row>
    <row r="77" spans="19:80" ht="30" customHeight="1" x14ac:dyDescent="0.25">
      <c r="S77" s="93" t="s">
        <v>19</v>
      </c>
      <c r="T77" s="54"/>
      <c r="X77" s="49"/>
      <c r="Y77" s="54"/>
      <c r="AC77" s="49"/>
      <c r="AD77" s="54"/>
      <c r="AH77" s="49"/>
      <c r="AI77" s="54"/>
      <c r="AM77" s="49"/>
      <c r="AN77" s="54"/>
      <c r="AR77" s="49"/>
      <c r="AS77" s="54"/>
      <c r="BB77" s="49"/>
      <c r="BC77" s="54"/>
      <c r="BG77" s="49"/>
      <c r="BH77" s="54"/>
      <c r="BL77" s="49"/>
      <c r="BM77" s="54"/>
      <c r="BQ77" s="49"/>
      <c r="BR77" s="54"/>
      <c r="BV77" s="49"/>
      <c r="BW77" s="54"/>
      <c r="CA77" s="49"/>
      <c r="CB77" s="61"/>
    </row>
    <row r="78" spans="19:80" ht="30" customHeight="1" x14ac:dyDescent="0.25">
      <c r="S78" s="93"/>
      <c r="T78" s="54"/>
      <c r="X78" s="49"/>
      <c r="Y78" s="54"/>
      <c r="AC78" s="49"/>
      <c r="AD78" s="54"/>
      <c r="AH78" s="49"/>
      <c r="AI78" s="54"/>
      <c r="AM78" s="49"/>
      <c r="AN78" s="54"/>
      <c r="AR78" s="49"/>
      <c r="AS78" s="54"/>
      <c r="BB78" s="49"/>
      <c r="BC78" s="54"/>
      <c r="BG78" s="49"/>
      <c r="BH78" s="54"/>
      <c r="BL78" s="49"/>
      <c r="BM78" s="54"/>
      <c r="BQ78" s="49"/>
      <c r="BR78" s="54"/>
      <c r="BV78" s="49"/>
      <c r="BW78" s="54"/>
      <c r="CA78" s="49"/>
      <c r="CB78" s="61"/>
    </row>
    <row r="79" spans="19:80" ht="30" customHeight="1" x14ac:dyDescent="0.25">
      <c r="S79" s="93"/>
      <c r="T79" s="54"/>
      <c r="X79" s="49"/>
      <c r="Y79" s="54"/>
      <c r="AC79" s="49"/>
      <c r="AD79" s="54"/>
      <c r="AH79" s="49"/>
      <c r="AI79" s="54"/>
      <c r="AM79" s="49"/>
      <c r="AN79" s="54"/>
      <c r="AR79" s="49"/>
      <c r="AS79" s="54"/>
      <c r="BB79" s="49"/>
      <c r="BC79" s="54"/>
      <c r="BG79" s="49"/>
      <c r="BH79" s="54"/>
      <c r="BL79" s="49"/>
      <c r="BM79" s="54"/>
      <c r="BQ79" s="49"/>
      <c r="BR79" s="54"/>
      <c r="BV79" s="49"/>
      <c r="BW79" s="54"/>
      <c r="CA79" s="49"/>
      <c r="CB79" s="61"/>
    </row>
    <row r="80" spans="19:80" ht="30" customHeight="1" x14ac:dyDescent="0.25">
      <c r="S80" s="93"/>
      <c r="T80" s="54"/>
      <c r="X80" s="49"/>
      <c r="Y80" s="54"/>
      <c r="AC80" s="49"/>
      <c r="AD80" s="54"/>
      <c r="AH80" s="49"/>
      <c r="AI80" s="54"/>
      <c r="AM80" s="49"/>
      <c r="AN80" s="54"/>
      <c r="AR80" s="49"/>
      <c r="AS80" s="54"/>
      <c r="BB80" s="49"/>
      <c r="BC80" s="54"/>
      <c r="BG80" s="49"/>
      <c r="BH80" s="54"/>
      <c r="BL80" s="49"/>
      <c r="BM80" s="54"/>
      <c r="BQ80" s="49"/>
      <c r="BR80" s="54"/>
      <c r="BV80" s="49"/>
      <c r="BW80" s="54"/>
      <c r="CA80" s="49"/>
      <c r="CB80" s="61"/>
    </row>
    <row r="81" spans="19:80" ht="30" customHeight="1" x14ac:dyDescent="0.25">
      <c r="S81" s="93"/>
      <c r="T81" s="54"/>
      <c r="X81" s="49"/>
      <c r="Y81" s="54"/>
      <c r="AC81" s="49"/>
      <c r="AD81" s="54"/>
      <c r="AH81" s="49"/>
      <c r="AI81" s="54"/>
      <c r="AM81" s="49"/>
      <c r="AN81" s="54"/>
      <c r="AR81" s="49"/>
      <c r="AS81" s="54"/>
      <c r="BB81" s="49"/>
      <c r="BC81" s="54"/>
      <c r="BG81" s="49"/>
      <c r="BH81" s="54"/>
      <c r="BL81" s="49"/>
      <c r="BM81" s="54"/>
      <c r="BQ81" s="49"/>
      <c r="BR81" s="54"/>
      <c r="BV81" s="49"/>
      <c r="BW81" s="54"/>
      <c r="CA81" s="49"/>
      <c r="CB81" s="61"/>
    </row>
    <row r="82" spans="19:80" ht="30" customHeight="1" x14ac:dyDescent="0.25">
      <c r="S82" s="18"/>
      <c r="AS82" s="54"/>
      <c r="BB82" s="49"/>
      <c r="BC82" s="54"/>
      <c r="BG82" s="49"/>
      <c r="BH82" s="54"/>
      <c r="BL82" s="49"/>
      <c r="BM82" s="54"/>
      <c r="BQ82" s="49"/>
      <c r="BR82" s="54"/>
      <c r="BV82" s="49"/>
      <c r="BW82" s="54"/>
      <c r="CA82" s="49"/>
      <c r="CB82" s="61"/>
    </row>
    <row r="83" spans="19:80" ht="30" customHeight="1" x14ac:dyDescent="0.25">
      <c r="S83" s="18"/>
      <c r="AS83" s="54"/>
      <c r="BB83" s="49"/>
      <c r="BC83" s="54"/>
      <c r="BG83" s="49"/>
      <c r="BH83" s="54"/>
      <c r="BL83" s="49"/>
      <c r="BM83" s="54"/>
      <c r="BQ83" s="49"/>
      <c r="BR83" s="54"/>
      <c r="BV83" s="49"/>
      <c r="BW83" s="54"/>
      <c r="CA83" s="49"/>
      <c r="CB83" s="61"/>
    </row>
    <row r="84" spans="19:80" ht="30" customHeight="1" x14ac:dyDescent="0.25">
      <c r="S84" s="18"/>
      <c r="AS84" s="54"/>
      <c r="BB84" s="49"/>
      <c r="BC84" s="54"/>
      <c r="BG84" s="49"/>
      <c r="BH84" s="54"/>
      <c r="BL84" s="49"/>
      <c r="BM84" s="54"/>
      <c r="BQ84" s="49"/>
      <c r="BR84" s="54"/>
      <c r="BV84" s="49"/>
      <c r="BW84" s="54"/>
      <c r="CA84" s="49"/>
      <c r="CB84" s="61"/>
    </row>
    <row r="85" spans="19:80" ht="30" customHeight="1" x14ac:dyDescent="0.25">
      <c r="S85" s="18"/>
      <c r="AS85" s="54"/>
      <c r="BB85" s="49"/>
      <c r="BC85" s="54"/>
      <c r="BG85" s="49"/>
      <c r="BH85" s="54"/>
      <c r="BL85" s="49"/>
      <c r="BM85" s="54"/>
      <c r="BQ85" s="49"/>
      <c r="BR85" s="54"/>
      <c r="BV85" s="49"/>
      <c r="BW85" s="54"/>
      <c r="CA85" s="49"/>
      <c r="CB85" s="61"/>
    </row>
    <row r="86" spans="19:80" ht="30" customHeight="1" x14ac:dyDescent="0.25">
      <c r="S86" s="18"/>
      <c r="AS86" s="54"/>
      <c r="BB86" s="49"/>
      <c r="BC86" s="54"/>
      <c r="BG86" s="49"/>
      <c r="BH86" s="54"/>
      <c r="BL86" s="49"/>
      <c r="BM86" s="54"/>
      <c r="BQ86" s="49"/>
      <c r="BR86" s="54"/>
      <c r="BV86" s="49"/>
      <c r="BW86" s="54"/>
      <c r="CA86" s="49"/>
      <c r="CB86" s="61"/>
    </row>
    <row r="87" spans="19:80" ht="30" customHeight="1" x14ac:dyDescent="0.25">
      <c r="S87" s="18"/>
      <c r="AS87" s="54"/>
      <c r="BB87" s="49"/>
      <c r="BC87" s="54"/>
      <c r="BG87" s="49"/>
      <c r="BH87" s="54"/>
      <c r="BL87" s="49"/>
      <c r="BM87" s="54"/>
      <c r="BQ87" s="49"/>
      <c r="BR87" s="54"/>
      <c r="BV87" s="49"/>
      <c r="BW87" s="54"/>
      <c r="CA87" s="49"/>
      <c r="CB87" s="61"/>
    </row>
    <row r="88" spans="19:80" ht="30" customHeight="1" x14ac:dyDescent="0.25">
      <c r="S88" s="18"/>
      <c r="AS88" s="54"/>
      <c r="BB88" s="49"/>
      <c r="BC88" s="54"/>
      <c r="BG88" s="49"/>
      <c r="BH88" s="54"/>
      <c r="BL88" s="49"/>
      <c r="BM88" s="54"/>
      <c r="BQ88" s="49"/>
      <c r="BR88" s="54"/>
      <c r="BV88" s="49"/>
      <c r="BW88" s="54"/>
      <c r="CA88" s="49"/>
      <c r="CB88" s="61"/>
    </row>
    <row r="89" spans="19:80" ht="30" customHeight="1" x14ac:dyDescent="0.25">
      <c r="S89" s="18"/>
      <c r="AS89" s="54"/>
      <c r="BB89" s="49"/>
      <c r="BC89" s="54"/>
      <c r="BG89" s="49"/>
      <c r="BH89" s="54"/>
      <c r="BL89" s="49"/>
      <c r="BM89" s="54"/>
      <c r="BQ89" s="49"/>
      <c r="BR89" s="54"/>
      <c r="BV89" s="49"/>
      <c r="BW89" s="54"/>
      <c r="CA89" s="49"/>
      <c r="CB89" s="61"/>
    </row>
    <row r="90" spans="19:80" ht="30" customHeight="1" x14ac:dyDescent="0.25">
      <c r="S90" s="18"/>
      <c r="AS90" s="54"/>
      <c r="BB90" s="49"/>
      <c r="BC90" s="54"/>
      <c r="BG90" s="49"/>
      <c r="BH90" s="54"/>
      <c r="BL90" s="49"/>
      <c r="BM90" s="54"/>
      <c r="BQ90" s="49"/>
      <c r="BR90" s="54"/>
      <c r="BV90" s="49"/>
      <c r="BW90" s="54"/>
      <c r="CA90" s="49"/>
      <c r="CB90" s="61"/>
    </row>
    <row r="91" spans="19:80" ht="30" customHeight="1" x14ac:dyDescent="0.25">
      <c r="S91" s="18"/>
      <c r="AS91" s="54"/>
      <c r="BB91" s="49"/>
      <c r="BC91" s="54"/>
      <c r="BG91" s="49"/>
      <c r="BH91" s="54"/>
      <c r="BL91" s="49"/>
      <c r="BM91" s="54"/>
      <c r="BQ91" s="49"/>
      <c r="BR91" s="54"/>
      <c r="BV91" s="49"/>
      <c r="BW91" s="54"/>
      <c r="CA91" s="49"/>
      <c r="CB91" s="61"/>
    </row>
    <row r="92" spans="19:80" ht="30" customHeight="1" x14ac:dyDescent="0.25">
      <c r="S92" s="18"/>
      <c r="AS92" s="54"/>
      <c r="BB92" s="49"/>
      <c r="BC92" s="54"/>
      <c r="BG92" s="49"/>
      <c r="BH92" s="54"/>
      <c r="BL92" s="49"/>
      <c r="BM92" s="54"/>
      <c r="BQ92" s="49"/>
      <c r="BR92" s="54"/>
      <c r="BV92" s="49"/>
      <c r="BW92" s="54"/>
      <c r="CA92" s="49"/>
      <c r="CB92" s="61"/>
    </row>
    <row r="93" spans="19:80" ht="30" customHeight="1" x14ac:dyDescent="0.25">
      <c r="S93" s="18"/>
      <c r="AS93" s="54"/>
      <c r="BB93" s="49"/>
      <c r="BC93" s="54"/>
      <c r="BG93" s="49"/>
      <c r="BH93" s="54"/>
      <c r="BL93" s="49"/>
      <c r="BM93" s="54"/>
      <c r="BQ93" s="49"/>
      <c r="BR93" s="54"/>
      <c r="BV93" s="49"/>
      <c r="BW93" s="54"/>
      <c r="CA93" s="49"/>
      <c r="CB93" s="61"/>
    </row>
    <row r="94" spans="19:80" ht="30" customHeight="1" x14ac:dyDescent="0.25">
      <c r="S94" s="18"/>
      <c r="AS94" s="54"/>
      <c r="BB94" s="49"/>
      <c r="BC94" s="54"/>
      <c r="BG94" s="49"/>
      <c r="BH94" s="54"/>
      <c r="BL94" s="49"/>
      <c r="BM94" s="54"/>
      <c r="BQ94" s="49"/>
      <c r="BR94" s="54"/>
      <c r="BV94" s="49"/>
      <c r="BW94" s="54"/>
      <c r="CA94" s="49"/>
      <c r="CB94" s="61"/>
    </row>
    <row r="95" spans="19:80" ht="30" customHeight="1" x14ac:dyDescent="0.25">
      <c r="S95" s="18"/>
      <c r="AS95" s="54"/>
      <c r="BB95" s="49"/>
      <c r="BC95" s="54"/>
      <c r="BG95" s="49"/>
      <c r="BH95" s="54"/>
      <c r="BL95" s="49"/>
      <c r="BM95" s="54"/>
      <c r="BQ95" s="49"/>
      <c r="BR95" s="54"/>
      <c r="BV95" s="49"/>
      <c r="BW95" s="54"/>
      <c r="CA95" s="49"/>
      <c r="CB95" s="61"/>
    </row>
    <row r="96" spans="19:80" ht="30" customHeight="1" x14ac:dyDescent="0.25">
      <c r="S96" s="18"/>
      <c r="AS96" s="54"/>
      <c r="BB96" s="49"/>
      <c r="BC96" s="54"/>
      <c r="BG96" s="49"/>
      <c r="BH96" s="54"/>
      <c r="BL96" s="49"/>
      <c r="BM96" s="54"/>
      <c r="BQ96" s="49"/>
      <c r="BR96" s="54"/>
      <c r="BV96" s="49"/>
      <c r="BW96" s="54"/>
      <c r="CA96" s="49"/>
      <c r="CB96" s="61"/>
    </row>
    <row r="97" spans="19:80" ht="30" customHeight="1" x14ac:dyDescent="0.25">
      <c r="S97" s="18"/>
      <c r="AS97" s="54"/>
      <c r="BB97" s="49"/>
      <c r="BC97" s="54"/>
      <c r="BG97" s="49"/>
      <c r="BH97" s="54"/>
      <c r="BL97" s="49"/>
      <c r="BM97" s="54"/>
      <c r="BQ97" s="49"/>
      <c r="BR97" s="54"/>
      <c r="BV97" s="49"/>
      <c r="BW97" s="54"/>
      <c r="CA97" s="49"/>
      <c r="CB97" s="61"/>
    </row>
    <row r="98" spans="19:80" ht="30" customHeight="1" x14ac:dyDescent="0.25">
      <c r="S98" s="18"/>
      <c r="AS98" s="94" t="s">
        <v>18</v>
      </c>
      <c r="AT98" s="94"/>
      <c r="AW98" s="131"/>
      <c r="AX98" s="132"/>
      <c r="BB98" s="49"/>
      <c r="BC98" s="54"/>
      <c r="BG98" s="49"/>
      <c r="BH98" s="54"/>
      <c r="BL98" s="49"/>
      <c r="BM98" s="54"/>
      <c r="BQ98" s="49"/>
      <c r="BR98" s="54"/>
      <c r="BV98" s="49"/>
      <c r="BW98" s="54"/>
      <c r="CA98" s="49"/>
      <c r="CB98" s="61"/>
    </row>
    <row r="99" spans="19:80" ht="30" customHeight="1" x14ac:dyDescent="0.25">
      <c r="S99" s="26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95"/>
      <c r="AT99" s="95"/>
      <c r="AU99" s="27"/>
      <c r="AV99" s="27"/>
      <c r="AW99" s="133" t="s">
        <v>67</v>
      </c>
      <c r="AX99" s="133"/>
      <c r="AY99" s="27"/>
      <c r="AZ99" s="27"/>
      <c r="BA99" s="27"/>
      <c r="BB99" s="27"/>
      <c r="BC99" s="65"/>
      <c r="BD99" s="27"/>
      <c r="BE99" s="27"/>
      <c r="BF99" s="27"/>
      <c r="BG99" s="27"/>
      <c r="BH99" s="65"/>
      <c r="BI99" s="27"/>
      <c r="BJ99" s="27"/>
      <c r="BK99" s="27"/>
      <c r="BL99" s="27"/>
      <c r="BM99" s="65"/>
      <c r="BN99" s="27"/>
      <c r="BO99" s="27"/>
      <c r="BP99" s="27"/>
      <c r="BQ99" s="27"/>
      <c r="BR99" s="65"/>
      <c r="BS99" s="27"/>
      <c r="BT99" s="27"/>
      <c r="BU99" s="27"/>
      <c r="BV99" s="27"/>
      <c r="BW99" s="65"/>
      <c r="BX99" s="27"/>
      <c r="BY99" s="27"/>
      <c r="BZ99" s="27"/>
      <c r="CA99" s="27"/>
      <c r="CB99" s="63"/>
    </row>
    <row r="100" spans="19:80" ht="30" customHeight="1" x14ac:dyDescent="0.25">
      <c r="AW100" s="134"/>
      <c r="AX100" s="135"/>
    </row>
    <row r="103" spans="19:80" ht="30" customHeight="1" x14ac:dyDescent="0.25">
      <c r="V103" s="33" t="s">
        <v>1</v>
      </c>
      <c r="W103" s="33">
        <v>0</v>
      </c>
      <c r="X103" s="33">
        <f>W103+5</f>
        <v>5</v>
      </c>
      <c r="Y103" s="33">
        <f t="shared" ref="Y103:AO103" si="0">X103+5</f>
        <v>10</v>
      </c>
      <c r="Z103" s="33">
        <f t="shared" si="0"/>
        <v>15</v>
      </c>
      <c r="AA103" s="33">
        <f t="shared" si="0"/>
        <v>20</v>
      </c>
      <c r="AB103" s="33">
        <f t="shared" si="0"/>
        <v>25</v>
      </c>
      <c r="AC103" s="33">
        <f t="shared" si="0"/>
        <v>30</v>
      </c>
      <c r="AD103" s="33">
        <f t="shared" si="0"/>
        <v>35</v>
      </c>
      <c r="AE103" s="33">
        <f t="shared" si="0"/>
        <v>40</v>
      </c>
      <c r="AF103" s="33">
        <f t="shared" si="0"/>
        <v>45</v>
      </c>
      <c r="AG103" s="33">
        <f t="shared" si="0"/>
        <v>50</v>
      </c>
      <c r="AH103" s="33">
        <f t="shared" si="0"/>
        <v>55</v>
      </c>
      <c r="AI103" s="33">
        <f t="shared" si="0"/>
        <v>60</v>
      </c>
      <c r="AJ103" s="33">
        <f t="shared" si="0"/>
        <v>65</v>
      </c>
      <c r="AK103" s="33">
        <f t="shared" si="0"/>
        <v>70</v>
      </c>
      <c r="AL103" s="33">
        <f t="shared" si="0"/>
        <v>75</v>
      </c>
      <c r="AM103" s="33">
        <f t="shared" si="0"/>
        <v>80</v>
      </c>
      <c r="AN103" s="33">
        <f t="shared" si="0"/>
        <v>85</v>
      </c>
      <c r="AO103" s="33">
        <f t="shared" si="0"/>
        <v>90</v>
      </c>
    </row>
    <row r="104" spans="19:80" ht="30" customHeight="1" x14ac:dyDescent="0.25">
      <c r="V104" s="33" t="s">
        <v>2</v>
      </c>
      <c r="W104" s="33">
        <f t="shared" ref="W104:AO104" si="1">15*COS(W$103 * PI()/180)</f>
        <v>15</v>
      </c>
      <c r="X104" s="33">
        <f t="shared" si="1"/>
        <v>14.942920471376183</v>
      </c>
      <c r="Y104" s="33">
        <f t="shared" si="1"/>
        <v>14.772116295183121</v>
      </c>
      <c r="Z104" s="33">
        <f t="shared" si="1"/>
        <v>14.488887394336025</v>
      </c>
      <c r="AA104" s="33">
        <f t="shared" si="1"/>
        <v>14.095389311788626</v>
      </c>
      <c r="AB104" s="33">
        <f t="shared" si="1"/>
        <v>13.59461680554975</v>
      </c>
      <c r="AC104" s="33">
        <f t="shared" si="1"/>
        <v>12.99038105676658</v>
      </c>
      <c r="AD104" s="33">
        <f t="shared" si="1"/>
        <v>12.287280664334878</v>
      </c>
      <c r="AE104" s="33">
        <f t="shared" si="1"/>
        <v>11.490666646784669</v>
      </c>
      <c r="AF104" s="33">
        <f t="shared" si="1"/>
        <v>10.606601717798213</v>
      </c>
      <c r="AG104" s="33">
        <f t="shared" si="1"/>
        <v>9.6418141452980901</v>
      </c>
      <c r="AH104" s="33">
        <f t="shared" si="1"/>
        <v>8.6036465452656916</v>
      </c>
      <c r="AI104" s="33">
        <f t="shared" si="1"/>
        <v>7.5000000000000018</v>
      </c>
      <c r="AJ104" s="33">
        <f t="shared" si="1"/>
        <v>6.3392739261104918</v>
      </c>
      <c r="AK104" s="33">
        <f t="shared" si="1"/>
        <v>5.1303021498850327</v>
      </c>
      <c r="AL104" s="33">
        <f t="shared" si="1"/>
        <v>3.8822856765378111</v>
      </c>
      <c r="AM104" s="33">
        <f t="shared" si="1"/>
        <v>2.6047226650039561</v>
      </c>
      <c r="AN104" s="33">
        <f t="shared" si="1"/>
        <v>1.3073361412148721</v>
      </c>
      <c r="AO104" s="33">
        <f t="shared" si="1"/>
        <v>9.1886134118146501E-16</v>
      </c>
    </row>
    <row r="105" spans="19:80" ht="30" customHeight="1" x14ac:dyDescent="0.25">
      <c r="V105" s="33" t="s">
        <v>2</v>
      </c>
      <c r="W105" s="33">
        <f t="shared" ref="W105:AO105" si="2">10*COS(W$103 * PI()/180)</f>
        <v>10</v>
      </c>
      <c r="X105" s="33">
        <f t="shared" si="2"/>
        <v>9.961946980917455</v>
      </c>
      <c r="Y105" s="33">
        <f t="shared" si="2"/>
        <v>9.8480775301220795</v>
      </c>
      <c r="Z105" s="33">
        <f t="shared" si="2"/>
        <v>9.6592582628906829</v>
      </c>
      <c r="AA105" s="33">
        <f t="shared" si="2"/>
        <v>9.3969262078590852</v>
      </c>
      <c r="AB105" s="33">
        <f t="shared" si="2"/>
        <v>9.0630778703664987</v>
      </c>
      <c r="AC105" s="33">
        <f t="shared" si="2"/>
        <v>8.6602540378443873</v>
      </c>
      <c r="AD105" s="33">
        <f t="shared" si="2"/>
        <v>8.1915204428899173</v>
      </c>
      <c r="AE105" s="33">
        <f t="shared" si="2"/>
        <v>7.6604444311897799</v>
      </c>
      <c r="AF105" s="33">
        <f t="shared" si="2"/>
        <v>7.0710678118654755</v>
      </c>
      <c r="AG105" s="33">
        <f t="shared" si="2"/>
        <v>6.4278760968653934</v>
      </c>
      <c r="AH105" s="33">
        <f t="shared" si="2"/>
        <v>5.7357643635104614</v>
      </c>
      <c r="AI105" s="33">
        <f t="shared" si="2"/>
        <v>5.0000000000000009</v>
      </c>
      <c r="AJ105" s="33">
        <f t="shared" si="2"/>
        <v>4.2261826174069945</v>
      </c>
      <c r="AK105" s="33">
        <f t="shared" si="2"/>
        <v>3.4202014332566884</v>
      </c>
      <c r="AL105" s="33">
        <f t="shared" si="2"/>
        <v>2.5881904510252074</v>
      </c>
      <c r="AM105" s="33">
        <f t="shared" si="2"/>
        <v>1.7364817766693041</v>
      </c>
      <c r="AN105" s="33">
        <f t="shared" si="2"/>
        <v>0.87155742747658138</v>
      </c>
      <c r="AO105" s="33">
        <f t="shared" si="2"/>
        <v>6.1257422745431001E-16</v>
      </c>
    </row>
    <row r="106" spans="19:80" ht="30" customHeight="1" x14ac:dyDescent="0.25">
      <c r="V106" s="33" t="s">
        <v>2</v>
      </c>
      <c r="W106" s="33">
        <f t="shared" ref="W106:AO106" si="3">5*COS(W$103 * PI()/180)</f>
        <v>5</v>
      </c>
      <c r="X106" s="33">
        <f t="shared" si="3"/>
        <v>4.9809734904587275</v>
      </c>
      <c r="Y106" s="33">
        <f t="shared" si="3"/>
        <v>4.9240387650610398</v>
      </c>
      <c r="Z106" s="33">
        <f t="shared" si="3"/>
        <v>4.8296291314453415</v>
      </c>
      <c r="AA106" s="33">
        <f t="shared" si="3"/>
        <v>4.6984631039295426</v>
      </c>
      <c r="AB106" s="33">
        <f t="shared" si="3"/>
        <v>4.5315389351832494</v>
      </c>
      <c r="AC106" s="33">
        <f t="shared" si="3"/>
        <v>4.3301270189221936</v>
      </c>
      <c r="AD106" s="33">
        <f t="shared" si="3"/>
        <v>4.0957602214449587</v>
      </c>
      <c r="AE106" s="33">
        <f t="shared" si="3"/>
        <v>3.83022221559489</v>
      </c>
      <c r="AF106" s="33">
        <f t="shared" si="3"/>
        <v>3.5355339059327378</v>
      </c>
      <c r="AG106" s="33">
        <f t="shared" si="3"/>
        <v>3.2139380484326967</v>
      </c>
      <c r="AH106" s="33">
        <f t="shared" si="3"/>
        <v>2.8678821817552307</v>
      </c>
      <c r="AI106" s="33">
        <f t="shared" si="3"/>
        <v>2.5000000000000004</v>
      </c>
      <c r="AJ106" s="33">
        <f t="shared" si="3"/>
        <v>2.1130913087034973</v>
      </c>
      <c r="AK106" s="33">
        <f t="shared" si="3"/>
        <v>1.7101007166283442</v>
      </c>
      <c r="AL106" s="33">
        <f t="shared" si="3"/>
        <v>1.2940952255126037</v>
      </c>
      <c r="AM106" s="33">
        <f t="shared" si="3"/>
        <v>0.86824088833465207</v>
      </c>
      <c r="AN106" s="33">
        <f t="shared" si="3"/>
        <v>0.43577871373829069</v>
      </c>
      <c r="AO106" s="33">
        <f t="shared" si="3"/>
        <v>3.06287113727155E-16</v>
      </c>
    </row>
    <row r="107" spans="19:80" ht="30" customHeight="1" x14ac:dyDescent="0.25">
      <c r="V107" s="33" t="s">
        <v>2</v>
      </c>
      <c r="W107" s="33">
        <f t="shared" ref="W107:AO107" si="4">4*COS(W$103 * PI()/180)</f>
        <v>4</v>
      </c>
      <c r="X107" s="33">
        <f t="shared" si="4"/>
        <v>3.9847787923669822</v>
      </c>
      <c r="Y107" s="33">
        <f t="shared" si="4"/>
        <v>3.9392310120488321</v>
      </c>
      <c r="Z107" s="33">
        <f t="shared" si="4"/>
        <v>3.8637033051562732</v>
      </c>
      <c r="AA107" s="33">
        <f t="shared" si="4"/>
        <v>3.7587704831436337</v>
      </c>
      <c r="AB107" s="33">
        <f t="shared" si="4"/>
        <v>3.6252311481465997</v>
      </c>
      <c r="AC107" s="33">
        <f t="shared" si="4"/>
        <v>3.4641016151377548</v>
      </c>
      <c r="AD107" s="33">
        <f t="shared" si="4"/>
        <v>3.2766081771559672</v>
      </c>
      <c r="AE107" s="33">
        <f t="shared" si="4"/>
        <v>3.0641777724759121</v>
      </c>
      <c r="AF107" s="33">
        <f t="shared" si="4"/>
        <v>2.8284271247461903</v>
      </c>
      <c r="AG107" s="33">
        <f t="shared" si="4"/>
        <v>2.5711504387461575</v>
      </c>
      <c r="AH107" s="33">
        <f t="shared" si="4"/>
        <v>2.2943057454041846</v>
      </c>
      <c r="AI107" s="33">
        <f t="shared" si="4"/>
        <v>2.0000000000000004</v>
      </c>
      <c r="AJ107" s="33">
        <f t="shared" si="4"/>
        <v>1.6904730469627978</v>
      </c>
      <c r="AK107" s="33">
        <f t="shared" si="4"/>
        <v>1.3680805733026753</v>
      </c>
      <c r="AL107" s="33">
        <f t="shared" si="4"/>
        <v>1.035276180410083</v>
      </c>
      <c r="AM107" s="33">
        <f t="shared" si="4"/>
        <v>0.69459271066772166</v>
      </c>
      <c r="AN107" s="33">
        <f t="shared" si="4"/>
        <v>0.34862297099063255</v>
      </c>
      <c r="AO107" s="33">
        <f t="shared" si="4"/>
        <v>2.45029690981724E-16</v>
      </c>
    </row>
    <row r="108" spans="19:80" ht="30" customHeight="1" x14ac:dyDescent="0.25">
      <c r="V108" s="33" t="s">
        <v>2</v>
      </c>
      <c r="W108" s="33">
        <f t="shared" ref="W108:AO108" si="5">3*COS(W$103 * PI()/180)</f>
        <v>3</v>
      </c>
      <c r="X108" s="33">
        <f t="shared" si="5"/>
        <v>2.9885840942752369</v>
      </c>
      <c r="Y108" s="33">
        <f t="shared" si="5"/>
        <v>2.9544232590366239</v>
      </c>
      <c r="Z108" s="33">
        <f t="shared" si="5"/>
        <v>2.897777478867205</v>
      </c>
      <c r="AA108" s="33">
        <f t="shared" si="5"/>
        <v>2.8190778623577253</v>
      </c>
      <c r="AB108" s="33">
        <f t="shared" si="5"/>
        <v>2.7189233611099497</v>
      </c>
      <c r="AC108" s="33">
        <f t="shared" si="5"/>
        <v>2.598076211353316</v>
      </c>
      <c r="AD108" s="33">
        <f t="shared" si="5"/>
        <v>2.4574561328669753</v>
      </c>
      <c r="AE108" s="33">
        <f t="shared" si="5"/>
        <v>2.2981333293569342</v>
      </c>
      <c r="AF108" s="33">
        <f t="shared" si="5"/>
        <v>2.1213203435596428</v>
      </c>
      <c r="AG108" s="33">
        <f t="shared" si="5"/>
        <v>1.9283628290596182</v>
      </c>
      <c r="AH108" s="33">
        <f t="shared" si="5"/>
        <v>1.7207293090531386</v>
      </c>
      <c r="AI108" s="33">
        <f t="shared" si="5"/>
        <v>1.5000000000000004</v>
      </c>
      <c r="AJ108" s="33">
        <f t="shared" si="5"/>
        <v>1.2678547852220983</v>
      </c>
      <c r="AK108" s="33">
        <f t="shared" si="5"/>
        <v>1.0260604299770064</v>
      </c>
      <c r="AL108" s="33">
        <f t="shared" si="5"/>
        <v>0.77645713530756222</v>
      </c>
      <c r="AM108" s="33">
        <f t="shared" si="5"/>
        <v>0.52094453300079124</v>
      </c>
      <c r="AN108" s="33">
        <f t="shared" si="5"/>
        <v>0.26146722824297441</v>
      </c>
      <c r="AO108" s="33">
        <f t="shared" si="5"/>
        <v>1.83772268236293E-16</v>
      </c>
    </row>
    <row r="109" spans="19:80" ht="30" customHeight="1" x14ac:dyDescent="0.25">
      <c r="V109" s="33" t="s">
        <v>2</v>
      </c>
      <c r="W109" s="33">
        <f t="shared" ref="W109:AO109" si="6">2*COS(W$103 * PI()/180)</f>
        <v>2</v>
      </c>
      <c r="X109" s="33">
        <f t="shared" si="6"/>
        <v>1.9923893961834911</v>
      </c>
      <c r="Y109" s="33">
        <f t="shared" si="6"/>
        <v>1.969615506024416</v>
      </c>
      <c r="Z109" s="33">
        <f t="shared" si="6"/>
        <v>1.9318516525781366</v>
      </c>
      <c r="AA109" s="33">
        <f t="shared" si="6"/>
        <v>1.8793852415718169</v>
      </c>
      <c r="AB109" s="33">
        <f t="shared" si="6"/>
        <v>1.8126155740732999</v>
      </c>
      <c r="AC109" s="33">
        <f t="shared" si="6"/>
        <v>1.7320508075688774</v>
      </c>
      <c r="AD109" s="33">
        <f t="shared" si="6"/>
        <v>1.6383040885779836</v>
      </c>
      <c r="AE109" s="33">
        <f t="shared" si="6"/>
        <v>1.532088886237956</v>
      </c>
      <c r="AF109" s="33">
        <f t="shared" si="6"/>
        <v>1.4142135623730951</v>
      </c>
      <c r="AG109" s="33">
        <f t="shared" si="6"/>
        <v>1.2855752193730787</v>
      </c>
      <c r="AH109" s="33">
        <f t="shared" si="6"/>
        <v>1.1471528727020923</v>
      </c>
      <c r="AI109" s="33">
        <f t="shared" si="6"/>
        <v>1.0000000000000002</v>
      </c>
      <c r="AJ109" s="33">
        <f t="shared" si="6"/>
        <v>0.84523652348139888</v>
      </c>
      <c r="AK109" s="33">
        <f t="shared" si="6"/>
        <v>0.68404028665133765</v>
      </c>
      <c r="AL109" s="33">
        <f t="shared" si="6"/>
        <v>0.51763809020504148</v>
      </c>
      <c r="AM109" s="33">
        <f t="shared" si="6"/>
        <v>0.34729635533386083</v>
      </c>
      <c r="AN109" s="33">
        <f t="shared" si="6"/>
        <v>0.17431148549531628</v>
      </c>
      <c r="AO109" s="33">
        <f t="shared" si="6"/>
        <v>1.22514845490862E-16</v>
      </c>
    </row>
    <row r="110" spans="19:80" ht="30" customHeight="1" x14ac:dyDescent="0.25">
      <c r="V110" s="33" t="s">
        <v>2</v>
      </c>
      <c r="W110" s="33">
        <f t="shared" ref="W110:AO110" si="7">1*COS(W$103 * PI()/180)</f>
        <v>1</v>
      </c>
      <c r="X110" s="33">
        <f t="shared" si="7"/>
        <v>0.99619469809174555</v>
      </c>
      <c r="Y110" s="33">
        <f t="shared" si="7"/>
        <v>0.98480775301220802</v>
      </c>
      <c r="Z110" s="33">
        <f t="shared" si="7"/>
        <v>0.96592582628906831</v>
      </c>
      <c r="AA110" s="33">
        <f t="shared" si="7"/>
        <v>0.93969262078590843</v>
      </c>
      <c r="AB110" s="33">
        <f t="shared" si="7"/>
        <v>0.90630778703664994</v>
      </c>
      <c r="AC110" s="33">
        <f t="shared" si="7"/>
        <v>0.86602540378443871</v>
      </c>
      <c r="AD110" s="33">
        <f t="shared" si="7"/>
        <v>0.8191520442889918</v>
      </c>
      <c r="AE110" s="33">
        <f t="shared" si="7"/>
        <v>0.76604444311897801</v>
      </c>
      <c r="AF110" s="33">
        <f t="shared" si="7"/>
        <v>0.70710678118654757</v>
      </c>
      <c r="AG110" s="33">
        <f t="shared" si="7"/>
        <v>0.64278760968653936</v>
      </c>
      <c r="AH110" s="33">
        <f t="shared" si="7"/>
        <v>0.57357643635104616</v>
      </c>
      <c r="AI110" s="33">
        <f t="shared" si="7"/>
        <v>0.50000000000000011</v>
      </c>
      <c r="AJ110" s="33">
        <f t="shared" si="7"/>
        <v>0.42261826174069944</v>
      </c>
      <c r="AK110" s="33">
        <f t="shared" si="7"/>
        <v>0.34202014332566882</v>
      </c>
      <c r="AL110" s="33">
        <f t="shared" si="7"/>
        <v>0.25881904510252074</v>
      </c>
      <c r="AM110" s="33">
        <f t="shared" si="7"/>
        <v>0.17364817766693041</v>
      </c>
      <c r="AN110" s="33">
        <f t="shared" si="7"/>
        <v>8.7155742747658138E-2</v>
      </c>
      <c r="AO110" s="33">
        <f t="shared" si="7"/>
        <v>6.1257422745431001E-17</v>
      </c>
    </row>
    <row r="111" spans="19:80" ht="30" customHeight="1" x14ac:dyDescent="0.25">
      <c r="V111" s="33" t="s">
        <v>2</v>
      </c>
      <c r="W111" s="33">
        <f t="shared" ref="W111:AO111" si="8">0*COS(W$103 * PI()/180)</f>
        <v>0</v>
      </c>
      <c r="X111" s="33">
        <f t="shared" si="8"/>
        <v>0</v>
      </c>
      <c r="Y111" s="33">
        <f t="shared" si="8"/>
        <v>0</v>
      </c>
      <c r="Z111" s="33">
        <f t="shared" si="8"/>
        <v>0</v>
      </c>
      <c r="AA111" s="33">
        <f t="shared" si="8"/>
        <v>0</v>
      </c>
      <c r="AB111" s="33">
        <f t="shared" si="8"/>
        <v>0</v>
      </c>
      <c r="AC111" s="33">
        <f t="shared" si="8"/>
        <v>0</v>
      </c>
      <c r="AD111" s="33">
        <f t="shared" si="8"/>
        <v>0</v>
      </c>
      <c r="AE111" s="33">
        <f t="shared" si="8"/>
        <v>0</v>
      </c>
      <c r="AF111" s="33">
        <f t="shared" si="8"/>
        <v>0</v>
      </c>
      <c r="AG111" s="33">
        <f t="shared" si="8"/>
        <v>0</v>
      </c>
      <c r="AH111" s="33">
        <f t="shared" si="8"/>
        <v>0</v>
      </c>
      <c r="AI111" s="33">
        <f t="shared" si="8"/>
        <v>0</v>
      </c>
      <c r="AJ111" s="33">
        <f t="shared" si="8"/>
        <v>0</v>
      </c>
      <c r="AK111" s="33">
        <f t="shared" si="8"/>
        <v>0</v>
      </c>
      <c r="AL111" s="33">
        <f t="shared" si="8"/>
        <v>0</v>
      </c>
      <c r="AM111" s="33">
        <f t="shared" si="8"/>
        <v>0</v>
      </c>
      <c r="AN111" s="33">
        <f t="shared" si="8"/>
        <v>0</v>
      </c>
      <c r="AO111" s="33">
        <f t="shared" si="8"/>
        <v>0</v>
      </c>
    </row>
  </sheetData>
  <mergeCells count="33">
    <mergeCell ref="BC1:BC4"/>
    <mergeCell ref="AW6:AX7"/>
    <mergeCell ref="AW99:AX99"/>
    <mergeCell ref="BZ2:CA6"/>
    <mergeCell ref="BS3:BS7"/>
    <mergeCell ref="BT3:BT9"/>
    <mergeCell ref="BU3:BU7"/>
    <mergeCell ref="BV3:BV7"/>
    <mergeCell ref="BW3:BW7"/>
    <mergeCell ref="BX3:BX9"/>
    <mergeCell ref="S77:S81"/>
    <mergeCell ref="AS98:AT99"/>
    <mergeCell ref="BR4:BR10"/>
    <mergeCell ref="I19:I23"/>
    <mergeCell ref="X46:Y47"/>
    <mergeCell ref="AC46:AD47"/>
    <mergeCell ref="AH46:AI47"/>
    <mergeCell ref="AM46:AN47"/>
    <mergeCell ref="AR46:AS48"/>
    <mergeCell ref="BB46:BC48"/>
    <mergeCell ref="BG46:BH47"/>
    <mergeCell ref="AR1:AR4"/>
    <mergeCell ref="AV1:AV4"/>
    <mergeCell ref="AW1:AW4"/>
    <mergeCell ref="AX1:AX4"/>
    <mergeCell ref="AY1:AY4"/>
    <mergeCell ref="S41:T43"/>
    <mergeCell ref="CA41:CB43"/>
    <mergeCell ref="CA46:CB48"/>
    <mergeCell ref="S46:T48"/>
    <mergeCell ref="BL46:BM47"/>
    <mergeCell ref="BQ46:BR47"/>
    <mergeCell ref="BV46:BW47"/>
  </mergeCells>
  <printOptions horizontalCentered="1" verticalCentered="1"/>
  <pageMargins left="0" right="0" top="0" bottom="0" header="0" footer="0"/>
  <pageSetup paperSize="9" scale="2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8595-C6EF-4E79-B851-017F339FB833}">
  <sheetPr>
    <pageSetUpPr fitToPage="1"/>
  </sheetPr>
  <dimension ref="A1:DE111"/>
  <sheetViews>
    <sheetView showGridLines="0" tabSelected="1" topLeftCell="I74" zoomScale="55" zoomScaleNormal="55" workbookViewId="0">
      <selection activeCell="W7" sqref="W7"/>
    </sheetView>
  </sheetViews>
  <sheetFormatPr defaultColWidth="2.85546875" defaultRowHeight="30" customHeight="1" x14ac:dyDescent="0.25"/>
  <cols>
    <col min="1" max="17" width="3.7109375" style="33" customWidth="1"/>
    <col min="18" max="18" width="6.28515625" style="33" customWidth="1"/>
    <col min="19" max="49" width="5.7109375" style="33" customWidth="1"/>
    <col min="50" max="50" width="5.7109375" style="8" customWidth="1"/>
    <col min="51" max="80" width="5.7109375" style="33" customWidth="1"/>
    <col min="81" max="102" width="3.7109375" style="33" customWidth="1"/>
    <col min="103" max="103" width="5.42578125" style="33" customWidth="1"/>
    <col min="104" max="104" width="7" style="33" customWidth="1"/>
    <col min="105" max="105" width="9" style="33" customWidth="1"/>
    <col min="106" max="118" width="5.42578125" style="33" customWidth="1"/>
    <col min="119" max="16384" width="2.85546875" style="33"/>
  </cols>
  <sheetData>
    <row r="1" spans="2:80" ht="30" customHeight="1" x14ac:dyDescent="0.25">
      <c r="S1" s="14"/>
      <c r="T1" s="53"/>
      <c r="U1" s="15"/>
      <c r="V1" s="15"/>
      <c r="W1" s="15"/>
      <c r="X1" s="15"/>
      <c r="Y1" s="53"/>
      <c r="Z1" s="15"/>
      <c r="AA1" s="15"/>
      <c r="AB1" s="15"/>
      <c r="AC1" s="15"/>
      <c r="AD1" s="53"/>
      <c r="AE1" s="15"/>
      <c r="AF1" s="15"/>
      <c r="AG1" s="15"/>
      <c r="AH1" s="15"/>
      <c r="AI1" s="53"/>
      <c r="AJ1" s="15"/>
      <c r="AK1" s="15"/>
      <c r="AL1" s="15"/>
      <c r="AM1" s="15"/>
      <c r="AN1" s="53"/>
      <c r="AO1" s="15"/>
      <c r="AP1" s="41"/>
      <c r="AQ1" s="41"/>
      <c r="AR1" s="108" t="s">
        <v>55</v>
      </c>
      <c r="AS1" s="56"/>
      <c r="AT1" s="42"/>
      <c r="AU1" s="42"/>
      <c r="AV1" s="108" t="s">
        <v>54</v>
      </c>
      <c r="AW1" s="110" t="s">
        <v>53</v>
      </c>
      <c r="AX1" s="112" t="s">
        <v>50</v>
      </c>
      <c r="AY1" s="114" t="s">
        <v>51</v>
      </c>
      <c r="AZ1" s="43"/>
      <c r="BA1" s="43"/>
      <c r="BB1" s="43"/>
      <c r="BC1" s="116" t="s">
        <v>52</v>
      </c>
      <c r="BD1" s="41"/>
      <c r="BE1" s="41"/>
      <c r="BF1" s="15"/>
      <c r="BG1" s="15"/>
      <c r="BH1" s="53"/>
      <c r="BI1" s="15"/>
      <c r="BJ1" s="15"/>
      <c r="BK1" s="15"/>
      <c r="BL1" s="15"/>
      <c r="BM1" s="53"/>
      <c r="BN1" s="15"/>
      <c r="BO1" s="15"/>
      <c r="BP1" s="15"/>
      <c r="BQ1" s="30"/>
      <c r="BR1" s="15"/>
      <c r="BS1" s="15"/>
      <c r="BT1" s="15"/>
      <c r="BU1" s="15"/>
      <c r="BV1" s="15"/>
      <c r="BW1" s="53"/>
      <c r="BX1" s="15"/>
      <c r="BY1" s="15"/>
      <c r="BZ1" s="15"/>
      <c r="CA1" s="15"/>
      <c r="CB1" s="60"/>
    </row>
    <row r="2" spans="2:80" ht="30" customHeight="1" x14ac:dyDescent="0.25">
      <c r="S2" s="18"/>
      <c r="T2" s="54"/>
      <c r="X2" s="49"/>
      <c r="Y2" s="54"/>
      <c r="AC2" s="49"/>
      <c r="AD2" s="54"/>
      <c r="AH2" s="49"/>
      <c r="AI2" s="54"/>
      <c r="AM2" s="49"/>
      <c r="AN2" s="54"/>
      <c r="AP2" s="44"/>
      <c r="AQ2" s="44"/>
      <c r="AR2" s="109"/>
      <c r="AS2" s="57"/>
      <c r="AT2" s="45"/>
      <c r="AU2" s="45"/>
      <c r="AV2" s="109"/>
      <c r="AW2" s="111"/>
      <c r="AX2" s="113"/>
      <c r="AY2" s="115"/>
      <c r="AZ2" s="45"/>
      <c r="BA2" s="45"/>
      <c r="BB2" s="50"/>
      <c r="BC2" s="117"/>
      <c r="BD2" s="44"/>
      <c r="BE2" s="44"/>
      <c r="BG2" s="49"/>
      <c r="BH2" s="54"/>
      <c r="BL2" s="49"/>
      <c r="BM2" s="54"/>
      <c r="BQ2" s="31"/>
      <c r="BS2" s="39"/>
      <c r="BT2" s="39"/>
      <c r="BU2" s="39"/>
      <c r="BV2" s="52"/>
      <c r="BW2" s="59"/>
      <c r="BX2" s="40"/>
      <c r="BZ2" s="100" t="s">
        <v>5</v>
      </c>
      <c r="CA2" s="101"/>
      <c r="CB2" s="19"/>
    </row>
    <row r="3" spans="2:80" ht="30" customHeight="1" x14ac:dyDescent="0.25">
      <c r="S3" s="18"/>
      <c r="T3" s="54"/>
      <c r="X3" s="49"/>
      <c r="Y3" s="54"/>
      <c r="AC3" s="49"/>
      <c r="AD3" s="54"/>
      <c r="AH3" s="49"/>
      <c r="AI3" s="54"/>
      <c r="AM3" s="49"/>
      <c r="AN3" s="54"/>
      <c r="AP3" s="44"/>
      <c r="AQ3" s="84" t="s">
        <v>26</v>
      </c>
      <c r="AR3" s="109"/>
      <c r="AS3" s="58"/>
      <c r="AT3" s="46"/>
      <c r="AU3" s="46"/>
      <c r="AV3" s="109"/>
      <c r="AW3" s="111"/>
      <c r="AX3" s="113"/>
      <c r="AY3" s="115"/>
      <c r="AZ3" s="46"/>
      <c r="BA3" s="46"/>
      <c r="BB3" s="51"/>
      <c r="BC3" s="117"/>
      <c r="BD3" s="83" t="s">
        <v>27</v>
      </c>
      <c r="BE3" s="44"/>
      <c r="BG3" s="49"/>
      <c r="BH3" s="54"/>
      <c r="BL3" s="49"/>
      <c r="BM3" s="54"/>
      <c r="BQ3" s="31"/>
      <c r="BS3" s="106"/>
      <c r="BT3" s="107"/>
      <c r="BU3" s="106"/>
      <c r="BV3" s="107"/>
      <c r="BW3" s="97"/>
      <c r="BX3" s="107"/>
      <c r="BZ3" s="102"/>
      <c r="CA3" s="103"/>
      <c r="CB3" s="19"/>
    </row>
    <row r="4" spans="2:80" ht="30" customHeight="1" x14ac:dyDescent="0.25">
      <c r="S4" s="18"/>
      <c r="T4" s="54"/>
      <c r="X4" s="49"/>
      <c r="Y4" s="54"/>
      <c r="AC4" s="49"/>
      <c r="AD4" s="54"/>
      <c r="AH4" s="49"/>
      <c r="AI4" s="54"/>
      <c r="AM4" s="49"/>
      <c r="AN4" s="54"/>
      <c r="AP4" s="44"/>
      <c r="AQ4" s="44"/>
      <c r="AR4" s="109"/>
      <c r="AS4" s="58"/>
      <c r="AT4" s="46"/>
      <c r="AU4" s="46"/>
      <c r="AV4" s="109"/>
      <c r="AW4" s="111"/>
      <c r="AX4" s="113"/>
      <c r="AY4" s="115"/>
      <c r="AZ4" s="46"/>
      <c r="BA4" s="46"/>
      <c r="BB4" s="51"/>
      <c r="BC4" s="117"/>
      <c r="BD4" s="44"/>
      <c r="BE4" s="44"/>
      <c r="BG4" s="49"/>
      <c r="BH4" s="54"/>
      <c r="BL4" s="49"/>
      <c r="BM4" s="54"/>
      <c r="BQ4" s="49"/>
      <c r="BR4" s="97"/>
      <c r="BS4" s="106"/>
      <c r="BT4" s="107"/>
      <c r="BU4" s="106"/>
      <c r="BV4" s="107"/>
      <c r="BW4" s="97"/>
      <c r="BX4" s="107"/>
      <c r="BZ4" s="102"/>
      <c r="CA4" s="103"/>
      <c r="CB4" s="19"/>
    </row>
    <row r="5" spans="2:80" ht="30" customHeight="1" x14ac:dyDescent="0.25">
      <c r="S5" s="18"/>
      <c r="T5" s="54"/>
      <c r="X5" s="49"/>
      <c r="Y5" s="54"/>
      <c r="AC5" s="49"/>
      <c r="AD5" s="54"/>
      <c r="AH5" s="49"/>
      <c r="AI5" s="54"/>
      <c r="AM5" s="49"/>
      <c r="AN5" s="54"/>
      <c r="AR5" s="49"/>
      <c r="AS5" s="54"/>
      <c r="AW5" s="124"/>
      <c r="AX5" s="131"/>
      <c r="BB5" s="49"/>
      <c r="BC5" s="54"/>
      <c r="BG5" s="49"/>
      <c r="BH5" s="54"/>
      <c r="BL5" s="49"/>
      <c r="BM5" s="54"/>
      <c r="BQ5" s="49"/>
      <c r="BR5" s="97"/>
      <c r="BS5" s="106"/>
      <c r="BT5" s="107"/>
      <c r="BU5" s="106"/>
      <c r="BV5" s="107"/>
      <c r="BW5" s="97"/>
      <c r="BX5" s="107"/>
      <c r="BZ5" s="102"/>
      <c r="CA5" s="103"/>
      <c r="CB5" s="19"/>
    </row>
    <row r="6" spans="2:80" ht="30" customHeight="1" x14ac:dyDescent="0.25">
      <c r="S6" s="18"/>
      <c r="T6" s="54"/>
      <c r="X6" s="49"/>
      <c r="Y6" s="54"/>
      <c r="AC6" s="49"/>
      <c r="AD6" s="54"/>
      <c r="AH6" s="49"/>
      <c r="AI6" s="54"/>
      <c r="AM6" s="49"/>
      <c r="AN6" s="54"/>
      <c r="AR6" s="49"/>
      <c r="AS6" s="54"/>
      <c r="AW6" s="129" t="s">
        <v>66</v>
      </c>
      <c r="AX6" s="129"/>
      <c r="BB6" s="49"/>
      <c r="BC6" s="54"/>
      <c r="BG6" s="49"/>
      <c r="BH6" s="54"/>
      <c r="BL6" s="49"/>
      <c r="BM6" s="54"/>
      <c r="BQ6" s="49"/>
      <c r="BR6" s="97"/>
      <c r="BS6" s="106"/>
      <c r="BT6" s="107"/>
      <c r="BU6" s="106"/>
      <c r="BV6" s="107"/>
      <c r="BW6" s="97"/>
      <c r="BX6" s="107"/>
      <c r="BZ6" s="104"/>
      <c r="CA6" s="105"/>
      <c r="CB6" s="19"/>
    </row>
    <row r="7" spans="2:80" ht="30" customHeight="1" x14ac:dyDescent="0.25">
      <c r="S7" s="18"/>
      <c r="T7" s="54"/>
      <c r="X7" s="49"/>
      <c r="Y7" s="54"/>
      <c r="AC7" s="49"/>
      <c r="AD7" s="54"/>
      <c r="AH7" s="49"/>
      <c r="AI7" s="54"/>
      <c r="AM7" s="49"/>
      <c r="AN7" s="54"/>
      <c r="AR7" s="49"/>
      <c r="AS7" s="54"/>
      <c r="AW7" s="129"/>
      <c r="AX7" s="129"/>
      <c r="BB7" s="49"/>
      <c r="BC7" s="54"/>
      <c r="BG7" s="49"/>
      <c r="BH7" s="54"/>
      <c r="BL7" s="49"/>
      <c r="BM7" s="54"/>
      <c r="BQ7" s="49"/>
      <c r="BR7" s="97"/>
      <c r="BS7" s="106"/>
      <c r="BT7" s="107"/>
      <c r="BU7" s="106"/>
      <c r="BV7" s="107"/>
      <c r="BW7" s="97"/>
      <c r="BX7" s="107"/>
      <c r="CA7" s="49"/>
      <c r="CB7" s="61"/>
    </row>
    <row r="8" spans="2:80" ht="30" customHeight="1" x14ac:dyDescent="0.25">
      <c r="S8" s="18"/>
      <c r="T8" s="54"/>
      <c r="X8" s="49"/>
      <c r="Y8" s="54"/>
      <c r="AC8" s="49"/>
      <c r="AD8" s="54"/>
      <c r="AH8" s="49"/>
      <c r="AI8" s="54"/>
      <c r="AM8" s="49"/>
      <c r="AN8" s="54"/>
      <c r="AR8" s="49"/>
      <c r="AS8" s="54"/>
      <c r="BB8" s="49"/>
      <c r="BC8" s="54"/>
      <c r="BG8" s="49"/>
      <c r="BH8" s="54"/>
      <c r="BL8" s="49"/>
      <c r="BM8" s="54"/>
      <c r="BQ8" s="49"/>
      <c r="BR8" s="97"/>
      <c r="BT8" s="107"/>
      <c r="BV8" s="49"/>
      <c r="BW8" s="54"/>
      <c r="BX8" s="107"/>
      <c r="CA8" s="49"/>
      <c r="CB8" s="61"/>
    </row>
    <row r="9" spans="2:80" ht="30" customHeight="1" x14ac:dyDescent="0.25">
      <c r="S9" s="18"/>
      <c r="T9" s="54"/>
      <c r="X9" s="49"/>
      <c r="Y9" s="54"/>
      <c r="AC9" s="49"/>
      <c r="AD9" s="54"/>
      <c r="AH9" s="49"/>
      <c r="AI9" s="54"/>
      <c r="AM9" s="49"/>
      <c r="AN9" s="54"/>
      <c r="AR9" s="49"/>
      <c r="AS9" s="54"/>
      <c r="BB9" s="49"/>
      <c r="BC9" s="54"/>
      <c r="BG9" s="49"/>
      <c r="BH9" s="54"/>
      <c r="BL9" s="49"/>
      <c r="BM9" s="54"/>
      <c r="BQ9" s="49"/>
      <c r="BR9" s="97"/>
      <c r="BT9" s="107"/>
      <c r="BV9" s="49"/>
      <c r="BW9" s="54"/>
      <c r="BX9" s="107"/>
      <c r="CA9" s="49"/>
      <c r="CB9" s="61"/>
    </row>
    <row r="10" spans="2:80" ht="30" customHeight="1" x14ac:dyDescent="0.25">
      <c r="S10" s="18"/>
      <c r="T10" s="54"/>
      <c r="X10" s="49"/>
      <c r="Y10" s="54"/>
      <c r="AC10" s="49"/>
      <c r="AD10" s="54"/>
      <c r="AH10" s="49"/>
      <c r="AI10" s="54"/>
      <c r="AM10" s="49"/>
      <c r="AN10" s="54"/>
      <c r="AR10" s="49"/>
      <c r="AS10" s="54"/>
      <c r="BB10" s="49"/>
      <c r="BC10" s="54"/>
      <c r="BG10" s="49"/>
      <c r="BH10" s="54"/>
      <c r="BL10" s="49"/>
      <c r="BM10" s="54"/>
      <c r="BQ10" s="49"/>
      <c r="BR10" s="97"/>
      <c r="BV10" s="49"/>
      <c r="BW10" s="54"/>
      <c r="CA10" s="49"/>
      <c r="CB10" s="61"/>
    </row>
    <row r="11" spans="2:80" ht="30" customHeight="1" x14ac:dyDescent="0.25">
      <c r="B11" s="34" t="s">
        <v>8</v>
      </c>
      <c r="C11" s="35" t="s">
        <v>9</v>
      </c>
      <c r="S11" s="18"/>
      <c r="T11" s="54"/>
      <c r="X11" s="49"/>
      <c r="Y11" s="54"/>
      <c r="AC11" s="49"/>
      <c r="AD11" s="54"/>
      <c r="AH11" s="49"/>
      <c r="AI11" s="54"/>
      <c r="AM11" s="49"/>
      <c r="AN11" s="54"/>
      <c r="AR11" s="49"/>
      <c r="AS11" s="54"/>
      <c r="BB11" s="49"/>
      <c r="BC11" s="54"/>
      <c r="BG11" s="49"/>
      <c r="BH11" s="54"/>
      <c r="BL11" s="49"/>
      <c r="BM11" s="54"/>
      <c r="BQ11" s="49"/>
      <c r="BR11" s="54"/>
      <c r="BV11" s="49"/>
      <c r="BW11" s="54"/>
      <c r="CA11" s="49"/>
      <c r="CB11" s="61"/>
    </row>
    <row r="12" spans="2:80" ht="30" customHeight="1" x14ac:dyDescent="0.25">
      <c r="B12" s="34" t="s">
        <v>10</v>
      </c>
      <c r="C12" s="35" t="s">
        <v>11</v>
      </c>
      <c r="S12" s="18"/>
      <c r="T12" s="54"/>
      <c r="X12" s="49"/>
      <c r="Y12" s="54"/>
      <c r="AC12" s="49"/>
      <c r="AD12" s="54"/>
      <c r="AH12" s="49"/>
      <c r="AI12" s="54"/>
      <c r="AM12" s="49"/>
      <c r="AN12" s="54"/>
      <c r="AR12" s="49"/>
      <c r="AS12" s="54"/>
      <c r="BB12" s="49"/>
      <c r="BC12" s="54"/>
      <c r="BG12" s="49"/>
      <c r="BH12" s="54"/>
      <c r="BL12" s="49"/>
      <c r="BM12" s="54"/>
      <c r="BQ12" s="49"/>
      <c r="BR12" s="54"/>
      <c r="BV12" s="49"/>
      <c r="BW12" s="54"/>
      <c r="CA12" s="49"/>
      <c r="CB12" s="61"/>
    </row>
    <row r="13" spans="2:80" ht="30" customHeight="1" x14ac:dyDescent="0.25">
      <c r="B13" s="36" t="s">
        <v>12</v>
      </c>
      <c r="C13" s="35" t="s">
        <v>13</v>
      </c>
      <c r="S13" s="18"/>
      <c r="T13" s="54"/>
      <c r="X13" s="49"/>
      <c r="Y13" s="54"/>
      <c r="AC13" s="49"/>
      <c r="AD13" s="54"/>
      <c r="AH13" s="49"/>
      <c r="AI13" s="54"/>
      <c r="AM13" s="49"/>
      <c r="AN13" s="54"/>
      <c r="AR13" s="49"/>
      <c r="AS13" s="54"/>
      <c r="BB13" s="49"/>
      <c r="BC13" s="54"/>
      <c r="BG13" s="49"/>
      <c r="BH13" s="54"/>
      <c r="BL13" s="49"/>
      <c r="BM13" s="54"/>
      <c r="BQ13" s="49"/>
      <c r="BR13" s="54"/>
      <c r="BV13" s="49"/>
      <c r="BW13" s="54"/>
      <c r="CA13" s="49"/>
      <c r="CB13" s="61"/>
    </row>
    <row r="14" spans="2:80" ht="30" customHeight="1" x14ac:dyDescent="0.25">
      <c r="B14" s="36">
        <v>5</v>
      </c>
      <c r="C14" s="35" t="s">
        <v>14</v>
      </c>
      <c r="S14" s="18"/>
      <c r="T14" s="54"/>
      <c r="X14" s="49"/>
      <c r="Y14" s="54"/>
      <c r="AC14" s="49"/>
      <c r="AD14" s="54"/>
      <c r="AH14" s="49"/>
      <c r="AI14" s="54"/>
      <c r="AM14" s="49"/>
      <c r="AN14" s="54"/>
      <c r="AR14" s="49"/>
      <c r="AS14" s="54"/>
      <c r="BB14" s="49"/>
      <c r="BC14" s="54"/>
      <c r="BG14" s="49"/>
      <c r="BH14" s="54"/>
      <c r="BL14" s="49"/>
      <c r="BM14" s="54"/>
      <c r="BQ14" s="49"/>
      <c r="BR14" s="54"/>
      <c r="BV14" s="49"/>
      <c r="BW14" s="54"/>
      <c r="CA14" s="49"/>
      <c r="CB14" s="61"/>
    </row>
    <row r="15" spans="2:80" ht="30" customHeight="1" x14ac:dyDescent="0.25">
      <c r="B15" s="36" t="s">
        <v>15</v>
      </c>
      <c r="C15" s="35" t="s">
        <v>16</v>
      </c>
      <c r="S15" s="18"/>
      <c r="T15" s="54"/>
      <c r="X15" s="49"/>
      <c r="Y15" s="54"/>
      <c r="AC15" s="49"/>
      <c r="AD15" s="54"/>
      <c r="AH15" s="49"/>
      <c r="AI15" s="54"/>
      <c r="AM15" s="49"/>
      <c r="AN15" s="54"/>
      <c r="AR15" s="49"/>
      <c r="AS15" s="54"/>
      <c r="BB15" s="49"/>
      <c r="BC15" s="54"/>
      <c r="BG15" s="49"/>
      <c r="BH15" s="54"/>
      <c r="BL15" s="49"/>
      <c r="BM15" s="54"/>
      <c r="BQ15" s="49"/>
      <c r="BR15" s="54"/>
      <c r="BV15" s="49"/>
      <c r="BW15" s="54"/>
      <c r="CA15" s="49"/>
      <c r="CB15" s="61"/>
    </row>
    <row r="16" spans="2:80" ht="30" customHeight="1" x14ac:dyDescent="0.25">
      <c r="B16" s="36">
        <v>0</v>
      </c>
      <c r="C16" s="35" t="s">
        <v>17</v>
      </c>
      <c r="S16" s="18"/>
      <c r="T16" s="54"/>
      <c r="X16" s="49"/>
      <c r="Y16" s="54"/>
      <c r="AC16" s="49"/>
      <c r="AD16" s="54"/>
      <c r="AH16" s="49"/>
      <c r="AI16" s="54"/>
      <c r="AM16" s="49"/>
      <c r="AN16" s="54"/>
      <c r="AR16" s="49"/>
      <c r="AS16" s="54"/>
      <c r="BB16" s="49"/>
      <c r="BC16" s="54"/>
      <c r="BG16" s="49"/>
      <c r="BH16" s="54"/>
      <c r="BL16" s="49"/>
      <c r="BM16" s="54"/>
      <c r="BQ16" s="49"/>
      <c r="BR16" s="54"/>
      <c r="BV16" s="49"/>
      <c r="BW16" s="54"/>
      <c r="CA16" s="49"/>
      <c r="CB16" s="61"/>
    </row>
    <row r="17" spans="9:80" ht="30" customHeight="1" x14ac:dyDescent="0.25">
      <c r="S17" s="18"/>
      <c r="T17" s="54"/>
      <c r="X17" s="49"/>
      <c r="Y17" s="54"/>
      <c r="AC17" s="49"/>
      <c r="AD17" s="54"/>
      <c r="AH17" s="49"/>
      <c r="AI17" s="54"/>
      <c r="AM17" s="49"/>
      <c r="AN17" s="54"/>
      <c r="AR17" s="49"/>
      <c r="AS17" s="54"/>
      <c r="BB17" s="49"/>
      <c r="BC17" s="54"/>
      <c r="BG17" s="49"/>
      <c r="BH17" s="54"/>
      <c r="BL17" s="49"/>
      <c r="BM17" s="54"/>
      <c r="BQ17" s="49"/>
      <c r="BR17" s="54"/>
      <c r="BV17" s="49"/>
      <c r="BW17" s="54"/>
      <c r="CA17" s="49"/>
      <c r="CB17" s="61"/>
    </row>
    <row r="18" spans="9:80" ht="30" customHeight="1" x14ac:dyDescent="0.25">
      <c r="I18" s="37" t="s">
        <v>8</v>
      </c>
      <c r="J18" s="37" t="s">
        <v>10</v>
      </c>
      <c r="K18" s="38" t="s">
        <v>12</v>
      </c>
      <c r="L18" s="38">
        <v>5</v>
      </c>
      <c r="M18" s="38" t="s">
        <v>15</v>
      </c>
      <c r="N18" s="38">
        <v>0</v>
      </c>
      <c r="S18" s="18"/>
      <c r="T18" s="54"/>
      <c r="X18" s="49"/>
      <c r="Y18" s="54"/>
      <c r="AC18" s="49"/>
      <c r="AD18" s="54"/>
      <c r="AH18" s="49"/>
      <c r="AI18" s="54"/>
      <c r="AM18" s="49"/>
      <c r="AN18" s="54"/>
      <c r="AR18" s="49"/>
      <c r="AS18" s="54"/>
      <c r="BB18" s="49"/>
      <c r="BC18" s="54"/>
      <c r="BG18" s="49"/>
      <c r="BH18" s="54"/>
      <c r="BL18" s="49"/>
      <c r="BM18" s="54"/>
      <c r="BQ18" s="49"/>
      <c r="BR18" s="54"/>
      <c r="BV18" s="49"/>
      <c r="BW18" s="54"/>
      <c r="CA18" s="49"/>
      <c r="CB18" s="61"/>
    </row>
    <row r="19" spans="9:80" ht="30" customHeight="1" x14ac:dyDescent="0.25">
      <c r="I19" s="98" t="s">
        <v>9</v>
      </c>
      <c r="J19" s="32" t="s">
        <v>11</v>
      </c>
      <c r="K19" s="32" t="s">
        <v>13</v>
      </c>
      <c r="L19" s="32" t="s">
        <v>14</v>
      </c>
      <c r="M19" s="32" t="s">
        <v>16</v>
      </c>
      <c r="N19" s="32" t="s">
        <v>17</v>
      </c>
      <c r="S19" s="18"/>
      <c r="T19" s="54"/>
      <c r="X19" s="49"/>
      <c r="Y19" s="54"/>
      <c r="AC19" s="49"/>
      <c r="AD19" s="54"/>
      <c r="AH19" s="49"/>
      <c r="AI19" s="54"/>
      <c r="AM19" s="49"/>
      <c r="AN19" s="54"/>
      <c r="AR19" s="49"/>
      <c r="AS19" s="54"/>
      <c r="BB19" s="49"/>
      <c r="BC19" s="54"/>
      <c r="BG19" s="49"/>
      <c r="BH19" s="54"/>
      <c r="BL19" s="49"/>
      <c r="BM19" s="54"/>
      <c r="BQ19" s="49"/>
      <c r="BR19" s="54"/>
      <c r="BV19" s="49"/>
      <c r="BW19" s="54"/>
      <c r="CA19" s="49"/>
      <c r="CB19" s="61"/>
    </row>
    <row r="20" spans="9:80" ht="30" customHeight="1" x14ac:dyDescent="0.25">
      <c r="I20" s="99"/>
      <c r="S20" s="18"/>
      <c r="T20" s="54"/>
      <c r="X20" s="49"/>
      <c r="Y20" s="54"/>
      <c r="AC20" s="49"/>
      <c r="AD20" s="54"/>
      <c r="AH20" s="49"/>
      <c r="AI20" s="54"/>
      <c r="AM20" s="49"/>
      <c r="AN20" s="54"/>
      <c r="AR20" s="49"/>
      <c r="AS20" s="54"/>
      <c r="BB20" s="49"/>
      <c r="BC20" s="54"/>
      <c r="BG20" s="49"/>
      <c r="BH20" s="54"/>
      <c r="BL20" s="49"/>
      <c r="BM20" s="54"/>
      <c r="BQ20" s="49"/>
      <c r="BR20" s="54"/>
      <c r="BV20" s="49"/>
      <c r="BW20" s="54"/>
      <c r="CA20" s="49"/>
      <c r="CB20" s="61"/>
    </row>
    <row r="21" spans="9:80" ht="30" customHeight="1" x14ac:dyDescent="0.25">
      <c r="I21" s="99"/>
      <c r="S21" s="18"/>
      <c r="T21" s="54"/>
      <c r="X21" s="49"/>
      <c r="Y21" s="54"/>
      <c r="AC21" s="49"/>
      <c r="AD21" s="54"/>
      <c r="AH21" s="49"/>
      <c r="AI21" s="54"/>
      <c r="AM21" s="49"/>
      <c r="AN21" s="54"/>
      <c r="AR21" s="49"/>
      <c r="AS21" s="54"/>
      <c r="BB21" s="49"/>
      <c r="BC21" s="54"/>
      <c r="BG21" s="49"/>
      <c r="BH21" s="54"/>
      <c r="BL21" s="49"/>
      <c r="BM21" s="54"/>
      <c r="BQ21" s="49"/>
      <c r="BR21" s="54"/>
      <c r="BV21" s="49"/>
      <c r="BW21" s="54"/>
      <c r="CA21" s="49"/>
      <c r="CB21" s="61"/>
    </row>
    <row r="22" spans="9:80" ht="30" customHeight="1" x14ac:dyDescent="0.25">
      <c r="I22" s="99"/>
      <c r="S22" s="18"/>
      <c r="T22" s="54"/>
      <c r="X22" s="49"/>
      <c r="Y22" s="54"/>
      <c r="AC22" s="49"/>
      <c r="AD22" s="54"/>
      <c r="AH22" s="49"/>
      <c r="AI22" s="54"/>
      <c r="AM22" s="49"/>
      <c r="AN22" s="54"/>
      <c r="AR22" s="49"/>
      <c r="AS22" s="54"/>
      <c r="BB22" s="49"/>
      <c r="BC22" s="54"/>
      <c r="BG22" s="49"/>
      <c r="BH22" s="54"/>
      <c r="BL22" s="49"/>
      <c r="BM22" s="54"/>
      <c r="BQ22" s="49"/>
      <c r="BR22" s="54"/>
      <c r="BV22" s="49"/>
      <c r="BW22" s="54"/>
      <c r="CA22" s="49"/>
      <c r="CB22" s="61"/>
    </row>
    <row r="23" spans="9:80" ht="30" customHeight="1" x14ac:dyDescent="0.25">
      <c r="I23" s="99"/>
      <c r="S23" s="18"/>
      <c r="T23" s="54"/>
      <c r="X23" s="49"/>
      <c r="Y23" s="54"/>
      <c r="AC23" s="49"/>
      <c r="AD23" s="54"/>
      <c r="AH23" s="49"/>
      <c r="AI23" s="54"/>
      <c r="AM23" s="49"/>
      <c r="AN23" s="54"/>
      <c r="AR23" s="49"/>
      <c r="AS23" s="54"/>
      <c r="BB23" s="49"/>
      <c r="BC23" s="54"/>
      <c r="BG23" s="49"/>
      <c r="BH23" s="54"/>
      <c r="BL23" s="49"/>
      <c r="BM23" s="54"/>
      <c r="BQ23" s="49"/>
      <c r="BR23" s="54"/>
      <c r="BV23" s="49"/>
      <c r="BW23" s="54"/>
      <c r="CA23" s="49"/>
      <c r="CB23" s="61"/>
    </row>
    <row r="24" spans="9:80" ht="30" customHeight="1" x14ac:dyDescent="0.25">
      <c r="S24" s="18"/>
      <c r="T24" s="54"/>
      <c r="X24" s="49"/>
      <c r="Y24" s="54"/>
      <c r="AC24" s="49"/>
      <c r="AD24" s="54"/>
      <c r="AH24" s="49"/>
      <c r="AI24" s="54"/>
      <c r="AM24" s="49"/>
      <c r="AN24" s="54"/>
      <c r="AR24" s="49"/>
      <c r="AS24" s="54"/>
      <c r="BB24" s="49"/>
      <c r="BC24" s="54"/>
      <c r="BG24" s="49"/>
      <c r="BH24" s="54"/>
      <c r="BL24" s="49"/>
      <c r="BM24" s="54"/>
      <c r="BQ24" s="49"/>
      <c r="BR24" s="54"/>
      <c r="BV24" s="49"/>
      <c r="BW24" s="54"/>
      <c r="CA24" s="49"/>
      <c r="CB24" s="61"/>
    </row>
    <row r="25" spans="9:80" ht="30" customHeight="1" x14ac:dyDescent="0.25">
      <c r="S25" s="18"/>
      <c r="T25" s="54"/>
      <c r="X25" s="49"/>
      <c r="Y25" s="54"/>
      <c r="AC25" s="49"/>
      <c r="AD25" s="54"/>
      <c r="AH25" s="49"/>
      <c r="AI25" s="54"/>
      <c r="AM25" s="49"/>
      <c r="AN25" s="54"/>
      <c r="AR25" s="49"/>
      <c r="AS25" s="54"/>
      <c r="BB25" s="49"/>
      <c r="BC25" s="54"/>
      <c r="BG25" s="49"/>
      <c r="BH25" s="54"/>
      <c r="BL25" s="49"/>
      <c r="BM25" s="54"/>
      <c r="BQ25" s="49"/>
      <c r="BR25" s="54"/>
      <c r="BV25" s="49"/>
      <c r="BW25" s="54"/>
      <c r="CA25" s="49"/>
      <c r="CB25" s="61"/>
    </row>
    <row r="26" spans="9:80" ht="30" customHeight="1" x14ac:dyDescent="0.25">
      <c r="S26" s="18"/>
      <c r="T26" s="54"/>
      <c r="X26" s="49"/>
      <c r="Y26" s="54"/>
      <c r="AC26" s="49"/>
      <c r="AD26" s="54"/>
      <c r="AH26" s="49"/>
      <c r="AI26" s="54"/>
      <c r="AM26" s="49"/>
      <c r="AN26" s="54"/>
      <c r="AR26" s="49"/>
      <c r="AS26" s="54"/>
      <c r="BB26" s="49"/>
      <c r="BC26" s="54"/>
      <c r="BG26" s="49"/>
      <c r="BH26" s="54"/>
      <c r="BL26" s="49"/>
      <c r="BM26" s="54"/>
      <c r="BQ26" s="49"/>
      <c r="BR26" s="54"/>
      <c r="BV26" s="49"/>
      <c r="BW26" s="54"/>
      <c r="CA26" s="49"/>
      <c r="CB26" s="61"/>
    </row>
    <row r="27" spans="9:80" ht="30" customHeight="1" x14ac:dyDescent="0.25">
      <c r="S27" s="18"/>
      <c r="T27" s="54"/>
      <c r="X27" s="49"/>
      <c r="Y27" s="54"/>
      <c r="AC27" s="49"/>
      <c r="AD27" s="54"/>
      <c r="AH27" s="49"/>
      <c r="AI27" s="54"/>
      <c r="AM27" s="49"/>
      <c r="AN27" s="54"/>
      <c r="AR27" s="49"/>
      <c r="AS27" s="54"/>
      <c r="BB27" s="49"/>
      <c r="BC27" s="54"/>
      <c r="BG27" s="49"/>
      <c r="BH27" s="54"/>
      <c r="BL27" s="49"/>
      <c r="BM27" s="54"/>
      <c r="BQ27" s="49"/>
      <c r="BR27" s="54"/>
      <c r="BV27" s="49"/>
      <c r="BW27" s="54"/>
      <c r="CA27" s="49"/>
      <c r="CB27" s="61"/>
    </row>
    <row r="28" spans="9:80" ht="30" customHeight="1" x14ac:dyDescent="0.25">
      <c r="S28" s="18"/>
      <c r="T28" s="54"/>
      <c r="X28" s="49"/>
      <c r="Y28" s="54"/>
      <c r="AC28" s="49"/>
      <c r="AD28" s="54"/>
      <c r="AH28" s="49"/>
      <c r="AI28" s="54"/>
      <c r="AM28" s="49"/>
      <c r="AN28" s="54"/>
      <c r="AR28" s="49"/>
      <c r="AS28" s="54"/>
      <c r="BB28" s="49"/>
      <c r="BC28" s="54"/>
      <c r="BG28" s="49"/>
      <c r="BH28" s="54"/>
      <c r="BL28" s="49"/>
      <c r="BM28" s="54"/>
      <c r="BQ28" s="49"/>
      <c r="BR28" s="54"/>
      <c r="BV28" s="49"/>
      <c r="BW28" s="54"/>
      <c r="CA28" s="49"/>
      <c r="CB28" s="61"/>
    </row>
    <row r="29" spans="9:80" ht="30" customHeight="1" x14ac:dyDescent="0.25">
      <c r="S29" s="18"/>
      <c r="T29" s="54"/>
      <c r="X29" s="49"/>
      <c r="Y29" s="54"/>
      <c r="AC29" s="49"/>
      <c r="AD29" s="54"/>
      <c r="AH29" s="49"/>
      <c r="AI29" s="54"/>
      <c r="AM29" s="49"/>
      <c r="AN29" s="54"/>
      <c r="AR29" s="49"/>
      <c r="AS29" s="54"/>
      <c r="BB29" s="49"/>
      <c r="BC29" s="54"/>
      <c r="BG29" s="49"/>
      <c r="BH29" s="54"/>
      <c r="BL29" s="49"/>
      <c r="BM29" s="54"/>
      <c r="BQ29" s="49"/>
      <c r="BR29" s="54"/>
      <c r="BV29" s="49"/>
      <c r="BW29" s="54"/>
      <c r="CA29" s="49"/>
      <c r="CB29" s="61"/>
    </row>
    <row r="30" spans="9:80" ht="30" customHeight="1" x14ac:dyDescent="0.25">
      <c r="S30" s="18"/>
      <c r="T30" s="54"/>
      <c r="X30" s="49"/>
      <c r="Y30" s="54"/>
      <c r="AC30" s="49"/>
      <c r="AD30" s="54"/>
      <c r="AH30" s="49"/>
      <c r="AI30" s="54"/>
      <c r="AM30" s="49"/>
      <c r="AN30" s="54"/>
      <c r="AR30" s="49"/>
      <c r="AS30" s="54"/>
      <c r="BB30" s="49"/>
      <c r="BC30" s="54"/>
      <c r="BG30" s="49"/>
      <c r="BH30" s="54"/>
      <c r="BL30" s="49"/>
      <c r="BM30" s="54"/>
      <c r="BQ30" s="49"/>
      <c r="BR30" s="54"/>
      <c r="BV30" s="49"/>
      <c r="BW30" s="54"/>
      <c r="CA30" s="49"/>
      <c r="CB30" s="61"/>
    </row>
    <row r="31" spans="9:80" ht="30" customHeight="1" x14ac:dyDescent="0.25">
      <c r="S31" s="18"/>
      <c r="T31" s="54"/>
      <c r="X31" s="49"/>
      <c r="Y31" s="54"/>
      <c r="AC31" s="49"/>
      <c r="AD31" s="54"/>
      <c r="AH31" s="49"/>
      <c r="AI31" s="54"/>
      <c r="AM31" s="49"/>
      <c r="AN31" s="54"/>
      <c r="AR31" s="49"/>
      <c r="AS31" s="54"/>
      <c r="BB31" s="49"/>
      <c r="BC31" s="54"/>
      <c r="BG31" s="49"/>
      <c r="BH31" s="54"/>
      <c r="BL31" s="49"/>
      <c r="BM31" s="54"/>
      <c r="BQ31" s="49"/>
      <c r="BR31" s="54"/>
      <c r="BV31" s="49"/>
      <c r="BW31" s="54"/>
      <c r="CA31" s="49"/>
      <c r="CB31" s="61"/>
    </row>
    <row r="32" spans="9:80" ht="30" customHeight="1" x14ac:dyDescent="0.25">
      <c r="S32" s="18"/>
      <c r="T32" s="54"/>
      <c r="X32" s="49"/>
      <c r="Y32" s="54"/>
      <c r="AC32" s="49"/>
      <c r="AD32" s="54"/>
      <c r="AH32" s="49"/>
      <c r="AI32" s="54"/>
      <c r="AM32" s="49"/>
      <c r="AN32" s="54"/>
      <c r="AR32" s="49"/>
      <c r="AS32" s="54"/>
      <c r="BB32" s="49"/>
      <c r="BC32" s="54"/>
      <c r="BG32" s="49"/>
      <c r="BH32" s="54"/>
      <c r="BL32" s="49"/>
      <c r="BM32" s="54"/>
      <c r="BQ32" s="49"/>
      <c r="BR32" s="54"/>
      <c r="BV32" s="49"/>
      <c r="BW32" s="54"/>
      <c r="CA32" s="49"/>
      <c r="CB32" s="61"/>
    </row>
    <row r="33" spans="1:109" ht="30" customHeight="1" x14ac:dyDescent="0.25">
      <c r="S33" s="18"/>
      <c r="T33" s="54"/>
      <c r="X33" s="49"/>
      <c r="Y33" s="54"/>
      <c r="AC33" s="49"/>
      <c r="AD33" s="54"/>
      <c r="AH33" s="49"/>
      <c r="AI33" s="54"/>
      <c r="AM33" s="49"/>
      <c r="AN33" s="54"/>
      <c r="AR33" s="49"/>
      <c r="AS33" s="54"/>
      <c r="BB33" s="49"/>
      <c r="BC33" s="54"/>
      <c r="BG33" s="49"/>
      <c r="BH33" s="54"/>
      <c r="BL33" s="49"/>
      <c r="BM33" s="54"/>
      <c r="BQ33" s="49"/>
      <c r="BR33" s="54"/>
      <c r="BV33" s="49"/>
      <c r="BW33" s="54"/>
      <c r="CA33" s="49"/>
      <c r="CB33" s="61"/>
    </row>
    <row r="34" spans="1:109" ht="30" customHeight="1" x14ac:dyDescent="0.25">
      <c r="S34" s="18"/>
      <c r="T34" s="54"/>
      <c r="X34" s="49"/>
      <c r="Y34" s="54"/>
      <c r="AC34" s="49"/>
      <c r="AD34" s="54"/>
      <c r="AH34" s="49"/>
      <c r="AI34" s="54"/>
      <c r="AM34" s="49"/>
      <c r="AN34" s="54"/>
      <c r="AR34" s="49"/>
      <c r="AS34" s="54"/>
      <c r="BB34" s="49"/>
      <c r="BC34" s="54"/>
      <c r="BG34" s="49"/>
      <c r="BH34" s="54"/>
      <c r="BL34" s="49"/>
      <c r="BM34" s="54"/>
      <c r="BQ34" s="49"/>
      <c r="BR34" s="54"/>
      <c r="BV34" s="49"/>
      <c r="BW34" s="54"/>
      <c r="CA34" s="49"/>
      <c r="CB34" s="61"/>
    </row>
    <row r="35" spans="1:109" ht="30" customHeight="1" x14ac:dyDescent="0.25">
      <c r="S35" s="18"/>
      <c r="T35" s="54"/>
      <c r="X35" s="49"/>
      <c r="Y35" s="54"/>
      <c r="AC35" s="49"/>
      <c r="AD35" s="54"/>
      <c r="AH35" s="49"/>
      <c r="AI35" s="54"/>
      <c r="AM35" s="49"/>
      <c r="AN35" s="54"/>
      <c r="AR35" s="49"/>
      <c r="AS35" s="54"/>
      <c r="BB35" s="49"/>
      <c r="BC35" s="54"/>
      <c r="BG35" s="49"/>
      <c r="BH35" s="54"/>
      <c r="BL35" s="49"/>
      <c r="BM35" s="54"/>
      <c r="BQ35" s="49"/>
      <c r="BR35" s="54"/>
      <c r="BV35" s="49"/>
      <c r="BW35" s="54"/>
      <c r="CA35" s="49"/>
      <c r="CB35" s="61"/>
    </row>
    <row r="36" spans="1:109" ht="30" customHeight="1" x14ac:dyDescent="0.25">
      <c r="S36" s="18"/>
      <c r="T36" s="54"/>
      <c r="X36" s="49"/>
      <c r="Y36" s="54"/>
      <c r="AC36" s="49"/>
      <c r="AD36" s="54"/>
      <c r="AH36" s="49"/>
      <c r="AI36" s="54"/>
      <c r="AM36" s="49"/>
      <c r="AN36" s="54"/>
      <c r="AR36" s="49"/>
      <c r="AS36" s="54"/>
      <c r="BB36" s="49"/>
      <c r="BC36" s="54"/>
      <c r="BG36" s="49"/>
      <c r="BH36" s="54"/>
      <c r="BL36" s="49"/>
      <c r="BM36" s="54"/>
      <c r="BQ36" s="49"/>
      <c r="BR36" s="54"/>
      <c r="BV36" s="49"/>
      <c r="BW36" s="54"/>
      <c r="CA36" s="49"/>
      <c r="CB36" s="61"/>
    </row>
    <row r="37" spans="1:109" ht="30" customHeight="1" x14ac:dyDescent="0.25">
      <c r="S37" s="18"/>
      <c r="T37" s="54"/>
      <c r="X37" s="49"/>
      <c r="Y37" s="54"/>
      <c r="AC37" s="49"/>
      <c r="AD37" s="54"/>
      <c r="AH37" s="49"/>
      <c r="AI37" s="54"/>
      <c r="AM37" s="49"/>
      <c r="AN37" s="54"/>
      <c r="AR37" s="49"/>
      <c r="AS37" s="54"/>
      <c r="BB37" s="49"/>
      <c r="BC37" s="54"/>
      <c r="BG37" s="49"/>
      <c r="BH37" s="54"/>
      <c r="BL37" s="49"/>
      <c r="BM37" s="54"/>
      <c r="BQ37" s="49"/>
      <c r="BR37" s="54"/>
      <c r="BV37" s="49"/>
      <c r="BW37" s="54"/>
      <c r="CA37" s="49"/>
      <c r="CB37" s="61"/>
    </row>
    <row r="38" spans="1:109" ht="30" customHeight="1" x14ac:dyDescent="0.25">
      <c r="S38" s="18"/>
      <c r="T38" s="54"/>
      <c r="X38" s="49"/>
      <c r="Y38" s="54"/>
      <c r="AC38" s="49"/>
      <c r="AD38" s="54"/>
      <c r="AH38" s="49"/>
      <c r="AI38" s="54"/>
      <c r="AM38" s="49"/>
      <c r="AN38" s="54"/>
      <c r="AR38" s="49"/>
      <c r="AS38" s="54"/>
      <c r="BB38" s="49"/>
      <c r="BC38" s="54"/>
      <c r="BG38" s="49"/>
      <c r="BH38" s="54"/>
      <c r="BL38" s="49"/>
      <c r="BM38" s="54"/>
      <c r="BQ38" s="49"/>
      <c r="BR38" s="54"/>
      <c r="BV38" s="49"/>
      <c r="BW38" s="54"/>
      <c r="CA38" s="49"/>
      <c r="CB38" s="61"/>
    </row>
    <row r="39" spans="1:109" ht="30" customHeight="1" x14ac:dyDescent="0.25">
      <c r="S39" s="18"/>
      <c r="T39" s="54"/>
      <c r="X39" s="49"/>
      <c r="Y39" s="54"/>
      <c r="AC39" s="49"/>
      <c r="AD39" s="54"/>
      <c r="AH39" s="49"/>
      <c r="AI39" s="54"/>
      <c r="AM39" s="49"/>
      <c r="AN39" s="54"/>
      <c r="AR39" s="49"/>
      <c r="AS39" s="54"/>
      <c r="BB39" s="49"/>
      <c r="BC39" s="54"/>
      <c r="BG39" s="49"/>
      <c r="BH39" s="54"/>
      <c r="BL39" s="49"/>
      <c r="BM39" s="54"/>
      <c r="BQ39" s="49"/>
      <c r="BR39" s="54"/>
      <c r="BV39" s="49"/>
      <c r="BW39" s="54"/>
      <c r="CA39" s="49"/>
      <c r="CB39" s="61"/>
    </row>
    <row r="40" spans="1:109" ht="30" customHeight="1" x14ac:dyDescent="0.25">
      <c r="S40" s="18"/>
      <c r="T40" s="54"/>
      <c r="X40" s="49"/>
      <c r="Y40" s="54"/>
      <c r="AC40" s="49"/>
      <c r="AD40" s="54"/>
      <c r="AH40" s="49"/>
      <c r="AI40" s="54"/>
      <c r="AM40" s="49"/>
      <c r="AN40" s="54"/>
      <c r="AR40" s="49"/>
      <c r="AS40" s="54"/>
      <c r="BB40" s="49"/>
      <c r="BC40" s="54"/>
      <c r="BG40" s="49"/>
      <c r="BH40" s="54"/>
      <c r="BL40" s="49"/>
      <c r="BM40" s="54"/>
      <c r="BQ40" s="49"/>
      <c r="BR40" s="54"/>
      <c r="BV40" s="49"/>
      <c r="BW40" s="54"/>
      <c r="CA40" s="49"/>
      <c r="CB40" s="61"/>
    </row>
    <row r="41" spans="1:109" ht="30" customHeight="1" x14ac:dyDescent="0.25">
      <c r="S41" s="150" t="s">
        <v>26</v>
      </c>
      <c r="T41" s="54"/>
      <c r="X41" s="49"/>
      <c r="Y41" s="54"/>
      <c r="AC41" s="49"/>
      <c r="AD41" s="54"/>
      <c r="AH41" s="49"/>
      <c r="AI41" s="54"/>
      <c r="AM41" s="49"/>
      <c r="AN41" s="54"/>
      <c r="AR41" s="49"/>
      <c r="AS41" s="54"/>
      <c r="BB41" s="49"/>
      <c r="BC41" s="54"/>
      <c r="BG41" s="49"/>
      <c r="BH41" s="54"/>
      <c r="BL41" s="49"/>
      <c r="BM41" s="54"/>
      <c r="BQ41" s="49"/>
      <c r="BR41" s="54"/>
      <c r="BV41" s="49"/>
      <c r="BW41" s="54"/>
      <c r="CA41" s="49"/>
      <c r="CB41" s="61"/>
    </row>
    <row r="42" spans="1:109" ht="30" customHeight="1" x14ac:dyDescent="0.25">
      <c r="S42" s="139" t="s">
        <v>26</v>
      </c>
      <c r="T42" s="140"/>
      <c r="X42" s="49"/>
      <c r="Y42" s="54"/>
      <c r="AC42" s="49"/>
      <c r="AD42" s="54"/>
      <c r="AH42" s="49"/>
      <c r="AI42" s="54"/>
      <c r="AM42" s="49"/>
      <c r="AN42" s="54"/>
      <c r="AR42" s="49"/>
      <c r="AS42" s="54"/>
      <c r="BB42" s="49"/>
      <c r="BC42" s="54"/>
      <c r="BG42" s="49"/>
      <c r="BH42" s="54"/>
      <c r="BL42" s="49"/>
      <c r="BM42" s="54"/>
      <c r="BQ42" s="49"/>
      <c r="BR42" s="54"/>
      <c r="BV42" s="49"/>
      <c r="BW42" s="54"/>
      <c r="CA42" s="145" t="s">
        <v>27</v>
      </c>
      <c r="CB42" s="146"/>
    </row>
    <row r="43" spans="1:109" s="1" customFormat="1" ht="30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141"/>
      <c r="T43" s="141"/>
      <c r="Y43" s="55"/>
      <c r="AD43" s="55"/>
      <c r="AI43" s="55"/>
      <c r="AN43" s="55"/>
      <c r="AS43" s="55"/>
      <c r="AX43" s="5"/>
      <c r="BC43" s="55"/>
      <c r="BH43" s="55"/>
      <c r="BM43" s="55"/>
      <c r="BR43" s="55"/>
      <c r="BW43" s="55"/>
      <c r="CA43" s="147"/>
      <c r="CB43" s="147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</row>
    <row r="44" spans="1:109" ht="11.25" customHeight="1" x14ac:dyDescent="0.25">
      <c r="S44" s="22"/>
      <c r="T44" s="8"/>
      <c r="U44" s="7"/>
      <c r="V44" s="7"/>
      <c r="W44" s="7"/>
      <c r="X44" s="7"/>
      <c r="Y44" s="8"/>
      <c r="Z44" s="7"/>
      <c r="AA44" s="7"/>
      <c r="AB44" s="7"/>
      <c r="AC44" s="7"/>
      <c r="AD44" s="8"/>
      <c r="AE44" s="7"/>
      <c r="AF44" s="7"/>
      <c r="AG44" s="7"/>
      <c r="AH44" s="7"/>
      <c r="AI44" s="8"/>
      <c r="AJ44" s="7"/>
      <c r="AK44" s="7"/>
      <c r="AL44" s="7"/>
      <c r="AM44" s="7"/>
      <c r="AN44" s="8"/>
      <c r="AO44" s="7"/>
      <c r="AP44" s="7"/>
      <c r="AQ44" s="7"/>
      <c r="AR44" s="7"/>
      <c r="AS44" s="8"/>
      <c r="AT44" s="7"/>
      <c r="AU44" s="7"/>
      <c r="AV44" s="7"/>
      <c r="AW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23"/>
    </row>
    <row r="45" spans="1:109" ht="11.25" customHeight="1" x14ac:dyDescent="0.25">
      <c r="S45" s="24"/>
      <c r="T45" s="8"/>
      <c r="X45" s="10"/>
      <c r="Y45" s="8"/>
      <c r="AC45" s="10"/>
      <c r="AD45" s="8"/>
      <c r="AH45" s="10"/>
      <c r="AI45" s="8"/>
      <c r="AM45" s="10"/>
      <c r="AN45" s="8"/>
      <c r="AR45" s="10"/>
      <c r="AS45" s="8"/>
      <c r="AW45" s="10"/>
      <c r="BB45" s="10"/>
      <c r="BC45" s="8"/>
      <c r="BG45" s="10"/>
      <c r="BH45" s="8"/>
      <c r="BL45" s="10"/>
      <c r="BM45" s="8"/>
      <c r="BQ45" s="10"/>
      <c r="BR45" s="8"/>
      <c r="BV45" s="10"/>
      <c r="BW45" s="8"/>
      <c r="CA45" s="10"/>
      <c r="CB45" s="25"/>
      <c r="CZ45" s="10"/>
      <c r="DA45" s="8"/>
      <c r="DE45" s="10"/>
    </row>
    <row r="46" spans="1:109" ht="13.5" customHeight="1" x14ac:dyDescent="0.25">
      <c r="S46" s="153" t="s">
        <v>26</v>
      </c>
      <c r="T46" s="153"/>
      <c r="X46" s="92"/>
      <c r="Y46" s="92"/>
      <c r="AC46" s="92"/>
      <c r="AD46" s="92"/>
      <c r="AH46" s="92"/>
      <c r="AI46" s="92"/>
      <c r="AM46" s="92"/>
      <c r="AN46" s="92"/>
      <c r="AR46" s="92"/>
      <c r="AS46" s="92"/>
      <c r="BB46" s="92"/>
      <c r="BC46" s="92"/>
      <c r="BG46" s="92"/>
      <c r="BH46" s="92"/>
      <c r="BL46" s="92"/>
      <c r="BM46" s="92"/>
      <c r="BQ46" s="92"/>
      <c r="BR46" s="92"/>
      <c r="BV46" s="92"/>
      <c r="BW46" s="92"/>
      <c r="CA46" s="149" t="s">
        <v>27</v>
      </c>
      <c r="CB46" s="149"/>
    </row>
    <row r="47" spans="1:109" s="12" customFormat="1" ht="30" customHeight="1" x14ac:dyDescent="0.45">
      <c r="S47" s="153"/>
      <c r="T47" s="153"/>
      <c r="X47" s="92"/>
      <c r="Y47" s="92"/>
      <c r="AC47" s="92"/>
      <c r="AD47" s="92"/>
      <c r="AH47" s="92"/>
      <c r="AI47" s="92"/>
      <c r="AM47" s="92"/>
      <c r="AN47" s="92"/>
      <c r="AR47" s="92"/>
      <c r="AS47" s="92"/>
      <c r="AX47" s="13"/>
      <c r="BB47" s="92"/>
      <c r="BC47" s="92"/>
      <c r="BG47" s="92"/>
      <c r="BH47" s="92"/>
      <c r="BL47" s="92"/>
      <c r="BM47" s="92"/>
      <c r="BQ47" s="92"/>
      <c r="BR47" s="92"/>
      <c r="BV47" s="92"/>
      <c r="BW47" s="92"/>
      <c r="CA47" s="149"/>
      <c r="CB47" s="149"/>
    </row>
    <row r="48" spans="1:109" s="12" customFormat="1" ht="30" customHeight="1" x14ac:dyDescent="0.45">
      <c r="S48" s="152"/>
      <c r="T48" s="54"/>
      <c r="X48" s="48"/>
      <c r="Y48" s="64"/>
      <c r="AC48" s="48"/>
      <c r="AD48" s="64"/>
      <c r="AH48" s="48"/>
      <c r="AI48" s="64"/>
      <c r="AM48" s="48"/>
      <c r="AN48" s="64"/>
      <c r="AR48" s="92"/>
      <c r="AS48" s="92"/>
      <c r="AX48" s="13"/>
      <c r="BB48" s="92"/>
      <c r="BC48" s="92"/>
      <c r="BG48" s="48"/>
      <c r="BH48" s="64"/>
      <c r="BL48" s="48"/>
      <c r="BM48" s="64"/>
      <c r="BQ48" s="48"/>
      <c r="BR48" s="64"/>
      <c r="BV48" s="48"/>
      <c r="BW48" s="64"/>
      <c r="CA48" s="151"/>
      <c r="CB48" s="62"/>
    </row>
    <row r="49" spans="19:80" s="12" customFormat="1" ht="30" customHeight="1" x14ac:dyDescent="0.45">
      <c r="S49" s="47"/>
      <c r="T49" s="54"/>
      <c r="X49" s="48"/>
      <c r="Y49" s="64"/>
      <c r="AC49" s="48"/>
      <c r="AD49" s="64"/>
      <c r="AH49" s="48"/>
      <c r="AI49" s="64"/>
      <c r="AM49" s="48"/>
      <c r="AN49" s="64"/>
      <c r="AR49" s="48"/>
      <c r="AS49" s="54"/>
      <c r="AX49" s="13"/>
      <c r="BB49" s="48"/>
      <c r="BC49" s="64"/>
      <c r="BG49" s="48"/>
      <c r="BH49" s="64"/>
      <c r="BL49" s="48"/>
      <c r="BM49" s="64"/>
      <c r="BQ49" s="48"/>
      <c r="BR49" s="64"/>
      <c r="BV49" s="48"/>
      <c r="BW49" s="64"/>
      <c r="CA49" s="48"/>
      <c r="CB49" s="62"/>
    </row>
    <row r="50" spans="19:80" ht="30" customHeight="1" x14ac:dyDescent="0.25">
      <c r="S50" s="18"/>
      <c r="T50" s="54"/>
      <c r="X50" s="49"/>
      <c r="Y50" s="54"/>
      <c r="AC50" s="49"/>
      <c r="AD50" s="54"/>
      <c r="AH50" s="49"/>
      <c r="AI50" s="54"/>
      <c r="AM50" s="49"/>
      <c r="AN50" s="54"/>
      <c r="AR50" s="49"/>
      <c r="AS50" s="54"/>
      <c r="BB50" s="49"/>
      <c r="BC50" s="54"/>
      <c r="BG50" s="49"/>
      <c r="BH50" s="54"/>
      <c r="BL50" s="49"/>
      <c r="BM50" s="54"/>
      <c r="BQ50" s="49"/>
      <c r="BR50" s="54"/>
      <c r="BV50" s="49"/>
      <c r="BW50" s="54"/>
      <c r="CA50" s="49"/>
      <c r="CB50" s="61"/>
    </row>
    <row r="51" spans="19:80" ht="30" customHeight="1" x14ac:dyDescent="0.25">
      <c r="S51" s="18"/>
      <c r="T51" s="54"/>
      <c r="X51" s="49"/>
      <c r="Y51" s="54"/>
      <c r="AC51" s="49"/>
      <c r="AD51" s="54"/>
      <c r="AH51" s="49"/>
      <c r="AI51" s="54"/>
      <c r="AM51" s="49"/>
      <c r="AN51" s="54"/>
      <c r="AR51" s="49"/>
      <c r="AS51" s="54"/>
      <c r="BB51" s="49"/>
      <c r="BC51" s="54"/>
      <c r="BG51" s="49"/>
      <c r="BH51" s="54"/>
      <c r="BL51" s="49"/>
      <c r="BM51" s="54"/>
      <c r="BQ51" s="49"/>
      <c r="BR51" s="54"/>
      <c r="BV51" s="49"/>
      <c r="BW51" s="54"/>
      <c r="CA51" s="49"/>
      <c r="CB51" s="61"/>
    </row>
    <row r="52" spans="19:80" ht="30" customHeight="1" x14ac:dyDescent="0.25">
      <c r="S52" s="18"/>
      <c r="T52" s="54"/>
      <c r="X52" s="49"/>
      <c r="Y52" s="54"/>
      <c r="AC52" s="49"/>
      <c r="AD52" s="54"/>
      <c r="AH52" s="49"/>
      <c r="AI52" s="54"/>
      <c r="AM52" s="49"/>
      <c r="AN52" s="54"/>
      <c r="AR52" s="49"/>
      <c r="AS52" s="54"/>
      <c r="BB52" s="49"/>
      <c r="BC52" s="54"/>
      <c r="BG52" s="49"/>
      <c r="BH52" s="54"/>
      <c r="BL52" s="49"/>
      <c r="BM52" s="54"/>
      <c r="BQ52" s="49"/>
      <c r="BR52" s="54"/>
      <c r="BV52" s="49"/>
      <c r="BW52" s="54"/>
      <c r="CA52" s="49"/>
      <c r="CB52" s="61"/>
    </row>
    <row r="53" spans="19:80" ht="30" customHeight="1" x14ac:dyDescent="0.25">
      <c r="S53" s="18"/>
      <c r="T53" s="54"/>
      <c r="X53" s="49"/>
      <c r="Y53" s="54"/>
      <c r="AC53" s="49"/>
      <c r="AD53" s="54"/>
      <c r="AH53" s="49"/>
      <c r="AI53" s="54"/>
      <c r="AM53" s="49"/>
      <c r="AN53" s="54"/>
      <c r="AR53" s="49"/>
      <c r="AS53" s="54"/>
      <c r="BB53" s="49"/>
      <c r="BC53" s="54"/>
      <c r="BG53" s="49"/>
      <c r="BH53" s="54"/>
      <c r="BL53" s="49"/>
      <c r="BM53" s="54"/>
      <c r="BQ53" s="49"/>
      <c r="BR53" s="54"/>
      <c r="BV53" s="49"/>
      <c r="BW53" s="54"/>
      <c r="CA53" s="49"/>
      <c r="CB53" s="61"/>
    </row>
    <row r="54" spans="19:80" ht="30" customHeight="1" x14ac:dyDescent="0.25">
      <c r="S54" s="18"/>
      <c r="T54" s="54"/>
      <c r="X54" s="49"/>
      <c r="Y54" s="54"/>
      <c r="AC54" s="49"/>
      <c r="AD54" s="54"/>
      <c r="AH54" s="49"/>
      <c r="AI54" s="54"/>
      <c r="AM54" s="49"/>
      <c r="AN54" s="54"/>
      <c r="AR54" s="49"/>
      <c r="AS54" s="54"/>
      <c r="BB54" s="49"/>
      <c r="BC54" s="54"/>
      <c r="BG54" s="49"/>
      <c r="BH54" s="54"/>
      <c r="BL54" s="49"/>
      <c r="BM54" s="54"/>
      <c r="BQ54" s="49"/>
      <c r="BR54" s="54"/>
      <c r="BV54" s="49"/>
      <c r="BW54" s="54"/>
      <c r="CA54" s="49"/>
      <c r="CB54" s="61"/>
    </row>
    <row r="55" spans="19:80" ht="30" customHeight="1" x14ac:dyDescent="0.25">
      <c r="S55" s="18"/>
      <c r="T55" s="54"/>
      <c r="X55" s="49"/>
      <c r="Y55" s="54"/>
      <c r="AC55" s="49"/>
      <c r="AD55" s="54"/>
      <c r="AH55" s="49"/>
      <c r="AI55" s="54"/>
      <c r="AM55" s="49"/>
      <c r="AN55" s="54"/>
      <c r="AR55" s="49"/>
      <c r="AS55" s="54"/>
      <c r="BB55" s="49"/>
      <c r="BC55" s="54"/>
      <c r="BG55" s="49"/>
      <c r="BH55" s="54"/>
      <c r="BL55" s="49"/>
      <c r="BM55" s="54"/>
      <c r="BQ55" s="49"/>
      <c r="BR55" s="54"/>
      <c r="BV55" s="49"/>
      <c r="BW55" s="54"/>
      <c r="CA55" s="49"/>
      <c r="CB55" s="61"/>
    </row>
    <row r="56" spans="19:80" ht="30" customHeight="1" x14ac:dyDescent="0.25">
      <c r="S56" s="18"/>
      <c r="T56" s="54"/>
      <c r="X56" s="49"/>
      <c r="Y56" s="54"/>
      <c r="AC56" s="49"/>
      <c r="AD56" s="54"/>
      <c r="AH56" s="49"/>
      <c r="AI56" s="54"/>
      <c r="AM56" s="49"/>
      <c r="AN56" s="54"/>
      <c r="AR56" s="49"/>
      <c r="AS56" s="54"/>
      <c r="BB56" s="49"/>
      <c r="BC56" s="54"/>
      <c r="BG56" s="49"/>
      <c r="BH56" s="54"/>
      <c r="BL56" s="49"/>
      <c r="BM56" s="54"/>
      <c r="BQ56" s="49"/>
      <c r="BR56" s="54"/>
      <c r="BV56" s="49"/>
      <c r="BW56" s="54"/>
      <c r="CA56" s="49"/>
      <c r="CB56" s="61"/>
    </row>
    <row r="57" spans="19:80" ht="30" customHeight="1" x14ac:dyDescent="0.25">
      <c r="S57" s="18"/>
      <c r="T57" s="54"/>
      <c r="X57" s="49"/>
      <c r="Y57" s="54"/>
      <c r="AC57" s="49"/>
      <c r="AD57" s="54"/>
      <c r="AH57" s="49"/>
      <c r="AI57" s="54"/>
      <c r="AM57" s="49"/>
      <c r="AN57" s="54"/>
      <c r="AR57" s="49"/>
      <c r="AS57" s="54"/>
      <c r="BB57" s="49"/>
      <c r="BC57" s="54"/>
      <c r="BG57" s="49"/>
      <c r="BH57" s="54"/>
      <c r="BL57" s="49"/>
      <c r="BM57" s="54"/>
      <c r="BQ57" s="49"/>
      <c r="BR57" s="54"/>
      <c r="BV57" s="49"/>
      <c r="BW57" s="54"/>
      <c r="CA57" s="49"/>
      <c r="CB57" s="61"/>
    </row>
    <row r="58" spans="19:80" ht="30" customHeight="1" x14ac:dyDescent="0.25">
      <c r="S58" s="18"/>
      <c r="T58" s="54"/>
      <c r="X58" s="49"/>
      <c r="Y58" s="54"/>
      <c r="AC58" s="49"/>
      <c r="AD58" s="54"/>
      <c r="AH58" s="49"/>
      <c r="AI58" s="54"/>
      <c r="AM58" s="49"/>
      <c r="AN58" s="54"/>
      <c r="AR58" s="49"/>
      <c r="AS58" s="54"/>
      <c r="BB58" s="49"/>
      <c r="BC58" s="54"/>
      <c r="BG58" s="49"/>
      <c r="BH58" s="54"/>
      <c r="BL58" s="49"/>
      <c r="BM58" s="54"/>
      <c r="BQ58" s="49"/>
      <c r="BR58" s="54"/>
      <c r="BV58" s="49"/>
      <c r="BW58" s="54"/>
      <c r="CA58" s="49"/>
      <c r="CB58" s="61"/>
    </row>
    <row r="59" spans="19:80" ht="30" customHeight="1" x14ac:dyDescent="0.25">
      <c r="S59" s="18"/>
      <c r="T59" s="54"/>
      <c r="X59" s="49"/>
      <c r="Y59" s="54"/>
      <c r="AC59" s="49"/>
      <c r="AD59" s="54"/>
      <c r="AH59" s="49"/>
      <c r="AI59" s="54"/>
      <c r="AM59" s="49"/>
      <c r="AN59" s="54"/>
      <c r="AR59" s="49"/>
      <c r="AS59" s="54"/>
      <c r="BB59" s="49"/>
      <c r="BC59" s="54"/>
      <c r="BG59" s="49"/>
      <c r="BH59" s="54"/>
      <c r="BL59" s="49"/>
      <c r="BM59" s="54"/>
      <c r="BQ59" s="49"/>
      <c r="BR59" s="54"/>
      <c r="BV59" s="49"/>
      <c r="BW59" s="54"/>
      <c r="CA59" s="49"/>
      <c r="CB59" s="61"/>
    </row>
    <row r="60" spans="19:80" ht="30" customHeight="1" x14ac:dyDescent="0.25">
      <c r="S60" s="18"/>
      <c r="T60" s="54"/>
      <c r="X60" s="49"/>
      <c r="Y60" s="54"/>
      <c r="AC60" s="49"/>
      <c r="AD60" s="54"/>
      <c r="AH60" s="49"/>
      <c r="AI60" s="54"/>
      <c r="AM60" s="49"/>
      <c r="AN60" s="54"/>
      <c r="AR60" s="49"/>
      <c r="AS60" s="54"/>
      <c r="BB60" s="49"/>
      <c r="BC60" s="54"/>
      <c r="BG60" s="49"/>
      <c r="BH60" s="54"/>
      <c r="BL60" s="49"/>
      <c r="BM60" s="54"/>
      <c r="BQ60" s="49"/>
      <c r="BR60" s="54"/>
      <c r="BV60" s="49"/>
      <c r="BW60" s="54"/>
      <c r="CA60" s="49"/>
      <c r="CB60" s="61"/>
    </row>
    <row r="61" spans="19:80" ht="30" customHeight="1" x14ac:dyDescent="0.25">
      <c r="S61" s="18"/>
      <c r="T61" s="54"/>
      <c r="X61" s="49"/>
      <c r="Y61" s="54"/>
      <c r="AC61" s="49"/>
      <c r="AD61" s="54"/>
      <c r="AH61" s="49"/>
      <c r="AI61" s="54"/>
      <c r="AM61" s="49"/>
      <c r="AN61" s="54"/>
      <c r="AR61" s="49"/>
      <c r="AS61" s="54"/>
      <c r="BB61" s="49"/>
      <c r="BC61" s="54"/>
      <c r="BG61" s="49"/>
      <c r="BH61" s="54"/>
      <c r="BL61" s="49"/>
      <c r="BM61" s="54"/>
      <c r="BQ61" s="49"/>
      <c r="BR61" s="54"/>
      <c r="BV61" s="49"/>
      <c r="BW61" s="54"/>
      <c r="CA61" s="49"/>
      <c r="CB61" s="61"/>
    </row>
    <row r="62" spans="19:80" ht="30" customHeight="1" x14ac:dyDescent="0.25">
      <c r="S62" s="18"/>
      <c r="T62" s="54"/>
      <c r="X62" s="49"/>
      <c r="Y62" s="54"/>
      <c r="AC62" s="49"/>
      <c r="AD62" s="54"/>
      <c r="AH62" s="49"/>
      <c r="AI62" s="54"/>
      <c r="AM62" s="49"/>
      <c r="AN62" s="54"/>
      <c r="AR62" s="49"/>
      <c r="AS62" s="54"/>
      <c r="BB62" s="49"/>
      <c r="BC62" s="54"/>
      <c r="BG62" s="49"/>
      <c r="BH62" s="54"/>
      <c r="BL62" s="49"/>
      <c r="BM62" s="54"/>
      <c r="BQ62" s="49"/>
      <c r="BR62" s="54"/>
      <c r="BV62" s="49"/>
      <c r="BW62" s="54"/>
      <c r="CA62" s="49"/>
      <c r="CB62" s="61"/>
    </row>
    <row r="63" spans="19:80" ht="30" customHeight="1" x14ac:dyDescent="0.25">
      <c r="S63" s="18"/>
      <c r="T63" s="54"/>
      <c r="X63" s="49"/>
      <c r="Y63" s="54"/>
      <c r="AC63" s="49"/>
      <c r="AD63" s="54"/>
      <c r="AH63" s="49"/>
      <c r="AI63" s="54"/>
      <c r="AM63" s="49"/>
      <c r="AN63" s="54"/>
      <c r="AR63" s="49"/>
      <c r="AS63" s="54"/>
      <c r="BB63" s="49"/>
      <c r="BC63" s="54"/>
      <c r="BG63" s="49"/>
      <c r="BH63" s="54"/>
      <c r="BL63" s="49"/>
      <c r="BM63" s="54"/>
      <c r="BQ63" s="49"/>
      <c r="BR63" s="54"/>
      <c r="BV63" s="49"/>
      <c r="BW63" s="54"/>
      <c r="CA63" s="49"/>
      <c r="CB63" s="61"/>
    </row>
    <row r="64" spans="19:80" ht="30" customHeight="1" x14ac:dyDescent="0.25">
      <c r="S64" s="18"/>
      <c r="T64" s="54"/>
      <c r="X64" s="49"/>
      <c r="Y64" s="54"/>
      <c r="AC64" s="49"/>
      <c r="AD64" s="54"/>
      <c r="AH64" s="49"/>
      <c r="AI64" s="54"/>
      <c r="AM64" s="49"/>
      <c r="AN64" s="54"/>
      <c r="AR64" s="49"/>
      <c r="AS64" s="54"/>
      <c r="BB64" s="49"/>
      <c r="BC64" s="54"/>
      <c r="BG64" s="49"/>
      <c r="BH64" s="54"/>
      <c r="BL64" s="49"/>
      <c r="BM64" s="54"/>
      <c r="BQ64" s="49"/>
      <c r="BR64" s="54"/>
      <c r="BV64" s="49"/>
      <c r="BW64" s="54"/>
      <c r="CA64" s="49"/>
      <c r="CB64" s="61"/>
    </row>
    <row r="65" spans="19:80" ht="30" customHeight="1" x14ac:dyDescent="0.25">
      <c r="S65" s="18"/>
      <c r="T65" s="54"/>
      <c r="X65" s="49"/>
      <c r="Y65" s="54"/>
      <c r="AC65" s="49"/>
      <c r="AD65" s="54"/>
      <c r="AH65" s="49"/>
      <c r="AI65" s="54"/>
      <c r="AM65" s="49"/>
      <c r="AN65" s="54"/>
      <c r="AR65" s="49"/>
      <c r="AS65" s="54"/>
      <c r="BB65" s="49"/>
      <c r="BC65" s="54"/>
      <c r="BG65" s="49"/>
      <c r="BH65" s="54"/>
      <c r="BL65" s="49"/>
      <c r="BM65" s="54"/>
      <c r="BQ65" s="49"/>
      <c r="BR65" s="54"/>
      <c r="BV65" s="49"/>
      <c r="BW65" s="54"/>
      <c r="CA65" s="49"/>
      <c r="CB65" s="61"/>
    </row>
    <row r="66" spans="19:80" ht="30" customHeight="1" x14ac:dyDescent="0.25">
      <c r="S66" s="18"/>
      <c r="T66" s="54"/>
      <c r="X66" s="49"/>
      <c r="Y66" s="54"/>
      <c r="AC66" s="49"/>
      <c r="AD66" s="54"/>
      <c r="AH66" s="49"/>
      <c r="AI66" s="54"/>
      <c r="AM66" s="49"/>
      <c r="AN66" s="54"/>
      <c r="AR66" s="49"/>
      <c r="AS66" s="54"/>
      <c r="BB66" s="49"/>
      <c r="BC66" s="54"/>
      <c r="BG66" s="49"/>
      <c r="BH66" s="54"/>
      <c r="BL66" s="49"/>
      <c r="BM66" s="54"/>
      <c r="BQ66" s="49"/>
      <c r="BR66" s="54"/>
      <c r="BV66" s="49"/>
      <c r="BW66" s="54"/>
      <c r="CA66" s="49"/>
      <c r="CB66" s="61"/>
    </row>
    <row r="67" spans="19:80" ht="30" customHeight="1" x14ac:dyDescent="0.25">
      <c r="S67" s="18"/>
      <c r="T67" s="54"/>
      <c r="X67" s="49"/>
      <c r="Y67" s="54"/>
      <c r="AC67" s="49"/>
      <c r="AD67" s="54"/>
      <c r="AH67" s="49"/>
      <c r="AI67" s="54"/>
      <c r="AM67" s="49"/>
      <c r="AN67" s="54"/>
      <c r="AR67" s="49"/>
      <c r="AS67" s="54"/>
      <c r="BB67" s="49"/>
      <c r="BC67" s="54"/>
      <c r="BG67" s="49"/>
      <c r="BH67" s="54"/>
      <c r="BL67" s="49"/>
      <c r="BM67" s="54"/>
      <c r="BQ67" s="49"/>
      <c r="BR67" s="54"/>
      <c r="BV67" s="49"/>
      <c r="BW67" s="54"/>
      <c r="CA67" s="49"/>
      <c r="CB67" s="61"/>
    </row>
    <row r="68" spans="19:80" ht="30" customHeight="1" x14ac:dyDescent="0.25">
      <c r="S68" s="18"/>
      <c r="T68" s="54"/>
      <c r="X68" s="49"/>
      <c r="Y68" s="54"/>
      <c r="AC68" s="49"/>
      <c r="AD68" s="54"/>
      <c r="AH68" s="49"/>
      <c r="AI68" s="54"/>
      <c r="AM68" s="49"/>
      <c r="AN68" s="54"/>
      <c r="AR68" s="49"/>
      <c r="AS68" s="54"/>
      <c r="BB68" s="49"/>
      <c r="BC68" s="54"/>
      <c r="BG68" s="49"/>
      <c r="BH68" s="54"/>
      <c r="BL68" s="49"/>
      <c r="BM68" s="54"/>
      <c r="BQ68" s="49"/>
      <c r="BR68" s="54"/>
      <c r="BV68" s="49"/>
      <c r="BW68" s="54"/>
      <c r="CA68" s="49"/>
      <c r="CB68" s="61"/>
    </row>
    <row r="69" spans="19:80" ht="30" customHeight="1" x14ac:dyDescent="0.25">
      <c r="S69" s="18"/>
      <c r="T69" s="54"/>
      <c r="X69" s="49"/>
      <c r="Y69" s="54"/>
      <c r="AC69" s="49"/>
      <c r="AD69" s="54"/>
      <c r="AH69" s="49"/>
      <c r="AI69" s="54"/>
      <c r="AM69" s="49"/>
      <c r="AN69" s="54"/>
      <c r="AR69" s="49"/>
      <c r="AS69" s="54"/>
      <c r="BB69" s="49"/>
      <c r="BC69" s="54"/>
      <c r="BG69" s="49"/>
      <c r="BH69" s="54"/>
      <c r="BL69" s="49"/>
      <c r="BM69" s="54"/>
      <c r="BQ69" s="49"/>
      <c r="BR69" s="54"/>
      <c r="BV69" s="49"/>
      <c r="BW69" s="54"/>
      <c r="CA69" s="49"/>
      <c r="CB69" s="61"/>
    </row>
    <row r="70" spans="19:80" ht="30" customHeight="1" x14ac:dyDescent="0.25">
      <c r="S70" s="18"/>
      <c r="T70" s="54"/>
      <c r="X70" s="49"/>
      <c r="Y70" s="54"/>
      <c r="AC70" s="49"/>
      <c r="AD70" s="54"/>
      <c r="AH70" s="49"/>
      <c r="AI70" s="54"/>
      <c r="AM70" s="49"/>
      <c r="AN70" s="54"/>
      <c r="AR70" s="49"/>
      <c r="AS70" s="54"/>
      <c r="BB70" s="49"/>
      <c r="BC70" s="54"/>
      <c r="BG70" s="49"/>
      <c r="BH70" s="54"/>
      <c r="BL70" s="49"/>
      <c r="BM70" s="54"/>
      <c r="BQ70" s="49"/>
      <c r="BR70" s="54"/>
      <c r="BV70" s="49"/>
      <c r="BW70" s="54"/>
      <c r="CA70" s="49"/>
      <c r="CB70" s="61"/>
    </row>
    <row r="71" spans="19:80" ht="30" customHeight="1" x14ac:dyDescent="0.25">
      <c r="S71" s="18"/>
      <c r="T71" s="54"/>
      <c r="X71" s="49"/>
      <c r="Y71" s="54"/>
      <c r="AC71" s="49"/>
      <c r="AD71" s="54"/>
      <c r="AH71" s="49"/>
      <c r="AI71" s="54"/>
      <c r="AM71" s="49"/>
      <c r="AN71" s="54"/>
      <c r="AR71" s="49"/>
      <c r="AS71" s="54"/>
      <c r="BB71" s="49"/>
      <c r="BC71" s="54"/>
      <c r="BG71" s="49"/>
      <c r="BH71" s="54"/>
      <c r="BL71" s="49"/>
      <c r="BM71" s="54"/>
      <c r="BQ71" s="49"/>
      <c r="BR71" s="54"/>
      <c r="BV71" s="49"/>
      <c r="BW71" s="54"/>
      <c r="CA71" s="49"/>
      <c r="CB71" s="61"/>
    </row>
    <row r="72" spans="19:80" ht="30" customHeight="1" x14ac:dyDescent="0.25">
      <c r="S72" s="18"/>
      <c r="T72" s="54"/>
      <c r="X72" s="49"/>
      <c r="Y72" s="54"/>
      <c r="AC72" s="49"/>
      <c r="AD72" s="54"/>
      <c r="AH72" s="49"/>
      <c r="AI72" s="54"/>
      <c r="AM72" s="49"/>
      <c r="AN72" s="54"/>
      <c r="AR72" s="49"/>
      <c r="AS72" s="54"/>
      <c r="BB72" s="49"/>
      <c r="BC72" s="54"/>
      <c r="BG72" s="49"/>
      <c r="BH72" s="54"/>
      <c r="BL72" s="49"/>
      <c r="BM72" s="54"/>
      <c r="BQ72" s="49"/>
      <c r="BR72" s="54"/>
      <c r="BV72" s="49"/>
      <c r="BW72" s="54"/>
      <c r="CA72" s="49"/>
      <c r="CB72" s="61"/>
    </row>
    <row r="73" spans="19:80" ht="30" customHeight="1" x14ac:dyDescent="0.25">
      <c r="S73" s="18"/>
      <c r="T73" s="54"/>
      <c r="X73" s="49"/>
      <c r="Y73" s="54"/>
      <c r="AC73" s="49"/>
      <c r="AD73" s="54"/>
      <c r="AH73" s="49"/>
      <c r="AI73" s="54"/>
      <c r="AM73" s="49"/>
      <c r="AN73" s="54"/>
      <c r="AR73" s="49"/>
      <c r="AS73" s="54"/>
      <c r="BB73" s="49"/>
      <c r="BC73" s="54"/>
      <c r="BG73" s="49"/>
      <c r="BH73" s="54"/>
      <c r="BL73" s="49"/>
      <c r="BM73" s="54"/>
      <c r="BQ73" s="49"/>
      <c r="BR73" s="54"/>
      <c r="BV73" s="49"/>
      <c r="BW73" s="54"/>
      <c r="CA73" s="49"/>
      <c r="CB73" s="61"/>
    </row>
    <row r="74" spans="19:80" ht="30" customHeight="1" x14ac:dyDescent="0.25">
      <c r="S74" s="18"/>
      <c r="T74" s="54"/>
      <c r="X74" s="49"/>
      <c r="Y74" s="54"/>
      <c r="AC74" s="49"/>
      <c r="AD74" s="54"/>
      <c r="AH74" s="49"/>
      <c r="AI74" s="54"/>
      <c r="AM74" s="49"/>
      <c r="AN74" s="54"/>
      <c r="AR74" s="49"/>
      <c r="AS74" s="54"/>
      <c r="BB74" s="49"/>
      <c r="BC74" s="54"/>
      <c r="BG74" s="49"/>
      <c r="BH74" s="54"/>
      <c r="BL74" s="49"/>
      <c r="BM74" s="54"/>
      <c r="BQ74" s="49"/>
      <c r="BR74" s="54"/>
      <c r="BV74" s="49"/>
      <c r="BW74" s="54"/>
      <c r="CA74" s="49"/>
      <c r="CB74" s="61"/>
    </row>
    <row r="75" spans="19:80" ht="30" customHeight="1" x14ac:dyDescent="0.25">
      <c r="S75" s="18"/>
      <c r="T75" s="54"/>
      <c r="X75" s="49"/>
      <c r="Y75" s="54"/>
      <c r="AC75" s="49"/>
      <c r="AD75" s="54"/>
      <c r="AH75" s="49"/>
      <c r="AI75" s="54"/>
      <c r="AM75" s="49"/>
      <c r="AN75" s="54"/>
      <c r="AR75" s="49"/>
      <c r="AS75" s="54"/>
      <c r="BB75" s="49"/>
      <c r="BC75" s="54"/>
      <c r="BG75" s="49"/>
      <c r="BH75" s="54"/>
      <c r="BL75" s="49"/>
      <c r="BM75" s="54"/>
      <c r="BQ75" s="49"/>
      <c r="BR75" s="54"/>
      <c r="BV75" s="49"/>
      <c r="BW75" s="54"/>
      <c r="CA75" s="49"/>
      <c r="CB75" s="61"/>
    </row>
    <row r="76" spans="19:80" ht="30" customHeight="1" x14ac:dyDescent="0.25">
      <c r="S76" s="18"/>
      <c r="T76" s="54"/>
      <c r="X76" s="49"/>
      <c r="Y76" s="54"/>
      <c r="AC76" s="49"/>
      <c r="AD76" s="54"/>
      <c r="AH76" s="49"/>
      <c r="AI76" s="54"/>
      <c r="AM76" s="49"/>
      <c r="AN76" s="54"/>
      <c r="AR76" s="49"/>
      <c r="AS76" s="54"/>
      <c r="BB76" s="49"/>
      <c r="BC76" s="54"/>
      <c r="BG76" s="49"/>
      <c r="BH76" s="54"/>
      <c r="BL76" s="49"/>
      <c r="BM76" s="54"/>
      <c r="BQ76" s="49"/>
      <c r="BR76" s="54"/>
      <c r="BV76" s="49"/>
      <c r="BW76" s="54"/>
      <c r="CA76" s="49"/>
      <c r="CB76" s="61"/>
    </row>
    <row r="77" spans="19:80" ht="30" customHeight="1" x14ac:dyDescent="0.25">
      <c r="S77" s="93" t="s">
        <v>19</v>
      </c>
      <c r="T77" s="54"/>
      <c r="X77" s="49"/>
      <c r="Y77" s="54"/>
      <c r="AC77" s="49"/>
      <c r="AD77" s="54"/>
      <c r="AH77" s="49"/>
      <c r="AI77" s="54"/>
      <c r="AM77" s="49"/>
      <c r="AN77" s="54"/>
      <c r="AR77" s="49"/>
      <c r="AS77" s="54"/>
      <c r="BB77" s="49"/>
      <c r="BC77" s="54"/>
      <c r="BG77" s="49"/>
      <c r="BH77" s="54"/>
      <c r="BL77" s="49"/>
      <c r="BM77" s="54"/>
      <c r="BQ77" s="49"/>
      <c r="BR77" s="54"/>
      <c r="BV77" s="49"/>
      <c r="BW77" s="54"/>
      <c r="CA77" s="49"/>
      <c r="CB77" s="61"/>
    </row>
    <row r="78" spans="19:80" ht="30" customHeight="1" x14ac:dyDescent="0.25">
      <c r="S78" s="93"/>
      <c r="T78" s="54"/>
      <c r="X78" s="49"/>
      <c r="Y78" s="54"/>
      <c r="AC78" s="49"/>
      <c r="AD78" s="54"/>
      <c r="AH78" s="49"/>
      <c r="AI78" s="54"/>
      <c r="AM78" s="49"/>
      <c r="AN78" s="54"/>
      <c r="AR78" s="49"/>
      <c r="AS78" s="54"/>
      <c r="BB78" s="49"/>
      <c r="BC78" s="54"/>
      <c r="BG78" s="49"/>
      <c r="BH78" s="54"/>
      <c r="BL78" s="49"/>
      <c r="BM78" s="54"/>
      <c r="BQ78" s="49"/>
      <c r="BR78" s="54"/>
      <c r="BV78" s="49"/>
      <c r="BW78" s="54"/>
      <c r="CA78" s="49"/>
      <c r="CB78" s="61"/>
    </row>
    <row r="79" spans="19:80" ht="30" customHeight="1" x14ac:dyDescent="0.25">
      <c r="S79" s="93"/>
      <c r="T79" s="54"/>
      <c r="X79" s="49"/>
      <c r="Y79" s="54"/>
      <c r="AC79" s="49"/>
      <c r="AD79" s="54"/>
      <c r="AH79" s="49"/>
      <c r="AI79" s="54"/>
      <c r="AM79" s="49"/>
      <c r="AN79" s="54"/>
      <c r="AR79" s="49"/>
      <c r="AS79" s="54"/>
      <c r="BB79" s="49"/>
      <c r="BC79" s="54"/>
      <c r="BG79" s="49"/>
      <c r="BH79" s="54"/>
      <c r="BL79" s="49"/>
      <c r="BM79" s="54"/>
      <c r="BQ79" s="49"/>
      <c r="BR79" s="54"/>
      <c r="BV79" s="49"/>
      <c r="BW79" s="54"/>
      <c r="CA79" s="49"/>
      <c r="CB79" s="61"/>
    </row>
    <row r="80" spans="19:80" ht="30" customHeight="1" x14ac:dyDescent="0.25">
      <c r="S80" s="93"/>
      <c r="T80" s="54"/>
      <c r="X80" s="49"/>
      <c r="Y80" s="54"/>
      <c r="AC80" s="49"/>
      <c r="AD80" s="54"/>
      <c r="AH80" s="49"/>
      <c r="AI80" s="54"/>
      <c r="AM80" s="49"/>
      <c r="AN80" s="54"/>
      <c r="AR80" s="49"/>
      <c r="AS80" s="54"/>
      <c r="BB80" s="49"/>
      <c r="BC80" s="54"/>
      <c r="BG80" s="49"/>
      <c r="BH80" s="54"/>
      <c r="BL80" s="49"/>
      <c r="BM80" s="54"/>
      <c r="BQ80" s="49"/>
      <c r="BR80" s="54"/>
      <c r="BV80" s="49"/>
      <c r="BW80" s="54"/>
      <c r="CA80" s="49"/>
      <c r="CB80" s="61"/>
    </row>
    <row r="81" spans="19:80" ht="30" customHeight="1" x14ac:dyDescent="0.25">
      <c r="S81" s="93"/>
      <c r="T81" s="54"/>
      <c r="X81" s="49"/>
      <c r="Y81" s="54"/>
      <c r="AC81" s="49"/>
      <c r="AD81" s="54"/>
      <c r="AH81" s="49"/>
      <c r="AI81" s="54"/>
      <c r="AM81" s="49"/>
      <c r="AN81" s="54"/>
      <c r="AR81" s="49"/>
      <c r="AS81" s="54"/>
      <c r="BB81" s="49"/>
      <c r="BC81" s="54"/>
      <c r="BG81" s="49"/>
      <c r="BH81" s="54"/>
      <c r="BL81" s="49"/>
      <c r="BM81" s="54"/>
      <c r="BQ81" s="49"/>
      <c r="BR81" s="54"/>
      <c r="BV81" s="49"/>
      <c r="BW81" s="54"/>
      <c r="CA81" s="49"/>
      <c r="CB81" s="61"/>
    </row>
    <row r="82" spans="19:80" ht="30" customHeight="1" x14ac:dyDescent="0.25">
      <c r="S82" s="18"/>
      <c r="AS82" s="54"/>
      <c r="BB82" s="49"/>
      <c r="BC82" s="54"/>
      <c r="BG82" s="49"/>
      <c r="BH82" s="54"/>
      <c r="BL82" s="49"/>
      <c r="BM82" s="54"/>
      <c r="BQ82" s="49"/>
      <c r="BR82" s="54"/>
      <c r="BV82" s="49"/>
      <c r="BW82" s="54"/>
      <c r="CA82" s="49"/>
      <c r="CB82" s="61"/>
    </row>
    <row r="83" spans="19:80" ht="30" customHeight="1" x14ac:dyDescent="0.25">
      <c r="S83" s="18"/>
      <c r="AS83" s="54"/>
      <c r="BB83" s="49"/>
      <c r="BC83" s="54"/>
      <c r="BG83" s="49"/>
      <c r="BH83" s="54"/>
      <c r="BL83" s="49"/>
      <c r="BM83" s="54"/>
      <c r="BQ83" s="49"/>
      <c r="BR83" s="54"/>
      <c r="BV83" s="49"/>
      <c r="BW83" s="54"/>
      <c r="CA83" s="49"/>
      <c r="CB83" s="61"/>
    </row>
    <row r="84" spans="19:80" ht="30" customHeight="1" x14ac:dyDescent="0.25">
      <c r="S84" s="18"/>
      <c r="AS84" s="54"/>
      <c r="BB84" s="49"/>
      <c r="BC84" s="54"/>
      <c r="BG84" s="49"/>
      <c r="BH84" s="54"/>
      <c r="BL84" s="49"/>
      <c r="BM84" s="54"/>
      <c r="BQ84" s="49"/>
      <c r="BR84" s="54"/>
      <c r="BV84" s="49"/>
      <c r="BW84" s="54"/>
      <c r="CA84" s="49"/>
      <c r="CB84" s="61"/>
    </row>
    <row r="85" spans="19:80" ht="30" customHeight="1" x14ac:dyDescent="0.25">
      <c r="S85" s="18"/>
      <c r="AS85" s="54"/>
      <c r="BB85" s="49"/>
      <c r="BC85" s="54"/>
      <c r="BG85" s="49"/>
      <c r="BH85" s="54"/>
      <c r="BL85" s="49"/>
      <c r="BM85" s="54"/>
      <c r="BQ85" s="49"/>
      <c r="BR85" s="54"/>
      <c r="BV85" s="49"/>
      <c r="BW85" s="54"/>
      <c r="CA85" s="49"/>
      <c r="CB85" s="61"/>
    </row>
    <row r="86" spans="19:80" ht="30" customHeight="1" x14ac:dyDescent="0.25">
      <c r="S86" s="18"/>
      <c r="AS86" s="54"/>
      <c r="BB86" s="49"/>
      <c r="BC86" s="54"/>
      <c r="BG86" s="49"/>
      <c r="BH86" s="54"/>
      <c r="BL86" s="49"/>
      <c r="BM86" s="54"/>
      <c r="BQ86" s="49"/>
      <c r="BR86" s="54"/>
      <c r="BV86" s="49"/>
      <c r="BW86" s="54"/>
      <c r="CA86" s="49"/>
      <c r="CB86" s="61"/>
    </row>
    <row r="87" spans="19:80" ht="30" customHeight="1" x14ac:dyDescent="0.25">
      <c r="S87" s="18"/>
      <c r="AS87" s="54"/>
      <c r="BB87" s="49"/>
      <c r="BC87" s="54"/>
      <c r="BG87" s="49"/>
      <c r="BH87" s="54"/>
      <c r="BL87" s="49"/>
      <c r="BM87" s="54"/>
      <c r="BQ87" s="49"/>
      <c r="BR87" s="54"/>
      <c r="BV87" s="49"/>
      <c r="BW87" s="54"/>
      <c r="CA87" s="49"/>
      <c r="CB87" s="61"/>
    </row>
    <row r="88" spans="19:80" ht="30" customHeight="1" x14ac:dyDescent="0.25">
      <c r="S88" s="18"/>
      <c r="AS88" s="54"/>
      <c r="BB88" s="49"/>
      <c r="BC88" s="54"/>
      <c r="BG88" s="49"/>
      <c r="BH88" s="54"/>
      <c r="BL88" s="49"/>
      <c r="BM88" s="54"/>
      <c r="BQ88" s="49"/>
      <c r="BR88" s="54"/>
      <c r="BV88" s="49"/>
      <c r="BW88" s="54"/>
      <c r="CA88" s="49"/>
      <c r="CB88" s="61"/>
    </row>
    <row r="89" spans="19:80" ht="30" customHeight="1" x14ac:dyDescent="0.25">
      <c r="S89" s="18"/>
      <c r="AS89" s="54"/>
      <c r="BB89" s="49"/>
      <c r="BC89" s="54"/>
      <c r="BG89" s="49"/>
      <c r="BH89" s="54"/>
      <c r="BL89" s="49"/>
      <c r="BM89" s="54"/>
      <c r="BQ89" s="49"/>
      <c r="BR89" s="54"/>
      <c r="BV89" s="49"/>
      <c r="BW89" s="54"/>
      <c r="CA89" s="49"/>
      <c r="CB89" s="61"/>
    </row>
    <row r="90" spans="19:80" ht="30" customHeight="1" x14ac:dyDescent="0.25">
      <c r="S90" s="18"/>
      <c r="AS90" s="54"/>
      <c r="BB90" s="49"/>
      <c r="BC90" s="54"/>
      <c r="BG90" s="49"/>
      <c r="BH90" s="54"/>
      <c r="BL90" s="49"/>
      <c r="BM90" s="54"/>
      <c r="BQ90" s="49"/>
      <c r="BR90" s="54"/>
      <c r="BV90" s="49"/>
      <c r="BW90" s="54"/>
      <c r="CA90" s="49"/>
      <c r="CB90" s="61"/>
    </row>
    <row r="91" spans="19:80" ht="30" customHeight="1" x14ac:dyDescent="0.25">
      <c r="S91" s="18"/>
      <c r="AS91" s="54"/>
      <c r="BB91" s="49"/>
      <c r="BC91" s="54"/>
      <c r="BG91" s="49"/>
      <c r="BH91" s="54"/>
      <c r="BL91" s="49"/>
      <c r="BM91" s="54"/>
      <c r="BQ91" s="49"/>
      <c r="BR91" s="54"/>
      <c r="BV91" s="49"/>
      <c r="BW91" s="54"/>
      <c r="CA91" s="49"/>
      <c r="CB91" s="61"/>
    </row>
    <row r="92" spans="19:80" ht="30" customHeight="1" x14ac:dyDescent="0.25">
      <c r="S92" s="18"/>
      <c r="AS92" s="54"/>
      <c r="BB92" s="49"/>
      <c r="BC92" s="54"/>
      <c r="BG92" s="49"/>
      <c r="BH92" s="54"/>
      <c r="BL92" s="49"/>
      <c r="BM92" s="54"/>
      <c r="BQ92" s="49"/>
      <c r="BR92" s="54"/>
      <c r="BV92" s="49"/>
      <c r="BW92" s="54"/>
      <c r="CA92" s="49"/>
      <c r="CB92" s="61"/>
    </row>
    <row r="93" spans="19:80" ht="30" customHeight="1" x14ac:dyDescent="0.25">
      <c r="S93" s="18"/>
      <c r="AS93" s="54"/>
      <c r="BB93" s="49"/>
      <c r="BC93" s="54"/>
      <c r="BG93" s="49"/>
      <c r="BH93" s="54"/>
      <c r="BL93" s="49"/>
      <c r="BM93" s="54"/>
      <c r="BQ93" s="49"/>
      <c r="BR93" s="54"/>
      <c r="BV93" s="49"/>
      <c r="BW93" s="54"/>
      <c r="CA93" s="49"/>
      <c r="CB93" s="61"/>
    </row>
    <row r="94" spans="19:80" ht="30" customHeight="1" x14ac:dyDescent="0.25">
      <c r="S94" s="18"/>
      <c r="AS94" s="54"/>
      <c r="BB94" s="49"/>
      <c r="BC94" s="54"/>
      <c r="BG94" s="49"/>
      <c r="BH94" s="54"/>
      <c r="BL94" s="49"/>
      <c r="BM94" s="54"/>
      <c r="BQ94" s="49"/>
      <c r="BR94" s="54"/>
      <c r="BV94" s="49"/>
      <c r="BW94" s="54"/>
      <c r="CA94" s="49"/>
      <c r="CB94" s="61"/>
    </row>
    <row r="95" spans="19:80" ht="30" customHeight="1" x14ac:dyDescent="0.25">
      <c r="S95" s="18"/>
      <c r="AS95" s="54"/>
      <c r="BB95" s="49"/>
      <c r="BC95" s="54"/>
      <c r="BG95" s="49"/>
      <c r="BH95" s="54"/>
      <c r="BL95" s="49"/>
      <c r="BM95" s="54"/>
      <c r="BQ95" s="49"/>
      <c r="BR95" s="54"/>
      <c r="BV95" s="49"/>
      <c r="BW95" s="54"/>
      <c r="CA95" s="49"/>
      <c r="CB95" s="61"/>
    </row>
    <row r="96" spans="19:80" ht="30" customHeight="1" x14ac:dyDescent="0.25">
      <c r="S96" s="18"/>
      <c r="AS96" s="54"/>
      <c r="BB96" s="49"/>
      <c r="BC96" s="54"/>
      <c r="BG96" s="49"/>
      <c r="BH96" s="54"/>
      <c r="BL96" s="49"/>
      <c r="BM96" s="54"/>
      <c r="BQ96" s="49"/>
      <c r="BR96" s="54"/>
      <c r="BV96" s="49"/>
      <c r="BW96" s="54"/>
      <c r="CA96" s="49"/>
      <c r="CB96" s="61"/>
    </row>
    <row r="97" spans="19:80" ht="30" customHeight="1" x14ac:dyDescent="0.25">
      <c r="S97" s="18"/>
      <c r="AS97" s="54"/>
      <c r="BB97" s="49"/>
      <c r="BC97" s="54"/>
      <c r="BG97" s="49"/>
      <c r="BH97" s="54"/>
      <c r="BL97" s="49"/>
      <c r="BM97" s="54"/>
      <c r="BQ97" s="49"/>
      <c r="BR97" s="54"/>
      <c r="BV97" s="49"/>
      <c r="BW97" s="54"/>
      <c r="CA97" s="49"/>
      <c r="CB97" s="61"/>
    </row>
    <row r="98" spans="19:80" ht="30" customHeight="1" x14ac:dyDescent="0.25">
      <c r="S98" s="18"/>
      <c r="AS98" s="94" t="s">
        <v>18</v>
      </c>
      <c r="AT98" s="94"/>
      <c r="AW98" s="131"/>
      <c r="AX98" s="132"/>
      <c r="BB98" s="49"/>
      <c r="BC98" s="54"/>
      <c r="BG98" s="49"/>
      <c r="BH98" s="54"/>
      <c r="BL98" s="49"/>
      <c r="BM98" s="54"/>
      <c r="BQ98" s="49"/>
      <c r="BR98" s="54"/>
      <c r="BV98" s="49"/>
      <c r="BW98" s="54"/>
      <c r="CA98" s="49"/>
      <c r="CB98" s="61"/>
    </row>
    <row r="99" spans="19:80" ht="30" customHeight="1" x14ac:dyDescent="0.25">
      <c r="S99" s="26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95"/>
      <c r="AT99" s="95"/>
      <c r="AU99" s="27"/>
      <c r="AV99" s="27"/>
      <c r="AW99" s="133" t="s">
        <v>67</v>
      </c>
      <c r="AX99" s="133"/>
      <c r="AY99" s="27"/>
      <c r="AZ99" s="27"/>
      <c r="BA99" s="27"/>
      <c r="BB99" s="27"/>
      <c r="BC99" s="65"/>
      <c r="BD99" s="27"/>
      <c r="BE99" s="27"/>
      <c r="BF99" s="27"/>
      <c r="BG99" s="27"/>
      <c r="BH99" s="65"/>
      <c r="BI99" s="27"/>
      <c r="BJ99" s="27"/>
      <c r="BK99" s="27"/>
      <c r="BL99" s="27"/>
      <c r="BM99" s="65"/>
      <c r="BN99" s="27"/>
      <c r="BO99" s="27"/>
      <c r="BP99" s="27"/>
      <c r="BQ99" s="27"/>
      <c r="BR99" s="65"/>
      <c r="BS99" s="27"/>
      <c r="BT99" s="27"/>
      <c r="BU99" s="27"/>
      <c r="BV99" s="27"/>
      <c r="BW99" s="65"/>
      <c r="BX99" s="27"/>
      <c r="BY99" s="27"/>
      <c r="BZ99" s="27"/>
      <c r="CA99" s="27"/>
      <c r="CB99" s="63"/>
    </row>
    <row r="100" spans="19:80" ht="30" customHeight="1" x14ac:dyDescent="0.25">
      <c r="AW100" s="134"/>
      <c r="AX100" s="135"/>
    </row>
    <row r="103" spans="19:80" ht="30" customHeight="1" x14ac:dyDescent="0.25">
      <c r="V103" s="33" t="s">
        <v>1</v>
      </c>
      <c r="W103" s="33">
        <v>0</v>
      </c>
      <c r="X103" s="33">
        <f>W103+5</f>
        <v>5</v>
      </c>
      <c r="Y103" s="33">
        <f t="shared" ref="Y103:AO103" si="0">X103+5</f>
        <v>10</v>
      </c>
      <c r="Z103" s="33">
        <f t="shared" si="0"/>
        <v>15</v>
      </c>
      <c r="AA103" s="33">
        <f t="shared" si="0"/>
        <v>20</v>
      </c>
      <c r="AB103" s="33">
        <f t="shared" si="0"/>
        <v>25</v>
      </c>
      <c r="AC103" s="33">
        <f t="shared" si="0"/>
        <v>30</v>
      </c>
      <c r="AD103" s="33">
        <f t="shared" si="0"/>
        <v>35</v>
      </c>
      <c r="AE103" s="33">
        <f t="shared" si="0"/>
        <v>40</v>
      </c>
      <c r="AF103" s="33">
        <f t="shared" si="0"/>
        <v>45</v>
      </c>
      <c r="AG103" s="33">
        <f t="shared" si="0"/>
        <v>50</v>
      </c>
      <c r="AH103" s="33">
        <f t="shared" si="0"/>
        <v>55</v>
      </c>
      <c r="AI103" s="33">
        <f t="shared" si="0"/>
        <v>60</v>
      </c>
      <c r="AJ103" s="33">
        <f t="shared" si="0"/>
        <v>65</v>
      </c>
      <c r="AK103" s="33">
        <f t="shared" si="0"/>
        <v>70</v>
      </c>
      <c r="AL103" s="33">
        <f t="shared" si="0"/>
        <v>75</v>
      </c>
      <c r="AM103" s="33">
        <f t="shared" si="0"/>
        <v>80</v>
      </c>
      <c r="AN103" s="33">
        <f t="shared" si="0"/>
        <v>85</v>
      </c>
      <c r="AO103" s="33">
        <f t="shared" si="0"/>
        <v>90</v>
      </c>
    </row>
    <row r="104" spans="19:80" ht="30" customHeight="1" x14ac:dyDescent="0.25">
      <c r="V104" s="33" t="s">
        <v>2</v>
      </c>
      <c r="W104" s="33">
        <f t="shared" ref="W104:AO104" si="1">15*COS(W$103 * PI()/180)</f>
        <v>15</v>
      </c>
      <c r="X104" s="33">
        <f t="shared" si="1"/>
        <v>14.942920471376183</v>
      </c>
      <c r="Y104" s="33">
        <f t="shared" si="1"/>
        <v>14.772116295183121</v>
      </c>
      <c r="Z104" s="33">
        <f t="shared" si="1"/>
        <v>14.488887394336025</v>
      </c>
      <c r="AA104" s="33">
        <f t="shared" si="1"/>
        <v>14.095389311788626</v>
      </c>
      <c r="AB104" s="33">
        <f t="shared" si="1"/>
        <v>13.59461680554975</v>
      </c>
      <c r="AC104" s="33">
        <f t="shared" si="1"/>
        <v>12.99038105676658</v>
      </c>
      <c r="AD104" s="33">
        <f t="shared" si="1"/>
        <v>12.287280664334878</v>
      </c>
      <c r="AE104" s="33">
        <f t="shared" si="1"/>
        <v>11.490666646784669</v>
      </c>
      <c r="AF104" s="33">
        <f t="shared" si="1"/>
        <v>10.606601717798213</v>
      </c>
      <c r="AG104" s="33">
        <f t="shared" si="1"/>
        <v>9.6418141452980901</v>
      </c>
      <c r="AH104" s="33">
        <f t="shared" si="1"/>
        <v>8.6036465452656916</v>
      </c>
      <c r="AI104" s="33">
        <f t="shared" si="1"/>
        <v>7.5000000000000018</v>
      </c>
      <c r="AJ104" s="33">
        <f t="shared" si="1"/>
        <v>6.3392739261104918</v>
      </c>
      <c r="AK104" s="33">
        <f t="shared" si="1"/>
        <v>5.1303021498850327</v>
      </c>
      <c r="AL104" s="33">
        <f t="shared" si="1"/>
        <v>3.8822856765378111</v>
      </c>
      <c r="AM104" s="33">
        <f t="shared" si="1"/>
        <v>2.6047226650039561</v>
      </c>
      <c r="AN104" s="33">
        <f t="shared" si="1"/>
        <v>1.3073361412148721</v>
      </c>
      <c r="AO104" s="33">
        <f t="shared" si="1"/>
        <v>9.1886134118146501E-16</v>
      </c>
    </row>
    <row r="105" spans="19:80" ht="30" customHeight="1" x14ac:dyDescent="0.25">
      <c r="V105" s="33" t="s">
        <v>2</v>
      </c>
      <c r="W105" s="33">
        <f t="shared" ref="W105:AO105" si="2">10*COS(W$103 * PI()/180)</f>
        <v>10</v>
      </c>
      <c r="X105" s="33">
        <f t="shared" si="2"/>
        <v>9.961946980917455</v>
      </c>
      <c r="Y105" s="33">
        <f t="shared" si="2"/>
        <v>9.8480775301220795</v>
      </c>
      <c r="Z105" s="33">
        <f t="shared" si="2"/>
        <v>9.6592582628906829</v>
      </c>
      <c r="AA105" s="33">
        <f t="shared" si="2"/>
        <v>9.3969262078590852</v>
      </c>
      <c r="AB105" s="33">
        <f t="shared" si="2"/>
        <v>9.0630778703664987</v>
      </c>
      <c r="AC105" s="33">
        <f t="shared" si="2"/>
        <v>8.6602540378443873</v>
      </c>
      <c r="AD105" s="33">
        <f t="shared" si="2"/>
        <v>8.1915204428899173</v>
      </c>
      <c r="AE105" s="33">
        <f t="shared" si="2"/>
        <v>7.6604444311897799</v>
      </c>
      <c r="AF105" s="33">
        <f t="shared" si="2"/>
        <v>7.0710678118654755</v>
      </c>
      <c r="AG105" s="33">
        <f t="shared" si="2"/>
        <v>6.4278760968653934</v>
      </c>
      <c r="AH105" s="33">
        <f t="shared" si="2"/>
        <v>5.7357643635104614</v>
      </c>
      <c r="AI105" s="33">
        <f t="shared" si="2"/>
        <v>5.0000000000000009</v>
      </c>
      <c r="AJ105" s="33">
        <f t="shared" si="2"/>
        <v>4.2261826174069945</v>
      </c>
      <c r="AK105" s="33">
        <f t="shared" si="2"/>
        <v>3.4202014332566884</v>
      </c>
      <c r="AL105" s="33">
        <f t="shared" si="2"/>
        <v>2.5881904510252074</v>
      </c>
      <c r="AM105" s="33">
        <f t="shared" si="2"/>
        <v>1.7364817766693041</v>
      </c>
      <c r="AN105" s="33">
        <f t="shared" si="2"/>
        <v>0.87155742747658138</v>
      </c>
      <c r="AO105" s="33">
        <f t="shared" si="2"/>
        <v>6.1257422745431001E-16</v>
      </c>
    </row>
    <row r="106" spans="19:80" ht="30" customHeight="1" x14ac:dyDescent="0.25">
      <c r="V106" s="33" t="s">
        <v>2</v>
      </c>
      <c r="W106" s="33">
        <f t="shared" ref="W106:AO106" si="3">5*COS(W$103 * PI()/180)</f>
        <v>5</v>
      </c>
      <c r="X106" s="33">
        <f t="shared" si="3"/>
        <v>4.9809734904587275</v>
      </c>
      <c r="Y106" s="33">
        <f t="shared" si="3"/>
        <v>4.9240387650610398</v>
      </c>
      <c r="Z106" s="33">
        <f t="shared" si="3"/>
        <v>4.8296291314453415</v>
      </c>
      <c r="AA106" s="33">
        <f t="shared" si="3"/>
        <v>4.6984631039295426</v>
      </c>
      <c r="AB106" s="33">
        <f t="shared" si="3"/>
        <v>4.5315389351832494</v>
      </c>
      <c r="AC106" s="33">
        <f t="shared" si="3"/>
        <v>4.3301270189221936</v>
      </c>
      <c r="AD106" s="33">
        <f t="shared" si="3"/>
        <v>4.0957602214449587</v>
      </c>
      <c r="AE106" s="33">
        <f t="shared" si="3"/>
        <v>3.83022221559489</v>
      </c>
      <c r="AF106" s="33">
        <f t="shared" si="3"/>
        <v>3.5355339059327378</v>
      </c>
      <c r="AG106" s="33">
        <f t="shared" si="3"/>
        <v>3.2139380484326967</v>
      </c>
      <c r="AH106" s="33">
        <f t="shared" si="3"/>
        <v>2.8678821817552307</v>
      </c>
      <c r="AI106" s="33">
        <f t="shared" si="3"/>
        <v>2.5000000000000004</v>
      </c>
      <c r="AJ106" s="33">
        <f t="shared" si="3"/>
        <v>2.1130913087034973</v>
      </c>
      <c r="AK106" s="33">
        <f t="shared" si="3"/>
        <v>1.7101007166283442</v>
      </c>
      <c r="AL106" s="33">
        <f t="shared" si="3"/>
        <v>1.2940952255126037</v>
      </c>
      <c r="AM106" s="33">
        <f t="shared" si="3"/>
        <v>0.86824088833465207</v>
      </c>
      <c r="AN106" s="33">
        <f t="shared" si="3"/>
        <v>0.43577871373829069</v>
      </c>
      <c r="AO106" s="33">
        <f t="shared" si="3"/>
        <v>3.06287113727155E-16</v>
      </c>
    </row>
    <row r="107" spans="19:80" ht="30" customHeight="1" x14ac:dyDescent="0.25">
      <c r="V107" s="33" t="s">
        <v>2</v>
      </c>
      <c r="W107" s="33">
        <f t="shared" ref="W107:AO107" si="4">4*COS(W$103 * PI()/180)</f>
        <v>4</v>
      </c>
      <c r="X107" s="33">
        <f t="shared" si="4"/>
        <v>3.9847787923669822</v>
      </c>
      <c r="Y107" s="33">
        <f t="shared" si="4"/>
        <v>3.9392310120488321</v>
      </c>
      <c r="Z107" s="33">
        <f t="shared" si="4"/>
        <v>3.8637033051562732</v>
      </c>
      <c r="AA107" s="33">
        <f t="shared" si="4"/>
        <v>3.7587704831436337</v>
      </c>
      <c r="AB107" s="33">
        <f t="shared" si="4"/>
        <v>3.6252311481465997</v>
      </c>
      <c r="AC107" s="33">
        <f t="shared" si="4"/>
        <v>3.4641016151377548</v>
      </c>
      <c r="AD107" s="33">
        <f t="shared" si="4"/>
        <v>3.2766081771559672</v>
      </c>
      <c r="AE107" s="33">
        <f t="shared" si="4"/>
        <v>3.0641777724759121</v>
      </c>
      <c r="AF107" s="33">
        <f t="shared" si="4"/>
        <v>2.8284271247461903</v>
      </c>
      <c r="AG107" s="33">
        <f t="shared" si="4"/>
        <v>2.5711504387461575</v>
      </c>
      <c r="AH107" s="33">
        <f t="shared" si="4"/>
        <v>2.2943057454041846</v>
      </c>
      <c r="AI107" s="33">
        <f t="shared" si="4"/>
        <v>2.0000000000000004</v>
      </c>
      <c r="AJ107" s="33">
        <f t="shared" si="4"/>
        <v>1.6904730469627978</v>
      </c>
      <c r="AK107" s="33">
        <f t="shared" si="4"/>
        <v>1.3680805733026753</v>
      </c>
      <c r="AL107" s="33">
        <f t="shared" si="4"/>
        <v>1.035276180410083</v>
      </c>
      <c r="AM107" s="33">
        <f t="shared" si="4"/>
        <v>0.69459271066772166</v>
      </c>
      <c r="AN107" s="33">
        <f t="shared" si="4"/>
        <v>0.34862297099063255</v>
      </c>
      <c r="AO107" s="33">
        <f t="shared" si="4"/>
        <v>2.45029690981724E-16</v>
      </c>
    </row>
    <row r="108" spans="19:80" ht="30" customHeight="1" x14ac:dyDescent="0.25">
      <c r="V108" s="33" t="s">
        <v>2</v>
      </c>
      <c r="W108" s="33">
        <f t="shared" ref="W108:AO108" si="5">3*COS(W$103 * PI()/180)</f>
        <v>3</v>
      </c>
      <c r="X108" s="33">
        <f t="shared" si="5"/>
        <v>2.9885840942752369</v>
      </c>
      <c r="Y108" s="33">
        <f t="shared" si="5"/>
        <v>2.9544232590366239</v>
      </c>
      <c r="Z108" s="33">
        <f t="shared" si="5"/>
        <v>2.897777478867205</v>
      </c>
      <c r="AA108" s="33">
        <f t="shared" si="5"/>
        <v>2.8190778623577253</v>
      </c>
      <c r="AB108" s="33">
        <f t="shared" si="5"/>
        <v>2.7189233611099497</v>
      </c>
      <c r="AC108" s="33">
        <f t="shared" si="5"/>
        <v>2.598076211353316</v>
      </c>
      <c r="AD108" s="33">
        <f t="shared" si="5"/>
        <v>2.4574561328669753</v>
      </c>
      <c r="AE108" s="33">
        <f t="shared" si="5"/>
        <v>2.2981333293569342</v>
      </c>
      <c r="AF108" s="33">
        <f t="shared" si="5"/>
        <v>2.1213203435596428</v>
      </c>
      <c r="AG108" s="33">
        <f t="shared" si="5"/>
        <v>1.9283628290596182</v>
      </c>
      <c r="AH108" s="33">
        <f t="shared" si="5"/>
        <v>1.7207293090531386</v>
      </c>
      <c r="AI108" s="33">
        <f t="shared" si="5"/>
        <v>1.5000000000000004</v>
      </c>
      <c r="AJ108" s="33">
        <f t="shared" si="5"/>
        <v>1.2678547852220983</v>
      </c>
      <c r="AK108" s="33">
        <f t="shared" si="5"/>
        <v>1.0260604299770064</v>
      </c>
      <c r="AL108" s="33">
        <f t="shared" si="5"/>
        <v>0.77645713530756222</v>
      </c>
      <c r="AM108" s="33">
        <f t="shared" si="5"/>
        <v>0.52094453300079124</v>
      </c>
      <c r="AN108" s="33">
        <f t="shared" si="5"/>
        <v>0.26146722824297441</v>
      </c>
      <c r="AO108" s="33">
        <f t="shared" si="5"/>
        <v>1.83772268236293E-16</v>
      </c>
    </row>
    <row r="109" spans="19:80" ht="30" customHeight="1" x14ac:dyDescent="0.25">
      <c r="V109" s="33" t="s">
        <v>2</v>
      </c>
      <c r="W109" s="33">
        <f t="shared" ref="W109:AO109" si="6">2*COS(W$103 * PI()/180)</f>
        <v>2</v>
      </c>
      <c r="X109" s="33">
        <f t="shared" si="6"/>
        <v>1.9923893961834911</v>
      </c>
      <c r="Y109" s="33">
        <f t="shared" si="6"/>
        <v>1.969615506024416</v>
      </c>
      <c r="Z109" s="33">
        <f t="shared" si="6"/>
        <v>1.9318516525781366</v>
      </c>
      <c r="AA109" s="33">
        <f t="shared" si="6"/>
        <v>1.8793852415718169</v>
      </c>
      <c r="AB109" s="33">
        <f t="shared" si="6"/>
        <v>1.8126155740732999</v>
      </c>
      <c r="AC109" s="33">
        <f t="shared" si="6"/>
        <v>1.7320508075688774</v>
      </c>
      <c r="AD109" s="33">
        <f t="shared" si="6"/>
        <v>1.6383040885779836</v>
      </c>
      <c r="AE109" s="33">
        <f t="shared" si="6"/>
        <v>1.532088886237956</v>
      </c>
      <c r="AF109" s="33">
        <f t="shared" si="6"/>
        <v>1.4142135623730951</v>
      </c>
      <c r="AG109" s="33">
        <f t="shared" si="6"/>
        <v>1.2855752193730787</v>
      </c>
      <c r="AH109" s="33">
        <f t="shared" si="6"/>
        <v>1.1471528727020923</v>
      </c>
      <c r="AI109" s="33">
        <f t="shared" si="6"/>
        <v>1.0000000000000002</v>
      </c>
      <c r="AJ109" s="33">
        <f t="shared" si="6"/>
        <v>0.84523652348139888</v>
      </c>
      <c r="AK109" s="33">
        <f t="shared" si="6"/>
        <v>0.68404028665133765</v>
      </c>
      <c r="AL109" s="33">
        <f t="shared" si="6"/>
        <v>0.51763809020504148</v>
      </c>
      <c r="AM109" s="33">
        <f t="shared" si="6"/>
        <v>0.34729635533386083</v>
      </c>
      <c r="AN109" s="33">
        <f t="shared" si="6"/>
        <v>0.17431148549531628</v>
      </c>
      <c r="AO109" s="33">
        <f t="shared" si="6"/>
        <v>1.22514845490862E-16</v>
      </c>
    </row>
    <row r="110" spans="19:80" ht="30" customHeight="1" x14ac:dyDescent="0.25">
      <c r="V110" s="33" t="s">
        <v>2</v>
      </c>
      <c r="W110" s="33">
        <f t="shared" ref="W110:AO110" si="7">1*COS(W$103 * PI()/180)</f>
        <v>1</v>
      </c>
      <c r="X110" s="33">
        <f t="shared" si="7"/>
        <v>0.99619469809174555</v>
      </c>
      <c r="Y110" s="33">
        <f t="shared" si="7"/>
        <v>0.98480775301220802</v>
      </c>
      <c r="Z110" s="33">
        <f t="shared" si="7"/>
        <v>0.96592582628906831</v>
      </c>
      <c r="AA110" s="33">
        <f t="shared" si="7"/>
        <v>0.93969262078590843</v>
      </c>
      <c r="AB110" s="33">
        <f t="shared" si="7"/>
        <v>0.90630778703664994</v>
      </c>
      <c r="AC110" s="33">
        <f t="shared" si="7"/>
        <v>0.86602540378443871</v>
      </c>
      <c r="AD110" s="33">
        <f t="shared" si="7"/>
        <v>0.8191520442889918</v>
      </c>
      <c r="AE110" s="33">
        <f t="shared" si="7"/>
        <v>0.76604444311897801</v>
      </c>
      <c r="AF110" s="33">
        <f t="shared" si="7"/>
        <v>0.70710678118654757</v>
      </c>
      <c r="AG110" s="33">
        <f t="shared" si="7"/>
        <v>0.64278760968653936</v>
      </c>
      <c r="AH110" s="33">
        <f t="shared" si="7"/>
        <v>0.57357643635104616</v>
      </c>
      <c r="AI110" s="33">
        <f t="shared" si="7"/>
        <v>0.50000000000000011</v>
      </c>
      <c r="AJ110" s="33">
        <f t="shared" si="7"/>
        <v>0.42261826174069944</v>
      </c>
      <c r="AK110" s="33">
        <f t="shared" si="7"/>
        <v>0.34202014332566882</v>
      </c>
      <c r="AL110" s="33">
        <f t="shared" si="7"/>
        <v>0.25881904510252074</v>
      </c>
      <c r="AM110" s="33">
        <f t="shared" si="7"/>
        <v>0.17364817766693041</v>
      </c>
      <c r="AN110" s="33">
        <f t="shared" si="7"/>
        <v>8.7155742747658138E-2</v>
      </c>
      <c r="AO110" s="33">
        <f t="shared" si="7"/>
        <v>6.1257422745431001E-17</v>
      </c>
    </row>
    <row r="111" spans="19:80" ht="30" customHeight="1" x14ac:dyDescent="0.25">
      <c r="V111" s="33" t="s">
        <v>2</v>
      </c>
      <c r="W111" s="33">
        <f t="shared" ref="W111:AO111" si="8">0*COS(W$103 * PI()/180)</f>
        <v>0</v>
      </c>
      <c r="X111" s="33">
        <f t="shared" si="8"/>
        <v>0</v>
      </c>
      <c r="Y111" s="33">
        <f t="shared" si="8"/>
        <v>0</v>
      </c>
      <c r="Z111" s="33">
        <f t="shared" si="8"/>
        <v>0</v>
      </c>
      <c r="AA111" s="33">
        <f t="shared" si="8"/>
        <v>0</v>
      </c>
      <c r="AB111" s="33">
        <f t="shared" si="8"/>
        <v>0</v>
      </c>
      <c r="AC111" s="33">
        <f t="shared" si="8"/>
        <v>0</v>
      </c>
      <c r="AD111" s="33">
        <f t="shared" si="8"/>
        <v>0</v>
      </c>
      <c r="AE111" s="33">
        <f t="shared" si="8"/>
        <v>0</v>
      </c>
      <c r="AF111" s="33">
        <f t="shared" si="8"/>
        <v>0</v>
      </c>
      <c r="AG111" s="33">
        <f t="shared" si="8"/>
        <v>0</v>
      </c>
      <c r="AH111" s="33">
        <f t="shared" si="8"/>
        <v>0</v>
      </c>
      <c r="AI111" s="33">
        <f t="shared" si="8"/>
        <v>0</v>
      </c>
      <c r="AJ111" s="33">
        <f t="shared" si="8"/>
        <v>0</v>
      </c>
      <c r="AK111" s="33">
        <f t="shared" si="8"/>
        <v>0</v>
      </c>
      <c r="AL111" s="33">
        <f t="shared" si="8"/>
        <v>0</v>
      </c>
      <c r="AM111" s="33">
        <f t="shared" si="8"/>
        <v>0</v>
      </c>
      <c r="AN111" s="33">
        <f t="shared" si="8"/>
        <v>0</v>
      </c>
      <c r="AO111" s="33">
        <f t="shared" si="8"/>
        <v>0</v>
      </c>
    </row>
  </sheetData>
  <mergeCells count="33">
    <mergeCell ref="S77:S81"/>
    <mergeCell ref="AS98:AT99"/>
    <mergeCell ref="AW99:AX99"/>
    <mergeCell ref="S46:T47"/>
    <mergeCell ref="S42:T43"/>
    <mergeCell ref="CA46:CB47"/>
    <mergeCell ref="CA42:CB43"/>
    <mergeCell ref="AR46:AS48"/>
    <mergeCell ref="BB46:BC48"/>
    <mergeCell ref="BG46:BH47"/>
    <mergeCell ref="BL46:BM47"/>
    <mergeCell ref="BQ46:BR47"/>
    <mergeCell ref="BV46:BW47"/>
    <mergeCell ref="BR4:BR10"/>
    <mergeCell ref="AW6:AX7"/>
    <mergeCell ref="I19:I23"/>
    <mergeCell ref="X46:Y47"/>
    <mergeCell ref="AC46:AD47"/>
    <mergeCell ref="AH46:AI47"/>
    <mergeCell ref="AM46:AN47"/>
    <mergeCell ref="BZ2:CA6"/>
    <mergeCell ref="BS3:BS7"/>
    <mergeCell ref="BT3:BT9"/>
    <mergeCell ref="BU3:BU7"/>
    <mergeCell ref="BV3:BV7"/>
    <mergeCell ref="BW3:BW7"/>
    <mergeCell ref="BX3:BX9"/>
    <mergeCell ref="AR1:AR4"/>
    <mergeCell ref="AV1:AV4"/>
    <mergeCell ref="AW1:AW4"/>
    <mergeCell ref="AX1:AX4"/>
    <mergeCell ref="AY1:AY4"/>
    <mergeCell ref="BC1:BC4"/>
  </mergeCells>
  <printOptions horizontalCentered="1" verticalCentered="1"/>
  <pageMargins left="0" right="0" top="0" bottom="0" header="0" footer="0"/>
  <pageSetup paperSize="9" scale="2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F3C8-9B4C-43A0-9154-71A5FD80B857}">
  <sheetPr>
    <pageSetUpPr fitToPage="1"/>
  </sheetPr>
  <dimension ref="A1:DE111"/>
  <sheetViews>
    <sheetView showGridLines="0" tabSelected="1" topLeftCell="A33" zoomScale="25" zoomScaleNormal="25" workbookViewId="0">
      <selection activeCell="W7" sqref="W7"/>
    </sheetView>
  </sheetViews>
  <sheetFormatPr defaultColWidth="2.85546875" defaultRowHeight="30" customHeight="1" x14ac:dyDescent="0.25"/>
  <cols>
    <col min="1" max="17" width="3.7109375" style="33" customWidth="1"/>
    <col min="18" max="18" width="6.28515625" style="33" customWidth="1"/>
    <col min="19" max="49" width="5.7109375" style="33" customWidth="1"/>
    <col min="50" max="50" width="5.7109375" style="8" customWidth="1"/>
    <col min="51" max="80" width="5.7109375" style="33" customWidth="1"/>
    <col min="81" max="102" width="3.7109375" style="33" customWidth="1"/>
    <col min="103" max="103" width="5.42578125" style="33" customWidth="1"/>
    <col min="104" max="104" width="7" style="33" customWidth="1"/>
    <col min="105" max="105" width="9" style="33" customWidth="1"/>
    <col min="106" max="118" width="5.42578125" style="33" customWidth="1"/>
    <col min="119" max="16384" width="2.85546875" style="33"/>
  </cols>
  <sheetData>
    <row r="1" spans="2:80" ht="30" customHeight="1" x14ac:dyDescent="0.25">
      <c r="S1" s="14"/>
      <c r="T1" s="53"/>
      <c r="U1" s="15"/>
      <c r="V1" s="15"/>
      <c r="W1" s="15"/>
      <c r="X1" s="15"/>
      <c r="Y1" s="53"/>
      <c r="Z1" s="15"/>
      <c r="AA1" s="15"/>
      <c r="AB1" s="15"/>
      <c r="AC1" s="15"/>
      <c r="AD1" s="53"/>
      <c r="AE1" s="15"/>
      <c r="AF1" s="15"/>
      <c r="AG1" s="15"/>
      <c r="AH1" s="15"/>
      <c r="AI1" s="53"/>
      <c r="AJ1" s="15"/>
      <c r="AK1" s="15"/>
      <c r="AL1" s="15"/>
      <c r="AM1" s="15"/>
      <c r="AN1" s="53"/>
      <c r="AO1" s="15"/>
      <c r="AP1" s="41"/>
      <c r="AQ1" s="41"/>
      <c r="AR1" s="108" t="s">
        <v>22</v>
      </c>
      <c r="AS1" s="56"/>
      <c r="AT1" s="42"/>
      <c r="AU1" s="42"/>
      <c r="AV1" s="108" t="s">
        <v>20</v>
      </c>
      <c r="AW1" s="110" t="s">
        <v>21</v>
      </c>
      <c r="AX1" s="112" t="s">
        <v>23</v>
      </c>
      <c r="AY1" s="114" t="s">
        <v>24</v>
      </c>
      <c r="AZ1" s="43"/>
      <c r="BA1" s="43"/>
      <c r="BB1" s="43"/>
      <c r="BC1" s="116" t="s">
        <v>25</v>
      </c>
      <c r="BD1" s="41"/>
      <c r="BE1" s="41"/>
      <c r="BF1" s="15"/>
      <c r="BG1" s="15"/>
      <c r="BH1" s="53"/>
      <c r="BI1" s="15"/>
      <c r="BJ1" s="15"/>
      <c r="BK1" s="15"/>
      <c r="BL1" s="15"/>
      <c r="BM1" s="53"/>
      <c r="BN1" s="15"/>
      <c r="BO1" s="15"/>
      <c r="BP1" s="15"/>
      <c r="BQ1" s="30"/>
      <c r="BR1" s="15"/>
      <c r="BS1" s="15"/>
      <c r="BT1" s="15"/>
      <c r="BU1" s="15"/>
      <c r="BV1" s="15"/>
      <c r="BW1" s="53"/>
      <c r="BX1" s="15"/>
      <c r="BY1" s="15"/>
      <c r="BZ1" s="15"/>
      <c r="CA1" s="15"/>
      <c r="CB1" s="60"/>
    </row>
    <row r="2" spans="2:80" ht="30" customHeight="1" x14ac:dyDescent="0.25">
      <c r="S2" s="18"/>
      <c r="T2" s="54"/>
      <c r="X2" s="49"/>
      <c r="Y2" s="54"/>
      <c r="AC2" s="49"/>
      <c r="AD2" s="54"/>
      <c r="AH2" s="49"/>
      <c r="AI2" s="54"/>
      <c r="AM2" s="49"/>
      <c r="AN2" s="54"/>
      <c r="AP2" s="44"/>
      <c r="AQ2" s="44"/>
      <c r="AR2" s="109"/>
      <c r="AS2" s="57"/>
      <c r="AT2" s="45"/>
      <c r="AU2" s="45"/>
      <c r="AV2" s="109"/>
      <c r="AW2" s="111"/>
      <c r="AX2" s="113"/>
      <c r="AY2" s="115"/>
      <c r="AZ2" s="45"/>
      <c r="BA2" s="45"/>
      <c r="BB2" s="50"/>
      <c r="BC2" s="117"/>
      <c r="BD2" s="44"/>
      <c r="BE2" s="44"/>
      <c r="BG2" s="49"/>
      <c r="BH2" s="54"/>
      <c r="BL2" s="49"/>
      <c r="BM2" s="54"/>
      <c r="BQ2" s="31"/>
      <c r="BS2" s="39"/>
      <c r="BT2" s="39"/>
      <c r="BU2" s="39"/>
      <c r="BV2" s="52"/>
      <c r="BW2" s="59"/>
      <c r="BX2" s="40"/>
      <c r="BZ2" s="100" t="s">
        <v>6</v>
      </c>
      <c r="CA2" s="101"/>
      <c r="CB2" s="19"/>
    </row>
    <row r="3" spans="2:80" ht="30" customHeight="1" x14ac:dyDescent="0.25">
      <c r="S3" s="18"/>
      <c r="T3" s="54"/>
      <c r="X3" s="49"/>
      <c r="Y3" s="54"/>
      <c r="AC3" s="49"/>
      <c r="AD3" s="54"/>
      <c r="AH3" s="49"/>
      <c r="AI3" s="54"/>
      <c r="AM3" s="49"/>
      <c r="AN3" s="54"/>
      <c r="AP3" s="44"/>
      <c r="AQ3" s="84" t="s">
        <v>27</v>
      </c>
      <c r="AR3" s="109"/>
      <c r="AS3" s="58"/>
      <c r="AT3" s="46"/>
      <c r="AU3" s="46"/>
      <c r="AV3" s="109"/>
      <c r="AW3" s="111"/>
      <c r="AX3" s="113"/>
      <c r="AY3" s="115"/>
      <c r="AZ3" s="46"/>
      <c r="BA3" s="46"/>
      <c r="BB3" s="51"/>
      <c r="BC3" s="117"/>
      <c r="BD3" s="83" t="s">
        <v>26</v>
      </c>
      <c r="BE3" s="44"/>
      <c r="BG3" s="49"/>
      <c r="BH3" s="54"/>
      <c r="BL3" s="49"/>
      <c r="BM3" s="54"/>
      <c r="BQ3" s="31"/>
      <c r="BS3" s="106"/>
      <c r="BT3" s="107"/>
      <c r="BU3" s="106"/>
      <c r="BV3" s="107"/>
      <c r="BW3" s="97"/>
      <c r="BX3" s="107"/>
      <c r="BZ3" s="102"/>
      <c r="CA3" s="103"/>
      <c r="CB3" s="19"/>
    </row>
    <row r="4" spans="2:80" ht="30" customHeight="1" x14ac:dyDescent="0.25">
      <c r="S4" s="18"/>
      <c r="T4" s="54"/>
      <c r="X4" s="49"/>
      <c r="Y4" s="54"/>
      <c r="AC4" s="49"/>
      <c r="AD4" s="54"/>
      <c r="AH4" s="49"/>
      <c r="AI4" s="54"/>
      <c r="AM4" s="49"/>
      <c r="AN4" s="54"/>
      <c r="AP4" s="44"/>
      <c r="AQ4" s="44"/>
      <c r="AR4" s="109"/>
      <c r="AS4" s="58"/>
      <c r="AT4" s="46"/>
      <c r="AU4" s="46"/>
      <c r="AV4" s="109"/>
      <c r="AW4" s="111"/>
      <c r="AX4" s="113"/>
      <c r="AY4" s="115"/>
      <c r="AZ4" s="46"/>
      <c r="BA4" s="46"/>
      <c r="BB4" s="51"/>
      <c r="BC4" s="117"/>
      <c r="BD4" s="44"/>
      <c r="BE4" s="44"/>
      <c r="BG4" s="49"/>
      <c r="BH4" s="54"/>
      <c r="BL4" s="49"/>
      <c r="BM4" s="54"/>
      <c r="BQ4" s="49"/>
      <c r="BR4" s="97"/>
      <c r="BS4" s="106"/>
      <c r="BT4" s="107"/>
      <c r="BU4" s="106"/>
      <c r="BV4" s="107"/>
      <c r="BW4" s="97"/>
      <c r="BX4" s="107"/>
      <c r="BZ4" s="102"/>
      <c r="CA4" s="103"/>
      <c r="CB4" s="19"/>
    </row>
    <row r="5" spans="2:80" ht="30" customHeight="1" x14ac:dyDescent="0.25">
      <c r="S5" s="18"/>
      <c r="T5" s="54"/>
      <c r="X5" s="49"/>
      <c r="Y5" s="54"/>
      <c r="AC5" s="49"/>
      <c r="AD5" s="54"/>
      <c r="AH5" s="49"/>
      <c r="AI5" s="54"/>
      <c r="AM5" s="49"/>
      <c r="AN5" s="54"/>
      <c r="AR5" s="49"/>
      <c r="AS5" s="54"/>
      <c r="AW5" s="124"/>
      <c r="AX5" s="131"/>
      <c r="BB5" s="49"/>
      <c r="BC5" s="54"/>
      <c r="BG5" s="49"/>
      <c r="BH5" s="54"/>
      <c r="BL5" s="49"/>
      <c r="BM5" s="54"/>
      <c r="BQ5" s="49"/>
      <c r="BR5" s="97"/>
      <c r="BS5" s="106"/>
      <c r="BT5" s="107"/>
      <c r="BU5" s="106"/>
      <c r="BV5" s="107"/>
      <c r="BW5" s="97"/>
      <c r="BX5" s="107"/>
      <c r="BZ5" s="102"/>
      <c r="CA5" s="103"/>
      <c r="CB5" s="19"/>
    </row>
    <row r="6" spans="2:80" ht="30" customHeight="1" x14ac:dyDescent="0.25">
      <c r="S6" s="18"/>
      <c r="T6" s="54"/>
      <c r="X6" s="49"/>
      <c r="Y6" s="54"/>
      <c r="AC6" s="49"/>
      <c r="AD6" s="54"/>
      <c r="AH6" s="49"/>
      <c r="AI6" s="54"/>
      <c r="AM6" s="49"/>
      <c r="AN6" s="54"/>
      <c r="AR6" s="49"/>
      <c r="AS6" s="54"/>
      <c r="AW6" s="129" t="s">
        <v>66</v>
      </c>
      <c r="AX6" s="129"/>
      <c r="BB6" s="49"/>
      <c r="BC6" s="54"/>
      <c r="BG6" s="49"/>
      <c r="BH6" s="54"/>
      <c r="BL6" s="49"/>
      <c r="BM6" s="54"/>
      <c r="BQ6" s="49"/>
      <c r="BR6" s="97"/>
      <c r="BS6" s="106"/>
      <c r="BT6" s="107"/>
      <c r="BU6" s="106"/>
      <c r="BV6" s="107"/>
      <c r="BW6" s="97"/>
      <c r="BX6" s="107"/>
      <c r="BZ6" s="104"/>
      <c r="CA6" s="105"/>
      <c r="CB6" s="19"/>
    </row>
    <row r="7" spans="2:80" ht="30" customHeight="1" x14ac:dyDescent="0.25">
      <c r="S7" s="18"/>
      <c r="T7" s="54"/>
      <c r="X7" s="49"/>
      <c r="Y7" s="54"/>
      <c r="AC7" s="49"/>
      <c r="AD7" s="54"/>
      <c r="AH7" s="49"/>
      <c r="AI7" s="54"/>
      <c r="AM7" s="49"/>
      <c r="AN7" s="54"/>
      <c r="AR7" s="49"/>
      <c r="AS7" s="54"/>
      <c r="AW7" s="129"/>
      <c r="AX7" s="129"/>
      <c r="BB7" s="49"/>
      <c r="BC7" s="54"/>
      <c r="BG7" s="49"/>
      <c r="BH7" s="54"/>
      <c r="BL7" s="49"/>
      <c r="BM7" s="54"/>
      <c r="BQ7" s="49"/>
      <c r="BR7" s="97"/>
      <c r="BS7" s="106"/>
      <c r="BT7" s="107"/>
      <c r="BU7" s="106"/>
      <c r="BV7" s="107"/>
      <c r="BW7" s="97"/>
      <c r="BX7" s="107"/>
      <c r="CA7" s="49"/>
      <c r="CB7" s="61"/>
    </row>
    <row r="8" spans="2:80" ht="30" customHeight="1" x14ac:dyDescent="0.25">
      <c r="S8" s="18"/>
      <c r="T8" s="54"/>
      <c r="X8" s="49"/>
      <c r="Y8" s="54"/>
      <c r="AC8" s="49"/>
      <c r="AD8" s="54"/>
      <c r="AH8" s="49"/>
      <c r="AI8" s="54"/>
      <c r="AM8" s="49"/>
      <c r="AN8" s="54"/>
      <c r="AR8" s="49"/>
      <c r="AS8" s="54"/>
      <c r="BB8" s="49"/>
      <c r="BC8" s="54"/>
      <c r="BG8" s="49"/>
      <c r="BH8" s="54"/>
      <c r="BL8" s="49"/>
      <c r="BM8" s="54"/>
      <c r="BQ8" s="49"/>
      <c r="BR8" s="97"/>
      <c r="BT8" s="107"/>
      <c r="BV8" s="49"/>
      <c r="BW8" s="54"/>
      <c r="BX8" s="107"/>
      <c r="CA8" s="49"/>
      <c r="CB8" s="61"/>
    </row>
    <row r="9" spans="2:80" ht="30" customHeight="1" x14ac:dyDescent="0.25">
      <c r="S9" s="18"/>
      <c r="T9" s="54"/>
      <c r="X9" s="49"/>
      <c r="Y9" s="54"/>
      <c r="AC9" s="49"/>
      <c r="AD9" s="54"/>
      <c r="AH9" s="49"/>
      <c r="AI9" s="54"/>
      <c r="AM9" s="49"/>
      <c r="AN9" s="54"/>
      <c r="AR9" s="49"/>
      <c r="AS9" s="54"/>
      <c r="BB9" s="49"/>
      <c r="BC9" s="54"/>
      <c r="BG9" s="49"/>
      <c r="BH9" s="54"/>
      <c r="BL9" s="49"/>
      <c r="BM9" s="54"/>
      <c r="BQ9" s="49"/>
      <c r="BR9" s="97"/>
      <c r="BT9" s="107"/>
      <c r="BV9" s="49"/>
      <c r="BW9" s="54"/>
      <c r="BX9" s="107"/>
      <c r="CA9" s="49"/>
      <c r="CB9" s="61"/>
    </row>
    <row r="10" spans="2:80" ht="30" customHeight="1" x14ac:dyDescent="0.25">
      <c r="S10" s="18"/>
      <c r="T10" s="54"/>
      <c r="X10" s="49"/>
      <c r="Y10" s="54"/>
      <c r="AC10" s="49"/>
      <c r="AD10" s="54"/>
      <c r="AH10" s="49"/>
      <c r="AI10" s="54"/>
      <c r="AM10" s="49"/>
      <c r="AN10" s="54"/>
      <c r="AR10" s="49"/>
      <c r="AS10" s="54"/>
      <c r="BB10" s="49"/>
      <c r="BC10" s="54"/>
      <c r="BG10" s="49"/>
      <c r="BH10" s="54"/>
      <c r="BL10" s="49"/>
      <c r="BM10" s="54"/>
      <c r="BQ10" s="49"/>
      <c r="BR10" s="97"/>
      <c r="BV10" s="49"/>
      <c r="BW10" s="54"/>
      <c r="CA10" s="49"/>
      <c r="CB10" s="61"/>
    </row>
    <row r="11" spans="2:80" ht="30" customHeight="1" x14ac:dyDescent="0.25">
      <c r="B11" s="34" t="s">
        <v>8</v>
      </c>
      <c r="C11" s="35" t="s">
        <v>9</v>
      </c>
      <c r="S11" s="18"/>
      <c r="T11" s="54"/>
      <c r="X11" s="49"/>
      <c r="Y11" s="54"/>
      <c r="AC11" s="49"/>
      <c r="AD11" s="54"/>
      <c r="AH11" s="49"/>
      <c r="AI11" s="54"/>
      <c r="AM11" s="49"/>
      <c r="AN11" s="54"/>
      <c r="AR11" s="49"/>
      <c r="AS11" s="54"/>
      <c r="BB11" s="49"/>
      <c r="BC11" s="54"/>
      <c r="BG11" s="49"/>
      <c r="BH11" s="54"/>
      <c r="BL11" s="49"/>
      <c r="BM11" s="54"/>
      <c r="BQ11" s="49"/>
      <c r="BR11" s="54"/>
      <c r="BV11" s="49"/>
      <c r="BW11" s="54"/>
      <c r="CA11" s="49"/>
      <c r="CB11" s="61"/>
    </row>
    <row r="12" spans="2:80" ht="30" customHeight="1" x14ac:dyDescent="0.25">
      <c r="B12" s="34" t="s">
        <v>10</v>
      </c>
      <c r="C12" s="35" t="s">
        <v>11</v>
      </c>
      <c r="S12" s="18"/>
      <c r="T12" s="54"/>
      <c r="X12" s="49"/>
      <c r="Y12" s="54"/>
      <c r="AC12" s="49"/>
      <c r="AD12" s="54"/>
      <c r="AH12" s="49"/>
      <c r="AI12" s="54"/>
      <c r="AM12" s="49"/>
      <c r="AN12" s="54"/>
      <c r="AR12" s="49"/>
      <c r="AS12" s="54"/>
      <c r="BB12" s="49"/>
      <c r="BC12" s="54"/>
      <c r="BG12" s="49"/>
      <c r="BH12" s="54"/>
      <c r="BL12" s="49"/>
      <c r="BM12" s="54"/>
      <c r="BQ12" s="49"/>
      <c r="BR12" s="54"/>
      <c r="BV12" s="49"/>
      <c r="BW12" s="54"/>
      <c r="CA12" s="49"/>
      <c r="CB12" s="61"/>
    </row>
    <row r="13" spans="2:80" ht="30" customHeight="1" x14ac:dyDescent="0.25">
      <c r="B13" s="36" t="s">
        <v>12</v>
      </c>
      <c r="C13" s="35" t="s">
        <v>13</v>
      </c>
      <c r="S13" s="18"/>
      <c r="T13" s="54"/>
      <c r="X13" s="49"/>
      <c r="Y13" s="54"/>
      <c r="AC13" s="49"/>
      <c r="AD13" s="54"/>
      <c r="AH13" s="49"/>
      <c r="AI13" s="54"/>
      <c r="AM13" s="49"/>
      <c r="AN13" s="54"/>
      <c r="AR13" s="49"/>
      <c r="AS13" s="54"/>
      <c r="BB13" s="49"/>
      <c r="BC13" s="54"/>
      <c r="BG13" s="49"/>
      <c r="BH13" s="54"/>
      <c r="BL13" s="49"/>
      <c r="BM13" s="54"/>
      <c r="BQ13" s="49"/>
      <c r="BR13" s="54"/>
      <c r="BV13" s="49"/>
      <c r="BW13" s="54"/>
      <c r="CA13" s="49"/>
      <c r="CB13" s="61"/>
    </row>
    <row r="14" spans="2:80" ht="30" customHeight="1" x14ac:dyDescent="0.25">
      <c r="B14" s="36">
        <v>5</v>
      </c>
      <c r="C14" s="35" t="s">
        <v>14</v>
      </c>
      <c r="S14" s="18"/>
      <c r="T14" s="54"/>
      <c r="X14" s="49"/>
      <c r="Y14" s="54"/>
      <c r="AC14" s="49"/>
      <c r="AD14" s="54"/>
      <c r="AH14" s="49"/>
      <c r="AI14" s="54"/>
      <c r="AM14" s="49"/>
      <c r="AN14" s="54"/>
      <c r="AR14" s="49"/>
      <c r="AS14" s="54"/>
      <c r="BB14" s="49"/>
      <c r="BC14" s="54"/>
      <c r="BG14" s="49"/>
      <c r="BH14" s="54"/>
      <c r="BL14" s="49"/>
      <c r="BM14" s="54"/>
      <c r="BQ14" s="49"/>
      <c r="BR14" s="54"/>
      <c r="BV14" s="49"/>
      <c r="BW14" s="54"/>
      <c r="CA14" s="49"/>
      <c r="CB14" s="61"/>
    </row>
    <row r="15" spans="2:80" ht="30" customHeight="1" x14ac:dyDescent="0.25">
      <c r="B15" s="36" t="s">
        <v>15</v>
      </c>
      <c r="C15" s="35" t="s">
        <v>16</v>
      </c>
      <c r="S15" s="18"/>
      <c r="T15" s="54"/>
      <c r="X15" s="49"/>
      <c r="Y15" s="54"/>
      <c r="AC15" s="49"/>
      <c r="AD15" s="54"/>
      <c r="AH15" s="49"/>
      <c r="AI15" s="54"/>
      <c r="AM15" s="49"/>
      <c r="AN15" s="54"/>
      <c r="AR15" s="49"/>
      <c r="AS15" s="54"/>
      <c r="BB15" s="49"/>
      <c r="BC15" s="54"/>
      <c r="BG15" s="49"/>
      <c r="BH15" s="54"/>
      <c r="BL15" s="49"/>
      <c r="BM15" s="54"/>
      <c r="BQ15" s="49"/>
      <c r="BR15" s="54"/>
      <c r="BV15" s="49"/>
      <c r="BW15" s="54"/>
      <c r="CA15" s="49"/>
      <c r="CB15" s="61"/>
    </row>
    <row r="16" spans="2:80" ht="30" customHeight="1" x14ac:dyDescent="0.25">
      <c r="B16" s="36">
        <v>0</v>
      </c>
      <c r="C16" s="35" t="s">
        <v>17</v>
      </c>
      <c r="S16" s="18"/>
      <c r="T16" s="54"/>
      <c r="X16" s="49"/>
      <c r="Y16" s="54"/>
      <c r="AC16" s="49"/>
      <c r="AD16" s="54"/>
      <c r="AH16" s="49"/>
      <c r="AI16" s="54"/>
      <c r="AM16" s="49"/>
      <c r="AN16" s="54"/>
      <c r="AR16" s="49"/>
      <c r="AS16" s="54"/>
      <c r="BB16" s="49"/>
      <c r="BC16" s="54"/>
      <c r="BG16" s="49"/>
      <c r="BH16" s="54"/>
      <c r="BL16" s="49"/>
      <c r="BM16" s="54"/>
      <c r="BQ16" s="49"/>
      <c r="BR16" s="54"/>
      <c r="BV16" s="49"/>
      <c r="BW16" s="54"/>
      <c r="CA16" s="49"/>
      <c r="CB16" s="61"/>
    </row>
    <row r="17" spans="9:80" ht="30" customHeight="1" x14ac:dyDescent="0.25">
      <c r="S17" s="18"/>
      <c r="T17" s="54"/>
      <c r="X17" s="49"/>
      <c r="Y17" s="54"/>
      <c r="AC17" s="49"/>
      <c r="AD17" s="54"/>
      <c r="AH17" s="49"/>
      <c r="AI17" s="54"/>
      <c r="AM17" s="49"/>
      <c r="AN17" s="54"/>
      <c r="AR17" s="49"/>
      <c r="AS17" s="54"/>
      <c r="BB17" s="49"/>
      <c r="BC17" s="54"/>
      <c r="BG17" s="49"/>
      <c r="BH17" s="54"/>
      <c r="BL17" s="49"/>
      <c r="BM17" s="54"/>
      <c r="BQ17" s="49"/>
      <c r="BR17" s="54"/>
      <c r="BV17" s="49"/>
      <c r="BW17" s="54"/>
      <c r="CA17" s="49"/>
      <c r="CB17" s="61"/>
    </row>
    <row r="18" spans="9:80" ht="30" customHeight="1" x14ac:dyDescent="0.25">
      <c r="I18" s="37" t="s">
        <v>8</v>
      </c>
      <c r="J18" s="37" t="s">
        <v>10</v>
      </c>
      <c r="K18" s="38" t="s">
        <v>12</v>
      </c>
      <c r="L18" s="38">
        <v>5</v>
      </c>
      <c r="M18" s="38" t="s">
        <v>15</v>
      </c>
      <c r="N18" s="38">
        <v>0</v>
      </c>
      <c r="S18" s="18"/>
      <c r="T18" s="54"/>
      <c r="X18" s="49"/>
      <c r="Y18" s="54"/>
      <c r="AC18" s="49"/>
      <c r="AD18" s="54"/>
      <c r="AH18" s="49"/>
      <c r="AI18" s="54"/>
      <c r="AM18" s="49"/>
      <c r="AN18" s="54"/>
      <c r="AR18" s="49"/>
      <c r="AS18" s="54"/>
      <c r="BB18" s="49"/>
      <c r="BC18" s="54"/>
      <c r="BG18" s="49"/>
      <c r="BH18" s="54"/>
      <c r="BL18" s="49"/>
      <c r="BM18" s="54"/>
      <c r="BQ18" s="49"/>
      <c r="BR18" s="54"/>
      <c r="BV18" s="49"/>
      <c r="BW18" s="54"/>
      <c r="CA18" s="49"/>
      <c r="CB18" s="61"/>
    </row>
    <row r="19" spans="9:80" ht="30" customHeight="1" x14ac:dyDescent="0.25">
      <c r="I19" s="98" t="s">
        <v>9</v>
      </c>
      <c r="J19" s="32" t="s">
        <v>11</v>
      </c>
      <c r="K19" s="32" t="s">
        <v>13</v>
      </c>
      <c r="L19" s="32" t="s">
        <v>14</v>
      </c>
      <c r="M19" s="32" t="s">
        <v>16</v>
      </c>
      <c r="N19" s="32" t="s">
        <v>17</v>
      </c>
      <c r="S19" s="18"/>
      <c r="T19" s="54"/>
      <c r="X19" s="49"/>
      <c r="Y19" s="54"/>
      <c r="AC19" s="49"/>
      <c r="AD19" s="54"/>
      <c r="AH19" s="49"/>
      <c r="AI19" s="54"/>
      <c r="AM19" s="49"/>
      <c r="AN19" s="54"/>
      <c r="AR19" s="49"/>
      <c r="AS19" s="54"/>
      <c r="BB19" s="49"/>
      <c r="BC19" s="54"/>
      <c r="BG19" s="49"/>
      <c r="BH19" s="54"/>
      <c r="BL19" s="49"/>
      <c r="BM19" s="54"/>
      <c r="BQ19" s="49"/>
      <c r="BR19" s="54"/>
      <c r="BV19" s="49"/>
      <c r="BW19" s="54"/>
      <c r="CA19" s="49"/>
      <c r="CB19" s="61"/>
    </row>
    <row r="20" spans="9:80" ht="30" customHeight="1" x14ac:dyDescent="0.25">
      <c r="I20" s="99"/>
      <c r="S20" s="18"/>
      <c r="T20" s="54"/>
      <c r="X20" s="49"/>
      <c r="Y20" s="54"/>
      <c r="AC20" s="49"/>
      <c r="AD20" s="54"/>
      <c r="AH20" s="49"/>
      <c r="AI20" s="54"/>
      <c r="AM20" s="49"/>
      <c r="AN20" s="54"/>
      <c r="AR20" s="49"/>
      <c r="AS20" s="54"/>
      <c r="BB20" s="49"/>
      <c r="BC20" s="54"/>
      <c r="BG20" s="49"/>
      <c r="BH20" s="54"/>
      <c r="BL20" s="49"/>
      <c r="BM20" s="54"/>
      <c r="BQ20" s="49"/>
      <c r="BR20" s="54"/>
      <c r="BV20" s="49"/>
      <c r="BW20" s="54"/>
      <c r="CA20" s="49"/>
      <c r="CB20" s="61"/>
    </row>
    <row r="21" spans="9:80" ht="30" customHeight="1" x14ac:dyDescent="0.25">
      <c r="I21" s="99"/>
      <c r="S21" s="18"/>
      <c r="T21" s="54"/>
      <c r="X21" s="49"/>
      <c r="Y21" s="54"/>
      <c r="AC21" s="49"/>
      <c r="AD21" s="54"/>
      <c r="AH21" s="49"/>
      <c r="AI21" s="54"/>
      <c r="AM21" s="49"/>
      <c r="AN21" s="54"/>
      <c r="AR21" s="49"/>
      <c r="AS21" s="54"/>
      <c r="BB21" s="49"/>
      <c r="BC21" s="54"/>
      <c r="BG21" s="49"/>
      <c r="BH21" s="54"/>
      <c r="BL21" s="49"/>
      <c r="BM21" s="54"/>
      <c r="BQ21" s="49"/>
      <c r="BR21" s="54"/>
      <c r="BV21" s="49"/>
      <c r="BW21" s="54"/>
      <c r="CA21" s="49"/>
      <c r="CB21" s="61"/>
    </row>
    <row r="22" spans="9:80" ht="30" customHeight="1" x14ac:dyDescent="0.25">
      <c r="I22" s="99"/>
      <c r="S22" s="18"/>
      <c r="T22" s="54"/>
      <c r="X22" s="49"/>
      <c r="Y22" s="54"/>
      <c r="AC22" s="49"/>
      <c r="AD22" s="54"/>
      <c r="AH22" s="49"/>
      <c r="AI22" s="54"/>
      <c r="AM22" s="49"/>
      <c r="AN22" s="54"/>
      <c r="AR22" s="49"/>
      <c r="AS22" s="54"/>
      <c r="BB22" s="49"/>
      <c r="BC22" s="54"/>
      <c r="BG22" s="49"/>
      <c r="BH22" s="54"/>
      <c r="BL22" s="49"/>
      <c r="BM22" s="54"/>
      <c r="BQ22" s="49"/>
      <c r="BR22" s="54"/>
      <c r="BV22" s="49"/>
      <c r="BW22" s="54"/>
      <c r="CA22" s="49"/>
      <c r="CB22" s="61"/>
    </row>
    <row r="23" spans="9:80" ht="30" customHeight="1" x14ac:dyDescent="0.25">
      <c r="I23" s="99"/>
      <c r="S23" s="18"/>
      <c r="T23" s="54"/>
      <c r="X23" s="49"/>
      <c r="Y23" s="54"/>
      <c r="AC23" s="49"/>
      <c r="AD23" s="54"/>
      <c r="AH23" s="49"/>
      <c r="AI23" s="54"/>
      <c r="AM23" s="49"/>
      <c r="AN23" s="54"/>
      <c r="AR23" s="49"/>
      <c r="AS23" s="54"/>
      <c r="BB23" s="49"/>
      <c r="BC23" s="54"/>
      <c r="BG23" s="49"/>
      <c r="BH23" s="54"/>
      <c r="BL23" s="49"/>
      <c r="BM23" s="54"/>
      <c r="BQ23" s="49"/>
      <c r="BR23" s="54"/>
      <c r="BV23" s="49"/>
      <c r="BW23" s="54"/>
      <c r="CA23" s="49"/>
      <c r="CB23" s="61"/>
    </row>
    <row r="24" spans="9:80" ht="30" customHeight="1" x14ac:dyDescent="0.25">
      <c r="S24" s="18"/>
      <c r="T24" s="54"/>
      <c r="X24" s="49"/>
      <c r="Y24" s="54"/>
      <c r="AC24" s="49"/>
      <c r="AD24" s="54"/>
      <c r="AH24" s="49"/>
      <c r="AI24" s="54"/>
      <c r="AM24" s="49"/>
      <c r="AN24" s="54"/>
      <c r="AR24" s="49"/>
      <c r="AS24" s="54"/>
      <c r="BB24" s="49"/>
      <c r="BC24" s="54"/>
      <c r="BG24" s="49"/>
      <c r="BH24" s="54"/>
      <c r="BL24" s="49"/>
      <c r="BM24" s="54"/>
      <c r="BQ24" s="49"/>
      <c r="BR24" s="54"/>
      <c r="BV24" s="49"/>
      <c r="BW24" s="54"/>
      <c r="CA24" s="49"/>
      <c r="CB24" s="61"/>
    </row>
    <row r="25" spans="9:80" ht="30" customHeight="1" x14ac:dyDescent="0.25">
      <c r="S25" s="18"/>
      <c r="T25" s="54"/>
      <c r="X25" s="49"/>
      <c r="Y25" s="54"/>
      <c r="AC25" s="49"/>
      <c r="AD25" s="54"/>
      <c r="AH25" s="49"/>
      <c r="AI25" s="54"/>
      <c r="AM25" s="49"/>
      <c r="AN25" s="54"/>
      <c r="AR25" s="49"/>
      <c r="AS25" s="54"/>
      <c r="BB25" s="49"/>
      <c r="BC25" s="54"/>
      <c r="BG25" s="49"/>
      <c r="BH25" s="54"/>
      <c r="BL25" s="49"/>
      <c r="BM25" s="54"/>
      <c r="BQ25" s="49"/>
      <c r="BR25" s="54"/>
      <c r="BV25" s="49"/>
      <c r="BW25" s="54"/>
      <c r="CA25" s="49"/>
      <c r="CB25" s="61"/>
    </row>
    <row r="26" spans="9:80" ht="30" customHeight="1" x14ac:dyDescent="0.25">
      <c r="S26" s="18"/>
      <c r="T26" s="54"/>
      <c r="X26" s="49"/>
      <c r="Y26" s="54"/>
      <c r="AC26" s="49"/>
      <c r="AD26" s="54"/>
      <c r="AH26" s="49"/>
      <c r="AI26" s="54"/>
      <c r="AM26" s="49"/>
      <c r="AN26" s="54"/>
      <c r="AR26" s="49"/>
      <c r="AS26" s="54"/>
      <c r="BB26" s="49"/>
      <c r="BC26" s="54"/>
      <c r="BG26" s="49"/>
      <c r="BH26" s="54"/>
      <c r="BL26" s="49"/>
      <c r="BM26" s="54"/>
      <c r="BQ26" s="49"/>
      <c r="BR26" s="54"/>
      <c r="BV26" s="49"/>
      <c r="BW26" s="54"/>
      <c r="CA26" s="49"/>
      <c r="CB26" s="61"/>
    </row>
    <row r="27" spans="9:80" ht="30" customHeight="1" x14ac:dyDescent="0.25">
      <c r="S27" s="18"/>
      <c r="T27" s="54"/>
      <c r="X27" s="49"/>
      <c r="Y27" s="54"/>
      <c r="AC27" s="49"/>
      <c r="AD27" s="54"/>
      <c r="AH27" s="49"/>
      <c r="AI27" s="54"/>
      <c r="AM27" s="49"/>
      <c r="AN27" s="54"/>
      <c r="AR27" s="49"/>
      <c r="AS27" s="54"/>
      <c r="BB27" s="49"/>
      <c r="BC27" s="54"/>
      <c r="BG27" s="49"/>
      <c r="BH27" s="54"/>
      <c r="BL27" s="49"/>
      <c r="BM27" s="54"/>
      <c r="BQ27" s="49"/>
      <c r="BR27" s="54"/>
      <c r="BV27" s="49"/>
      <c r="BW27" s="54"/>
      <c r="CA27" s="49"/>
      <c r="CB27" s="61"/>
    </row>
    <row r="28" spans="9:80" ht="30" customHeight="1" x14ac:dyDescent="0.25">
      <c r="S28" s="18"/>
      <c r="T28" s="54"/>
      <c r="X28" s="49"/>
      <c r="Y28" s="54"/>
      <c r="AC28" s="49"/>
      <c r="AD28" s="54"/>
      <c r="AH28" s="49"/>
      <c r="AI28" s="54"/>
      <c r="AM28" s="49"/>
      <c r="AN28" s="54"/>
      <c r="AR28" s="49"/>
      <c r="AS28" s="54"/>
      <c r="BB28" s="49"/>
      <c r="BC28" s="54"/>
      <c r="BG28" s="49"/>
      <c r="BH28" s="54"/>
      <c r="BL28" s="49"/>
      <c r="BM28" s="54"/>
      <c r="BQ28" s="49"/>
      <c r="BR28" s="54"/>
      <c r="BV28" s="49"/>
      <c r="BW28" s="54"/>
      <c r="CA28" s="49"/>
      <c r="CB28" s="61"/>
    </row>
    <row r="29" spans="9:80" ht="30" customHeight="1" x14ac:dyDescent="0.25">
      <c r="S29" s="18"/>
      <c r="T29" s="54"/>
      <c r="X29" s="49"/>
      <c r="Y29" s="54"/>
      <c r="AC29" s="49"/>
      <c r="AD29" s="54"/>
      <c r="AH29" s="49"/>
      <c r="AI29" s="54"/>
      <c r="AM29" s="49"/>
      <c r="AN29" s="54"/>
      <c r="AR29" s="49"/>
      <c r="AS29" s="54"/>
      <c r="BB29" s="49"/>
      <c r="BC29" s="54"/>
      <c r="BG29" s="49"/>
      <c r="BH29" s="54"/>
      <c r="BL29" s="49"/>
      <c r="BM29" s="54"/>
      <c r="BQ29" s="49"/>
      <c r="BR29" s="54"/>
      <c r="BV29" s="49"/>
      <c r="BW29" s="54"/>
      <c r="CA29" s="49"/>
      <c r="CB29" s="61"/>
    </row>
    <row r="30" spans="9:80" ht="30" customHeight="1" x14ac:dyDescent="0.25">
      <c r="S30" s="18"/>
      <c r="T30" s="54"/>
      <c r="X30" s="49"/>
      <c r="Y30" s="54"/>
      <c r="AC30" s="49"/>
      <c r="AD30" s="54"/>
      <c r="AH30" s="49"/>
      <c r="AI30" s="54"/>
      <c r="AM30" s="49"/>
      <c r="AN30" s="54"/>
      <c r="AR30" s="49"/>
      <c r="AS30" s="54"/>
      <c r="BB30" s="49"/>
      <c r="BC30" s="54"/>
      <c r="BG30" s="49"/>
      <c r="BH30" s="54"/>
      <c r="BL30" s="49"/>
      <c r="BM30" s="54"/>
      <c r="BQ30" s="49"/>
      <c r="BR30" s="54"/>
      <c r="BV30" s="49"/>
      <c r="BW30" s="54"/>
      <c r="CA30" s="49"/>
      <c r="CB30" s="61"/>
    </row>
    <row r="31" spans="9:80" ht="30" customHeight="1" x14ac:dyDescent="0.25">
      <c r="S31" s="18"/>
      <c r="T31" s="54"/>
      <c r="X31" s="49"/>
      <c r="Y31" s="54"/>
      <c r="AC31" s="49"/>
      <c r="AD31" s="54"/>
      <c r="AH31" s="49"/>
      <c r="AI31" s="54"/>
      <c r="AM31" s="49"/>
      <c r="AN31" s="54"/>
      <c r="AR31" s="49"/>
      <c r="AS31" s="54"/>
      <c r="BB31" s="49"/>
      <c r="BC31" s="54"/>
      <c r="BG31" s="49"/>
      <c r="BH31" s="54"/>
      <c r="BL31" s="49"/>
      <c r="BM31" s="54"/>
      <c r="BQ31" s="49"/>
      <c r="BR31" s="54"/>
      <c r="BV31" s="49"/>
      <c r="BW31" s="54"/>
      <c r="CA31" s="49"/>
      <c r="CB31" s="61"/>
    </row>
    <row r="32" spans="9:80" ht="30" customHeight="1" x14ac:dyDescent="0.25">
      <c r="S32" s="18"/>
      <c r="T32" s="54"/>
      <c r="X32" s="49"/>
      <c r="Y32" s="54"/>
      <c r="AC32" s="49"/>
      <c r="AD32" s="54"/>
      <c r="AH32" s="49"/>
      <c r="AI32" s="54"/>
      <c r="AM32" s="49"/>
      <c r="AN32" s="54"/>
      <c r="AR32" s="49"/>
      <c r="AS32" s="54"/>
      <c r="BB32" s="49"/>
      <c r="BC32" s="54"/>
      <c r="BG32" s="49"/>
      <c r="BH32" s="54"/>
      <c r="BL32" s="49"/>
      <c r="BM32" s="54"/>
      <c r="BQ32" s="49"/>
      <c r="BR32" s="54"/>
      <c r="BV32" s="49"/>
      <c r="BW32" s="54"/>
      <c r="CA32" s="49"/>
      <c r="CB32" s="61"/>
    </row>
    <row r="33" spans="1:109" ht="30" customHeight="1" x14ac:dyDescent="0.25">
      <c r="S33" s="18"/>
      <c r="T33" s="54"/>
      <c r="X33" s="49"/>
      <c r="Y33" s="54"/>
      <c r="AC33" s="49"/>
      <c r="AD33" s="54"/>
      <c r="AH33" s="49"/>
      <c r="AI33" s="54"/>
      <c r="AM33" s="49"/>
      <c r="AN33" s="54"/>
      <c r="AR33" s="49"/>
      <c r="AS33" s="54"/>
      <c r="BB33" s="49"/>
      <c r="BC33" s="54"/>
      <c r="BG33" s="49"/>
      <c r="BH33" s="54"/>
      <c r="BL33" s="49"/>
      <c r="BM33" s="54"/>
      <c r="BQ33" s="49"/>
      <c r="BR33" s="54"/>
      <c r="BV33" s="49"/>
      <c r="BW33" s="54"/>
      <c r="CA33" s="49"/>
      <c r="CB33" s="61"/>
    </row>
    <row r="34" spans="1:109" ht="30" customHeight="1" x14ac:dyDescent="0.25">
      <c r="S34" s="18"/>
      <c r="T34" s="54"/>
      <c r="X34" s="49"/>
      <c r="Y34" s="54"/>
      <c r="AC34" s="49"/>
      <c r="AD34" s="54"/>
      <c r="AH34" s="49"/>
      <c r="AI34" s="54"/>
      <c r="AM34" s="49"/>
      <c r="AN34" s="54"/>
      <c r="AR34" s="49"/>
      <c r="AS34" s="54"/>
      <c r="BB34" s="49"/>
      <c r="BC34" s="54"/>
      <c r="BG34" s="49"/>
      <c r="BH34" s="54"/>
      <c r="BL34" s="49"/>
      <c r="BM34" s="54"/>
      <c r="BQ34" s="49"/>
      <c r="BR34" s="54"/>
      <c r="BV34" s="49"/>
      <c r="BW34" s="54"/>
      <c r="CA34" s="49"/>
      <c r="CB34" s="61"/>
    </row>
    <row r="35" spans="1:109" ht="30" customHeight="1" x14ac:dyDescent="0.25">
      <c r="S35" s="18"/>
      <c r="T35" s="54"/>
      <c r="X35" s="49"/>
      <c r="Y35" s="54"/>
      <c r="AC35" s="49"/>
      <c r="AD35" s="54"/>
      <c r="AH35" s="49"/>
      <c r="AI35" s="54"/>
      <c r="AM35" s="49"/>
      <c r="AN35" s="54"/>
      <c r="AR35" s="49"/>
      <c r="AS35" s="54"/>
      <c r="BB35" s="49"/>
      <c r="BC35" s="54"/>
      <c r="BG35" s="49"/>
      <c r="BH35" s="54"/>
      <c r="BL35" s="49"/>
      <c r="BM35" s="54"/>
      <c r="BQ35" s="49"/>
      <c r="BR35" s="54"/>
      <c r="BV35" s="49"/>
      <c r="BW35" s="54"/>
      <c r="CA35" s="49"/>
      <c r="CB35" s="61"/>
    </row>
    <row r="36" spans="1:109" ht="30" customHeight="1" x14ac:dyDescent="0.25">
      <c r="S36" s="18"/>
      <c r="T36" s="54"/>
      <c r="X36" s="49"/>
      <c r="Y36" s="54"/>
      <c r="AC36" s="49"/>
      <c r="AD36" s="54"/>
      <c r="AH36" s="49"/>
      <c r="AI36" s="54"/>
      <c r="AM36" s="49"/>
      <c r="AN36" s="54"/>
      <c r="AR36" s="49"/>
      <c r="AS36" s="54"/>
      <c r="BB36" s="49"/>
      <c r="BC36" s="54"/>
      <c r="BG36" s="49"/>
      <c r="BH36" s="54"/>
      <c r="BL36" s="49"/>
      <c r="BM36" s="54"/>
      <c r="BQ36" s="49"/>
      <c r="BR36" s="54"/>
      <c r="BV36" s="49"/>
      <c r="BW36" s="54"/>
      <c r="CA36" s="49"/>
      <c r="CB36" s="61"/>
    </row>
    <row r="37" spans="1:109" ht="30" customHeight="1" x14ac:dyDescent="0.25">
      <c r="S37" s="18"/>
      <c r="T37" s="54"/>
      <c r="X37" s="49"/>
      <c r="Y37" s="54"/>
      <c r="AC37" s="49"/>
      <c r="AD37" s="54"/>
      <c r="AH37" s="49"/>
      <c r="AI37" s="54"/>
      <c r="AM37" s="49"/>
      <c r="AN37" s="54"/>
      <c r="AR37" s="49"/>
      <c r="AS37" s="54"/>
      <c r="BB37" s="49"/>
      <c r="BC37" s="54"/>
      <c r="BG37" s="49"/>
      <c r="BH37" s="54"/>
      <c r="BL37" s="49"/>
      <c r="BM37" s="54"/>
      <c r="BQ37" s="49"/>
      <c r="BR37" s="54"/>
      <c r="BV37" s="49"/>
      <c r="BW37" s="54"/>
      <c r="CA37" s="49"/>
      <c r="CB37" s="61"/>
    </row>
    <row r="38" spans="1:109" ht="30" customHeight="1" x14ac:dyDescent="0.25">
      <c r="S38" s="18"/>
      <c r="T38" s="54"/>
      <c r="X38" s="49"/>
      <c r="Y38" s="54"/>
      <c r="AC38" s="49"/>
      <c r="AD38" s="54"/>
      <c r="AH38" s="49"/>
      <c r="AI38" s="54"/>
      <c r="AM38" s="49"/>
      <c r="AN38" s="54"/>
      <c r="AR38" s="49"/>
      <c r="AS38" s="54"/>
      <c r="BB38" s="49"/>
      <c r="BC38" s="54"/>
      <c r="BG38" s="49"/>
      <c r="BH38" s="54"/>
      <c r="BL38" s="49"/>
      <c r="BM38" s="54"/>
      <c r="BQ38" s="49"/>
      <c r="BR38" s="54"/>
      <c r="BV38" s="49"/>
      <c r="BW38" s="54"/>
      <c r="CA38" s="49"/>
      <c r="CB38" s="61"/>
    </row>
    <row r="39" spans="1:109" ht="30" customHeight="1" x14ac:dyDescent="0.25">
      <c r="S39" s="18"/>
      <c r="T39" s="54"/>
      <c r="X39" s="49"/>
      <c r="Y39" s="54"/>
      <c r="AC39" s="49"/>
      <c r="AD39" s="54"/>
      <c r="AH39" s="49"/>
      <c r="AI39" s="54"/>
      <c r="AM39" s="49"/>
      <c r="AN39" s="54"/>
      <c r="AR39" s="49"/>
      <c r="AS39" s="54"/>
      <c r="BB39" s="49"/>
      <c r="BC39" s="54"/>
      <c r="BG39" s="49"/>
      <c r="BH39" s="54"/>
      <c r="BL39" s="49"/>
      <c r="BM39" s="54"/>
      <c r="BQ39" s="49"/>
      <c r="BR39" s="54"/>
      <c r="BV39" s="49"/>
      <c r="BW39" s="54"/>
      <c r="CA39" s="49"/>
      <c r="CB39" s="61"/>
    </row>
    <row r="40" spans="1:109" ht="30" customHeight="1" x14ac:dyDescent="0.25">
      <c r="S40" s="18"/>
      <c r="T40" s="54"/>
      <c r="X40" s="49"/>
      <c r="Y40" s="54"/>
      <c r="AC40" s="49"/>
      <c r="AD40" s="54"/>
      <c r="AH40" s="49"/>
      <c r="AI40" s="54"/>
      <c r="AM40" s="49"/>
      <c r="AN40" s="54"/>
      <c r="AR40" s="49"/>
      <c r="AS40" s="54"/>
      <c r="BB40" s="49"/>
      <c r="BC40" s="54"/>
      <c r="BG40" s="49"/>
      <c r="BH40" s="54"/>
      <c r="BL40" s="49"/>
      <c r="BM40" s="54"/>
      <c r="BQ40" s="49"/>
      <c r="BR40" s="54"/>
      <c r="BV40" s="49"/>
      <c r="BW40" s="54"/>
      <c r="CA40" s="49"/>
      <c r="CB40" s="61"/>
    </row>
    <row r="41" spans="1:109" ht="30" customHeight="1" x14ac:dyDescent="0.25">
      <c r="S41" s="18"/>
      <c r="T41" s="54"/>
      <c r="X41" s="49"/>
      <c r="Y41" s="54"/>
      <c r="AC41" s="49"/>
      <c r="AD41" s="54"/>
      <c r="AH41" s="49"/>
      <c r="AI41" s="54"/>
      <c r="AM41" s="49"/>
      <c r="AN41" s="54"/>
      <c r="AR41" s="49"/>
      <c r="AS41" s="54"/>
      <c r="BB41" s="49"/>
      <c r="BC41" s="54"/>
      <c r="BG41" s="49"/>
      <c r="BH41" s="54"/>
      <c r="BL41" s="49"/>
      <c r="BM41" s="54"/>
      <c r="BQ41" s="49"/>
      <c r="BR41" s="54"/>
      <c r="BV41" s="49"/>
      <c r="BW41" s="54"/>
      <c r="CA41" s="150" t="s">
        <v>26</v>
      </c>
      <c r="CB41" s="61"/>
    </row>
    <row r="42" spans="1:109" ht="30" customHeight="1" x14ac:dyDescent="0.25">
      <c r="S42" s="142" t="s">
        <v>27</v>
      </c>
      <c r="T42" s="143"/>
      <c r="X42" s="49"/>
      <c r="Y42" s="54"/>
      <c r="AC42" s="49"/>
      <c r="AD42" s="54"/>
      <c r="AH42" s="49"/>
      <c r="AI42" s="54"/>
      <c r="AM42" s="49"/>
      <c r="AN42" s="54"/>
      <c r="AR42" s="49"/>
      <c r="AS42" s="54"/>
      <c r="BB42" s="49"/>
      <c r="BC42" s="54"/>
      <c r="BG42" s="49"/>
      <c r="BH42" s="54"/>
      <c r="BL42" s="49"/>
      <c r="BM42" s="54"/>
      <c r="BQ42" s="49"/>
      <c r="BR42" s="54"/>
      <c r="BV42" s="49"/>
      <c r="BW42" s="54"/>
      <c r="CA42" s="139" t="s">
        <v>26</v>
      </c>
      <c r="CB42" s="140"/>
    </row>
    <row r="43" spans="1:109" s="1" customFormat="1" ht="30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144"/>
      <c r="T43" s="144"/>
      <c r="Y43" s="55"/>
      <c r="AD43" s="55"/>
      <c r="AI43" s="55"/>
      <c r="AN43" s="55"/>
      <c r="AS43" s="55"/>
      <c r="AX43" s="5"/>
      <c r="BC43" s="55"/>
      <c r="BH43" s="55"/>
      <c r="BM43" s="55"/>
      <c r="BR43" s="55"/>
      <c r="BW43" s="55"/>
      <c r="CA43" s="141"/>
      <c r="CB43" s="141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</row>
    <row r="44" spans="1:109" ht="11.25" customHeight="1" x14ac:dyDescent="0.25">
      <c r="S44" s="22"/>
      <c r="T44" s="8"/>
      <c r="U44" s="7"/>
      <c r="V44" s="7"/>
      <c r="W44" s="7"/>
      <c r="X44" s="7"/>
      <c r="Y44" s="8"/>
      <c r="Z44" s="7"/>
      <c r="AA44" s="7"/>
      <c r="AB44" s="7"/>
      <c r="AC44" s="7"/>
      <c r="AD44" s="8"/>
      <c r="AE44" s="7"/>
      <c r="AF44" s="7"/>
      <c r="AG44" s="7"/>
      <c r="AH44" s="7"/>
      <c r="AI44" s="8"/>
      <c r="AJ44" s="7"/>
      <c r="AK44" s="7"/>
      <c r="AL44" s="7"/>
      <c r="AM44" s="7"/>
      <c r="AN44" s="8"/>
      <c r="AO44" s="7"/>
      <c r="AP44" s="7"/>
      <c r="AQ44" s="7"/>
      <c r="AR44" s="7"/>
      <c r="AS44" s="8"/>
      <c r="AT44" s="7"/>
      <c r="AU44" s="7"/>
      <c r="AV44" s="7"/>
      <c r="AW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23"/>
    </row>
    <row r="45" spans="1:109" ht="11.25" customHeight="1" x14ac:dyDescent="0.25">
      <c r="S45" s="24"/>
      <c r="T45" s="8"/>
      <c r="X45" s="10"/>
      <c r="Y45" s="8"/>
      <c r="AC45" s="10"/>
      <c r="AD45" s="8"/>
      <c r="AH45" s="10"/>
      <c r="AI45" s="8"/>
      <c r="AM45" s="10"/>
      <c r="AN45" s="8"/>
      <c r="AR45" s="10"/>
      <c r="AS45" s="8"/>
      <c r="AW45" s="10"/>
      <c r="BB45" s="10"/>
      <c r="BC45" s="8"/>
      <c r="BG45" s="10"/>
      <c r="BH45" s="8"/>
      <c r="BL45" s="10"/>
      <c r="BM45" s="8"/>
      <c r="BQ45" s="10"/>
      <c r="BR45" s="8"/>
      <c r="BV45" s="10"/>
      <c r="BW45" s="8"/>
      <c r="CA45" s="10"/>
      <c r="CB45" s="25"/>
      <c r="CZ45" s="10"/>
      <c r="DA45" s="8"/>
      <c r="DE45" s="10"/>
    </row>
    <row r="46" spans="1:109" ht="13.5" customHeight="1" x14ac:dyDescent="0.25">
      <c r="S46" s="148" t="s">
        <v>27</v>
      </c>
      <c r="T46" s="148"/>
      <c r="X46" s="92"/>
      <c r="Y46" s="92"/>
      <c r="AC46" s="92"/>
      <c r="AD46" s="92"/>
      <c r="AH46" s="92"/>
      <c r="AI46" s="92"/>
      <c r="AM46" s="92"/>
      <c r="AN46" s="92"/>
      <c r="AR46" s="92"/>
      <c r="AS46" s="92"/>
      <c r="BB46" s="92"/>
      <c r="BC46" s="92"/>
      <c r="BG46" s="92"/>
      <c r="BH46" s="92"/>
      <c r="BL46" s="92"/>
      <c r="BM46" s="92"/>
      <c r="BQ46" s="92"/>
      <c r="BR46" s="92"/>
      <c r="BV46" s="92"/>
      <c r="BW46" s="92"/>
      <c r="CA46" s="155" t="s">
        <v>26</v>
      </c>
      <c r="CB46" s="155"/>
    </row>
    <row r="47" spans="1:109" s="12" customFormat="1" ht="30" customHeight="1" x14ac:dyDescent="0.45">
      <c r="S47" s="148"/>
      <c r="T47" s="148"/>
      <c r="X47" s="92"/>
      <c r="Y47" s="92"/>
      <c r="AC47" s="92"/>
      <c r="AD47" s="92"/>
      <c r="AH47" s="92"/>
      <c r="AI47" s="92"/>
      <c r="AM47" s="92"/>
      <c r="AN47" s="92"/>
      <c r="AR47" s="92"/>
      <c r="AS47" s="92"/>
      <c r="AX47" s="13"/>
      <c r="BB47" s="92"/>
      <c r="BC47" s="92"/>
      <c r="BG47" s="92"/>
      <c r="BH47" s="92"/>
      <c r="BL47" s="92"/>
      <c r="BM47" s="92"/>
      <c r="BQ47" s="92"/>
      <c r="BR47" s="92"/>
      <c r="BV47" s="92"/>
      <c r="BW47" s="92"/>
      <c r="CA47" s="155"/>
      <c r="CB47" s="155"/>
    </row>
    <row r="48" spans="1:109" s="12" customFormat="1" ht="30" customHeight="1" x14ac:dyDescent="0.45">
      <c r="S48" s="47"/>
      <c r="T48" s="54"/>
      <c r="X48" s="48"/>
      <c r="Y48" s="64"/>
      <c r="AC48" s="48"/>
      <c r="AD48" s="64"/>
      <c r="AH48" s="48"/>
      <c r="AI48" s="64"/>
      <c r="AM48" s="48"/>
      <c r="AN48" s="64"/>
      <c r="AR48" s="92"/>
      <c r="AS48" s="92"/>
      <c r="AX48" s="13"/>
      <c r="BB48" s="92"/>
      <c r="BC48" s="92"/>
      <c r="BG48" s="48"/>
      <c r="BH48" s="64"/>
      <c r="BL48" s="48"/>
      <c r="BM48" s="64"/>
      <c r="BQ48" s="48"/>
      <c r="BR48" s="64"/>
      <c r="BV48" s="48"/>
      <c r="BW48" s="64"/>
      <c r="CA48" s="154"/>
      <c r="CB48" s="154"/>
    </row>
    <row r="49" spans="19:80" s="12" customFormat="1" ht="30" customHeight="1" x14ac:dyDescent="0.45">
      <c r="S49" s="47"/>
      <c r="T49" s="54"/>
      <c r="X49" s="48"/>
      <c r="Y49" s="64"/>
      <c r="AC49" s="48"/>
      <c r="AD49" s="64"/>
      <c r="AH49" s="48"/>
      <c r="AI49" s="64"/>
      <c r="AM49" s="48"/>
      <c r="AN49" s="64"/>
      <c r="AR49" s="48"/>
      <c r="AS49" s="54"/>
      <c r="AX49" s="13"/>
      <c r="BB49" s="48"/>
      <c r="BC49" s="64"/>
      <c r="BG49" s="48"/>
      <c r="BH49" s="64"/>
      <c r="BL49" s="48"/>
      <c r="BM49" s="64"/>
      <c r="BQ49" s="48"/>
      <c r="BR49" s="64"/>
      <c r="BV49" s="48"/>
      <c r="BW49" s="64"/>
      <c r="CA49" s="154"/>
      <c r="CB49" s="61"/>
    </row>
    <row r="50" spans="19:80" ht="30" customHeight="1" x14ac:dyDescent="0.25">
      <c r="S50" s="18"/>
      <c r="T50" s="54"/>
      <c r="X50" s="49"/>
      <c r="Y50" s="54"/>
      <c r="AC50" s="49"/>
      <c r="AD50" s="54"/>
      <c r="AH50" s="49"/>
      <c r="AI50" s="54"/>
      <c r="AM50" s="49"/>
      <c r="AN50" s="54"/>
      <c r="AR50" s="49"/>
      <c r="AS50" s="54"/>
      <c r="BB50" s="49"/>
      <c r="BC50" s="54"/>
      <c r="BG50" s="49"/>
      <c r="BH50" s="54"/>
      <c r="BL50" s="49"/>
      <c r="BM50" s="54"/>
      <c r="BQ50" s="49"/>
      <c r="BR50" s="54"/>
      <c r="BV50" s="49"/>
      <c r="BW50" s="54"/>
      <c r="CA50" s="49"/>
      <c r="CB50" s="61"/>
    </row>
    <row r="51" spans="19:80" ht="30" customHeight="1" x14ac:dyDescent="0.25">
      <c r="S51" s="18"/>
      <c r="T51" s="54"/>
      <c r="X51" s="49"/>
      <c r="Y51" s="54"/>
      <c r="AC51" s="49"/>
      <c r="AD51" s="54"/>
      <c r="AH51" s="49"/>
      <c r="AI51" s="54"/>
      <c r="AM51" s="49"/>
      <c r="AN51" s="54"/>
      <c r="AR51" s="49"/>
      <c r="AS51" s="54"/>
      <c r="BB51" s="49"/>
      <c r="BC51" s="54"/>
      <c r="BG51" s="49"/>
      <c r="BH51" s="54"/>
      <c r="BL51" s="49"/>
      <c r="BM51" s="54"/>
      <c r="BQ51" s="49"/>
      <c r="BR51" s="54"/>
      <c r="BV51" s="49"/>
      <c r="BW51" s="54"/>
      <c r="CA51" s="49"/>
      <c r="CB51" s="61"/>
    </row>
    <row r="52" spans="19:80" ht="30" customHeight="1" x14ac:dyDescent="0.25">
      <c r="S52" s="18"/>
      <c r="T52" s="54"/>
      <c r="X52" s="49"/>
      <c r="Y52" s="54"/>
      <c r="AC52" s="49"/>
      <c r="AD52" s="54"/>
      <c r="AH52" s="49"/>
      <c r="AI52" s="54"/>
      <c r="AM52" s="49"/>
      <c r="AN52" s="54"/>
      <c r="AR52" s="49"/>
      <c r="AS52" s="54"/>
      <c r="BB52" s="49"/>
      <c r="BC52" s="54"/>
      <c r="BG52" s="49"/>
      <c r="BH52" s="54"/>
      <c r="BL52" s="49"/>
      <c r="BM52" s="54"/>
      <c r="BQ52" s="49"/>
      <c r="BR52" s="54"/>
      <c r="BV52" s="49"/>
      <c r="BW52" s="54"/>
      <c r="CA52" s="49"/>
      <c r="CB52" s="61"/>
    </row>
    <row r="53" spans="19:80" ht="30" customHeight="1" x14ac:dyDescent="0.25">
      <c r="S53" s="18"/>
      <c r="T53" s="54"/>
      <c r="X53" s="49"/>
      <c r="Y53" s="54"/>
      <c r="AC53" s="49"/>
      <c r="AD53" s="54"/>
      <c r="AH53" s="49"/>
      <c r="AI53" s="54"/>
      <c r="AM53" s="49"/>
      <c r="AN53" s="54"/>
      <c r="AR53" s="49"/>
      <c r="AS53" s="54"/>
      <c r="BB53" s="49"/>
      <c r="BC53" s="54"/>
      <c r="BG53" s="49"/>
      <c r="BH53" s="54"/>
      <c r="BL53" s="49"/>
      <c r="BM53" s="54"/>
      <c r="BQ53" s="49"/>
      <c r="BR53" s="54"/>
      <c r="BV53" s="49"/>
      <c r="BW53" s="54"/>
      <c r="CA53" s="49"/>
      <c r="CB53" s="61"/>
    </row>
    <row r="54" spans="19:80" ht="30" customHeight="1" x14ac:dyDescent="0.25">
      <c r="S54" s="18"/>
      <c r="T54" s="54"/>
      <c r="X54" s="49"/>
      <c r="Y54" s="54"/>
      <c r="AC54" s="49"/>
      <c r="AD54" s="54"/>
      <c r="AH54" s="49"/>
      <c r="AI54" s="54"/>
      <c r="AM54" s="49"/>
      <c r="AN54" s="54"/>
      <c r="AR54" s="49"/>
      <c r="AS54" s="54"/>
      <c r="BB54" s="49"/>
      <c r="BC54" s="54"/>
      <c r="BG54" s="49"/>
      <c r="BH54" s="54"/>
      <c r="BL54" s="49"/>
      <c r="BM54" s="54"/>
      <c r="BQ54" s="49"/>
      <c r="BR54" s="54"/>
      <c r="BV54" s="49"/>
      <c r="BW54" s="54"/>
      <c r="CA54" s="49"/>
      <c r="CB54" s="61"/>
    </row>
    <row r="55" spans="19:80" ht="30" customHeight="1" x14ac:dyDescent="0.25">
      <c r="S55" s="18"/>
      <c r="T55" s="54"/>
      <c r="X55" s="49"/>
      <c r="Y55" s="54"/>
      <c r="AC55" s="49"/>
      <c r="AD55" s="54"/>
      <c r="AH55" s="49"/>
      <c r="AI55" s="54"/>
      <c r="AM55" s="49"/>
      <c r="AN55" s="54"/>
      <c r="AR55" s="49"/>
      <c r="AS55" s="54"/>
      <c r="BB55" s="49"/>
      <c r="BC55" s="54"/>
      <c r="BG55" s="49"/>
      <c r="BH55" s="54"/>
      <c r="BL55" s="49"/>
      <c r="BM55" s="54"/>
      <c r="BQ55" s="49"/>
      <c r="BR55" s="54"/>
      <c r="BV55" s="49"/>
      <c r="BW55" s="54"/>
      <c r="CA55" s="49"/>
      <c r="CB55" s="61"/>
    </row>
    <row r="56" spans="19:80" ht="30" customHeight="1" x14ac:dyDescent="0.25">
      <c r="S56" s="18"/>
      <c r="T56" s="54"/>
      <c r="X56" s="49"/>
      <c r="Y56" s="54"/>
      <c r="AC56" s="49"/>
      <c r="AD56" s="54"/>
      <c r="AH56" s="49"/>
      <c r="AI56" s="54"/>
      <c r="AM56" s="49"/>
      <c r="AN56" s="54"/>
      <c r="AR56" s="49"/>
      <c r="AS56" s="54"/>
      <c r="BB56" s="49"/>
      <c r="BC56" s="54"/>
      <c r="BG56" s="49"/>
      <c r="BH56" s="54"/>
      <c r="BL56" s="49"/>
      <c r="BM56" s="54"/>
      <c r="BQ56" s="49"/>
      <c r="BR56" s="54"/>
      <c r="BV56" s="49"/>
      <c r="BW56" s="54"/>
      <c r="CA56" s="49"/>
      <c r="CB56" s="61"/>
    </row>
    <row r="57" spans="19:80" ht="30" customHeight="1" x14ac:dyDescent="0.25">
      <c r="S57" s="18"/>
      <c r="T57" s="54"/>
      <c r="X57" s="49"/>
      <c r="Y57" s="54"/>
      <c r="AC57" s="49"/>
      <c r="AD57" s="54"/>
      <c r="AH57" s="49"/>
      <c r="AI57" s="54"/>
      <c r="AM57" s="49"/>
      <c r="AN57" s="54"/>
      <c r="AR57" s="49"/>
      <c r="AS57" s="54"/>
      <c r="BB57" s="49"/>
      <c r="BC57" s="54"/>
      <c r="BG57" s="49"/>
      <c r="BH57" s="54"/>
      <c r="BL57" s="49"/>
      <c r="BM57" s="54"/>
      <c r="BQ57" s="49"/>
      <c r="BR57" s="54"/>
      <c r="BV57" s="49"/>
      <c r="BW57" s="54"/>
      <c r="CA57" s="49"/>
      <c r="CB57" s="61"/>
    </row>
    <row r="58" spans="19:80" ht="30" customHeight="1" x14ac:dyDescent="0.25">
      <c r="S58" s="18"/>
      <c r="T58" s="54"/>
      <c r="X58" s="49"/>
      <c r="Y58" s="54"/>
      <c r="AC58" s="49"/>
      <c r="AD58" s="54"/>
      <c r="AH58" s="49"/>
      <c r="AI58" s="54"/>
      <c r="AM58" s="49"/>
      <c r="AN58" s="54"/>
      <c r="AR58" s="49"/>
      <c r="AS58" s="54"/>
      <c r="BB58" s="49"/>
      <c r="BC58" s="54"/>
      <c r="BG58" s="49"/>
      <c r="BH58" s="54"/>
      <c r="BL58" s="49"/>
      <c r="BM58" s="54"/>
      <c r="BQ58" s="49"/>
      <c r="BR58" s="54"/>
      <c r="BV58" s="49"/>
      <c r="BW58" s="54"/>
      <c r="CA58" s="49"/>
      <c r="CB58" s="61"/>
    </row>
    <row r="59" spans="19:80" ht="30" customHeight="1" x14ac:dyDescent="0.25">
      <c r="S59" s="18"/>
      <c r="T59" s="54"/>
      <c r="X59" s="49"/>
      <c r="Y59" s="54"/>
      <c r="AC59" s="49"/>
      <c r="AD59" s="54"/>
      <c r="AH59" s="49"/>
      <c r="AI59" s="54"/>
      <c r="AM59" s="49"/>
      <c r="AN59" s="54"/>
      <c r="AR59" s="49"/>
      <c r="AS59" s="54"/>
      <c r="BB59" s="49"/>
      <c r="BC59" s="54"/>
      <c r="BG59" s="49"/>
      <c r="BH59" s="54"/>
      <c r="BL59" s="49"/>
      <c r="BM59" s="54"/>
      <c r="BQ59" s="49"/>
      <c r="BR59" s="54"/>
      <c r="BV59" s="49"/>
      <c r="BW59" s="54"/>
      <c r="CA59" s="49"/>
      <c r="CB59" s="61"/>
    </row>
    <row r="60" spans="19:80" ht="30" customHeight="1" x14ac:dyDescent="0.25">
      <c r="S60" s="18"/>
      <c r="T60" s="54"/>
      <c r="X60" s="49"/>
      <c r="Y60" s="54"/>
      <c r="AC60" s="49"/>
      <c r="AD60" s="54"/>
      <c r="AH60" s="49"/>
      <c r="AI60" s="54"/>
      <c r="AM60" s="49"/>
      <c r="AN60" s="54"/>
      <c r="AR60" s="49"/>
      <c r="AS60" s="54"/>
      <c r="BB60" s="49"/>
      <c r="BC60" s="54"/>
      <c r="BG60" s="49"/>
      <c r="BH60" s="54"/>
      <c r="BL60" s="49"/>
      <c r="BM60" s="54"/>
      <c r="BQ60" s="49"/>
      <c r="BR60" s="54"/>
      <c r="BV60" s="49"/>
      <c r="BW60" s="54"/>
      <c r="CA60" s="49"/>
      <c r="CB60" s="61"/>
    </row>
    <row r="61" spans="19:80" ht="30" customHeight="1" x14ac:dyDescent="0.25">
      <c r="S61" s="18"/>
      <c r="T61" s="54"/>
      <c r="X61" s="49"/>
      <c r="Y61" s="54"/>
      <c r="AC61" s="49"/>
      <c r="AD61" s="54"/>
      <c r="AH61" s="49"/>
      <c r="AI61" s="54"/>
      <c r="AM61" s="49"/>
      <c r="AN61" s="54"/>
      <c r="AR61" s="49"/>
      <c r="AS61" s="54"/>
      <c r="BB61" s="49"/>
      <c r="BC61" s="54"/>
      <c r="BG61" s="49"/>
      <c r="BH61" s="54"/>
      <c r="BL61" s="49"/>
      <c r="BM61" s="54"/>
      <c r="BQ61" s="49"/>
      <c r="BR61" s="54"/>
      <c r="BV61" s="49"/>
      <c r="BW61" s="54"/>
      <c r="CA61" s="49"/>
      <c r="CB61" s="61"/>
    </row>
    <row r="62" spans="19:80" ht="30" customHeight="1" x14ac:dyDescent="0.25">
      <c r="S62" s="18"/>
      <c r="T62" s="54"/>
      <c r="X62" s="49"/>
      <c r="Y62" s="54"/>
      <c r="AC62" s="49"/>
      <c r="AD62" s="54"/>
      <c r="AH62" s="49"/>
      <c r="AI62" s="54"/>
      <c r="AM62" s="49"/>
      <c r="AN62" s="54"/>
      <c r="AR62" s="49"/>
      <c r="AS62" s="54"/>
      <c r="BB62" s="49"/>
      <c r="BC62" s="54"/>
      <c r="BG62" s="49"/>
      <c r="BH62" s="54"/>
      <c r="BL62" s="49"/>
      <c r="BM62" s="54"/>
      <c r="BQ62" s="49"/>
      <c r="BR62" s="54"/>
      <c r="BV62" s="49"/>
      <c r="BW62" s="54"/>
      <c r="CA62" s="49"/>
      <c r="CB62" s="61"/>
    </row>
    <row r="63" spans="19:80" ht="30" customHeight="1" x14ac:dyDescent="0.25">
      <c r="S63" s="18"/>
      <c r="T63" s="54"/>
      <c r="X63" s="49"/>
      <c r="Y63" s="54"/>
      <c r="AC63" s="49"/>
      <c r="AD63" s="54"/>
      <c r="AH63" s="49"/>
      <c r="AI63" s="54"/>
      <c r="AM63" s="49"/>
      <c r="AN63" s="54"/>
      <c r="AR63" s="49"/>
      <c r="AS63" s="54"/>
      <c r="BB63" s="49"/>
      <c r="BC63" s="54"/>
      <c r="BG63" s="49"/>
      <c r="BH63" s="54"/>
      <c r="BL63" s="49"/>
      <c r="BM63" s="54"/>
      <c r="BQ63" s="49"/>
      <c r="BR63" s="54"/>
      <c r="BV63" s="49"/>
      <c r="BW63" s="54"/>
      <c r="CA63" s="49"/>
      <c r="CB63" s="61"/>
    </row>
    <row r="64" spans="19:80" ht="30" customHeight="1" x14ac:dyDescent="0.25">
      <c r="S64" s="18"/>
      <c r="T64" s="54"/>
      <c r="X64" s="49"/>
      <c r="Y64" s="54"/>
      <c r="AC64" s="49"/>
      <c r="AD64" s="54"/>
      <c r="AH64" s="49"/>
      <c r="AI64" s="54"/>
      <c r="AM64" s="49"/>
      <c r="AN64" s="54"/>
      <c r="AR64" s="49"/>
      <c r="AS64" s="54"/>
      <c r="BB64" s="49"/>
      <c r="BC64" s="54"/>
      <c r="BG64" s="49"/>
      <c r="BH64" s="54"/>
      <c r="BL64" s="49"/>
      <c r="BM64" s="54"/>
      <c r="BQ64" s="49"/>
      <c r="BR64" s="54"/>
      <c r="BV64" s="49"/>
      <c r="BW64" s="54"/>
      <c r="CA64" s="49"/>
      <c r="CB64" s="61"/>
    </row>
    <row r="65" spans="19:80" ht="30" customHeight="1" x14ac:dyDescent="0.25">
      <c r="S65" s="18"/>
      <c r="T65" s="54"/>
      <c r="X65" s="49"/>
      <c r="Y65" s="54"/>
      <c r="AC65" s="49"/>
      <c r="AD65" s="54"/>
      <c r="AH65" s="49"/>
      <c r="AI65" s="54"/>
      <c r="AM65" s="49"/>
      <c r="AN65" s="54"/>
      <c r="AR65" s="49"/>
      <c r="AS65" s="54"/>
      <c r="BB65" s="49"/>
      <c r="BC65" s="54"/>
      <c r="BG65" s="49"/>
      <c r="BH65" s="54"/>
      <c r="BL65" s="49"/>
      <c r="BM65" s="54"/>
      <c r="BQ65" s="49"/>
      <c r="BR65" s="54"/>
      <c r="BV65" s="49"/>
      <c r="BW65" s="54"/>
      <c r="CA65" s="49"/>
      <c r="CB65" s="61"/>
    </row>
    <row r="66" spans="19:80" ht="30" customHeight="1" x14ac:dyDescent="0.25">
      <c r="S66" s="18"/>
      <c r="T66" s="54"/>
      <c r="X66" s="49"/>
      <c r="Y66" s="54"/>
      <c r="AC66" s="49"/>
      <c r="AD66" s="54"/>
      <c r="AH66" s="49"/>
      <c r="AI66" s="54"/>
      <c r="AM66" s="49"/>
      <c r="AN66" s="54"/>
      <c r="AR66" s="49"/>
      <c r="AS66" s="54"/>
      <c r="BB66" s="49"/>
      <c r="BC66" s="54"/>
      <c r="BG66" s="49"/>
      <c r="BH66" s="54"/>
      <c r="BL66" s="49"/>
      <c r="BM66" s="54"/>
      <c r="BQ66" s="49"/>
      <c r="BR66" s="54"/>
      <c r="BV66" s="49"/>
      <c r="BW66" s="54"/>
      <c r="CA66" s="49"/>
      <c r="CB66" s="61"/>
    </row>
    <row r="67" spans="19:80" ht="30" customHeight="1" x14ac:dyDescent="0.25">
      <c r="S67" s="18"/>
      <c r="T67" s="54"/>
      <c r="X67" s="49"/>
      <c r="Y67" s="54"/>
      <c r="AC67" s="49"/>
      <c r="AD67" s="54"/>
      <c r="AH67" s="49"/>
      <c r="AI67" s="54"/>
      <c r="AM67" s="49"/>
      <c r="AN67" s="54"/>
      <c r="AR67" s="49"/>
      <c r="AS67" s="54"/>
      <c r="BB67" s="49"/>
      <c r="BC67" s="54"/>
      <c r="BG67" s="49"/>
      <c r="BH67" s="54"/>
      <c r="BL67" s="49"/>
      <c r="BM67" s="54"/>
      <c r="BQ67" s="49"/>
      <c r="BR67" s="54"/>
      <c r="BV67" s="49"/>
      <c r="BW67" s="54"/>
      <c r="CA67" s="49"/>
      <c r="CB67" s="61"/>
    </row>
    <row r="68" spans="19:80" ht="30" customHeight="1" x14ac:dyDescent="0.25">
      <c r="S68" s="18"/>
      <c r="T68" s="54"/>
      <c r="X68" s="49"/>
      <c r="Y68" s="54"/>
      <c r="AC68" s="49"/>
      <c r="AD68" s="54"/>
      <c r="AH68" s="49"/>
      <c r="AI68" s="54"/>
      <c r="AM68" s="49"/>
      <c r="AN68" s="54"/>
      <c r="AR68" s="49"/>
      <c r="AS68" s="54"/>
      <c r="BB68" s="49"/>
      <c r="BC68" s="54"/>
      <c r="BG68" s="49"/>
      <c r="BH68" s="54"/>
      <c r="BL68" s="49"/>
      <c r="BM68" s="54"/>
      <c r="BQ68" s="49"/>
      <c r="BR68" s="54"/>
      <c r="BV68" s="49"/>
      <c r="BW68" s="54"/>
      <c r="CA68" s="49"/>
      <c r="CB68" s="61"/>
    </row>
    <row r="69" spans="19:80" ht="30" customHeight="1" x14ac:dyDescent="0.25">
      <c r="S69" s="18"/>
      <c r="T69" s="54"/>
      <c r="X69" s="49"/>
      <c r="Y69" s="54"/>
      <c r="AC69" s="49"/>
      <c r="AD69" s="54"/>
      <c r="AH69" s="49"/>
      <c r="AI69" s="54"/>
      <c r="AM69" s="49"/>
      <c r="AN69" s="54"/>
      <c r="AR69" s="49"/>
      <c r="AS69" s="54"/>
      <c r="BB69" s="49"/>
      <c r="BC69" s="54"/>
      <c r="BG69" s="49"/>
      <c r="BH69" s="54"/>
      <c r="BL69" s="49"/>
      <c r="BM69" s="54"/>
      <c r="BQ69" s="49"/>
      <c r="BR69" s="54"/>
      <c r="BV69" s="49"/>
      <c r="BW69" s="54"/>
      <c r="CA69" s="49"/>
      <c r="CB69" s="61"/>
    </row>
    <row r="70" spans="19:80" ht="30" customHeight="1" x14ac:dyDescent="0.25">
      <c r="S70" s="18"/>
      <c r="T70" s="54"/>
      <c r="X70" s="49"/>
      <c r="Y70" s="54"/>
      <c r="AC70" s="49"/>
      <c r="AD70" s="54"/>
      <c r="AH70" s="49"/>
      <c r="AI70" s="54"/>
      <c r="AM70" s="49"/>
      <c r="AN70" s="54"/>
      <c r="AR70" s="49"/>
      <c r="AS70" s="54"/>
      <c r="BB70" s="49"/>
      <c r="BC70" s="54"/>
      <c r="BG70" s="49"/>
      <c r="BH70" s="54"/>
      <c r="BL70" s="49"/>
      <c r="BM70" s="54"/>
      <c r="BQ70" s="49"/>
      <c r="BR70" s="54"/>
      <c r="BV70" s="49"/>
      <c r="BW70" s="54"/>
      <c r="CA70" s="49"/>
      <c r="CB70" s="61"/>
    </row>
    <row r="71" spans="19:80" ht="30" customHeight="1" x14ac:dyDescent="0.25">
      <c r="S71" s="18"/>
      <c r="T71" s="54"/>
      <c r="X71" s="49"/>
      <c r="Y71" s="54"/>
      <c r="AC71" s="49"/>
      <c r="AD71" s="54"/>
      <c r="AH71" s="49"/>
      <c r="AI71" s="54"/>
      <c r="AM71" s="49"/>
      <c r="AN71" s="54"/>
      <c r="AR71" s="49"/>
      <c r="AS71" s="54"/>
      <c r="BB71" s="49"/>
      <c r="BC71" s="54"/>
      <c r="BG71" s="49"/>
      <c r="BH71" s="54"/>
      <c r="BL71" s="49"/>
      <c r="BM71" s="54"/>
      <c r="BQ71" s="49"/>
      <c r="BR71" s="54"/>
      <c r="BV71" s="49"/>
      <c r="BW71" s="54"/>
      <c r="CA71" s="49"/>
      <c r="CB71" s="61"/>
    </row>
    <row r="72" spans="19:80" ht="30" customHeight="1" x14ac:dyDescent="0.25">
      <c r="S72" s="18"/>
      <c r="T72" s="54"/>
      <c r="X72" s="49"/>
      <c r="Y72" s="54"/>
      <c r="AC72" s="49"/>
      <c r="AD72" s="54"/>
      <c r="AH72" s="49"/>
      <c r="AI72" s="54"/>
      <c r="AM72" s="49"/>
      <c r="AN72" s="54"/>
      <c r="AR72" s="49"/>
      <c r="AS72" s="54"/>
      <c r="BB72" s="49"/>
      <c r="BC72" s="54"/>
      <c r="BG72" s="49"/>
      <c r="BH72" s="54"/>
      <c r="BL72" s="49"/>
      <c r="BM72" s="54"/>
      <c r="BQ72" s="49"/>
      <c r="BR72" s="54"/>
      <c r="BV72" s="49"/>
      <c r="BW72" s="54"/>
      <c r="CA72" s="49"/>
      <c r="CB72" s="61"/>
    </row>
    <row r="73" spans="19:80" ht="30" customHeight="1" x14ac:dyDescent="0.25">
      <c r="S73" s="18"/>
      <c r="T73" s="54"/>
      <c r="X73" s="49"/>
      <c r="Y73" s="54"/>
      <c r="AC73" s="49"/>
      <c r="AD73" s="54"/>
      <c r="AH73" s="49"/>
      <c r="AI73" s="54"/>
      <c r="AM73" s="49"/>
      <c r="AN73" s="54"/>
      <c r="AR73" s="49"/>
      <c r="AS73" s="54"/>
      <c r="BB73" s="49"/>
      <c r="BC73" s="54"/>
      <c r="BG73" s="49"/>
      <c r="BH73" s="54"/>
      <c r="BL73" s="49"/>
      <c r="BM73" s="54"/>
      <c r="BQ73" s="49"/>
      <c r="BR73" s="54"/>
      <c r="BV73" s="49"/>
      <c r="BW73" s="54"/>
      <c r="CA73" s="49"/>
      <c r="CB73" s="61"/>
    </row>
    <row r="74" spans="19:80" ht="30" customHeight="1" x14ac:dyDescent="0.25">
      <c r="S74" s="18"/>
      <c r="T74" s="54"/>
      <c r="X74" s="49"/>
      <c r="Y74" s="54"/>
      <c r="AC74" s="49"/>
      <c r="AD74" s="54"/>
      <c r="AH74" s="49"/>
      <c r="AI74" s="54"/>
      <c r="AM74" s="49"/>
      <c r="AN74" s="54"/>
      <c r="AR74" s="49"/>
      <c r="AS74" s="54"/>
      <c r="BB74" s="49"/>
      <c r="BC74" s="54"/>
      <c r="BG74" s="49"/>
      <c r="BH74" s="54"/>
      <c r="BL74" s="49"/>
      <c r="BM74" s="54"/>
      <c r="BQ74" s="49"/>
      <c r="BR74" s="54"/>
      <c r="BV74" s="49"/>
      <c r="BW74" s="54"/>
      <c r="CA74" s="49"/>
      <c r="CB74" s="61"/>
    </row>
    <row r="75" spans="19:80" ht="30" customHeight="1" x14ac:dyDescent="0.25">
      <c r="S75" s="18"/>
      <c r="T75" s="54"/>
      <c r="X75" s="49"/>
      <c r="Y75" s="54"/>
      <c r="AC75" s="49"/>
      <c r="AD75" s="54"/>
      <c r="AH75" s="49"/>
      <c r="AI75" s="54"/>
      <c r="AM75" s="49"/>
      <c r="AN75" s="54"/>
      <c r="AR75" s="49"/>
      <c r="AS75" s="54"/>
      <c r="BB75" s="49"/>
      <c r="BC75" s="54"/>
      <c r="BG75" s="49"/>
      <c r="BH75" s="54"/>
      <c r="BL75" s="49"/>
      <c r="BM75" s="54"/>
      <c r="BQ75" s="49"/>
      <c r="BR75" s="54"/>
      <c r="BV75" s="49"/>
      <c r="BW75" s="54"/>
      <c r="CA75" s="49"/>
      <c r="CB75" s="61"/>
    </row>
    <row r="76" spans="19:80" ht="30" customHeight="1" x14ac:dyDescent="0.25">
      <c r="S76" s="18"/>
      <c r="T76" s="54"/>
      <c r="X76" s="49"/>
      <c r="Y76" s="54"/>
      <c r="AC76" s="49"/>
      <c r="AD76" s="54"/>
      <c r="AH76" s="49"/>
      <c r="AI76" s="54"/>
      <c r="AM76" s="49"/>
      <c r="AN76" s="54"/>
      <c r="AR76" s="49"/>
      <c r="AS76" s="54"/>
      <c r="BB76" s="49"/>
      <c r="BC76" s="54"/>
      <c r="BG76" s="49"/>
      <c r="BH76" s="54"/>
      <c r="BL76" s="49"/>
      <c r="BM76" s="54"/>
      <c r="BQ76" s="49"/>
      <c r="BR76" s="54"/>
      <c r="BV76" s="49"/>
      <c r="BW76" s="54"/>
      <c r="CA76" s="49"/>
      <c r="CB76" s="61"/>
    </row>
    <row r="77" spans="19:80" ht="30" customHeight="1" x14ac:dyDescent="0.25">
      <c r="S77" s="93" t="s">
        <v>19</v>
      </c>
      <c r="T77" s="54"/>
      <c r="X77" s="49"/>
      <c r="Y77" s="54"/>
      <c r="AC77" s="49"/>
      <c r="AD77" s="54"/>
      <c r="AH77" s="49"/>
      <c r="AI77" s="54"/>
      <c r="AM77" s="49"/>
      <c r="AN77" s="54"/>
      <c r="AR77" s="49"/>
      <c r="AS77" s="54"/>
      <c r="BB77" s="49"/>
      <c r="BC77" s="54"/>
      <c r="BG77" s="49"/>
      <c r="BH77" s="54"/>
      <c r="BL77" s="49"/>
      <c r="BM77" s="54"/>
      <c r="BQ77" s="49"/>
      <c r="BR77" s="54"/>
      <c r="BV77" s="49"/>
      <c r="BW77" s="54"/>
      <c r="CA77" s="49"/>
      <c r="CB77" s="61"/>
    </row>
    <row r="78" spans="19:80" ht="30" customHeight="1" x14ac:dyDescent="0.25">
      <c r="S78" s="93"/>
      <c r="T78" s="54"/>
      <c r="X78" s="49"/>
      <c r="Y78" s="54"/>
      <c r="AC78" s="49"/>
      <c r="AD78" s="54"/>
      <c r="AH78" s="49"/>
      <c r="AI78" s="54"/>
      <c r="AM78" s="49"/>
      <c r="AN78" s="54"/>
      <c r="AR78" s="49"/>
      <c r="AS78" s="54"/>
      <c r="BB78" s="49"/>
      <c r="BC78" s="54"/>
      <c r="BG78" s="49"/>
      <c r="BH78" s="54"/>
      <c r="BL78" s="49"/>
      <c r="BM78" s="54"/>
      <c r="BQ78" s="49"/>
      <c r="BR78" s="54"/>
      <c r="BV78" s="49"/>
      <c r="BW78" s="54"/>
      <c r="CA78" s="49"/>
      <c r="CB78" s="61"/>
    </row>
    <row r="79" spans="19:80" ht="30" customHeight="1" x14ac:dyDescent="0.25">
      <c r="S79" s="93"/>
      <c r="T79" s="54"/>
      <c r="X79" s="49"/>
      <c r="Y79" s="54"/>
      <c r="AC79" s="49"/>
      <c r="AD79" s="54"/>
      <c r="AH79" s="49"/>
      <c r="AI79" s="54"/>
      <c r="AM79" s="49"/>
      <c r="AN79" s="54"/>
      <c r="AR79" s="49"/>
      <c r="AS79" s="54"/>
      <c r="BB79" s="49"/>
      <c r="BC79" s="54"/>
      <c r="BG79" s="49"/>
      <c r="BH79" s="54"/>
      <c r="BL79" s="49"/>
      <c r="BM79" s="54"/>
      <c r="BQ79" s="49"/>
      <c r="BR79" s="54"/>
      <c r="BV79" s="49"/>
      <c r="BW79" s="54"/>
      <c r="CA79" s="49"/>
      <c r="CB79" s="61"/>
    </row>
    <row r="80" spans="19:80" ht="30" customHeight="1" x14ac:dyDescent="0.25">
      <c r="S80" s="93"/>
      <c r="T80" s="54"/>
      <c r="X80" s="49"/>
      <c r="Y80" s="54"/>
      <c r="AC80" s="49"/>
      <c r="AD80" s="54"/>
      <c r="AH80" s="49"/>
      <c r="AI80" s="54"/>
      <c r="AM80" s="49"/>
      <c r="AN80" s="54"/>
      <c r="AR80" s="49"/>
      <c r="AS80" s="54"/>
      <c r="BB80" s="49"/>
      <c r="BC80" s="54"/>
      <c r="BG80" s="49"/>
      <c r="BH80" s="54"/>
      <c r="BL80" s="49"/>
      <c r="BM80" s="54"/>
      <c r="BQ80" s="49"/>
      <c r="BR80" s="54"/>
      <c r="BV80" s="49"/>
      <c r="BW80" s="54"/>
      <c r="CA80" s="49"/>
      <c r="CB80" s="61"/>
    </row>
    <row r="81" spans="19:80" ht="30" customHeight="1" x14ac:dyDescent="0.25">
      <c r="S81" s="93"/>
      <c r="T81" s="54"/>
      <c r="X81" s="49"/>
      <c r="Y81" s="54"/>
      <c r="AC81" s="49"/>
      <c r="AD81" s="54"/>
      <c r="AH81" s="49"/>
      <c r="AI81" s="54"/>
      <c r="AM81" s="49"/>
      <c r="AN81" s="54"/>
      <c r="AR81" s="49"/>
      <c r="AS81" s="54"/>
      <c r="BB81" s="49"/>
      <c r="BC81" s="54"/>
      <c r="BG81" s="49"/>
      <c r="BH81" s="54"/>
      <c r="BL81" s="49"/>
      <c r="BM81" s="54"/>
      <c r="BQ81" s="49"/>
      <c r="BR81" s="54"/>
      <c r="BV81" s="49"/>
      <c r="BW81" s="54"/>
      <c r="CA81" s="49"/>
      <c r="CB81" s="61"/>
    </row>
    <row r="82" spans="19:80" ht="30" customHeight="1" x14ac:dyDescent="0.25">
      <c r="S82" s="18"/>
      <c r="AS82" s="54"/>
      <c r="BB82" s="49"/>
      <c r="BC82" s="54"/>
      <c r="BG82" s="49"/>
      <c r="BH82" s="54"/>
      <c r="BL82" s="49"/>
      <c r="BM82" s="54"/>
      <c r="BQ82" s="49"/>
      <c r="BR82" s="54"/>
      <c r="BV82" s="49"/>
      <c r="BW82" s="54"/>
      <c r="CA82" s="49"/>
      <c r="CB82" s="61"/>
    </row>
    <row r="83" spans="19:80" ht="30" customHeight="1" x14ac:dyDescent="0.25">
      <c r="S83" s="18"/>
      <c r="AS83" s="54"/>
      <c r="BB83" s="49"/>
      <c r="BC83" s="54"/>
      <c r="BG83" s="49"/>
      <c r="BH83" s="54"/>
      <c r="BL83" s="49"/>
      <c r="BM83" s="54"/>
      <c r="BQ83" s="49"/>
      <c r="BR83" s="54"/>
      <c r="BV83" s="49"/>
      <c r="BW83" s="54"/>
      <c r="CA83" s="49"/>
      <c r="CB83" s="61"/>
    </row>
    <row r="84" spans="19:80" ht="30" customHeight="1" x14ac:dyDescent="0.25">
      <c r="S84" s="18"/>
      <c r="AS84" s="54"/>
      <c r="BB84" s="49"/>
      <c r="BC84" s="54"/>
      <c r="BG84" s="49"/>
      <c r="BH84" s="54"/>
      <c r="BL84" s="49"/>
      <c r="BM84" s="54"/>
      <c r="BQ84" s="49"/>
      <c r="BR84" s="54"/>
      <c r="BV84" s="49"/>
      <c r="BW84" s="54"/>
      <c r="CA84" s="49"/>
      <c r="CB84" s="61"/>
    </row>
    <row r="85" spans="19:80" ht="30" customHeight="1" x14ac:dyDescent="0.25">
      <c r="S85" s="18"/>
      <c r="AS85" s="54"/>
      <c r="BB85" s="49"/>
      <c r="BC85" s="54"/>
      <c r="BG85" s="49"/>
      <c r="BH85" s="54"/>
      <c r="BL85" s="49"/>
      <c r="BM85" s="54"/>
      <c r="BQ85" s="49"/>
      <c r="BR85" s="54"/>
      <c r="BV85" s="49"/>
      <c r="BW85" s="54"/>
      <c r="CA85" s="49"/>
      <c r="CB85" s="61"/>
    </row>
    <row r="86" spans="19:80" ht="30" customHeight="1" x14ac:dyDescent="0.25">
      <c r="S86" s="18"/>
      <c r="AS86" s="54"/>
      <c r="BB86" s="49"/>
      <c r="BC86" s="54"/>
      <c r="BG86" s="49"/>
      <c r="BH86" s="54"/>
      <c r="BL86" s="49"/>
      <c r="BM86" s="54"/>
      <c r="BQ86" s="49"/>
      <c r="BR86" s="54"/>
      <c r="BV86" s="49"/>
      <c r="BW86" s="54"/>
      <c r="CA86" s="49"/>
      <c r="CB86" s="61"/>
    </row>
    <row r="87" spans="19:80" ht="30" customHeight="1" x14ac:dyDescent="0.25">
      <c r="S87" s="18"/>
      <c r="AS87" s="54"/>
      <c r="BB87" s="49"/>
      <c r="BC87" s="54"/>
      <c r="BG87" s="49"/>
      <c r="BH87" s="54"/>
      <c r="BL87" s="49"/>
      <c r="BM87" s="54"/>
      <c r="BQ87" s="49"/>
      <c r="BR87" s="54"/>
      <c r="BV87" s="49"/>
      <c r="BW87" s="54"/>
      <c r="CA87" s="49"/>
      <c r="CB87" s="61"/>
    </row>
    <row r="88" spans="19:80" ht="30" customHeight="1" x14ac:dyDescent="0.25">
      <c r="S88" s="18"/>
      <c r="AS88" s="54"/>
      <c r="BB88" s="49"/>
      <c r="BC88" s="54"/>
      <c r="BG88" s="49"/>
      <c r="BH88" s="54"/>
      <c r="BL88" s="49"/>
      <c r="BM88" s="54"/>
      <c r="BQ88" s="49"/>
      <c r="BR88" s="54"/>
      <c r="BV88" s="49"/>
      <c r="BW88" s="54"/>
      <c r="CA88" s="49"/>
      <c r="CB88" s="61"/>
    </row>
    <row r="89" spans="19:80" ht="30" customHeight="1" x14ac:dyDescent="0.25">
      <c r="S89" s="18"/>
      <c r="AS89" s="54"/>
      <c r="BB89" s="49"/>
      <c r="BC89" s="54"/>
      <c r="BG89" s="49"/>
      <c r="BH89" s="54"/>
      <c r="BL89" s="49"/>
      <c r="BM89" s="54"/>
      <c r="BQ89" s="49"/>
      <c r="BR89" s="54"/>
      <c r="BV89" s="49"/>
      <c r="BW89" s="54"/>
      <c r="CA89" s="49"/>
      <c r="CB89" s="61"/>
    </row>
    <row r="90" spans="19:80" ht="30" customHeight="1" x14ac:dyDescent="0.25">
      <c r="S90" s="18"/>
      <c r="AS90" s="54"/>
      <c r="BB90" s="49"/>
      <c r="BC90" s="54"/>
      <c r="BG90" s="49"/>
      <c r="BH90" s="54"/>
      <c r="BL90" s="49"/>
      <c r="BM90" s="54"/>
      <c r="BQ90" s="49"/>
      <c r="BR90" s="54"/>
      <c r="BV90" s="49"/>
      <c r="BW90" s="54"/>
      <c r="CA90" s="49"/>
      <c r="CB90" s="61"/>
    </row>
    <row r="91" spans="19:80" ht="30" customHeight="1" x14ac:dyDescent="0.25">
      <c r="S91" s="18"/>
      <c r="AS91" s="54"/>
      <c r="BB91" s="49"/>
      <c r="BC91" s="54"/>
      <c r="BG91" s="49"/>
      <c r="BH91" s="54"/>
      <c r="BL91" s="49"/>
      <c r="BM91" s="54"/>
      <c r="BQ91" s="49"/>
      <c r="BR91" s="54"/>
      <c r="BV91" s="49"/>
      <c r="BW91" s="54"/>
      <c r="CA91" s="49"/>
      <c r="CB91" s="61"/>
    </row>
    <row r="92" spans="19:80" ht="30" customHeight="1" x14ac:dyDescent="0.25">
      <c r="S92" s="18"/>
      <c r="AS92" s="54"/>
      <c r="BB92" s="49"/>
      <c r="BC92" s="54"/>
      <c r="BG92" s="49"/>
      <c r="BH92" s="54"/>
      <c r="BL92" s="49"/>
      <c r="BM92" s="54"/>
      <c r="BQ92" s="49"/>
      <c r="BR92" s="54"/>
      <c r="BV92" s="49"/>
      <c r="BW92" s="54"/>
      <c r="CA92" s="49"/>
      <c r="CB92" s="61"/>
    </row>
    <row r="93" spans="19:80" ht="30" customHeight="1" x14ac:dyDescent="0.25">
      <c r="S93" s="18"/>
      <c r="AS93" s="54"/>
      <c r="BB93" s="49"/>
      <c r="BC93" s="54"/>
      <c r="BG93" s="49"/>
      <c r="BH93" s="54"/>
      <c r="BL93" s="49"/>
      <c r="BM93" s="54"/>
      <c r="BQ93" s="49"/>
      <c r="BR93" s="54"/>
      <c r="BV93" s="49"/>
      <c r="BW93" s="54"/>
      <c r="CA93" s="49"/>
      <c r="CB93" s="61"/>
    </row>
    <row r="94" spans="19:80" ht="30" customHeight="1" x14ac:dyDescent="0.25">
      <c r="S94" s="18"/>
      <c r="AS94" s="54"/>
      <c r="BB94" s="49"/>
      <c r="BC94" s="54"/>
      <c r="BG94" s="49"/>
      <c r="BH94" s="54"/>
      <c r="BL94" s="49"/>
      <c r="BM94" s="54"/>
      <c r="BQ94" s="49"/>
      <c r="BR94" s="54"/>
      <c r="BV94" s="49"/>
      <c r="BW94" s="54"/>
      <c r="CA94" s="49"/>
      <c r="CB94" s="61"/>
    </row>
    <row r="95" spans="19:80" ht="30" customHeight="1" x14ac:dyDescent="0.25">
      <c r="S95" s="18"/>
      <c r="AS95" s="54"/>
      <c r="BB95" s="49"/>
      <c r="BC95" s="54"/>
      <c r="BG95" s="49"/>
      <c r="BH95" s="54"/>
      <c r="BL95" s="49"/>
      <c r="BM95" s="54"/>
      <c r="BQ95" s="49"/>
      <c r="BR95" s="54"/>
      <c r="BV95" s="49"/>
      <c r="BW95" s="54"/>
      <c r="CA95" s="49"/>
      <c r="CB95" s="61"/>
    </row>
    <row r="96" spans="19:80" ht="30" customHeight="1" x14ac:dyDescent="0.25">
      <c r="S96" s="18"/>
      <c r="AS96" s="54"/>
      <c r="BB96" s="49"/>
      <c r="BC96" s="54"/>
      <c r="BG96" s="49"/>
      <c r="BH96" s="54"/>
      <c r="BL96" s="49"/>
      <c r="BM96" s="54"/>
      <c r="BQ96" s="49"/>
      <c r="BR96" s="54"/>
      <c r="BV96" s="49"/>
      <c r="BW96" s="54"/>
      <c r="CA96" s="49"/>
      <c r="CB96" s="61"/>
    </row>
    <row r="97" spans="19:80" ht="30" customHeight="1" x14ac:dyDescent="0.25">
      <c r="S97" s="18"/>
      <c r="AS97" s="54"/>
      <c r="BB97" s="49"/>
      <c r="BC97" s="54"/>
      <c r="BG97" s="49"/>
      <c r="BH97" s="54"/>
      <c r="BL97" s="49"/>
      <c r="BM97" s="54"/>
      <c r="BQ97" s="49"/>
      <c r="BR97" s="54"/>
      <c r="BV97" s="49"/>
      <c r="BW97" s="54"/>
      <c r="CA97" s="49"/>
      <c r="CB97" s="61"/>
    </row>
    <row r="98" spans="19:80" ht="30" customHeight="1" x14ac:dyDescent="0.25">
      <c r="S98" s="18"/>
      <c r="AS98" s="94" t="s">
        <v>18</v>
      </c>
      <c r="AT98" s="94"/>
      <c r="AW98" s="131"/>
      <c r="AX98" s="132"/>
      <c r="BB98" s="49"/>
      <c r="BC98" s="54"/>
      <c r="BG98" s="49"/>
      <c r="BH98" s="54"/>
      <c r="BL98" s="49"/>
      <c r="BM98" s="54"/>
      <c r="BQ98" s="49"/>
      <c r="BR98" s="54"/>
      <c r="BV98" s="49"/>
      <c r="BW98" s="54"/>
      <c r="CA98" s="49"/>
      <c r="CB98" s="61"/>
    </row>
    <row r="99" spans="19:80" ht="30" customHeight="1" x14ac:dyDescent="0.25">
      <c r="S99" s="26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95"/>
      <c r="AT99" s="95"/>
      <c r="AU99" s="27"/>
      <c r="AV99" s="27"/>
      <c r="AW99" s="136" t="s">
        <v>68</v>
      </c>
      <c r="AX99" s="136"/>
      <c r="AY99" s="27"/>
      <c r="AZ99" s="27"/>
      <c r="BA99" s="27"/>
      <c r="BB99" s="27"/>
      <c r="BC99" s="65"/>
      <c r="BD99" s="27"/>
      <c r="BE99" s="27"/>
      <c r="BF99" s="27"/>
      <c r="BG99" s="27"/>
      <c r="BH99" s="65"/>
      <c r="BI99" s="27"/>
      <c r="BJ99" s="27"/>
      <c r="BK99" s="27"/>
      <c r="BL99" s="27"/>
      <c r="BM99" s="65"/>
      <c r="BN99" s="27"/>
      <c r="BO99" s="27"/>
      <c r="BP99" s="27"/>
      <c r="BQ99" s="27"/>
      <c r="BR99" s="65"/>
      <c r="BS99" s="27"/>
      <c r="BT99" s="27"/>
      <c r="BU99" s="27"/>
      <c r="BV99" s="27"/>
      <c r="BW99" s="65"/>
      <c r="BX99" s="27"/>
      <c r="BY99" s="27"/>
      <c r="BZ99" s="27"/>
      <c r="CA99" s="27"/>
      <c r="CB99" s="63"/>
    </row>
    <row r="100" spans="19:80" ht="30" customHeight="1" x14ac:dyDescent="0.25">
      <c r="AW100" s="137"/>
      <c r="AX100" s="137"/>
    </row>
    <row r="103" spans="19:80" ht="30" customHeight="1" x14ac:dyDescent="0.25">
      <c r="V103" s="33" t="s">
        <v>1</v>
      </c>
      <c r="W103" s="33">
        <v>0</v>
      </c>
      <c r="X103" s="33">
        <f>W103+5</f>
        <v>5</v>
      </c>
      <c r="Y103" s="33">
        <f t="shared" ref="Y103:AO103" si="0">X103+5</f>
        <v>10</v>
      </c>
      <c r="Z103" s="33">
        <f t="shared" si="0"/>
        <v>15</v>
      </c>
      <c r="AA103" s="33">
        <f t="shared" si="0"/>
        <v>20</v>
      </c>
      <c r="AB103" s="33">
        <f t="shared" si="0"/>
        <v>25</v>
      </c>
      <c r="AC103" s="33">
        <f t="shared" si="0"/>
        <v>30</v>
      </c>
      <c r="AD103" s="33">
        <f t="shared" si="0"/>
        <v>35</v>
      </c>
      <c r="AE103" s="33">
        <f t="shared" si="0"/>
        <v>40</v>
      </c>
      <c r="AF103" s="33">
        <f t="shared" si="0"/>
        <v>45</v>
      </c>
      <c r="AG103" s="33">
        <f t="shared" si="0"/>
        <v>50</v>
      </c>
      <c r="AH103" s="33">
        <f t="shared" si="0"/>
        <v>55</v>
      </c>
      <c r="AI103" s="33">
        <f t="shared" si="0"/>
        <v>60</v>
      </c>
      <c r="AJ103" s="33">
        <f t="shared" si="0"/>
        <v>65</v>
      </c>
      <c r="AK103" s="33">
        <f t="shared" si="0"/>
        <v>70</v>
      </c>
      <c r="AL103" s="33">
        <f t="shared" si="0"/>
        <v>75</v>
      </c>
      <c r="AM103" s="33">
        <f t="shared" si="0"/>
        <v>80</v>
      </c>
      <c r="AN103" s="33">
        <f t="shared" si="0"/>
        <v>85</v>
      </c>
      <c r="AO103" s="33">
        <f t="shared" si="0"/>
        <v>90</v>
      </c>
    </row>
    <row r="104" spans="19:80" ht="30" customHeight="1" x14ac:dyDescent="0.25">
      <c r="V104" s="33" t="s">
        <v>2</v>
      </c>
      <c r="W104" s="33">
        <f t="shared" ref="W104:AO104" si="1">15*COS(W$103 * PI()/180)</f>
        <v>15</v>
      </c>
      <c r="X104" s="33">
        <f t="shared" si="1"/>
        <v>14.942920471376183</v>
      </c>
      <c r="Y104" s="33">
        <f t="shared" si="1"/>
        <v>14.772116295183121</v>
      </c>
      <c r="Z104" s="33">
        <f t="shared" si="1"/>
        <v>14.488887394336025</v>
      </c>
      <c r="AA104" s="33">
        <f t="shared" si="1"/>
        <v>14.095389311788626</v>
      </c>
      <c r="AB104" s="33">
        <f t="shared" si="1"/>
        <v>13.59461680554975</v>
      </c>
      <c r="AC104" s="33">
        <f t="shared" si="1"/>
        <v>12.99038105676658</v>
      </c>
      <c r="AD104" s="33">
        <f t="shared" si="1"/>
        <v>12.287280664334878</v>
      </c>
      <c r="AE104" s="33">
        <f t="shared" si="1"/>
        <v>11.490666646784669</v>
      </c>
      <c r="AF104" s="33">
        <f t="shared" si="1"/>
        <v>10.606601717798213</v>
      </c>
      <c r="AG104" s="33">
        <f t="shared" si="1"/>
        <v>9.6418141452980901</v>
      </c>
      <c r="AH104" s="33">
        <f t="shared" si="1"/>
        <v>8.6036465452656916</v>
      </c>
      <c r="AI104" s="33">
        <f t="shared" si="1"/>
        <v>7.5000000000000018</v>
      </c>
      <c r="AJ104" s="33">
        <f t="shared" si="1"/>
        <v>6.3392739261104918</v>
      </c>
      <c r="AK104" s="33">
        <f t="shared" si="1"/>
        <v>5.1303021498850327</v>
      </c>
      <c r="AL104" s="33">
        <f t="shared" si="1"/>
        <v>3.8822856765378111</v>
      </c>
      <c r="AM104" s="33">
        <f t="shared" si="1"/>
        <v>2.6047226650039561</v>
      </c>
      <c r="AN104" s="33">
        <f t="shared" si="1"/>
        <v>1.3073361412148721</v>
      </c>
      <c r="AO104" s="33">
        <f t="shared" si="1"/>
        <v>9.1886134118146501E-16</v>
      </c>
    </row>
    <row r="105" spans="19:80" ht="30" customHeight="1" x14ac:dyDescent="0.25">
      <c r="V105" s="33" t="s">
        <v>2</v>
      </c>
      <c r="W105" s="33">
        <f t="shared" ref="W105:AO105" si="2">10*COS(W$103 * PI()/180)</f>
        <v>10</v>
      </c>
      <c r="X105" s="33">
        <f t="shared" si="2"/>
        <v>9.961946980917455</v>
      </c>
      <c r="Y105" s="33">
        <f t="shared" si="2"/>
        <v>9.8480775301220795</v>
      </c>
      <c r="Z105" s="33">
        <f t="shared" si="2"/>
        <v>9.6592582628906829</v>
      </c>
      <c r="AA105" s="33">
        <f t="shared" si="2"/>
        <v>9.3969262078590852</v>
      </c>
      <c r="AB105" s="33">
        <f t="shared" si="2"/>
        <v>9.0630778703664987</v>
      </c>
      <c r="AC105" s="33">
        <f t="shared" si="2"/>
        <v>8.6602540378443873</v>
      </c>
      <c r="AD105" s="33">
        <f t="shared" si="2"/>
        <v>8.1915204428899173</v>
      </c>
      <c r="AE105" s="33">
        <f t="shared" si="2"/>
        <v>7.6604444311897799</v>
      </c>
      <c r="AF105" s="33">
        <f t="shared" si="2"/>
        <v>7.0710678118654755</v>
      </c>
      <c r="AG105" s="33">
        <f t="shared" si="2"/>
        <v>6.4278760968653934</v>
      </c>
      <c r="AH105" s="33">
        <f t="shared" si="2"/>
        <v>5.7357643635104614</v>
      </c>
      <c r="AI105" s="33">
        <f t="shared" si="2"/>
        <v>5.0000000000000009</v>
      </c>
      <c r="AJ105" s="33">
        <f t="shared" si="2"/>
        <v>4.2261826174069945</v>
      </c>
      <c r="AK105" s="33">
        <f t="shared" si="2"/>
        <v>3.4202014332566884</v>
      </c>
      <c r="AL105" s="33">
        <f t="shared" si="2"/>
        <v>2.5881904510252074</v>
      </c>
      <c r="AM105" s="33">
        <f t="shared" si="2"/>
        <v>1.7364817766693041</v>
      </c>
      <c r="AN105" s="33">
        <f t="shared" si="2"/>
        <v>0.87155742747658138</v>
      </c>
      <c r="AO105" s="33">
        <f t="shared" si="2"/>
        <v>6.1257422745431001E-16</v>
      </c>
    </row>
    <row r="106" spans="19:80" ht="30" customHeight="1" x14ac:dyDescent="0.25">
      <c r="V106" s="33" t="s">
        <v>2</v>
      </c>
      <c r="W106" s="33">
        <f t="shared" ref="W106:AO106" si="3">5*COS(W$103 * PI()/180)</f>
        <v>5</v>
      </c>
      <c r="X106" s="33">
        <f t="shared" si="3"/>
        <v>4.9809734904587275</v>
      </c>
      <c r="Y106" s="33">
        <f t="shared" si="3"/>
        <v>4.9240387650610398</v>
      </c>
      <c r="Z106" s="33">
        <f t="shared" si="3"/>
        <v>4.8296291314453415</v>
      </c>
      <c r="AA106" s="33">
        <f t="shared" si="3"/>
        <v>4.6984631039295426</v>
      </c>
      <c r="AB106" s="33">
        <f t="shared" si="3"/>
        <v>4.5315389351832494</v>
      </c>
      <c r="AC106" s="33">
        <f t="shared" si="3"/>
        <v>4.3301270189221936</v>
      </c>
      <c r="AD106" s="33">
        <f t="shared" si="3"/>
        <v>4.0957602214449587</v>
      </c>
      <c r="AE106" s="33">
        <f t="shared" si="3"/>
        <v>3.83022221559489</v>
      </c>
      <c r="AF106" s="33">
        <f t="shared" si="3"/>
        <v>3.5355339059327378</v>
      </c>
      <c r="AG106" s="33">
        <f t="shared" si="3"/>
        <v>3.2139380484326967</v>
      </c>
      <c r="AH106" s="33">
        <f t="shared" si="3"/>
        <v>2.8678821817552307</v>
      </c>
      <c r="AI106" s="33">
        <f t="shared" si="3"/>
        <v>2.5000000000000004</v>
      </c>
      <c r="AJ106" s="33">
        <f t="shared" si="3"/>
        <v>2.1130913087034973</v>
      </c>
      <c r="AK106" s="33">
        <f t="shared" si="3"/>
        <v>1.7101007166283442</v>
      </c>
      <c r="AL106" s="33">
        <f t="shared" si="3"/>
        <v>1.2940952255126037</v>
      </c>
      <c r="AM106" s="33">
        <f t="shared" si="3"/>
        <v>0.86824088833465207</v>
      </c>
      <c r="AN106" s="33">
        <f t="shared" si="3"/>
        <v>0.43577871373829069</v>
      </c>
      <c r="AO106" s="33">
        <f t="shared" si="3"/>
        <v>3.06287113727155E-16</v>
      </c>
    </row>
    <row r="107" spans="19:80" ht="30" customHeight="1" x14ac:dyDescent="0.25">
      <c r="V107" s="33" t="s">
        <v>2</v>
      </c>
      <c r="W107" s="33">
        <f t="shared" ref="W107:AO107" si="4">4*COS(W$103 * PI()/180)</f>
        <v>4</v>
      </c>
      <c r="X107" s="33">
        <f t="shared" si="4"/>
        <v>3.9847787923669822</v>
      </c>
      <c r="Y107" s="33">
        <f t="shared" si="4"/>
        <v>3.9392310120488321</v>
      </c>
      <c r="Z107" s="33">
        <f t="shared" si="4"/>
        <v>3.8637033051562732</v>
      </c>
      <c r="AA107" s="33">
        <f t="shared" si="4"/>
        <v>3.7587704831436337</v>
      </c>
      <c r="AB107" s="33">
        <f t="shared" si="4"/>
        <v>3.6252311481465997</v>
      </c>
      <c r="AC107" s="33">
        <f t="shared" si="4"/>
        <v>3.4641016151377548</v>
      </c>
      <c r="AD107" s="33">
        <f t="shared" si="4"/>
        <v>3.2766081771559672</v>
      </c>
      <c r="AE107" s="33">
        <f t="shared" si="4"/>
        <v>3.0641777724759121</v>
      </c>
      <c r="AF107" s="33">
        <f t="shared" si="4"/>
        <v>2.8284271247461903</v>
      </c>
      <c r="AG107" s="33">
        <f t="shared" si="4"/>
        <v>2.5711504387461575</v>
      </c>
      <c r="AH107" s="33">
        <f t="shared" si="4"/>
        <v>2.2943057454041846</v>
      </c>
      <c r="AI107" s="33">
        <f t="shared" si="4"/>
        <v>2.0000000000000004</v>
      </c>
      <c r="AJ107" s="33">
        <f t="shared" si="4"/>
        <v>1.6904730469627978</v>
      </c>
      <c r="AK107" s="33">
        <f t="shared" si="4"/>
        <v>1.3680805733026753</v>
      </c>
      <c r="AL107" s="33">
        <f t="shared" si="4"/>
        <v>1.035276180410083</v>
      </c>
      <c r="AM107" s="33">
        <f t="shared" si="4"/>
        <v>0.69459271066772166</v>
      </c>
      <c r="AN107" s="33">
        <f t="shared" si="4"/>
        <v>0.34862297099063255</v>
      </c>
      <c r="AO107" s="33">
        <f t="shared" si="4"/>
        <v>2.45029690981724E-16</v>
      </c>
    </row>
    <row r="108" spans="19:80" ht="30" customHeight="1" x14ac:dyDescent="0.25">
      <c r="V108" s="33" t="s">
        <v>2</v>
      </c>
      <c r="W108" s="33">
        <f t="shared" ref="W108:AO108" si="5">3*COS(W$103 * PI()/180)</f>
        <v>3</v>
      </c>
      <c r="X108" s="33">
        <f t="shared" si="5"/>
        <v>2.9885840942752369</v>
      </c>
      <c r="Y108" s="33">
        <f t="shared" si="5"/>
        <v>2.9544232590366239</v>
      </c>
      <c r="Z108" s="33">
        <f t="shared" si="5"/>
        <v>2.897777478867205</v>
      </c>
      <c r="AA108" s="33">
        <f t="shared" si="5"/>
        <v>2.8190778623577253</v>
      </c>
      <c r="AB108" s="33">
        <f t="shared" si="5"/>
        <v>2.7189233611099497</v>
      </c>
      <c r="AC108" s="33">
        <f t="shared" si="5"/>
        <v>2.598076211353316</v>
      </c>
      <c r="AD108" s="33">
        <f t="shared" si="5"/>
        <v>2.4574561328669753</v>
      </c>
      <c r="AE108" s="33">
        <f t="shared" si="5"/>
        <v>2.2981333293569342</v>
      </c>
      <c r="AF108" s="33">
        <f t="shared" si="5"/>
        <v>2.1213203435596428</v>
      </c>
      <c r="AG108" s="33">
        <f t="shared" si="5"/>
        <v>1.9283628290596182</v>
      </c>
      <c r="AH108" s="33">
        <f t="shared" si="5"/>
        <v>1.7207293090531386</v>
      </c>
      <c r="AI108" s="33">
        <f t="shared" si="5"/>
        <v>1.5000000000000004</v>
      </c>
      <c r="AJ108" s="33">
        <f t="shared" si="5"/>
        <v>1.2678547852220983</v>
      </c>
      <c r="AK108" s="33">
        <f t="shared" si="5"/>
        <v>1.0260604299770064</v>
      </c>
      <c r="AL108" s="33">
        <f t="shared" si="5"/>
        <v>0.77645713530756222</v>
      </c>
      <c r="AM108" s="33">
        <f t="shared" si="5"/>
        <v>0.52094453300079124</v>
      </c>
      <c r="AN108" s="33">
        <f t="shared" si="5"/>
        <v>0.26146722824297441</v>
      </c>
      <c r="AO108" s="33">
        <f t="shared" si="5"/>
        <v>1.83772268236293E-16</v>
      </c>
    </row>
    <row r="109" spans="19:80" ht="30" customHeight="1" x14ac:dyDescent="0.25">
      <c r="V109" s="33" t="s">
        <v>2</v>
      </c>
      <c r="W109" s="33">
        <f t="shared" ref="W109:AO109" si="6">2*COS(W$103 * PI()/180)</f>
        <v>2</v>
      </c>
      <c r="X109" s="33">
        <f t="shared" si="6"/>
        <v>1.9923893961834911</v>
      </c>
      <c r="Y109" s="33">
        <f t="shared" si="6"/>
        <v>1.969615506024416</v>
      </c>
      <c r="Z109" s="33">
        <f t="shared" si="6"/>
        <v>1.9318516525781366</v>
      </c>
      <c r="AA109" s="33">
        <f t="shared" si="6"/>
        <v>1.8793852415718169</v>
      </c>
      <c r="AB109" s="33">
        <f t="shared" si="6"/>
        <v>1.8126155740732999</v>
      </c>
      <c r="AC109" s="33">
        <f t="shared" si="6"/>
        <v>1.7320508075688774</v>
      </c>
      <c r="AD109" s="33">
        <f t="shared" si="6"/>
        <v>1.6383040885779836</v>
      </c>
      <c r="AE109" s="33">
        <f t="shared" si="6"/>
        <v>1.532088886237956</v>
      </c>
      <c r="AF109" s="33">
        <f t="shared" si="6"/>
        <v>1.4142135623730951</v>
      </c>
      <c r="AG109" s="33">
        <f t="shared" si="6"/>
        <v>1.2855752193730787</v>
      </c>
      <c r="AH109" s="33">
        <f t="shared" si="6"/>
        <v>1.1471528727020923</v>
      </c>
      <c r="AI109" s="33">
        <f t="shared" si="6"/>
        <v>1.0000000000000002</v>
      </c>
      <c r="AJ109" s="33">
        <f t="shared" si="6"/>
        <v>0.84523652348139888</v>
      </c>
      <c r="AK109" s="33">
        <f t="shared" si="6"/>
        <v>0.68404028665133765</v>
      </c>
      <c r="AL109" s="33">
        <f t="shared" si="6"/>
        <v>0.51763809020504148</v>
      </c>
      <c r="AM109" s="33">
        <f t="shared" si="6"/>
        <v>0.34729635533386083</v>
      </c>
      <c r="AN109" s="33">
        <f t="shared" si="6"/>
        <v>0.17431148549531628</v>
      </c>
      <c r="AO109" s="33">
        <f t="shared" si="6"/>
        <v>1.22514845490862E-16</v>
      </c>
    </row>
    <row r="110" spans="19:80" ht="30" customHeight="1" x14ac:dyDescent="0.25">
      <c r="V110" s="33" t="s">
        <v>2</v>
      </c>
      <c r="W110" s="33">
        <f t="shared" ref="W110:AO110" si="7">1*COS(W$103 * PI()/180)</f>
        <v>1</v>
      </c>
      <c r="X110" s="33">
        <f t="shared" si="7"/>
        <v>0.99619469809174555</v>
      </c>
      <c r="Y110" s="33">
        <f t="shared" si="7"/>
        <v>0.98480775301220802</v>
      </c>
      <c r="Z110" s="33">
        <f t="shared" si="7"/>
        <v>0.96592582628906831</v>
      </c>
      <c r="AA110" s="33">
        <f t="shared" si="7"/>
        <v>0.93969262078590843</v>
      </c>
      <c r="AB110" s="33">
        <f t="shared" si="7"/>
        <v>0.90630778703664994</v>
      </c>
      <c r="AC110" s="33">
        <f t="shared" si="7"/>
        <v>0.86602540378443871</v>
      </c>
      <c r="AD110" s="33">
        <f t="shared" si="7"/>
        <v>0.8191520442889918</v>
      </c>
      <c r="AE110" s="33">
        <f t="shared" si="7"/>
        <v>0.76604444311897801</v>
      </c>
      <c r="AF110" s="33">
        <f t="shared" si="7"/>
        <v>0.70710678118654757</v>
      </c>
      <c r="AG110" s="33">
        <f t="shared" si="7"/>
        <v>0.64278760968653936</v>
      </c>
      <c r="AH110" s="33">
        <f t="shared" si="7"/>
        <v>0.57357643635104616</v>
      </c>
      <c r="AI110" s="33">
        <f t="shared" si="7"/>
        <v>0.50000000000000011</v>
      </c>
      <c r="AJ110" s="33">
        <f t="shared" si="7"/>
        <v>0.42261826174069944</v>
      </c>
      <c r="AK110" s="33">
        <f t="shared" si="7"/>
        <v>0.34202014332566882</v>
      </c>
      <c r="AL110" s="33">
        <f t="shared" si="7"/>
        <v>0.25881904510252074</v>
      </c>
      <c r="AM110" s="33">
        <f t="shared" si="7"/>
        <v>0.17364817766693041</v>
      </c>
      <c r="AN110" s="33">
        <f t="shared" si="7"/>
        <v>8.7155742747658138E-2</v>
      </c>
      <c r="AO110" s="33">
        <f t="shared" si="7"/>
        <v>6.1257422745431001E-17</v>
      </c>
    </row>
    <row r="111" spans="19:80" ht="30" customHeight="1" x14ac:dyDescent="0.25">
      <c r="V111" s="33" t="s">
        <v>2</v>
      </c>
      <c r="W111" s="33">
        <f t="shared" ref="W111:AO111" si="8">0*COS(W$103 * PI()/180)</f>
        <v>0</v>
      </c>
      <c r="X111" s="33">
        <f t="shared" si="8"/>
        <v>0</v>
      </c>
      <c r="Y111" s="33">
        <f t="shared" si="8"/>
        <v>0</v>
      </c>
      <c r="Z111" s="33">
        <f t="shared" si="8"/>
        <v>0</v>
      </c>
      <c r="AA111" s="33">
        <f t="shared" si="8"/>
        <v>0</v>
      </c>
      <c r="AB111" s="33">
        <f t="shared" si="8"/>
        <v>0</v>
      </c>
      <c r="AC111" s="33">
        <f t="shared" si="8"/>
        <v>0</v>
      </c>
      <c r="AD111" s="33">
        <f t="shared" si="8"/>
        <v>0</v>
      </c>
      <c r="AE111" s="33">
        <f t="shared" si="8"/>
        <v>0</v>
      </c>
      <c r="AF111" s="33">
        <f t="shared" si="8"/>
        <v>0</v>
      </c>
      <c r="AG111" s="33">
        <f t="shared" si="8"/>
        <v>0</v>
      </c>
      <c r="AH111" s="33">
        <f t="shared" si="8"/>
        <v>0</v>
      </c>
      <c r="AI111" s="33">
        <f t="shared" si="8"/>
        <v>0</v>
      </c>
      <c r="AJ111" s="33">
        <f t="shared" si="8"/>
        <v>0</v>
      </c>
      <c r="AK111" s="33">
        <f t="shared" si="8"/>
        <v>0</v>
      </c>
      <c r="AL111" s="33">
        <f t="shared" si="8"/>
        <v>0</v>
      </c>
      <c r="AM111" s="33">
        <f t="shared" si="8"/>
        <v>0</v>
      </c>
      <c r="AN111" s="33">
        <f t="shared" si="8"/>
        <v>0</v>
      </c>
      <c r="AO111" s="33">
        <f t="shared" si="8"/>
        <v>0</v>
      </c>
    </row>
  </sheetData>
  <mergeCells count="33">
    <mergeCell ref="S77:S81"/>
    <mergeCell ref="AS98:AT99"/>
    <mergeCell ref="AW99:AX99"/>
    <mergeCell ref="CA46:CB47"/>
    <mergeCell ref="CA42:CB43"/>
    <mergeCell ref="S46:T47"/>
    <mergeCell ref="S42:T43"/>
    <mergeCell ref="AR46:AS48"/>
    <mergeCell ref="BB46:BC48"/>
    <mergeCell ref="BG46:BH47"/>
    <mergeCell ref="BL46:BM47"/>
    <mergeCell ref="BQ46:BR47"/>
    <mergeCell ref="BV46:BW47"/>
    <mergeCell ref="BR4:BR10"/>
    <mergeCell ref="AW6:AX7"/>
    <mergeCell ref="I19:I23"/>
    <mergeCell ref="X46:Y47"/>
    <mergeCell ref="AC46:AD47"/>
    <mergeCell ref="AH46:AI47"/>
    <mergeCell ref="AM46:AN47"/>
    <mergeCell ref="BZ2:CA6"/>
    <mergeCell ref="BS3:BS7"/>
    <mergeCell ref="BT3:BT9"/>
    <mergeCell ref="BU3:BU7"/>
    <mergeCell ref="BV3:BV7"/>
    <mergeCell ref="BW3:BW7"/>
    <mergeCell ref="BX3:BX9"/>
    <mergeCell ref="AR1:AR4"/>
    <mergeCell ref="AV1:AV4"/>
    <mergeCell ref="AW1:AW4"/>
    <mergeCell ref="AX1:AX4"/>
    <mergeCell ref="AY1:AY4"/>
    <mergeCell ref="BC1:BC4"/>
  </mergeCells>
  <printOptions horizontalCentered="1" verticalCentered="1"/>
  <pageMargins left="0" right="0" top="0" bottom="0" header="0" footer="0"/>
  <pageSetup paperSize="9" scale="2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AB25-73C2-4B9B-BC83-7081098D60FD}">
  <sheetPr>
    <pageSetUpPr fitToPage="1"/>
  </sheetPr>
  <dimension ref="A1:DE111"/>
  <sheetViews>
    <sheetView showGridLines="0" tabSelected="1" topLeftCell="T75" zoomScale="55" zoomScaleNormal="55" workbookViewId="0">
      <selection activeCell="W7" sqref="W7"/>
    </sheetView>
  </sheetViews>
  <sheetFormatPr defaultColWidth="2.85546875" defaultRowHeight="30" customHeight="1" x14ac:dyDescent="0.25"/>
  <cols>
    <col min="1" max="17" width="3.7109375" style="33" customWidth="1"/>
    <col min="18" max="18" width="6.28515625" style="33" customWidth="1"/>
    <col min="19" max="49" width="5.7109375" style="33" customWidth="1"/>
    <col min="50" max="50" width="5.7109375" style="8" customWidth="1"/>
    <col min="51" max="80" width="5.7109375" style="33" customWidth="1"/>
    <col min="81" max="102" width="3.7109375" style="33" customWidth="1"/>
    <col min="103" max="103" width="5.42578125" style="33" customWidth="1"/>
    <col min="104" max="104" width="7" style="33" customWidth="1"/>
    <col min="105" max="105" width="9" style="33" customWidth="1"/>
    <col min="106" max="118" width="5.42578125" style="33" customWidth="1"/>
    <col min="119" max="16384" width="2.85546875" style="33"/>
  </cols>
  <sheetData>
    <row r="1" spans="2:80" ht="30" customHeight="1" x14ac:dyDescent="0.25">
      <c r="S1" s="14"/>
      <c r="T1" s="53"/>
      <c r="U1" s="15"/>
      <c r="V1" s="15"/>
      <c r="W1" s="15"/>
      <c r="X1" s="15"/>
      <c r="Y1" s="53"/>
      <c r="Z1" s="15"/>
      <c r="AA1" s="15"/>
      <c r="AB1" s="15"/>
      <c r="AC1" s="15"/>
      <c r="AD1" s="53"/>
      <c r="AE1" s="15"/>
      <c r="AF1" s="15"/>
      <c r="AG1" s="15"/>
      <c r="AH1" s="15"/>
      <c r="AI1" s="53"/>
      <c r="AJ1" s="15"/>
      <c r="AK1" s="15"/>
      <c r="AL1" s="15"/>
      <c r="AM1" s="15"/>
      <c r="AN1" s="53"/>
      <c r="AO1" s="15"/>
      <c r="AP1" s="41"/>
      <c r="AQ1" s="41"/>
      <c r="AR1" s="108" t="s">
        <v>22</v>
      </c>
      <c r="AS1" s="56"/>
      <c r="AT1" s="42"/>
      <c r="AU1" s="42"/>
      <c r="AV1" s="108" t="s">
        <v>20</v>
      </c>
      <c r="AW1" s="110" t="s">
        <v>21</v>
      </c>
      <c r="AX1" s="112" t="s">
        <v>23</v>
      </c>
      <c r="AY1" s="114" t="s">
        <v>24</v>
      </c>
      <c r="AZ1" s="43"/>
      <c r="BA1" s="43"/>
      <c r="BB1" s="43"/>
      <c r="BC1" s="116" t="s">
        <v>25</v>
      </c>
      <c r="BD1" s="41"/>
      <c r="BE1" s="41"/>
      <c r="BF1" s="15"/>
      <c r="BG1" s="15"/>
      <c r="BH1" s="53"/>
      <c r="BI1" s="15"/>
      <c r="BJ1" s="15"/>
      <c r="BK1" s="15"/>
      <c r="BL1" s="15"/>
      <c r="BM1" s="53"/>
      <c r="BN1" s="15"/>
      <c r="BO1" s="15"/>
      <c r="BP1" s="15"/>
      <c r="BQ1" s="30"/>
      <c r="BR1" s="15"/>
      <c r="BS1" s="15"/>
      <c r="BT1" s="15"/>
      <c r="BU1" s="15"/>
      <c r="BV1" s="15"/>
      <c r="BW1" s="53"/>
      <c r="BX1" s="15"/>
      <c r="BY1" s="15"/>
      <c r="BZ1" s="15"/>
      <c r="CA1" s="15"/>
      <c r="CB1" s="60"/>
    </row>
    <row r="2" spans="2:80" ht="30" customHeight="1" x14ac:dyDescent="0.25">
      <c r="S2" s="18"/>
      <c r="T2" s="54"/>
      <c r="X2" s="49"/>
      <c r="Y2" s="54"/>
      <c r="AC2" s="49"/>
      <c r="AD2" s="54"/>
      <c r="AH2" s="49"/>
      <c r="AI2" s="54"/>
      <c r="AM2" s="49"/>
      <c r="AN2" s="54"/>
      <c r="AP2" s="44"/>
      <c r="AQ2" s="44"/>
      <c r="AR2" s="109"/>
      <c r="AS2" s="57"/>
      <c r="AT2" s="45"/>
      <c r="AU2" s="45"/>
      <c r="AV2" s="109"/>
      <c r="AW2" s="111"/>
      <c r="AX2" s="113"/>
      <c r="AY2" s="115"/>
      <c r="AZ2" s="45"/>
      <c r="BA2" s="45"/>
      <c r="BB2" s="50"/>
      <c r="BC2" s="117"/>
      <c r="BD2" s="44"/>
      <c r="BE2" s="44"/>
      <c r="BG2" s="49"/>
      <c r="BH2" s="54"/>
      <c r="BL2" s="49"/>
      <c r="BM2" s="54"/>
      <c r="BQ2" s="31"/>
      <c r="BS2" s="39"/>
      <c r="BT2" s="39"/>
      <c r="BU2" s="39"/>
      <c r="BV2" s="52"/>
      <c r="BW2" s="59"/>
      <c r="BX2" s="40"/>
      <c r="BZ2" s="100" t="s">
        <v>6</v>
      </c>
      <c r="CA2" s="101"/>
      <c r="CB2" s="19"/>
    </row>
    <row r="3" spans="2:80" ht="30" customHeight="1" x14ac:dyDescent="0.25">
      <c r="S3" s="18"/>
      <c r="T3" s="54"/>
      <c r="X3" s="49"/>
      <c r="Y3" s="54"/>
      <c r="AC3" s="49"/>
      <c r="AD3" s="54"/>
      <c r="AH3" s="49"/>
      <c r="AI3" s="54"/>
      <c r="AM3" s="49"/>
      <c r="AN3" s="54"/>
      <c r="AP3" s="44"/>
      <c r="AQ3" s="84" t="s">
        <v>27</v>
      </c>
      <c r="AR3" s="109"/>
      <c r="AS3" s="58"/>
      <c r="AT3" s="46"/>
      <c r="AU3" s="46"/>
      <c r="AV3" s="109"/>
      <c r="AW3" s="111"/>
      <c r="AX3" s="113"/>
      <c r="AY3" s="115"/>
      <c r="AZ3" s="46"/>
      <c r="BA3" s="46"/>
      <c r="BB3" s="51"/>
      <c r="BC3" s="117"/>
      <c r="BD3" s="83" t="s">
        <v>26</v>
      </c>
      <c r="BE3" s="44"/>
      <c r="BG3" s="49"/>
      <c r="BH3" s="54"/>
      <c r="BL3" s="49"/>
      <c r="BM3" s="54"/>
      <c r="BQ3" s="31"/>
      <c r="BS3" s="106"/>
      <c r="BT3" s="107"/>
      <c r="BU3" s="106"/>
      <c r="BV3" s="107"/>
      <c r="BW3" s="97"/>
      <c r="BX3" s="107"/>
      <c r="BZ3" s="102"/>
      <c r="CA3" s="103"/>
      <c r="CB3" s="19"/>
    </row>
    <row r="4" spans="2:80" ht="30" customHeight="1" x14ac:dyDescent="0.25">
      <c r="S4" s="18"/>
      <c r="T4" s="54"/>
      <c r="X4" s="49"/>
      <c r="Y4" s="54"/>
      <c r="AC4" s="49"/>
      <c r="AD4" s="54"/>
      <c r="AH4" s="49"/>
      <c r="AI4" s="54"/>
      <c r="AM4" s="49"/>
      <c r="AN4" s="54"/>
      <c r="AP4" s="44"/>
      <c r="AQ4" s="44"/>
      <c r="AR4" s="109"/>
      <c r="AS4" s="58"/>
      <c r="AT4" s="46"/>
      <c r="AU4" s="46"/>
      <c r="AV4" s="109"/>
      <c r="AW4" s="111"/>
      <c r="AX4" s="113"/>
      <c r="AY4" s="115"/>
      <c r="AZ4" s="46"/>
      <c r="BA4" s="46"/>
      <c r="BB4" s="51"/>
      <c r="BC4" s="117"/>
      <c r="BD4" s="44"/>
      <c r="BE4" s="44"/>
      <c r="BG4" s="49"/>
      <c r="BH4" s="54"/>
      <c r="BL4" s="49"/>
      <c r="BM4" s="54"/>
      <c r="BQ4" s="49"/>
      <c r="BR4" s="97"/>
      <c r="BS4" s="106"/>
      <c r="BT4" s="107"/>
      <c r="BU4" s="106"/>
      <c r="BV4" s="107"/>
      <c r="BW4" s="97"/>
      <c r="BX4" s="107"/>
      <c r="BZ4" s="102"/>
      <c r="CA4" s="103"/>
      <c r="CB4" s="19"/>
    </row>
    <row r="5" spans="2:80" ht="30" customHeight="1" x14ac:dyDescent="0.25">
      <c r="S5" s="18"/>
      <c r="T5" s="54"/>
      <c r="X5" s="49"/>
      <c r="Y5" s="54"/>
      <c r="AC5" s="49"/>
      <c r="AD5" s="54"/>
      <c r="AH5" s="49"/>
      <c r="AI5" s="54"/>
      <c r="AM5" s="49"/>
      <c r="AN5" s="54"/>
      <c r="AR5" s="49"/>
      <c r="AS5" s="54"/>
      <c r="AW5" s="124"/>
      <c r="AX5" s="131"/>
      <c r="BB5" s="49"/>
      <c r="BC5" s="54"/>
      <c r="BG5" s="49"/>
      <c r="BH5" s="54"/>
      <c r="BL5" s="49"/>
      <c r="BM5" s="54"/>
      <c r="BQ5" s="49"/>
      <c r="BR5" s="97"/>
      <c r="BS5" s="106"/>
      <c r="BT5" s="107"/>
      <c r="BU5" s="106"/>
      <c r="BV5" s="107"/>
      <c r="BW5" s="97"/>
      <c r="BX5" s="107"/>
      <c r="BZ5" s="102"/>
      <c r="CA5" s="103"/>
      <c r="CB5" s="19"/>
    </row>
    <row r="6" spans="2:80" ht="30" customHeight="1" x14ac:dyDescent="0.25">
      <c r="S6" s="18"/>
      <c r="T6" s="54"/>
      <c r="X6" s="49"/>
      <c r="Y6" s="54"/>
      <c r="AC6" s="49"/>
      <c r="AD6" s="54"/>
      <c r="AH6" s="49"/>
      <c r="AI6" s="54"/>
      <c r="AM6" s="49"/>
      <c r="AN6" s="54"/>
      <c r="AR6" s="49"/>
      <c r="AS6" s="54"/>
      <c r="AW6" s="129" t="s">
        <v>66</v>
      </c>
      <c r="AX6" s="129"/>
      <c r="BB6" s="49"/>
      <c r="BC6" s="54"/>
      <c r="BG6" s="49"/>
      <c r="BH6" s="54"/>
      <c r="BL6" s="49"/>
      <c r="BM6" s="54"/>
      <c r="BQ6" s="49"/>
      <c r="BR6" s="97"/>
      <c r="BS6" s="106"/>
      <c r="BT6" s="107"/>
      <c r="BU6" s="106"/>
      <c r="BV6" s="107"/>
      <c r="BW6" s="97"/>
      <c r="BX6" s="107"/>
      <c r="BZ6" s="104"/>
      <c r="CA6" s="105"/>
      <c r="CB6" s="19"/>
    </row>
    <row r="7" spans="2:80" ht="30" customHeight="1" x14ac:dyDescent="0.25">
      <c r="S7" s="18"/>
      <c r="T7" s="54"/>
      <c r="X7" s="49"/>
      <c r="Y7" s="54"/>
      <c r="AC7" s="49"/>
      <c r="AD7" s="54"/>
      <c r="AH7" s="49"/>
      <c r="AI7" s="54"/>
      <c r="AM7" s="49"/>
      <c r="AN7" s="54"/>
      <c r="AR7" s="49"/>
      <c r="AS7" s="54"/>
      <c r="AW7" s="129"/>
      <c r="AX7" s="129"/>
      <c r="BB7" s="49"/>
      <c r="BC7" s="54"/>
      <c r="BG7" s="49"/>
      <c r="BH7" s="54"/>
      <c r="BL7" s="49"/>
      <c r="BM7" s="54"/>
      <c r="BQ7" s="49"/>
      <c r="BR7" s="97"/>
      <c r="BS7" s="106"/>
      <c r="BT7" s="107"/>
      <c r="BU7" s="106"/>
      <c r="BV7" s="107"/>
      <c r="BW7" s="97"/>
      <c r="BX7" s="107"/>
      <c r="CA7" s="49"/>
      <c r="CB7" s="61"/>
    </row>
    <row r="8" spans="2:80" ht="30" customHeight="1" x14ac:dyDescent="0.25">
      <c r="S8" s="18"/>
      <c r="T8" s="54"/>
      <c r="X8" s="49"/>
      <c r="Y8" s="54"/>
      <c r="AC8" s="49"/>
      <c r="AD8" s="54"/>
      <c r="AH8" s="49"/>
      <c r="AI8" s="54"/>
      <c r="AM8" s="49"/>
      <c r="AN8" s="54"/>
      <c r="AR8" s="49"/>
      <c r="AS8" s="54"/>
      <c r="BB8" s="49"/>
      <c r="BC8" s="54"/>
      <c r="BG8" s="49"/>
      <c r="BH8" s="54"/>
      <c r="BL8" s="49"/>
      <c r="BM8" s="54"/>
      <c r="BQ8" s="49"/>
      <c r="BR8" s="97"/>
      <c r="BT8" s="107"/>
      <c r="BV8" s="49"/>
      <c r="BW8" s="54"/>
      <c r="BX8" s="107"/>
      <c r="CA8" s="49"/>
      <c r="CB8" s="61"/>
    </row>
    <row r="9" spans="2:80" ht="30" customHeight="1" x14ac:dyDescent="0.25">
      <c r="S9" s="18"/>
      <c r="T9" s="54"/>
      <c r="X9" s="49"/>
      <c r="Y9" s="54"/>
      <c r="AC9" s="49"/>
      <c r="AD9" s="54"/>
      <c r="AH9" s="49"/>
      <c r="AI9" s="54"/>
      <c r="AM9" s="49"/>
      <c r="AN9" s="54"/>
      <c r="AR9" s="49"/>
      <c r="AS9" s="54"/>
      <c r="BB9" s="49"/>
      <c r="BC9" s="54"/>
      <c r="BG9" s="49"/>
      <c r="BH9" s="54"/>
      <c r="BL9" s="49"/>
      <c r="BM9" s="54"/>
      <c r="BQ9" s="49"/>
      <c r="BR9" s="97"/>
      <c r="BT9" s="107"/>
      <c r="BV9" s="49"/>
      <c r="BW9" s="54"/>
      <c r="BX9" s="107"/>
      <c r="CA9" s="49"/>
      <c r="CB9" s="61"/>
    </row>
    <row r="10" spans="2:80" ht="30" customHeight="1" x14ac:dyDescent="0.25">
      <c r="S10" s="18"/>
      <c r="T10" s="54"/>
      <c r="X10" s="49"/>
      <c r="Y10" s="54"/>
      <c r="AC10" s="49"/>
      <c r="AD10" s="54"/>
      <c r="AH10" s="49"/>
      <c r="AI10" s="54"/>
      <c r="AM10" s="49"/>
      <c r="AN10" s="54"/>
      <c r="AR10" s="49"/>
      <c r="AS10" s="54"/>
      <c r="BB10" s="49"/>
      <c r="BC10" s="54"/>
      <c r="BG10" s="49"/>
      <c r="BH10" s="54"/>
      <c r="BL10" s="49"/>
      <c r="BM10" s="54"/>
      <c r="BQ10" s="49"/>
      <c r="BR10" s="97"/>
      <c r="BV10" s="49"/>
      <c r="BW10" s="54"/>
      <c r="CA10" s="49"/>
      <c r="CB10" s="61"/>
    </row>
    <row r="11" spans="2:80" ht="30" customHeight="1" x14ac:dyDescent="0.25">
      <c r="B11" s="34" t="s">
        <v>8</v>
      </c>
      <c r="C11" s="35" t="s">
        <v>9</v>
      </c>
      <c r="S11" s="18"/>
      <c r="T11" s="54"/>
      <c r="X11" s="49"/>
      <c r="Y11" s="54"/>
      <c r="AC11" s="49"/>
      <c r="AD11" s="54"/>
      <c r="AH11" s="49"/>
      <c r="AI11" s="54"/>
      <c r="AM11" s="49"/>
      <c r="AN11" s="54"/>
      <c r="AR11" s="49"/>
      <c r="AS11" s="54"/>
      <c r="BB11" s="49"/>
      <c r="BC11" s="54"/>
      <c r="BG11" s="49"/>
      <c r="BH11" s="54"/>
      <c r="BL11" s="49"/>
      <c r="BM11" s="54"/>
      <c r="BQ11" s="49"/>
      <c r="BR11" s="54"/>
      <c r="BV11" s="49"/>
      <c r="BW11" s="54"/>
      <c r="CA11" s="49"/>
      <c r="CB11" s="61"/>
    </row>
    <row r="12" spans="2:80" ht="30" customHeight="1" x14ac:dyDescent="0.25">
      <c r="B12" s="34" t="s">
        <v>10</v>
      </c>
      <c r="C12" s="35" t="s">
        <v>11</v>
      </c>
      <c r="S12" s="18"/>
      <c r="T12" s="54"/>
      <c r="X12" s="49"/>
      <c r="Y12" s="54"/>
      <c r="AC12" s="49"/>
      <c r="AD12" s="54"/>
      <c r="AH12" s="49"/>
      <c r="AI12" s="54"/>
      <c r="AM12" s="49"/>
      <c r="AN12" s="54"/>
      <c r="AR12" s="49"/>
      <c r="AS12" s="54"/>
      <c r="BB12" s="49"/>
      <c r="BC12" s="54"/>
      <c r="BG12" s="49"/>
      <c r="BH12" s="54"/>
      <c r="BL12" s="49"/>
      <c r="BM12" s="54"/>
      <c r="BQ12" s="49"/>
      <c r="BR12" s="54"/>
      <c r="BV12" s="49"/>
      <c r="BW12" s="54"/>
      <c r="CA12" s="49"/>
      <c r="CB12" s="61"/>
    </row>
    <row r="13" spans="2:80" ht="30" customHeight="1" x14ac:dyDescent="0.25">
      <c r="B13" s="36" t="s">
        <v>12</v>
      </c>
      <c r="C13" s="35" t="s">
        <v>13</v>
      </c>
      <c r="S13" s="18"/>
      <c r="T13" s="54"/>
      <c r="X13" s="49"/>
      <c r="Y13" s="54"/>
      <c r="AC13" s="49"/>
      <c r="AD13" s="54"/>
      <c r="AH13" s="49"/>
      <c r="AI13" s="54"/>
      <c r="AM13" s="49"/>
      <c r="AN13" s="54"/>
      <c r="AR13" s="49"/>
      <c r="AS13" s="54"/>
      <c r="BB13" s="49"/>
      <c r="BC13" s="54"/>
      <c r="BG13" s="49"/>
      <c r="BH13" s="54"/>
      <c r="BL13" s="49"/>
      <c r="BM13" s="54"/>
      <c r="BQ13" s="49"/>
      <c r="BR13" s="54"/>
      <c r="BV13" s="49"/>
      <c r="BW13" s="54"/>
      <c r="CA13" s="49"/>
      <c r="CB13" s="61"/>
    </row>
    <row r="14" spans="2:80" ht="30" customHeight="1" x14ac:dyDescent="0.25">
      <c r="B14" s="36">
        <v>5</v>
      </c>
      <c r="C14" s="35" t="s">
        <v>14</v>
      </c>
      <c r="S14" s="18"/>
      <c r="T14" s="54"/>
      <c r="X14" s="49"/>
      <c r="Y14" s="54"/>
      <c r="AC14" s="49"/>
      <c r="AD14" s="54"/>
      <c r="AH14" s="49"/>
      <c r="AI14" s="54"/>
      <c r="AM14" s="49"/>
      <c r="AN14" s="54"/>
      <c r="AR14" s="49"/>
      <c r="AS14" s="54"/>
      <c r="BB14" s="49"/>
      <c r="BC14" s="54"/>
      <c r="BG14" s="49"/>
      <c r="BH14" s="54"/>
      <c r="BL14" s="49"/>
      <c r="BM14" s="54"/>
      <c r="BQ14" s="49"/>
      <c r="BR14" s="54"/>
      <c r="BV14" s="49"/>
      <c r="BW14" s="54"/>
      <c r="CA14" s="49"/>
      <c r="CB14" s="61"/>
    </row>
    <row r="15" spans="2:80" ht="30" customHeight="1" x14ac:dyDescent="0.25">
      <c r="B15" s="36" t="s">
        <v>15</v>
      </c>
      <c r="C15" s="35" t="s">
        <v>16</v>
      </c>
      <c r="S15" s="18"/>
      <c r="T15" s="54"/>
      <c r="X15" s="49"/>
      <c r="Y15" s="54"/>
      <c r="AC15" s="49"/>
      <c r="AD15" s="54"/>
      <c r="AH15" s="49"/>
      <c r="AI15" s="54"/>
      <c r="AM15" s="49"/>
      <c r="AN15" s="54"/>
      <c r="AR15" s="49"/>
      <c r="AS15" s="54"/>
      <c r="BB15" s="49"/>
      <c r="BC15" s="54"/>
      <c r="BG15" s="49"/>
      <c r="BH15" s="54"/>
      <c r="BL15" s="49"/>
      <c r="BM15" s="54"/>
      <c r="BQ15" s="49"/>
      <c r="BR15" s="54"/>
      <c r="BV15" s="49"/>
      <c r="BW15" s="54"/>
      <c r="CA15" s="49"/>
      <c r="CB15" s="61"/>
    </row>
    <row r="16" spans="2:80" ht="30" customHeight="1" x14ac:dyDescent="0.25">
      <c r="B16" s="36">
        <v>0</v>
      </c>
      <c r="C16" s="35" t="s">
        <v>17</v>
      </c>
      <c r="S16" s="18"/>
      <c r="T16" s="54"/>
      <c r="X16" s="49"/>
      <c r="Y16" s="54"/>
      <c r="AC16" s="49"/>
      <c r="AD16" s="54"/>
      <c r="AH16" s="49"/>
      <c r="AI16" s="54"/>
      <c r="AM16" s="49"/>
      <c r="AN16" s="54"/>
      <c r="AR16" s="49"/>
      <c r="AS16" s="54"/>
      <c r="BB16" s="49"/>
      <c r="BC16" s="54"/>
      <c r="BG16" s="49"/>
      <c r="BH16" s="54"/>
      <c r="BL16" s="49"/>
      <c r="BM16" s="54"/>
      <c r="BQ16" s="49"/>
      <c r="BR16" s="54"/>
      <c r="BV16" s="49"/>
      <c r="BW16" s="54"/>
      <c r="CA16" s="49"/>
      <c r="CB16" s="61"/>
    </row>
    <row r="17" spans="9:80" ht="30" customHeight="1" x14ac:dyDescent="0.25">
      <c r="S17" s="18"/>
      <c r="T17" s="54"/>
      <c r="X17" s="49"/>
      <c r="Y17" s="54"/>
      <c r="AC17" s="49"/>
      <c r="AD17" s="54"/>
      <c r="AH17" s="49"/>
      <c r="AI17" s="54"/>
      <c r="AM17" s="49"/>
      <c r="AN17" s="54"/>
      <c r="AR17" s="49"/>
      <c r="AS17" s="54"/>
      <c r="BB17" s="49"/>
      <c r="BC17" s="54"/>
      <c r="BG17" s="49"/>
      <c r="BH17" s="54"/>
      <c r="BL17" s="49"/>
      <c r="BM17" s="54"/>
      <c r="BQ17" s="49"/>
      <c r="BR17" s="54"/>
      <c r="BV17" s="49"/>
      <c r="BW17" s="54"/>
      <c r="CA17" s="49"/>
      <c r="CB17" s="61"/>
    </row>
    <row r="18" spans="9:80" ht="30" customHeight="1" x14ac:dyDescent="0.25">
      <c r="I18" s="37" t="s">
        <v>8</v>
      </c>
      <c r="J18" s="37" t="s">
        <v>10</v>
      </c>
      <c r="K18" s="38" t="s">
        <v>12</v>
      </c>
      <c r="L18" s="38">
        <v>5</v>
      </c>
      <c r="M18" s="38" t="s">
        <v>15</v>
      </c>
      <c r="N18" s="38">
        <v>0</v>
      </c>
      <c r="S18" s="18"/>
      <c r="T18" s="54"/>
      <c r="X18" s="49"/>
      <c r="Y18" s="54"/>
      <c r="AC18" s="49"/>
      <c r="AD18" s="54"/>
      <c r="AH18" s="49"/>
      <c r="AI18" s="54"/>
      <c r="AM18" s="49"/>
      <c r="AN18" s="54"/>
      <c r="AR18" s="49"/>
      <c r="AS18" s="54"/>
      <c r="BB18" s="49"/>
      <c r="BC18" s="54"/>
      <c r="BG18" s="49"/>
      <c r="BH18" s="54"/>
      <c r="BL18" s="49"/>
      <c r="BM18" s="54"/>
      <c r="BQ18" s="49"/>
      <c r="BR18" s="54"/>
      <c r="BV18" s="49"/>
      <c r="BW18" s="54"/>
      <c r="CA18" s="49"/>
      <c r="CB18" s="61"/>
    </row>
    <row r="19" spans="9:80" ht="30" customHeight="1" x14ac:dyDescent="0.25">
      <c r="I19" s="98" t="s">
        <v>9</v>
      </c>
      <c r="J19" s="32" t="s">
        <v>11</v>
      </c>
      <c r="K19" s="32" t="s">
        <v>13</v>
      </c>
      <c r="L19" s="32" t="s">
        <v>14</v>
      </c>
      <c r="M19" s="32" t="s">
        <v>16</v>
      </c>
      <c r="N19" s="32" t="s">
        <v>17</v>
      </c>
      <c r="S19" s="18"/>
      <c r="T19" s="54"/>
      <c r="X19" s="49"/>
      <c r="Y19" s="54"/>
      <c r="AC19" s="49"/>
      <c r="AD19" s="54"/>
      <c r="AH19" s="49"/>
      <c r="AI19" s="54"/>
      <c r="AM19" s="49"/>
      <c r="AN19" s="54"/>
      <c r="AR19" s="49"/>
      <c r="AS19" s="54"/>
      <c r="BB19" s="49"/>
      <c r="BC19" s="54"/>
      <c r="BG19" s="49"/>
      <c r="BH19" s="54"/>
      <c r="BL19" s="49"/>
      <c r="BM19" s="54"/>
      <c r="BQ19" s="49"/>
      <c r="BR19" s="54"/>
      <c r="BV19" s="49"/>
      <c r="BW19" s="54"/>
      <c r="CA19" s="49"/>
      <c r="CB19" s="61"/>
    </row>
    <row r="20" spans="9:80" ht="30" customHeight="1" x14ac:dyDescent="0.25">
      <c r="I20" s="99"/>
      <c r="S20" s="18"/>
      <c r="T20" s="54"/>
      <c r="X20" s="49"/>
      <c r="Y20" s="54"/>
      <c r="AC20" s="49"/>
      <c r="AD20" s="54"/>
      <c r="AH20" s="49"/>
      <c r="AI20" s="54"/>
      <c r="AM20" s="49"/>
      <c r="AN20" s="54"/>
      <c r="AR20" s="49"/>
      <c r="AS20" s="54"/>
      <c r="BB20" s="49"/>
      <c r="BC20" s="54"/>
      <c r="BG20" s="49"/>
      <c r="BH20" s="54"/>
      <c r="BL20" s="49"/>
      <c r="BM20" s="54"/>
      <c r="BQ20" s="49"/>
      <c r="BR20" s="54"/>
      <c r="BV20" s="49"/>
      <c r="BW20" s="54"/>
      <c r="CA20" s="49"/>
      <c r="CB20" s="61"/>
    </row>
    <row r="21" spans="9:80" ht="30" customHeight="1" x14ac:dyDescent="0.25">
      <c r="I21" s="99"/>
      <c r="S21" s="18"/>
      <c r="T21" s="54"/>
      <c r="X21" s="49"/>
      <c r="Y21" s="54"/>
      <c r="AC21" s="49"/>
      <c r="AD21" s="54"/>
      <c r="AH21" s="49"/>
      <c r="AI21" s="54"/>
      <c r="AM21" s="49"/>
      <c r="AN21" s="54"/>
      <c r="AR21" s="49"/>
      <c r="AS21" s="54"/>
      <c r="BB21" s="49"/>
      <c r="BC21" s="54"/>
      <c r="BG21" s="49"/>
      <c r="BH21" s="54"/>
      <c r="BL21" s="49"/>
      <c r="BM21" s="54"/>
      <c r="BQ21" s="49"/>
      <c r="BR21" s="54"/>
      <c r="BV21" s="49"/>
      <c r="BW21" s="54"/>
      <c r="CA21" s="49"/>
      <c r="CB21" s="61"/>
    </row>
    <row r="22" spans="9:80" ht="30" customHeight="1" x14ac:dyDescent="0.25">
      <c r="I22" s="99"/>
      <c r="S22" s="18"/>
      <c r="T22" s="54"/>
      <c r="X22" s="49"/>
      <c r="Y22" s="54"/>
      <c r="AC22" s="49"/>
      <c r="AD22" s="54"/>
      <c r="AH22" s="49"/>
      <c r="AI22" s="54"/>
      <c r="AM22" s="49"/>
      <c r="AN22" s="54"/>
      <c r="AR22" s="49"/>
      <c r="AS22" s="54"/>
      <c r="BB22" s="49"/>
      <c r="BC22" s="54"/>
      <c r="BG22" s="49"/>
      <c r="BH22" s="54"/>
      <c r="BL22" s="49"/>
      <c r="BM22" s="54"/>
      <c r="BQ22" s="49"/>
      <c r="BR22" s="54"/>
      <c r="BV22" s="49"/>
      <c r="BW22" s="54"/>
      <c r="CA22" s="49"/>
      <c r="CB22" s="61"/>
    </row>
    <row r="23" spans="9:80" ht="30" customHeight="1" x14ac:dyDescent="0.25">
      <c r="I23" s="99"/>
      <c r="S23" s="18"/>
      <c r="T23" s="54"/>
      <c r="X23" s="49"/>
      <c r="Y23" s="54"/>
      <c r="AC23" s="49"/>
      <c r="AD23" s="54"/>
      <c r="AH23" s="49"/>
      <c r="AI23" s="54"/>
      <c r="AM23" s="49"/>
      <c r="AN23" s="54"/>
      <c r="AR23" s="49"/>
      <c r="AS23" s="54"/>
      <c r="BB23" s="49"/>
      <c r="BC23" s="54"/>
      <c r="BG23" s="49"/>
      <c r="BH23" s="54"/>
      <c r="BL23" s="49"/>
      <c r="BM23" s="54"/>
      <c r="BQ23" s="49"/>
      <c r="BR23" s="54"/>
      <c r="BV23" s="49"/>
      <c r="BW23" s="54"/>
      <c r="CA23" s="49"/>
      <c r="CB23" s="61"/>
    </row>
    <row r="24" spans="9:80" ht="30" customHeight="1" x14ac:dyDescent="0.25">
      <c r="S24" s="18"/>
      <c r="T24" s="54"/>
      <c r="X24" s="49"/>
      <c r="Y24" s="54"/>
      <c r="AC24" s="49"/>
      <c r="AD24" s="54"/>
      <c r="AH24" s="49"/>
      <c r="AI24" s="54"/>
      <c r="AM24" s="49"/>
      <c r="AN24" s="54"/>
      <c r="AR24" s="49"/>
      <c r="AS24" s="54"/>
      <c r="BB24" s="49"/>
      <c r="BC24" s="54"/>
      <c r="BG24" s="49"/>
      <c r="BH24" s="54"/>
      <c r="BL24" s="49"/>
      <c r="BM24" s="54"/>
      <c r="BQ24" s="49"/>
      <c r="BR24" s="54"/>
      <c r="BV24" s="49"/>
      <c r="BW24" s="54"/>
      <c r="CA24" s="49"/>
      <c r="CB24" s="61"/>
    </row>
    <row r="25" spans="9:80" ht="30" customHeight="1" x14ac:dyDescent="0.25">
      <c r="S25" s="18"/>
      <c r="T25" s="54"/>
      <c r="X25" s="49"/>
      <c r="Y25" s="54"/>
      <c r="AC25" s="49"/>
      <c r="AD25" s="54"/>
      <c r="AH25" s="49"/>
      <c r="AI25" s="54"/>
      <c r="AM25" s="49"/>
      <c r="AN25" s="54"/>
      <c r="AR25" s="49"/>
      <c r="AS25" s="54"/>
      <c r="BB25" s="49"/>
      <c r="BC25" s="54"/>
      <c r="BG25" s="49"/>
      <c r="BH25" s="54"/>
      <c r="BL25" s="49"/>
      <c r="BM25" s="54"/>
      <c r="BQ25" s="49"/>
      <c r="BR25" s="54"/>
      <c r="BV25" s="49"/>
      <c r="BW25" s="54"/>
      <c r="CA25" s="49"/>
      <c r="CB25" s="61"/>
    </row>
    <row r="26" spans="9:80" ht="30" customHeight="1" x14ac:dyDescent="0.25">
      <c r="S26" s="18"/>
      <c r="T26" s="54"/>
      <c r="X26" s="49"/>
      <c r="Y26" s="54"/>
      <c r="AC26" s="49"/>
      <c r="AD26" s="54"/>
      <c r="AH26" s="49"/>
      <c r="AI26" s="54"/>
      <c r="AM26" s="49"/>
      <c r="AN26" s="54"/>
      <c r="AR26" s="49"/>
      <c r="AS26" s="54"/>
      <c r="BB26" s="49"/>
      <c r="BC26" s="54"/>
      <c r="BG26" s="49"/>
      <c r="BH26" s="54"/>
      <c r="BL26" s="49"/>
      <c r="BM26" s="54"/>
      <c r="BQ26" s="49"/>
      <c r="BR26" s="54"/>
      <c r="BV26" s="49"/>
      <c r="BW26" s="54"/>
      <c r="CA26" s="49"/>
      <c r="CB26" s="61"/>
    </row>
    <row r="27" spans="9:80" ht="30" customHeight="1" x14ac:dyDescent="0.25">
      <c r="S27" s="18"/>
      <c r="T27" s="54"/>
      <c r="X27" s="49"/>
      <c r="Y27" s="54"/>
      <c r="AC27" s="49"/>
      <c r="AD27" s="54"/>
      <c r="AH27" s="49"/>
      <c r="AI27" s="54"/>
      <c r="AM27" s="49"/>
      <c r="AN27" s="54"/>
      <c r="AR27" s="49"/>
      <c r="AS27" s="54"/>
      <c r="BB27" s="49"/>
      <c r="BC27" s="54"/>
      <c r="BG27" s="49"/>
      <c r="BH27" s="54"/>
      <c r="BL27" s="49"/>
      <c r="BM27" s="54"/>
      <c r="BQ27" s="49"/>
      <c r="BR27" s="54"/>
      <c r="BV27" s="49"/>
      <c r="BW27" s="54"/>
      <c r="CA27" s="49"/>
      <c r="CB27" s="61"/>
    </row>
    <row r="28" spans="9:80" ht="30" customHeight="1" x14ac:dyDescent="0.25">
      <c r="S28" s="18"/>
      <c r="T28" s="54"/>
      <c r="X28" s="49"/>
      <c r="Y28" s="54"/>
      <c r="AC28" s="49"/>
      <c r="AD28" s="54"/>
      <c r="AH28" s="49"/>
      <c r="AI28" s="54"/>
      <c r="AM28" s="49"/>
      <c r="AN28" s="54"/>
      <c r="AR28" s="49"/>
      <c r="AS28" s="54"/>
      <c r="BB28" s="49"/>
      <c r="BC28" s="54"/>
      <c r="BG28" s="49"/>
      <c r="BH28" s="54"/>
      <c r="BL28" s="49"/>
      <c r="BM28" s="54"/>
      <c r="BQ28" s="49"/>
      <c r="BR28" s="54"/>
      <c r="BV28" s="49"/>
      <c r="BW28" s="54"/>
      <c r="CA28" s="49"/>
      <c r="CB28" s="61"/>
    </row>
    <row r="29" spans="9:80" ht="30" customHeight="1" x14ac:dyDescent="0.25">
      <c r="S29" s="18"/>
      <c r="T29" s="54"/>
      <c r="X29" s="49"/>
      <c r="Y29" s="54"/>
      <c r="AC29" s="49"/>
      <c r="AD29" s="54"/>
      <c r="AH29" s="49"/>
      <c r="AI29" s="54"/>
      <c r="AM29" s="49"/>
      <c r="AN29" s="54"/>
      <c r="AR29" s="49"/>
      <c r="AS29" s="54"/>
      <c r="BB29" s="49"/>
      <c r="BC29" s="54"/>
      <c r="BG29" s="49"/>
      <c r="BH29" s="54"/>
      <c r="BL29" s="49"/>
      <c r="BM29" s="54"/>
      <c r="BQ29" s="49"/>
      <c r="BR29" s="54"/>
      <c r="BV29" s="49"/>
      <c r="BW29" s="54"/>
      <c r="CA29" s="49"/>
      <c r="CB29" s="61"/>
    </row>
    <row r="30" spans="9:80" ht="30" customHeight="1" x14ac:dyDescent="0.25">
      <c r="S30" s="18"/>
      <c r="T30" s="54"/>
      <c r="X30" s="49"/>
      <c r="Y30" s="54"/>
      <c r="AC30" s="49"/>
      <c r="AD30" s="54"/>
      <c r="AH30" s="49"/>
      <c r="AI30" s="54"/>
      <c r="AM30" s="49"/>
      <c r="AN30" s="54"/>
      <c r="AR30" s="49"/>
      <c r="AS30" s="54"/>
      <c r="BB30" s="49"/>
      <c r="BC30" s="54"/>
      <c r="BG30" s="49"/>
      <c r="BH30" s="54"/>
      <c r="BL30" s="49"/>
      <c r="BM30" s="54"/>
      <c r="BQ30" s="49"/>
      <c r="BR30" s="54"/>
      <c r="BV30" s="49"/>
      <c r="BW30" s="54"/>
      <c r="CA30" s="49"/>
      <c r="CB30" s="61"/>
    </row>
    <row r="31" spans="9:80" ht="30" customHeight="1" x14ac:dyDescent="0.25">
      <c r="S31" s="18"/>
      <c r="T31" s="54"/>
      <c r="X31" s="49"/>
      <c r="Y31" s="54"/>
      <c r="AC31" s="49"/>
      <c r="AD31" s="54"/>
      <c r="AH31" s="49"/>
      <c r="AI31" s="54"/>
      <c r="AM31" s="49"/>
      <c r="AN31" s="54"/>
      <c r="AR31" s="49"/>
      <c r="AS31" s="54"/>
      <c r="BB31" s="49"/>
      <c r="BC31" s="54"/>
      <c r="BG31" s="49"/>
      <c r="BH31" s="54"/>
      <c r="BL31" s="49"/>
      <c r="BM31" s="54"/>
      <c r="BQ31" s="49"/>
      <c r="BR31" s="54"/>
      <c r="BV31" s="49"/>
      <c r="BW31" s="54"/>
      <c r="CA31" s="49"/>
      <c r="CB31" s="61"/>
    </row>
    <row r="32" spans="9:80" ht="30" customHeight="1" x14ac:dyDescent="0.25">
      <c r="S32" s="18"/>
      <c r="T32" s="54"/>
      <c r="X32" s="49"/>
      <c r="Y32" s="54"/>
      <c r="AC32" s="49"/>
      <c r="AD32" s="54"/>
      <c r="AH32" s="49"/>
      <c r="AI32" s="54"/>
      <c r="AM32" s="49"/>
      <c r="AN32" s="54"/>
      <c r="AR32" s="49"/>
      <c r="AS32" s="54"/>
      <c r="BB32" s="49"/>
      <c r="BC32" s="54"/>
      <c r="BG32" s="49"/>
      <c r="BH32" s="54"/>
      <c r="BL32" s="49"/>
      <c r="BM32" s="54"/>
      <c r="BQ32" s="49"/>
      <c r="BR32" s="54"/>
      <c r="BV32" s="49"/>
      <c r="BW32" s="54"/>
      <c r="CA32" s="49"/>
      <c r="CB32" s="61"/>
    </row>
    <row r="33" spans="1:109" ht="30" customHeight="1" x14ac:dyDescent="0.25">
      <c r="S33" s="18"/>
      <c r="T33" s="54"/>
      <c r="X33" s="49"/>
      <c r="Y33" s="54"/>
      <c r="AC33" s="49"/>
      <c r="AD33" s="54"/>
      <c r="AH33" s="49"/>
      <c r="AI33" s="54"/>
      <c r="AM33" s="49"/>
      <c r="AN33" s="54"/>
      <c r="AR33" s="49"/>
      <c r="AS33" s="54"/>
      <c r="BB33" s="49"/>
      <c r="BC33" s="54"/>
      <c r="BG33" s="49"/>
      <c r="BH33" s="54"/>
      <c r="BL33" s="49"/>
      <c r="BM33" s="54"/>
      <c r="BQ33" s="49"/>
      <c r="BR33" s="54"/>
      <c r="BV33" s="49"/>
      <c r="BW33" s="54"/>
      <c r="CA33" s="49"/>
      <c r="CB33" s="61"/>
    </row>
    <row r="34" spans="1:109" ht="30" customHeight="1" x14ac:dyDescent="0.25">
      <c r="S34" s="18"/>
      <c r="T34" s="54"/>
      <c r="X34" s="49"/>
      <c r="Y34" s="54"/>
      <c r="AC34" s="49"/>
      <c r="AD34" s="54"/>
      <c r="AH34" s="49"/>
      <c r="AI34" s="54"/>
      <c r="AM34" s="49"/>
      <c r="AN34" s="54"/>
      <c r="AR34" s="49"/>
      <c r="AS34" s="54"/>
      <c r="BB34" s="49"/>
      <c r="BC34" s="54"/>
      <c r="BG34" s="49"/>
      <c r="BH34" s="54"/>
      <c r="BL34" s="49"/>
      <c r="BM34" s="54"/>
      <c r="BQ34" s="49"/>
      <c r="BR34" s="54"/>
      <c r="BV34" s="49"/>
      <c r="BW34" s="54"/>
      <c r="CA34" s="49"/>
      <c r="CB34" s="61"/>
    </row>
    <row r="35" spans="1:109" ht="30" customHeight="1" x14ac:dyDescent="0.25">
      <c r="S35" s="18"/>
      <c r="T35" s="54"/>
      <c r="X35" s="49"/>
      <c r="Y35" s="54"/>
      <c r="AC35" s="49"/>
      <c r="AD35" s="54"/>
      <c r="AH35" s="49"/>
      <c r="AI35" s="54"/>
      <c r="AM35" s="49"/>
      <c r="AN35" s="54"/>
      <c r="AR35" s="49"/>
      <c r="AS35" s="54"/>
      <c r="BB35" s="49"/>
      <c r="BC35" s="54"/>
      <c r="BG35" s="49"/>
      <c r="BH35" s="54"/>
      <c r="BL35" s="49"/>
      <c r="BM35" s="54"/>
      <c r="BQ35" s="49"/>
      <c r="BR35" s="54"/>
      <c r="BV35" s="49"/>
      <c r="BW35" s="54"/>
      <c r="CA35" s="49"/>
      <c r="CB35" s="61"/>
    </row>
    <row r="36" spans="1:109" ht="30" customHeight="1" x14ac:dyDescent="0.25">
      <c r="S36" s="18"/>
      <c r="T36" s="54"/>
      <c r="X36" s="49"/>
      <c r="Y36" s="54"/>
      <c r="AC36" s="49"/>
      <c r="AD36" s="54"/>
      <c r="AH36" s="49"/>
      <c r="AI36" s="54"/>
      <c r="AM36" s="49"/>
      <c r="AN36" s="54"/>
      <c r="AR36" s="49"/>
      <c r="AS36" s="54"/>
      <c r="BB36" s="49"/>
      <c r="BC36" s="54"/>
      <c r="BG36" s="49"/>
      <c r="BH36" s="54"/>
      <c r="BL36" s="49"/>
      <c r="BM36" s="54"/>
      <c r="BQ36" s="49"/>
      <c r="BR36" s="54"/>
      <c r="BV36" s="49"/>
      <c r="BW36" s="54"/>
      <c r="CA36" s="49"/>
      <c r="CB36" s="61"/>
    </row>
    <row r="37" spans="1:109" ht="30" customHeight="1" x14ac:dyDescent="0.25">
      <c r="S37" s="18"/>
      <c r="T37" s="54"/>
      <c r="X37" s="49"/>
      <c r="Y37" s="54"/>
      <c r="AC37" s="49"/>
      <c r="AD37" s="54"/>
      <c r="AH37" s="49"/>
      <c r="AI37" s="54"/>
      <c r="AM37" s="49"/>
      <c r="AN37" s="54"/>
      <c r="AR37" s="49"/>
      <c r="AS37" s="54"/>
      <c r="BB37" s="49"/>
      <c r="BC37" s="54"/>
      <c r="BG37" s="49"/>
      <c r="BH37" s="54"/>
      <c r="BL37" s="49"/>
      <c r="BM37" s="54"/>
      <c r="BQ37" s="49"/>
      <c r="BR37" s="54"/>
      <c r="BV37" s="49"/>
      <c r="BW37" s="54"/>
      <c r="CA37" s="49"/>
      <c r="CB37" s="61"/>
    </row>
    <row r="38" spans="1:109" ht="30" customHeight="1" x14ac:dyDescent="0.25">
      <c r="S38" s="18"/>
      <c r="T38" s="54"/>
      <c r="X38" s="49"/>
      <c r="Y38" s="54"/>
      <c r="AC38" s="49"/>
      <c r="AD38" s="54"/>
      <c r="AH38" s="49"/>
      <c r="AI38" s="54"/>
      <c r="AM38" s="49"/>
      <c r="AN38" s="54"/>
      <c r="AR38" s="49"/>
      <c r="AS38" s="54"/>
      <c r="BB38" s="49"/>
      <c r="BC38" s="54"/>
      <c r="BG38" s="49"/>
      <c r="BH38" s="54"/>
      <c r="BL38" s="49"/>
      <c r="BM38" s="54"/>
      <c r="BQ38" s="49"/>
      <c r="BR38" s="54"/>
      <c r="BV38" s="49"/>
      <c r="BW38" s="54"/>
      <c r="CA38" s="49"/>
      <c r="CB38" s="61"/>
    </row>
    <row r="39" spans="1:109" ht="30" customHeight="1" x14ac:dyDescent="0.25">
      <c r="S39" s="18"/>
      <c r="T39" s="54"/>
      <c r="X39" s="49"/>
      <c r="Y39" s="54"/>
      <c r="AC39" s="49"/>
      <c r="AD39" s="54"/>
      <c r="AH39" s="49"/>
      <c r="AI39" s="54"/>
      <c r="AM39" s="49"/>
      <c r="AN39" s="54"/>
      <c r="AR39" s="49"/>
      <c r="AS39" s="54"/>
      <c r="BB39" s="49"/>
      <c r="BC39" s="54"/>
      <c r="BG39" s="49"/>
      <c r="BH39" s="54"/>
      <c r="BL39" s="49"/>
      <c r="BM39" s="54"/>
      <c r="BQ39" s="49"/>
      <c r="BR39" s="54"/>
      <c r="BV39" s="49"/>
      <c r="BW39" s="54"/>
      <c r="CA39" s="49"/>
      <c r="CB39" s="61"/>
    </row>
    <row r="40" spans="1:109" ht="30" customHeight="1" x14ac:dyDescent="0.25">
      <c r="S40" s="18"/>
      <c r="T40" s="54"/>
      <c r="X40" s="49"/>
      <c r="Y40" s="54"/>
      <c r="AC40" s="49"/>
      <c r="AD40" s="54"/>
      <c r="AH40" s="49"/>
      <c r="AI40" s="54"/>
      <c r="AM40" s="49"/>
      <c r="AN40" s="54"/>
      <c r="AR40" s="49"/>
      <c r="AS40" s="54"/>
      <c r="BB40" s="49"/>
      <c r="BC40" s="54"/>
      <c r="BG40" s="49"/>
      <c r="BH40" s="54"/>
      <c r="BL40" s="49"/>
      <c r="BM40" s="54"/>
      <c r="BQ40" s="49"/>
      <c r="BR40" s="54"/>
      <c r="BV40" s="49"/>
      <c r="BW40" s="54"/>
      <c r="CA40" s="49"/>
      <c r="CB40" s="61"/>
    </row>
    <row r="41" spans="1:109" ht="30" customHeight="1" x14ac:dyDescent="0.25">
      <c r="S41" s="88" t="s">
        <v>61</v>
      </c>
      <c r="T41" s="88"/>
      <c r="X41" s="49"/>
      <c r="Y41" s="54"/>
      <c r="AC41" s="49"/>
      <c r="AD41" s="54"/>
      <c r="AH41" s="49"/>
      <c r="AI41" s="54"/>
      <c r="AM41" s="49"/>
      <c r="AN41" s="54"/>
      <c r="AR41" s="49"/>
      <c r="AS41" s="54"/>
      <c r="BB41" s="49"/>
      <c r="BC41" s="54"/>
      <c r="BG41" s="49"/>
      <c r="BH41" s="54"/>
      <c r="BL41" s="49"/>
      <c r="BM41" s="54"/>
      <c r="BQ41" s="49"/>
      <c r="BR41" s="54"/>
      <c r="BV41" s="49"/>
      <c r="BW41" s="54"/>
      <c r="CA41" s="88" t="s">
        <v>61</v>
      </c>
      <c r="CB41" s="88"/>
    </row>
    <row r="42" spans="1:109" ht="30" customHeight="1" x14ac:dyDescent="0.25">
      <c r="S42" s="88"/>
      <c r="T42" s="88"/>
      <c r="X42" s="49"/>
      <c r="Y42" s="54"/>
      <c r="AC42" s="49"/>
      <c r="AD42" s="54"/>
      <c r="AH42" s="49"/>
      <c r="AI42" s="54"/>
      <c r="AM42" s="49"/>
      <c r="AN42" s="54"/>
      <c r="AR42" s="49"/>
      <c r="AS42" s="54"/>
      <c r="BB42" s="49"/>
      <c r="BC42" s="54"/>
      <c r="BG42" s="49"/>
      <c r="BH42" s="54"/>
      <c r="BL42" s="49"/>
      <c r="BM42" s="54"/>
      <c r="BQ42" s="49"/>
      <c r="BR42" s="54"/>
      <c r="BV42" s="49"/>
      <c r="BW42" s="54"/>
      <c r="CA42" s="88"/>
      <c r="CB42" s="88"/>
    </row>
    <row r="43" spans="1:109" s="1" customFormat="1" ht="30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90"/>
      <c r="T43" s="90"/>
      <c r="Y43" s="55"/>
      <c r="AD43" s="55"/>
      <c r="AI43" s="55"/>
      <c r="AN43" s="55"/>
      <c r="AS43" s="55"/>
      <c r="AX43" s="5"/>
      <c r="BC43" s="55"/>
      <c r="BH43" s="55"/>
      <c r="BM43" s="55"/>
      <c r="BR43" s="55"/>
      <c r="BW43" s="55"/>
      <c r="CA43" s="90"/>
      <c r="CB43" s="90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</row>
    <row r="44" spans="1:109" ht="11.25" customHeight="1" x14ac:dyDescent="0.25">
      <c r="S44" s="22"/>
      <c r="T44" s="8"/>
      <c r="U44" s="7"/>
      <c r="V44" s="7"/>
      <c r="W44" s="7"/>
      <c r="X44" s="7"/>
      <c r="Y44" s="8"/>
      <c r="Z44" s="7"/>
      <c r="AA44" s="7"/>
      <c r="AB44" s="7"/>
      <c r="AC44" s="7"/>
      <c r="AD44" s="8"/>
      <c r="AE44" s="7"/>
      <c r="AF44" s="7"/>
      <c r="AG44" s="7"/>
      <c r="AH44" s="7"/>
      <c r="AI44" s="8"/>
      <c r="AJ44" s="7"/>
      <c r="AK44" s="7"/>
      <c r="AL44" s="7"/>
      <c r="AM44" s="7"/>
      <c r="AN44" s="8"/>
      <c r="AO44" s="7"/>
      <c r="AP44" s="7"/>
      <c r="AQ44" s="7"/>
      <c r="AR44" s="7"/>
      <c r="AS44" s="8"/>
      <c r="AT44" s="7"/>
      <c r="AU44" s="7"/>
      <c r="AV44" s="7"/>
      <c r="AW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23"/>
    </row>
    <row r="45" spans="1:109" ht="11.25" customHeight="1" x14ac:dyDescent="0.25">
      <c r="S45" s="24"/>
      <c r="T45" s="8"/>
      <c r="X45" s="10"/>
      <c r="Y45" s="8"/>
      <c r="AC45" s="10"/>
      <c r="AD45" s="8"/>
      <c r="AH45" s="10"/>
      <c r="AI45" s="8"/>
      <c r="AM45" s="10"/>
      <c r="AN45" s="8"/>
      <c r="AR45" s="10"/>
      <c r="AS45" s="8"/>
      <c r="AW45" s="10"/>
      <c r="BB45" s="10"/>
      <c r="BC45" s="8"/>
      <c r="BG45" s="10"/>
      <c r="BH45" s="8"/>
      <c r="BL45" s="10"/>
      <c r="BM45" s="8"/>
      <c r="BQ45" s="10"/>
      <c r="BR45" s="8"/>
      <c r="BV45" s="10"/>
      <c r="BW45" s="8"/>
      <c r="CA45" s="10"/>
      <c r="CB45" s="25"/>
      <c r="CZ45" s="10"/>
      <c r="DA45" s="8"/>
      <c r="DE45" s="10"/>
    </row>
    <row r="46" spans="1:109" ht="13.5" customHeight="1" x14ac:dyDescent="0.25">
      <c r="S46" s="118" t="s">
        <v>64</v>
      </c>
      <c r="T46" s="118"/>
      <c r="X46" s="92">
        <v>35</v>
      </c>
      <c r="Y46" s="92"/>
      <c r="AC46" s="92">
        <v>40</v>
      </c>
      <c r="AD46" s="92"/>
      <c r="AH46" s="92">
        <v>45</v>
      </c>
      <c r="AI46" s="92"/>
      <c r="AM46" s="92">
        <v>50</v>
      </c>
      <c r="AN46" s="92"/>
      <c r="AR46" s="92" t="s">
        <v>4</v>
      </c>
      <c r="AS46" s="92"/>
      <c r="BB46" s="92" t="s">
        <v>7</v>
      </c>
      <c r="BC46" s="92"/>
      <c r="BG46" s="92">
        <v>10</v>
      </c>
      <c r="BH46" s="92"/>
      <c r="BL46" s="92">
        <v>15</v>
      </c>
      <c r="BM46" s="92"/>
      <c r="BQ46" s="92">
        <v>20</v>
      </c>
      <c r="BR46" s="92"/>
      <c r="BV46" s="92">
        <v>25</v>
      </c>
      <c r="BW46" s="92"/>
      <c r="CA46" s="118" t="s">
        <v>65</v>
      </c>
      <c r="CB46" s="118"/>
    </row>
    <row r="47" spans="1:109" s="12" customFormat="1" ht="30" customHeight="1" x14ac:dyDescent="0.45">
      <c r="S47" s="118"/>
      <c r="T47" s="118"/>
      <c r="X47" s="92"/>
      <c r="Y47" s="92"/>
      <c r="AC47" s="92"/>
      <c r="AD47" s="92"/>
      <c r="AH47" s="92"/>
      <c r="AI47" s="92"/>
      <c r="AM47" s="92"/>
      <c r="AN47" s="92"/>
      <c r="AR47" s="92"/>
      <c r="AS47" s="92"/>
      <c r="AX47" s="13"/>
      <c r="BB47" s="92"/>
      <c r="BC47" s="92"/>
      <c r="BG47" s="92"/>
      <c r="BH47" s="92"/>
      <c r="BL47" s="92"/>
      <c r="BM47" s="92"/>
      <c r="BQ47" s="92"/>
      <c r="BR47" s="92"/>
      <c r="BV47" s="92"/>
      <c r="BW47" s="92"/>
      <c r="CA47" s="118"/>
      <c r="CB47" s="118"/>
    </row>
    <row r="48" spans="1:109" s="12" customFormat="1" ht="30" customHeight="1" x14ac:dyDescent="0.45">
      <c r="S48" s="118"/>
      <c r="T48" s="118"/>
      <c r="X48" s="48"/>
      <c r="Y48" s="64"/>
      <c r="AC48" s="48"/>
      <c r="AD48" s="64"/>
      <c r="AH48" s="48"/>
      <c r="AI48" s="64"/>
      <c r="AM48" s="48"/>
      <c r="AN48" s="64"/>
      <c r="AR48" s="92"/>
      <c r="AS48" s="92"/>
      <c r="AX48" s="13"/>
      <c r="BB48" s="92"/>
      <c r="BC48" s="92"/>
      <c r="BG48" s="48"/>
      <c r="BH48" s="64"/>
      <c r="BL48" s="48"/>
      <c r="BM48" s="64"/>
      <c r="BQ48" s="48"/>
      <c r="BR48" s="64"/>
      <c r="BV48" s="48"/>
      <c r="BW48" s="64"/>
      <c r="CA48" s="118"/>
      <c r="CB48" s="118"/>
    </row>
    <row r="49" spans="19:80" s="12" customFormat="1" ht="30" customHeight="1" x14ac:dyDescent="0.45">
      <c r="S49" s="47"/>
      <c r="T49" s="54"/>
      <c r="X49" s="48"/>
      <c r="Y49" s="64"/>
      <c r="AC49" s="48"/>
      <c r="AD49" s="64"/>
      <c r="AH49" s="48"/>
      <c r="AI49" s="64"/>
      <c r="AM49" s="48"/>
      <c r="AN49" s="64"/>
      <c r="AR49" s="48"/>
      <c r="AS49" s="54"/>
      <c r="AX49" s="13"/>
      <c r="BB49" s="48"/>
      <c r="BC49" s="64"/>
      <c r="BG49" s="48"/>
      <c r="BH49" s="64"/>
      <c r="BL49" s="48"/>
      <c r="BM49" s="64"/>
      <c r="BQ49" s="48"/>
      <c r="BR49" s="64"/>
      <c r="BV49" s="48"/>
      <c r="BW49" s="64"/>
      <c r="CA49" s="118"/>
      <c r="CB49" s="118"/>
    </row>
    <row r="50" spans="19:80" ht="30" customHeight="1" x14ac:dyDescent="0.25">
      <c r="S50" s="18"/>
      <c r="T50" s="54"/>
      <c r="X50" s="49"/>
      <c r="Y50" s="54"/>
      <c r="AC50" s="49"/>
      <c r="AD50" s="54"/>
      <c r="AH50" s="49"/>
      <c r="AI50" s="54"/>
      <c r="AM50" s="49"/>
      <c r="AN50" s="54"/>
      <c r="AR50" s="49"/>
      <c r="AS50" s="54"/>
      <c r="BB50" s="49"/>
      <c r="BC50" s="54"/>
      <c r="BG50" s="49"/>
      <c r="BH50" s="54"/>
      <c r="BL50" s="49"/>
      <c r="BM50" s="54"/>
      <c r="BQ50" s="49"/>
      <c r="BR50" s="54"/>
      <c r="BV50" s="49"/>
      <c r="BW50" s="54"/>
      <c r="CA50" s="49"/>
      <c r="CB50" s="61"/>
    </row>
    <row r="51" spans="19:80" ht="30" customHeight="1" x14ac:dyDescent="0.25">
      <c r="S51" s="18"/>
      <c r="T51" s="54"/>
      <c r="X51" s="49"/>
      <c r="Y51" s="54"/>
      <c r="AC51" s="49"/>
      <c r="AD51" s="54"/>
      <c r="AH51" s="49"/>
      <c r="AI51" s="54"/>
      <c r="AM51" s="49"/>
      <c r="AN51" s="54"/>
      <c r="AR51" s="49"/>
      <c r="AS51" s="54"/>
      <c r="BB51" s="49"/>
      <c r="BC51" s="54"/>
      <c r="BG51" s="49"/>
      <c r="BH51" s="54"/>
      <c r="BL51" s="49"/>
      <c r="BM51" s="54"/>
      <c r="BQ51" s="49"/>
      <c r="BR51" s="54"/>
      <c r="BV51" s="49"/>
      <c r="BW51" s="54"/>
      <c r="CA51" s="49"/>
      <c r="CB51" s="61"/>
    </row>
    <row r="52" spans="19:80" ht="30" customHeight="1" x14ac:dyDescent="0.25">
      <c r="S52" s="18"/>
      <c r="T52" s="54"/>
      <c r="X52" s="49"/>
      <c r="Y52" s="54"/>
      <c r="AC52" s="49"/>
      <c r="AD52" s="54"/>
      <c r="AH52" s="49"/>
      <c r="AI52" s="54"/>
      <c r="AM52" s="49"/>
      <c r="AN52" s="54"/>
      <c r="AR52" s="49"/>
      <c r="AS52" s="54"/>
      <c r="BB52" s="49"/>
      <c r="BC52" s="54"/>
      <c r="BG52" s="49"/>
      <c r="BH52" s="54"/>
      <c r="BL52" s="49"/>
      <c r="BM52" s="54"/>
      <c r="BQ52" s="49"/>
      <c r="BR52" s="54"/>
      <c r="BV52" s="49"/>
      <c r="BW52" s="54"/>
      <c r="CA52" s="49"/>
      <c r="CB52" s="61"/>
    </row>
    <row r="53" spans="19:80" ht="30" customHeight="1" x14ac:dyDescent="0.25">
      <c r="S53" s="18"/>
      <c r="T53" s="54"/>
      <c r="X53" s="49"/>
      <c r="Y53" s="54"/>
      <c r="AC53" s="49"/>
      <c r="AD53" s="54"/>
      <c r="AH53" s="49"/>
      <c r="AI53" s="54"/>
      <c r="AM53" s="49"/>
      <c r="AN53" s="54"/>
      <c r="AR53" s="49"/>
      <c r="AS53" s="54"/>
      <c r="BB53" s="49"/>
      <c r="BC53" s="54"/>
      <c r="BG53" s="49"/>
      <c r="BH53" s="54"/>
      <c r="BL53" s="49"/>
      <c r="BM53" s="54"/>
      <c r="BQ53" s="49"/>
      <c r="BR53" s="54"/>
      <c r="BV53" s="49"/>
      <c r="BW53" s="54"/>
      <c r="CA53" s="49"/>
      <c r="CB53" s="61"/>
    </row>
    <row r="54" spans="19:80" ht="30" customHeight="1" x14ac:dyDescent="0.25">
      <c r="S54" s="18"/>
      <c r="T54" s="54"/>
      <c r="X54" s="49"/>
      <c r="Y54" s="54"/>
      <c r="AC54" s="49"/>
      <c r="AD54" s="54"/>
      <c r="AH54" s="49"/>
      <c r="AI54" s="54"/>
      <c r="AM54" s="49"/>
      <c r="AN54" s="54"/>
      <c r="AR54" s="49"/>
      <c r="AS54" s="54"/>
      <c r="BB54" s="49"/>
      <c r="BC54" s="54"/>
      <c r="BG54" s="49"/>
      <c r="BH54" s="54"/>
      <c r="BL54" s="49"/>
      <c r="BM54" s="54"/>
      <c r="BQ54" s="49"/>
      <c r="BR54" s="54"/>
      <c r="BV54" s="49"/>
      <c r="BW54" s="54"/>
      <c r="CA54" s="49"/>
      <c r="CB54" s="61"/>
    </row>
    <row r="55" spans="19:80" ht="30" customHeight="1" x14ac:dyDescent="0.25">
      <c r="S55" s="18"/>
      <c r="T55" s="54"/>
      <c r="X55" s="49"/>
      <c r="Y55" s="54"/>
      <c r="AC55" s="49"/>
      <c r="AD55" s="54"/>
      <c r="AH55" s="49"/>
      <c r="AI55" s="54"/>
      <c r="AM55" s="49"/>
      <c r="AN55" s="54"/>
      <c r="AR55" s="49"/>
      <c r="AS55" s="54"/>
      <c r="BB55" s="49"/>
      <c r="BC55" s="54"/>
      <c r="BG55" s="49"/>
      <c r="BH55" s="54"/>
      <c r="BL55" s="49"/>
      <c r="BM55" s="54"/>
      <c r="BQ55" s="49"/>
      <c r="BR55" s="54"/>
      <c r="BV55" s="49"/>
      <c r="BW55" s="54"/>
      <c r="CA55" s="49"/>
      <c r="CB55" s="61"/>
    </row>
    <row r="56" spans="19:80" ht="30" customHeight="1" x14ac:dyDescent="0.25">
      <c r="S56" s="18"/>
      <c r="T56" s="54"/>
      <c r="X56" s="49"/>
      <c r="Y56" s="54"/>
      <c r="AC56" s="49"/>
      <c r="AD56" s="54"/>
      <c r="AH56" s="49"/>
      <c r="AI56" s="54"/>
      <c r="AM56" s="49"/>
      <c r="AN56" s="54"/>
      <c r="AR56" s="49"/>
      <c r="AS56" s="54"/>
      <c r="BB56" s="49"/>
      <c r="BC56" s="54"/>
      <c r="BG56" s="49"/>
      <c r="BH56" s="54"/>
      <c r="BL56" s="49"/>
      <c r="BM56" s="54"/>
      <c r="BQ56" s="49"/>
      <c r="BR56" s="54"/>
      <c r="BV56" s="49"/>
      <c r="BW56" s="54"/>
      <c r="CA56" s="49"/>
      <c r="CB56" s="61"/>
    </row>
    <row r="57" spans="19:80" ht="30" customHeight="1" x14ac:dyDescent="0.25">
      <c r="S57" s="18"/>
      <c r="T57" s="54"/>
      <c r="X57" s="49"/>
      <c r="Y57" s="54"/>
      <c r="AC57" s="49"/>
      <c r="AD57" s="54"/>
      <c r="AH57" s="49"/>
      <c r="AI57" s="54"/>
      <c r="AM57" s="49"/>
      <c r="AN57" s="54"/>
      <c r="AR57" s="49"/>
      <c r="AS57" s="54"/>
      <c r="BB57" s="49"/>
      <c r="BC57" s="54"/>
      <c r="BG57" s="49"/>
      <c r="BH57" s="54"/>
      <c r="BL57" s="49"/>
      <c r="BM57" s="54"/>
      <c r="BQ57" s="49"/>
      <c r="BR57" s="54"/>
      <c r="BV57" s="49"/>
      <c r="BW57" s="54"/>
      <c r="CA57" s="49"/>
      <c r="CB57" s="61"/>
    </row>
    <row r="58" spans="19:80" ht="30" customHeight="1" x14ac:dyDescent="0.25">
      <c r="S58" s="18"/>
      <c r="T58" s="54"/>
      <c r="X58" s="49"/>
      <c r="Y58" s="54"/>
      <c r="AC58" s="49"/>
      <c r="AD58" s="54"/>
      <c r="AH58" s="49"/>
      <c r="AI58" s="54"/>
      <c r="AM58" s="49"/>
      <c r="AN58" s="54"/>
      <c r="AR58" s="49"/>
      <c r="AS58" s="54"/>
      <c r="BB58" s="49"/>
      <c r="BC58" s="54"/>
      <c r="BG58" s="49"/>
      <c r="BH58" s="54"/>
      <c r="BL58" s="49"/>
      <c r="BM58" s="54"/>
      <c r="BQ58" s="49"/>
      <c r="BR58" s="54"/>
      <c r="BV58" s="49"/>
      <c r="BW58" s="54"/>
      <c r="CA58" s="49"/>
      <c r="CB58" s="61"/>
    </row>
    <row r="59" spans="19:80" ht="30" customHeight="1" x14ac:dyDescent="0.25">
      <c r="S59" s="18"/>
      <c r="T59" s="54"/>
      <c r="X59" s="49"/>
      <c r="Y59" s="54"/>
      <c r="AC59" s="49"/>
      <c r="AD59" s="54"/>
      <c r="AH59" s="49"/>
      <c r="AI59" s="54"/>
      <c r="AM59" s="49"/>
      <c r="AN59" s="54"/>
      <c r="AR59" s="49"/>
      <c r="AS59" s="54"/>
      <c r="BB59" s="49"/>
      <c r="BC59" s="54"/>
      <c r="BG59" s="49"/>
      <c r="BH59" s="54"/>
      <c r="BL59" s="49"/>
      <c r="BM59" s="54"/>
      <c r="BQ59" s="49"/>
      <c r="BR59" s="54"/>
      <c r="BV59" s="49"/>
      <c r="BW59" s="54"/>
      <c r="CA59" s="49"/>
      <c r="CB59" s="61"/>
    </row>
    <row r="60" spans="19:80" ht="30" customHeight="1" x14ac:dyDescent="0.25">
      <c r="S60" s="18"/>
      <c r="T60" s="54"/>
      <c r="X60" s="49"/>
      <c r="Y60" s="54"/>
      <c r="AC60" s="49"/>
      <c r="AD60" s="54"/>
      <c r="AH60" s="49"/>
      <c r="AI60" s="54"/>
      <c r="AM60" s="49"/>
      <c r="AN60" s="54"/>
      <c r="AR60" s="49"/>
      <c r="AS60" s="54"/>
      <c r="BB60" s="49"/>
      <c r="BC60" s="54"/>
      <c r="BG60" s="49"/>
      <c r="BH60" s="54"/>
      <c r="BL60" s="49"/>
      <c r="BM60" s="54"/>
      <c r="BQ60" s="49"/>
      <c r="BR60" s="54"/>
      <c r="BV60" s="49"/>
      <c r="BW60" s="54"/>
      <c r="CA60" s="49"/>
      <c r="CB60" s="61"/>
    </row>
    <row r="61" spans="19:80" ht="30" customHeight="1" x14ac:dyDescent="0.25">
      <c r="S61" s="18"/>
      <c r="T61" s="54"/>
      <c r="X61" s="49"/>
      <c r="Y61" s="54"/>
      <c r="AC61" s="49"/>
      <c r="AD61" s="54"/>
      <c r="AH61" s="49"/>
      <c r="AI61" s="54"/>
      <c r="AM61" s="49"/>
      <c r="AN61" s="54"/>
      <c r="AR61" s="49"/>
      <c r="AS61" s="54"/>
      <c r="BB61" s="49"/>
      <c r="BC61" s="54"/>
      <c r="BG61" s="49"/>
      <c r="BH61" s="54"/>
      <c r="BL61" s="49"/>
      <c r="BM61" s="54"/>
      <c r="BQ61" s="49"/>
      <c r="BR61" s="54"/>
      <c r="BV61" s="49"/>
      <c r="BW61" s="54"/>
      <c r="CA61" s="49"/>
      <c r="CB61" s="61"/>
    </row>
    <row r="62" spans="19:80" ht="30" customHeight="1" x14ac:dyDescent="0.25">
      <c r="S62" s="18"/>
      <c r="T62" s="54"/>
      <c r="X62" s="49"/>
      <c r="Y62" s="54"/>
      <c r="AC62" s="49"/>
      <c r="AD62" s="54"/>
      <c r="AH62" s="49"/>
      <c r="AI62" s="54"/>
      <c r="AM62" s="49"/>
      <c r="AN62" s="54"/>
      <c r="AR62" s="49"/>
      <c r="AS62" s="54"/>
      <c r="BB62" s="49"/>
      <c r="BC62" s="54"/>
      <c r="BG62" s="49"/>
      <c r="BH62" s="54"/>
      <c r="BL62" s="49"/>
      <c r="BM62" s="54"/>
      <c r="BQ62" s="49"/>
      <c r="BR62" s="54"/>
      <c r="BV62" s="49"/>
      <c r="BW62" s="54"/>
      <c r="CA62" s="49"/>
      <c r="CB62" s="61"/>
    </row>
    <row r="63" spans="19:80" ht="30" customHeight="1" x14ac:dyDescent="0.25">
      <c r="S63" s="18"/>
      <c r="T63" s="54"/>
      <c r="X63" s="49"/>
      <c r="Y63" s="54"/>
      <c r="AC63" s="49"/>
      <c r="AD63" s="54"/>
      <c r="AH63" s="49"/>
      <c r="AI63" s="54"/>
      <c r="AM63" s="49"/>
      <c r="AN63" s="54"/>
      <c r="AR63" s="49"/>
      <c r="AS63" s="54"/>
      <c r="BB63" s="49"/>
      <c r="BC63" s="54"/>
      <c r="BG63" s="49"/>
      <c r="BH63" s="54"/>
      <c r="BL63" s="49"/>
      <c r="BM63" s="54"/>
      <c r="BQ63" s="49"/>
      <c r="BR63" s="54"/>
      <c r="BV63" s="49"/>
      <c r="BW63" s="54"/>
      <c r="CA63" s="49"/>
      <c r="CB63" s="61"/>
    </row>
    <row r="64" spans="19:80" ht="30" customHeight="1" x14ac:dyDescent="0.25">
      <c r="S64" s="18"/>
      <c r="T64" s="54"/>
      <c r="X64" s="49"/>
      <c r="Y64" s="54"/>
      <c r="AC64" s="49"/>
      <c r="AD64" s="54"/>
      <c r="AH64" s="49"/>
      <c r="AI64" s="54"/>
      <c r="AM64" s="49"/>
      <c r="AN64" s="54"/>
      <c r="AR64" s="49"/>
      <c r="AS64" s="54"/>
      <c r="BB64" s="49"/>
      <c r="BC64" s="54"/>
      <c r="BG64" s="49"/>
      <c r="BH64" s="54"/>
      <c r="BL64" s="49"/>
      <c r="BM64" s="54"/>
      <c r="BQ64" s="49"/>
      <c r="BR64" s="54"/>
      <c r="BV64" s="49"/>
      <c r="BW64" s="54"/>
      <c r="CA64" s="49"/>
      <c r="CB64" s="61"/>
    </row>
    <row r="65" spans="19:80" ht="30" customHeight="1" x14ac:dyDescent="0.25">
      <c r="S65" s="18"/>
      <c r="T65" s="54"/>
      <c r="X65" s="49"/>
      <c r="Y65" s="54"/>
      <c r="AC65" s="49"/>
      <c r="AD65" s="54"/>
      <c r="AH65" s="49"/>
      <c r="AI65" s="54"/>
      <c r="AM65" s="49"/>
      <c r="AN65" s="54"/>
      <c r="AR65" s="49"/>
      <c r="AS65" s="54"/>
      <c r="BB65" s="49"/>
      <c r="BC65" s="54"/>
      <c r="BG65" s="49"/>
      <c r="BH65" s="54"/>
      <c r="BL65" s="49"/>
      <c r="BM65" s="54"/>
      <c r="BQ65" s="49"/>
      <c r="BR65" s="54"/>
      <c r="BV65" s="49"/>
      <c r="BW65" s="54"/>
      <c r="CA65" s="49"/>
      <c r="CB65" s="61"/>
    </row>
    <row r="66" spans="19:80" ht="30" customHeight="1" x14ac:dyDescent="0.25">
      <c r="S66" s="18"/>
      <c r="T66" s="54"/>
      <c r="X66" s="49"/>
      <c r="Y66" s="54"/>
      <c r="AC66" s="49"/>
      <c r="AD66" s="54"/>
      <c r="AH66" s="49"/>
      <c r="AI66" s="54"/>
      <c r="AM66" s="49"/>
      <c r="AN66" s="54"/>
      <c r="AR66" s="49"/>
      <c r="AS66" s="54"/>
      <c r="BB66" s="49"/>
      <c r="BC66" s="54"/>
      <c r="BG66" s="49"/>
      <c r="BH66" s="54"/>
      <c r="BL66" s="49"/>
      <c r="BM66" s="54"/>
      <c r="BQ66" s="49"/>
      <c r="BR66" s="54"/>
      <c r="BV66" s="49"/>
      <c r="BW66" s="54"/>
      <c r="CA66" s="49"/>
      <c r="CB66" s="61"/>
    </row>
    <row r="67" spans="19:80" ht="30" customHeight="1" x14ac:dyDescent="0.25">
      <c r="S67" s="18"/>
      <c r="T67" s="54"/>
      <c r="X67" s="49"/>
      <c r="Y67" s="54"/>
      <c r="AC67" s="49"/>
      <c r="AD67" s="54"/>
      <c r="AH67" s="49"/>
      <c r="AI67" s="54"/>
      <c r="AM67" s="49"/>
      <c r="AN67" s="54"/>
      <c r="AR67" s="49"/>
      <c r="AS67" s="54"/>
      <c r="BB67" s="49"/>
      <c r="BC67" s="54"/>
      <c r="BG67" s="49"/>
      <c r="BH67" s="54"/>
      <c r="BL67" s="49"/>
      <c r="BM67" s="54"/>
      <c r="BQ67" s="49"/>
      <c r="BR67" s="54"/>
      <c r="BV67" s="49"/>
      <c r="BW67" s="54"/>
      <c r="CA67" s="49"/>
      <c r="CB67" s="61"/>
    </row>
    <row r="68" spans="19:80" ht="30" customHeight="1" x14ac:dyDescent="0.25">
      <c r="S68" s="18"/>
      <c r="T68" s="54"/>
      <c r="X68" s="49"/>
      <c r="Y68" s="54"/>
      <c r="AC68" s="49"/>
      <c r="AD68" s="54"/>
      <c r="AH68" s="49"/>
      <c r="AI68" s="54"/>
      <c r="AM68" s="49"/>
      <c r="AN68" s="54"/>
      <c r="AR68" s="49"/>
      <c r="AS68" s="54"/>
      <c r="BB68" s="49"/>
      <c r="BC68" s="54"/>
      <c r="BG68" s="49"/>
      <c r="BH68" s="54"/>
      <c r="BL68" s="49"/>
      <c r="BM68" s="54"/>
      <c r="BQ68" s="49"/>
      <c r="BR68" s="54"/>
      <c r="BV68" s="49"/>
      <c r="BW68" s="54"/>
      <c r="CA68" s="49"/>
      <c r="CB68" s="61"/>
    </row>
    <row r="69" spans="19:80" ht="30" customHeight="1" x14ac:dyDescent="0.25">
      <c r="S69" s="18"/>
      <c r="T69" s="54"/>
      <c r="X69" s="49"/>
      <c r="Y69" s="54"/>
      <c r="AC69" s="49"/>
      <c r="AD69" s="54"/>
      <c r="AH69" s="49"/>
      <c r="AI69" s="54"/>
      <c r="AM69" s="49"/>
      <c r="AN69" s="54"/>
      <c r="AR69" s="49"/>
      <c r="AS69" s="54"/>
      <c r="BB69" s="49"/>
      <c r="BC69" s="54"/>
      <c r="BG69" s="49"/>
      <c r="BH69" s="54"/>
      <c r="BL69" s="49"/>
      <c r="BM69" s="54"/>
      <c r="BQ69" s="49"/>
      <c r="BR69" s="54"/>
      <c r="BV69" s="49"/>
      <c r="BW69" s="54"/>
      <c r="CA69" s="49"/>
      <c r="CB69" s="61"/>
    </row>
    <row r="70" spans="19:80" ht="30" customHeight="1" x14ac:dyDescent="0.25">
      <c r="S70" s="18"/>
      <c r="T70" s="54"/>
      <c r="X70" s="49"/>
      <c r="Y70" s="54"/>
      <c r="AC70" s="49"/>
      <c r="AD70" s="54"/>
      <c r="AH70" s="49"/>
      <c r="AI70" s="54"/>
      <c r="AM70" s="49"/>
      <c r="AN70" s="54"/>
      <c r="AR70" s="49"/>
      <c r="AS70" s="54"/>
      <c r="BB70" s="49"/>
      <c r="BC70" s="54"/>
      <c r="BG70" s="49"/>
      <c r="BH70" s="54"/>
      <c r="BL70" s="49"/>
      <c r="BM70" s="54"/>
      <c r="BQ70" s="49"/>
      <c r="BR70" s="54"/>
      <c r="BV70" s="49"/>
      <c r="BW70" s="54"/>
      <c r="CA70" s="49"/>
      <c r="CB70" s="61"/>
    </row>
    <row r="71" spans="19:80" ht="30" customHeight="1" x14ac:dyDescent="0.25">
      <c r="S71" s="18"/>
      <c r="T71" s="54"/>
      <c r="X71" s="49"/>
      <c r="Y71" s="54"/>
      <c r="AC71" s="49"/>
      <c r="AD71" s="54"/>
      <c r="AH71" s="49"/>
      <c r="AI71" s="54"/>
      <c r="AM71" s="49"/>
      <c r="AN71" s="54"/>
      <c r="AR71" s="49"/>
      <c r="AS71" s="54"/>
      <c r="BB71" s="49"/>
      <c r="BC71" s="54"/>
      <c r="BG71" s="49"/>
      <c r="BH71" s="54"/>
      <c r="BL71" s="49"/>
      <c r="BM71" s="54"/>
      <c r="BQ71" s="49"/>
      <c r="BR71" s="54"/>
      <c r="BV71" s="49"/>
      <c r="BW71" s="54"/>
      <c r="CA71" s="49"/>
      <c r="CB71" s="61"/>
    </row>
    <row r="72" spans="19:80" ht="30" customHeight="1" x14ac:dyDescent="0.25">
      <c r="S72" s="18"/>
      <c r="T72" s="54"/>
      <c r="X72" s="49"/>
      <c r="Y72" s="54"/>
      <c r="AC72" s="49"/>
      <c r="AD72" s="54"/>
      <c r="AH72" s="49"/>
      <c r="AI72" s="54"/>
      <c r="AM72" s="49"/>
      <c r="AN72" s="54"/>
      <c r="AR72" s="49"/>
      <c r="AS72" s="54"/>
      <c r="BB72" s="49"/>
      <c r="BC72" s="54"/>
      <c r="BG72" s="49"/>
      <c r="BH72" s="54"/>
      <c r="BL72" s="49"/>
      <c r="BM72" s="54"/>
      <c r="BQ72" s="49"/>
      <c r="BR72" s="54"/>
      <c r="BV72" s="49"/>
      <c r="BW72" s="54"/>
      <c r="CA72" s="49"/>
      <c r="CB72" s="61"/>
    </row>
    <row r="73" spans="19:80" ht="30" customHeight="1" x14ac:dyDescent="0.25">
      <c r="S73" s="18"/>
      <c r="T73" s="54"/>
      <c r="X73" s="49"/>
      <c r="Y73" s="54"/>
      <c r="AC73" s="49"/>
      <c r="AD73" s="54"/>
      <c r="AH73" s="49"/>
      <c r="AI73" s="54"/>
      <c r="AM73" s="49"/>
      <c r="AN73" s="54"/>
      <c r="AR73" s="49"/>
      <c r="AS73" s="54"/>
      <c r="BB73" s="49"/>
      <c r="BC73" s="54"/>
      <c r="BG73" s="49"/>
      <c r="BH73" s="54"/>
      <c r="BL73" s="49"/>
      <c r="BM73" s="54"/>
      <c r="BQ73" s="49"/>
      <c r="BR73" s="54"/>
      <c r="BV73" s="49"/>
      <c r="BW73" s="54"/>
      <c r="CA73" s="49"/>
      <c r="CB73" s="61"/>
    </row>
    <row r="74" spans="19:80" ht="30" customHeight="1" x14ac:dyDescent="0.25">
      <c r="S74" s="18"/>
      <c r="T74" s="54"/>
      <c r="X74" s="49"/>
      <c r="Y74" s="54"/>
      <c r="AC74" s="49"/>
      <c r="AD74" s="54"/>
      <c r="AH74" s="49"/>
      <c r="AI74" s="54"/>
      <c r="AM74" s="49"/>
      <c r="AN74" s="54"/>
      <c r="AR74" s="49"/>
      <c r="AS74" s="54"/>
      <c r="BB74" s="49"/>
      <c r="BC74" s="54"/>
      <c r="BG74" s="49"/>
      <c r="BH74" s="54"/>
      <c r="BL74" s="49"/>
      <c r="BM74" s="54"/>
      <c r="BQ74" s="49"/>
      <c r="BR74" s="54"/>
      <c r="BV74" s="49"/>
      <c r="BW74" s="54"/>
      <c r="CA74" s="49"/>
      <c r="CB74" s="61"/>
    </row>
    <row r="75" spans="19:80" ht="30" customHeight="1" x14ac:dyDescent="0.25">
      <c r="S75" s="18"/>
      <c r="T75" s="54"/>
      <c r="X75" s="49"/>
      <c r="Y75" s="54"/>
      <c r="AC75" s="49"/>
      <c r="AD75" s="54"/>
      <c r="AH75" s="49"/>
      <c r="AI75" s="54"/>
      <c r="AM75" s="49"/>
      <c r="AN75" s="54"/>
      <c r="AR75" s="49"/>
      <c r="AS75" s="54"/>
      <c r="BB75" s="49"/>
      <c r="BC75" s="54"/>
      <c r="BG75" s="49"/>
      <c r="BH75" s="54"/>
      <c r="BL75" s="49"/>
      <c r="BM75" s="54"/>
      <c r="BQ75" s="49"/>
      <c r="BR75" s="54"/>
      <c r="BV75" s="49"/>
      <c r="BW75" s="54"/>
      <c r="CA75" s="49"/>
      <c r="CB75" s="61"/>
    </row>
    <row r="76" spans="19:80" ht="30" customHeight="1" x14ac:dyDescent="0.25">
      <c r="S76" s="18"/>
      <c r="T76" s="54"/>
      <c r="X76" s="49"/>
      <c r="Y76" s="54"/>
      <c r="AC76" s="49"/>
      <c r="AD76" s="54"/>
      <c r="AH76" s="49"/>
      <c r="AI76" s="54"/>
      <c r="AM76" s="49"/>
      <c r="AN76" s="54"/>
      <c r="AR76" s="49"/>
      <c r="AS76" s="54"/>
      <c r="BB76" s="49"/>
      <c r="BC76" s="54"/>
      <c r="BG76" s="49"/>
      <c r="BH76" s="54"/>
      <c r="BL76" s="49"/>
      <c r="BM76" s="54"/>
      <c r="BQ76" s="49"/>
      <c r="BR76" s="54"/>
      <c r="BV76" s="49"/>
      <c r="BW76" s="54"/>
      <c r="CA76" s="49"/>
      <c r="CB76" s="61"/>
    </row>
    <row r="77" spans="19:80" ht="30" customHeight="1" x14ac:dyDescent="0.25">
      <c r="S77" s="93" t="s">
        <v>19</v>
      </c>
      <c r="T77" s="54"/>
      <c r="X77" s="49"/>
      <c r="Y77" s="54"/>
      <c r="AC77" s="49"/>
      <c r="AD77" s="54"/>
      <c r="AH77" s="49"/>
      <c r="AI77" s="54"/>
      <c r="AM77" s="49"/>
      <c r="AN77" s="54"/>
      <c r="AR77" s="49"/>
      <c r="AS77" s="54"/>
      <c r="BB77" s="49"/>
      <c r="BC77" s="54"/>
      <c r="BG77" s="49"/>
      <c r="BH77" s="54"/>
      <c r="BL77" s="49"/>
      <c r="BM77" s="54"/>
      <c r="BQ77" s="49"/>
      <c r="BR77" s="54"/>
      <c r="BV77" s="49"/>
      <c r="BW77" s="54"/>
      <c r="CA77" s="49"/>
      <c r="CB77" s="61"/>
    </row>
    <row r="78" spans="19:80" ht="30" customHeight="1" x14ac:dyDescent="0.25">
      <c r="S78" s="93"/>
      <c r="T78" s="54"/>
      <c r="X78" s="49"/>
      <c r="Y78" s="54"/>
      <c r="AC78" s="49"/>
      <c r="AD78" s="54"/>
      <c r="AH78" s="49"/>
      <c r="AI78" s="54"/>
      <c r="AM78" s="49"/>
      <c r="AN78" s="54"/>
      <c r="AR78" s="49"/>
      <c r="AS78" s="54"/>
      <c r="BB78" s="49"/>
      <c r="BC78" s="54"/>
      <c r="BG78" s="49"/>
      <c r="BH78" s="54"/>
      <c r="BL78" s="49"/>
      <c r="BM78" s="54"/>
      <c r="BQ78" s="49"/>
      <c r="BR78" s="54"/>
      <c r="BV78" s="49"/>
      <c r="BW78" s="54"/>
      <c r="CA78" s="49"/>
      <c r="CB78" s="61"/>
    </row>
    <row r="79" spans="19:80" ht="30" customHeight="1" x14ac:dyDescent="0.25">
      <c r="S79" s="93"/>
      <c r="T79" s="54"/>
      <c r="X79" s="49"/>
      <c r="Y79" s="54"/>
      <c r="AC79" s="49"/>
      <c r="AD79" s="54"/>
      <c r="AH79" s="49"/>
      <c r="AI79" s="54"/>
      <c r="AM79" s="49"/>
      <c r="AN79" s="54"/>
      <c r="AR79" s="49"/>
      <c r="AS79" s="54"/>
      <c r="BB79" s="49"/>
      <c r="BC79" s="54"/>
      <c r="BG79" s="49"/>
      <c r="BH79" s="54"/>
      <c r="BL79" s="49"/>
      <c r="BM79" s="54"/>
      <c r="BQ79" s="49"/>
      <c r="BR79" s="54"/>
      <c r="BV79" s="49"/>
      <c r="BW79" s="54"/>
      <c r="CA79" s="49"/>
      <c r="CB79" s="61"/>
    </row>
    <row r="80" spans="19:80" ht="30" customHeight="1" x14ac:dyDescent="0.25">
      <c r="S80" s="93"/>
      <c r="T80" s="54"/>
      <c r="X80" s="49"/>
      <c r="Y80" s="54"/>
      <c r="AC80" s="49"/>
      <c r="AD80" s="54"/>
      <c r="AH80" s="49"/>
      <c r="AI80" s="54"/>
      <c r="AM80" s="49"/>
      <c r="AN80" s="54"/>
      <c r="AR80" s="49"/>
      <c r="AS80" s="54"/>
      <c r="BB80" s="49"/>
      <c r="BC80" s="54"/>
      <c r="BG80" s="49"/>
      <c r="BH80" s="54"/>
      <c r="BL80" s="49"/>
      <c r="BM80" s="54"/>
      <c r="BQ80" s="49"/>
      <c r="BR80" s="54"/>
      <c r="BV80" s="49"/>
      <c r="BW80" s="54"/>
      <c r="CA80" s="49"/>
      <c r="CB80" s="61"/>
    </row>
    <row r="81" spans="19:80" ht="30" customHeight="1" x14ac:dyDescent="0.25">
      <c r="S81" s="93"/>
      <c r="T81" s="54"/>
      <c r="X81" s="49"/>
      <c r="Y81" s="54"/>
      <c r="AC81" s="49"/>
      <c r="AD81" s="54"/>
      <c r="AH81" s="49"/>
      <c r="AI81" s="54"/>
      <c r="AM81" s="49"/>
      <c r="AN81" s="54"/>
      <c r="AR81" s="49"/>
      <c r="AS81" s="54"/>
      <c r="BB81" s="49"/>
      <c r="BC81" s="54"/>
      <c r="BG81" s="49"/>
      <c r="BH81" s="54"/>
      <c r="BL81" s="49"/>
      <c r="BM81" s="54"/>
      <c r="BQ81" s="49"/>
      <c r="BR81" s="54"/>
      <c r="BV81" s="49"/>
      <c r="BW81" s="54"/>
      <c r="CA81" s="49"/>
      <c r="CB81" s="61"/>
    </row>
    <row r="82" spans="19:80" ht="30" customHeight="1" x14ac:dyDescent="0.25">
      <c r="S82" s="18"/>
      <c r="AS82" s="54"/>
      <c r="BB82" s="49"/>
      <c r="BC82" s="54"/>
      <c r="BG82" s="49"/>
      <c r="BH82" s="54"/>
      <c r="BL82" s="49"/>
      <c r="BM82" s="54"/>
      <c r="BQ82" s="49"/>
      <c r="BR82" s="54"/>
      <c r="BV82" s="49"/>
      <c r="BW82" s="54"/>
      <c r="CA82" s="49"/>
      <c r="CB82" s="61"/>
    </row>
    <row r="83" spans="19:80" ht="30" customHeight="1" x14ac:dyDescent="0.25">
      <c r="S83" s="18"/>
      <c r="AS83" s="54"/>
      <c r="BB83" s="49"/>
      <c r="BC83" s="54"/>
      <c r="BG83" s="49"/>
      <c r="BH83" s="54"/>
      <c r="BL83" s="49"/>
      <c r="BM83" s="54"/>
      <c r="BQ83" s="49"/>
      <c r="BR83" s="54"/>
      <c r="BV83" s="49"/>
      <c r="BW83" s="54"/>
      <c r="CA83" s="49"/>
      <c r="CB83" s="61"/>
    </row>
    <row r="84" spans="19:80" ht="30" customHeight="1" x14ac:dyDescent="0.25">
      <c r="S84" s="18"/>
      <c r="AS84" s="54"/>
      <c r="BB84" s="49"/>
      <c r="BC84" s="54"/>
      <c r="BG84" s="49"/>
      <c r="BH84" s="54"/>
      <c r="BL84" s="49"/>
      <c r="BM84" s="54"/>
      <c r="BQ84" s="49"/>
      <c r="BR84" s="54"/>
      <c r="BV84" s="49"/>
      <c r="BW84" s="54"/>
      <c r="CA84" s="49"/>
      <c r="CB84" s="61"/>
    </row>
    <row r="85" spans="19:80" ht="30" customHeight="1" x14ac:dyDescent="0.25">
      <c r="S85" s="18"/>
      <c r="AS85" s="54"/>
      <c r="BB85" s="49"/>
      <c r="BC85" s="54"/>
      <c r="BG85" s="49"/>
      <c r="BH85" s="54"/>
      <c r="BL85" s="49"/>
      <c r="BM85" s="54"/>
      <c r="BQ85" s="49"/>
      <c r="BR85" s="54"/>
      <c r="BV85" s="49"/>
      <c r="BW85" s="54"/>
      <c r="CA85" s="49"/>
      <c r="CB85" s="61"/>
    </row>
    <row r="86" spans="19:80" ht="30" customHeight="1" x14ac:dyDescent="0.25">
      <c r="S86" s="18"/>
      <c r="AS86" s="54"/>
      <c r="BB86" s="49"/>
      <c r="BC86" s="54"/>
      <c r="BG86" s="49"/>
      <c r="BH86" s="54"/>
      <c r="BL86" s="49"/>
      <c r="BM86" s="54"/>
      <c r="BQ86" s="49"/>
      <c r="BR86" s="54"/>
      <c r="BV86" s="49"/>
      <c r="BW86" s="54"/>
      <c r="CA86" s="49"/>
      <c r="CB86" s="61"/>
    </row>
    <row r="87" spans="19:80" ht="30" customHeight="1" x14ac:dyDescent="0.25">
      <c r="S87" s="18"/>
      <c r="AS87" s="54"/>
      <c r="BB87" s="49"/>
      <c r="BC87" s="54"/>
      <c r="BG87" s="49"/>
      <c r="BH87" s="54"/>
      <c r="BL87" s="49"/>
      <c r="BM87" s="54"/>
      <c r="BQ87" s="49"/>
      <c r="BR87" s="54"/>
      <c r="BV87" s="49"/>
      <c r="BW87" s="54"/>
      <c r="CA87" s="49"/>
      <c r="CB87" s="61"/>
    </row>
    <row r="88" spans="19:80" ht="30" customHeight="1" x14ac:dyDescent="0.25">
      <c r="S88" s="18"/>
      <c r="AS88" s="54"/>
      <c r="BB88" s="49"/>
      <c r="BC88" s="54"/>
      <c r="BG88" s="49"/>
      <c r="BH88" s="54"/>
      <c r="BL88" s="49"/>
      <c r="BM88" s="54"/>
      <c r="BQ88" s="49"/>
      <c r="BR88" s="54"/>
      <c r="BV88" s="49"/>
      <c r="BW88" s="54"/>
      <c r="CA88" s="49"/>
      <c r="CB88" s="61"/>
    </row>
    <row r="89" spans="19:80" ht="30" customHeight="1" x14ac:dyDescent="0.25">
      <c r="S89" s="18"/>
      <c r="AS89" s="54"/>
      <c r="BB89" s="49"/>
      <c r="BC89" s="54"/>
      <c r="BG89" s="49"/>
      <c r="BH89" s="54"/>
      <c r="BL89" s="49"/>
      <c r="BM89" s="54"/>
      <c r="BQ89" s="49"/>
      <c r="BR89" s="54"/>
      <c r="BV89" s="49"/>
      <c r="BW89" s="54"/>
      <c r="CA89" s="49"/>
      <c r="CB89" s="61"/>
    </row>
    <row r="90" spans="19:80" ht="30" customHeight="1" x14ac:dyDescent="0.25">
      <c r="S90" s="18"/>
      <c r="AS90" s="54"/>
      <c r="BB90" s="49"/>
      <c r="BC90" s="54"/>
      <c r="BG90" s="49"/>
      <c r="BH90" s="54"/>
      <c r="BL90" s="49"/>
      <c r="BM90" s="54"/>
      <c r="BQ90" s="49"/>
      <c r="BR90" s="54"/>
      <c r="BV90" s="49"/>
      <c r="BW90" s="54"/>
      <c r="CA90" s="49"/>
      <c r="CB90" s="61"/>
    </row>
    <row r="91" spans="19:80" ht="30" customHeight="1" x14ac:dyDescent="0.25">
      <c r="S91" s="18"/>
      <c r="AS91" s="54"/>
      <c r="BB91" s="49"/>
      <c r="BC91" s="54"/>
      <c r="BG91" s="49"/>
      <c r="BH91" s="54"/>
      <c r="BL91" s="49"/>
      <c r="BM91" s="54"/>
      <c r="BQ91" s="49"/>
      <c r="BR91" s="54"/>
      <c r="BV91" s="49"/>
      <c r="BW91" s="54"/>
      <c r="CA91" s="49"/>
      <c r="CB91" s="61"/>
    </row>
    <row r="92" spans="19:80" ht="30" customHeight="1" x14ac:dyDescent="0.25">
      <c r="S92" s="18"/>
      <c r="AS92" s="54"/>
      <c r="BB92" s="49"/>
      <c r="BC92" s="54"/>
      <c r="BG92" s="49"/>
      <c r="BH92" s="54"/>
      <c r="BL92" s="49"/>
      <c r="BM92" s="54"/>
      <c r="BQ92" s="49"/>
      <c r="BR92" s="54"/>
      <c r="BV92" s="49"/>
      <c r="BW92" s="54"/>
      <c r="CA92" s="49"/>
      <c r="CB92" s="61"/>
    </row>
    <row r="93" spans="19:80" ht="30" customHeight="1" x14ac:dyDescent="0.25">
      <c r="S93" s="18"/>
      <c r="AS93" s="54"/>
      <c r="BB93" s="49"/>
      <c r="BC93" s="54"/>
      <c r="BG93" s="49"/>
      <c r="BH93" s="54"/>
      <c r="BL93" s="49"/>
      <c r="BM93" s="54"/>
      <c r="BQ93" s="49"/>
      <c r="BR93" s="54"/>
      <c r="BV93" s="49"/>
      <c r="BW93" s="54"/>
      <c r="CA93" s="49"/>
      <c r="CB93" s="61"/>
    </row>
    <row r="94" spans="19:80" ht="30" customHeight="1" x14ac:dyDescent="0.25">
      <c r="S94" s="18"/>
      <c r="AS94" s="54"/>
      <c r="BB94" s="49"/>
      <c r="BC94" s="54"/>
      <c r="BG94" s="49"/>
      <c r="BH94" s="54"/>
      <c r="BL94" s="49"/>
      <c r="BM94" s="54"/>
      <c r="BQ94" s="49"/>
      <c r="BR94" s="54"/>
      <c r="BV94" s="49"/>
      <c r="BW94" s="54"/>
      <c r="CA94" s="49"/>
      <c r="CB94" s="61"/>
    </row>
    <row r="95" spans="19:80" ht="30" customHeight="1" x14ac:dyDescent="0.25">
      <c r="S95" s="18"/>
      <c r="AS95" s="54"/>
      <c r="BB95" s="49"/>
      <c r="BC95" s="54"/>
      <c r="BG95" s="49"/>
      <c r="BH95" s="54"/>
      <c r="BL95" s="49"/>
      <c r="BM95" s="54"/>
      <c r="BQ95" s="49"/>
      <c r="BR95" s="54"/>
      <c r="BV95" s="49"/>
      <c r="BW95" s="54"/>
      <c r="CA95" s="49"/>
      <c r="CB95" s="61"/>
    </row>
    <row r="96" spans="19:80" ht="30" customHeight="1" x14ac:dyDescent="0.25">
      <c r="S96" s="18"/>
      <c r="AS96" s="54"/>
      <c r="BB96" s="49"/>
      <c r="BC96" s="54"/>
      <c r="BG96" s="49"/>
      <c r="BH96" s="54"/>
      <c r="BL96" s="49"/>
      <c r="BM96" s="54"/>
      <c r="BQ96" s="49"/>
      <c r="BR96" s="54"/>
      <c r="BV96" s="49"/>
      <c r="BW96" s="54"/>
      <c r="CA96" s="49"/>
      <c r="CB96" s="61"/>
    </row>
    <row r="97" spans="19:80" ht="30" customHeight="1" x14ac:dyDescent="0.25">
      <c r="S97" s="18"/>
      <c r="AS97" s="54"/>
      <c r="BB97" s="49"/>
      <c r="BC97" s="54"/>
      <c r="BG97" s="49"/>
      <c r="BH97" s="54"/>
      <c r="BL97" s="49"/>
      <c r="BM97" s="54"/>
      <c r="BQ97" s="49"/>
      <c r="BR97" s="54"/>
      <c r="BV97" s="49"/>
      <c r="BW97" s="54"/>
      <c r="CA97" s="49"/>
      <c r="CB97" s="61"/>
    </row>
    <row r="98" spans="19:80" ht="30" customHeight="1" x14ac:dyDescent="0.25">
      <c r="S98" s="18"/>
      <c r="AS98" s="94" t="s">
        <v>18</v>
      </c>
      <c r="AT98" s="94"/>
      <c r="AW98" s="131"/>
      <c r="AX98" s="132"/>
      <c r="BB98" s="49"/>
      <c r="BC98" s="54"/>
      <c r="BG98" s="49"/>
      <c r="BH98" s="54"/>
      <c r="BL98" s="49"/>
      <c r="BM98" s="54"/>
      <c r="BQ98" s="49"/>
      <c r="BR98" s="54"/>
      <c r="BV98" s="49"/>
      <c r="BW98" s="54"/>
      <c r="CA98" s="49"/>
      <c r="CB98" s="61"/>
    </row>
    <row r="99" spans="19:80" ht="30" customHeight="1" x14ac:dyDescent="0.25">
      <c r="S99" s="26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95"/>
      <c r="AT99" s="95"/>
      <c r="AU99" s="27"/>
      <c r="AV99" s="27"/>
      <c r="AW99" s="136" t="s">
        <v>68</v>
      </c>
      <c r="AX99" s="136"/>
      <c r="AY99" s="27"/>
      <c r="AZ99" s="27"/>
      <c r="BA99" s="27"/>
      <c r="BB99" s="27"/>
      <c r="BC99" s="65"/>
      <c r="BD99" s="27"/>
      <c r="BE99" s="27"/>
      <c r="BF99" s="27"/>
      <c r="BG99" s="27"/>
      <c r="BH99" s="65"/>
      <c r="BI99" s="27"/>
      <c r="BJ99" s="27"/>
      <c r="BK99" s="27"/>
      <c r="BL99" s="27"/>
      <c r="BM99" s="65"/>
      <c r="BN99" s="27"/>
      <c r="BO99" s="27"/>
      <c r="BP99" s="27"/>
      <c r="BQ99" s="27"/>
      <c r="BR99" s="65"/>
      <c r="BS99" s="27"/>
      <c r="BT99" s="27"/>
      <c r="BU99" s="27"/>
      <c r="BV99" s="27"/>
      <c r="BW99" s="65"/>
      <c r="BX99" s="27"/>
      <c r="BY99" s="27"/>
      <c r="BZ99" s="27"/>
      <c r="CA99" s="27"/>
      <c r="CB99" s="63"/>
    </row>
    <row r="100" spans="19:80" ht="30" customHeight="1" x14ac:dyDescent="0.25">
      <c r="AW100" s="137"/>
      <c r="AX100" s="137"/>
    </row>
    <row r="103" spans="19:80" ht="30" customHeight="1" x14ac:dyDescent="0.25">
      <c r="V103" s="33" t="s">
        <v>1</v>
      </c>
      <c r="W103" s="33">
        <v>0</v>
      </c>
      <c r="X103" s="33">
        <f>W103+5</f>
        <v>5</v>
      </c>
      <c r="Y103" s="33">
        <f t="shared" ref="Y103:AO103" si="0">X103+5</f>
        <v>10</v>
      </c>
      <c r="Z103" s="33">
        <f t="shared" si="0"/>
        <v>15</v>
      </c>
      <c r="AA103" s="33">
        <f t="shared" si="0"/>
        <v>20</v>
      </c>
      <c r="AB103" s="33">
        <f t="shared" si="0"/>
        <v>25</v>
      </c>
      <c r="AC103" s="33">
        <f t="shared" si="0"/>
        <v>30</v>
      </c>
      <c r="AD103" s="33">
        <f t="shared" si="0"/>
        <v>35</v>
      </c>
      <c r="AE103" s="33">
        <f t="shared" si="0"/>
        <v>40</v>
      </c>
      <c r="AF103" s="33">
        <f t="shared" si="0"/>
        <v>45</v>
      </c>
      <c r="AG103" s="33">
        <f t="shared" si="0"/>
        <v>50</v>
      </c>
      <c r="AH103" s="33">
        <f t="shared" si="0"/>
        <v>55</v>
      </c>
      <c r="AI103" s="33">
        <f t="shared" si="0"/>
        <v>60</v>
      </c>
      <c r="AJ103" s="33">
        <f t="shared" si="0"/>
        <v>65</v>
      </c>
      <c r="AK103" s="33">
        <f t="shared" si="0"/>
        <v>70</v>
      </c>
      <c r="AL103" s="33">
        <f t="shared" si="0"/>
        <v>75</v>
      </c>
      <c r="AM103" s="33">
        <f t="shared" si="0"/>
        <v>80</v>
      </c>
      <c r="AN103" s="33">
        <f t="shared" si="0"/>
        <v>85</v>
      </c>
      <c r="AO103" s="33">
        <f t="shared" si="0"/>
        <v>90</v>
      </c>
    </row>
    <row r="104" spans="19:80" ht="30" customHeight="1" x14ac:dyDescent="0.25">
      <c r="V104" s="33" t="s">
        <v>2</v>
      </c>
      <c r="W104" s="33">
        <f t="shared" ref="W104:AO104" si="1">15*COS(W$103 * PI()/180)</f>
        <v>15</v>
      </c>
      <c r="X104" s="33">
        <f t="shared" si="1"/>
        <v>14.942920471376183</v>
      </c>
      <c r="Y104" s="33">
        <f t="shared" si="1"/>
        <v>14.772116295183121</v>
      </c>
      <c r="Z104" s="33">
        <f t="shared" si="1"/>
        <v>14.488887394336025</v>
      </c>
      <c r="AA104" s="33">
        <f t="shared" si="1"/>
        <v>14.095389311788626</v>
      </c>
      <c r="AB104" s="33">
        <f t="shared" si="1"/>
        <v>13.59461680554975</v>
      </c>
      <c r="AC104" s="33">
        <f t="shared" si="1"/>
        <v>12.99038105676658</v>
      </c>
      <c r="AD104" s="33">
        <f t="shared" si="1"/>
        <v>12.287280664334878</v>
      </c>
      <c r="AE104" s="33">
        <f t="shared" si="1"/>
        <v>11.490666646784669</v>
      </c>
      <c r="AF104" s="33">
        <f t="shared" si="1"/>
        <v>10.606601717798213</v>
      </c>
      <c r="AG104" s="33">
        <f t="shared" si="1"/>
        <v>9.6418141452980901</v>
      </c>
      <c r="AH104" s="33">
        <f t="shared" si="1"/>
        <v>8.6036465452656916</v>
      </c>
      <c r="AI104" s="33">
        <f t="shared" si="1"/>
        <v>7.5000000000000018</v>
      </c>
      <c r="AJ104" s="33">
        <f t="shared" si="1"/>
        <v>6.3392739261104918</v>
      </c>
      <c r="AK104" s="33">
        <f t="shared" si="1"/>
        <v>5.1303021498850327</v>
      </c>
      <c r="AL104" s="33">
        <f t="shared" si="1"/>
        <v>3.8822856765378111</v>
      </c>
      <c r="AM104" s="33">
        <f t="shared" si="1"/>
        <v>2.6047226650039561</v>
      </c>
      <c r="AN104" s="33">
        <f t="shared" si="1"/>
        <v>1.3073361412148721</v>
      </c>
      <c r="AO104" s="33">
        <f t="shared" si="1"/>
        <v>9.1886134118146501E-16</v>
      </c>
    </row>
    <row r="105" spans="19:80" ht="30" customHeight="1" x14ac:dyDescent="0.25">
      <c r="V105" s="33" t="s">
        <v>2</v>
      </c>
      <c r="W105" s="33">
        <f t="shared" ref="W105:AO105" si="2">10*COS(W$103 * PI()/180)</f>
        <v>10</v>
      </c>
      <c r="X105" s="33">
        <f t="shared" si="2"/>
        <v>9.961946980917455</v>
      </c>
      <c r="Y105" s="33">
        <f t="shared" si="2"/>
        <v>9.8480775301220795</v>
      </c>
      <c r="Z105" s="33">
        <f t="shared" si="2"/>
        <v>9.6592582628906829</v>
      </c>
      <c r="AA105" s="33">
        <f t="shared" si="2"/>
        <v>9.3969262078590852</v>
      </c>
      <c r="AB105" s="33">
        <f t="shared" si="2"/>
        <v>9.0630778703664987</v>
      </c>
      <c r="AC105" s="33">
        <f t="shared" si="2"/>
        <v>8.6602540378443873</v>
      </c>
      <c r="AD105" s="33">
        <f t="shared" si="2"/>
        <v>8.1915204428899173</v>
      </c>
      <c r="AE105" s="33">
        <f t="shared" si="2"/>
        <v>7.6604444311897799</v>
      </c>
      <c r="AF105" s="33">
        <f t="shared" si="2"/>
        <v>7.0710678118654755</v>
      </c>
      <c r="AG105" s="33">
        <f t="shared" si="2"/>
        <v>6.4278760968653934</v>
      </c>
      <c r="AH105" s="33">
        <f t="shared" si="2"/>
        <v>5.7357643635104614</v>
      </c>
      <c r="AI105" s="33">
        <f t="shared" si="2"/>
        <v>5.0000000000000009</v>
      </c>
      <c r="AJ105" s="33">
        <f t="shared" si="2"/>
        <v>4.2261826174069945</v>
      </c>
      <c r="AK105" s="33">
        <f t="shared" si="2"/>
        <v>3.4202014332566884</v>
      </c>
      <c r="AL105" s="33">
        <f t="shared" si="2"/>
        <v>2.5881904510252074</v>
      </c>
      <c r="AM105" s="33">
        <f t="shared" si="2"/>
        <v>1.7364817766693041</v>
      </c>
      <c r="AN105" s="33">
        <f t="shared" si="2"/>
        <v>0.87155742747658138</v>
      </c>
      <c r="AO105" s="33">
        <f t="shared" si="2"/>
        <v>6.1257422745431001E-16</v>
      </c>
    </row>
    <row r="106" spans="19:80" ht="30" customHeight="1" x14ac:dyDescent="0.25">
      <c r="V106" s="33" t="s">
        <v>2</v>
      </c>
      <c r="W106" s="33">
        <f t="shared" ref="W106:AO106" si="3">5*COS(W$103 * PI()/180)</f>
        <v>5</v>
      </c>
      <c r="X106" s="33">
        <f t="shared" si="3"/>
        <v>4.9809734904587275</v>
      </c>
      <c r="Y106" s="33">
        <f t="shared" si="3"/>
        <v>4.9240387650610398</v>
      </c>
      <c r="Z106" s="33">
        <f t="shared" si="3"/>
        <v>4.8296291314453415</v>
      </c>
      <c r="AA106" s="33">
        <f t="shared" si="3"/>
        <v>4.6984631039295426</v>
      </c>
      <c r="AB106" s="33">
        <f t="shared" si="3"/>
        <v>4.5315389351832494</v>
      </c>
      <c r="AC106" s="33">
        <f t="shared" si="3"/>
        <v>4.3301270189221936</v>
      </c>
      <c r="AD106" s="33">
        <f t="shared" si="3"/>
        <v>4.0957602214449587</v>
      </c>
      <c r="AE106" s="33">
        <f t="shared" si="3"/>
        <v>3.83022221559489</v>
      </c>
      <c r="AF106" s="33">
        <f t="shared" si="3"/>
        <v>3.5355339059327378</v>
      </c>
      <c r="AG106" s="33">
        <f t="shared" si="3"/>
        <v>3.2139380484326967</v>
      </c>
      <c r="AH106" s="33">
        <f t="shared" si="3"/>
        <v>2.8678821817552307</v>
      </c>
      <c r="AI106" s="33">
        <f t="shared" si="3"/>
        <v>2.5000000000000004</v>
      </c>
      <c r="AJ106" s="33">
        <f t="shared" si="3"/>
        <v>2.1130913087034973</v>
      </c>
      <c r="AK106" s="33">
        <f t="shared" si="3"/>
        <v>1.7101007166283442</v>
      </c>
      <c r="AL106" s="33">
        <f t="shared" si="3"/>
        <v>1.2940952255126037</v>
      </c>
      <c r="AM106" s="33">
        <f t="shared" si="3"/>
        <v>0.86824088833465207</v>
      </c>
      <c r="AN106" s="33">
        <f t="shared" si="3"/>
        <v>0.43577871373829069</v>
      </c>
      <c r="AO106" s="33">
        <f t="shared" si="3"/>
        <v>3.06287113727155E-16</v>
      </c>
    </row>
    <row r="107" spans="19:80" ht="30" customHeight="1" x14ac:dyDescent="0.25">
      <c r="V107" s="33" t="s">
        <v>2</v>
      </c>
      <c r="W107" s="33">
        <f t="shared" ref="W107:AO107" si="4">4*COS(W$103 * PI()/180)</f>
        <v>4</v>
      </c>
      <c r="X107" s="33">
        <f t="shared" si="4"/>
        <v>3.9847787923669822</v>
      </c>
      <c r="Y107" s="33">
        <f t="shared" si="4"/>
        <v>3.9392310120488321</v>
      </c>
      <c r="Z107" s="33">
        <f t="shared" si="4"/>
        <v>3.8637033051562732</v>
      </c>
      <c r="AA107" s="33">
        <f t="shared" si="4"/>
        <v>3.7587704831436337</v>
      </c>
      <c r="AB107" s="33">
        <f t="shared" si="4"/>
        <v>3.6252311481465997</v>
      </c>
      <c r="AC107" s="33">
        <f t="shared" si="4"/>
        <v>3.4641016151377548</v>
      </c>
      <c r="AD107" s="33">
        <f t="shared" si="4"/>
        <v>3.2766081771559672</v>
      </c>
      <c r="AE107" s="33">
        <f t="shared" si="4"/>
        <v>3.0641777724759121</v>
      </c>
      <c r="AF107" s="33">
        <f t="shared" si="4"/>
        <v>2.8284271247461903</v>
      </c>
      <c r="AG107" s="33">
        <f t="shared" si="4"/>
        <v>2.5711504387461575</v>
      </c>
      <c r="AH107" s="33">
        <f t="shared" si="4"/>
        <v>2.2943057454041846</v>
      </c>
      <c r="AI107" s="33">
        <f t="shared" si="4"/>
        <v>2.0000000000000004</v>
      </c>
      <c r="AJ107" s="33">
        <f t="shared" si="4"/>
        <v>1.6904730469627978</v>
      </c>
      <c r="AK107" s="33">
        <f t="shared" si="4"/>
        <v>1.3680805733026753</v>
      </c>
      <c r="AL107" s="33">
        <f t="shared" si="4"/>
        <v>1.035276180410083</v>
      </c>
      <c r="AM107" s="33">
        <f t="shared" si="4"/>
        <v>0.69459271066772166</v>
      </c>
      <c r="AN107" s="33">
        <f t="shared" si="4"/>
        <v>0.34862297099063255</v>
      </c>
      <c r="AO107" s="33">
        <f t="shared" si="4"/>
        <v>2.45029690981724E-16</v>
      </c>
    </row>
    <row r="108" spans="19:80" ht="30" customHeight="1" x14ac:dyDescent="0.25">
      <c r="V108" s="33" t="s">
        <v>2</v>
      </c>
      <c r="W108" s="33">
        <f t="shared" ref="W108:AO108" si="5">3*COS(W$103 * PI()/180)</f>
        <v>3</v>
      </c>
      <c r="X108" s="33">
        <f t="shared" si="5"/>
        <v>2.9885840942752369</v>
      </c>
      <c r="Y108" s="33">
        <f t="shared" si="5"/>
        <v>2.9544232590366239</v>
      </c>
      <c r="Z108" s="33">
        <f t="shared" si="5"/>
        <v>2.897777478867205</v>
      </c>
      <c r="AA108" s="33">
        <f t="shared" si="5"/>
        <v>2.8190778623577253</v>
      </c>
      <c r="AB108" s="33">
        <f t="shared" si="5"/>
        <v>2.7189233611099497</v>
      </c>
      <c r="AC108" s="33">
        <f t="shared" si="5"/>
        <v>2.598076211353316</v>
      </c>
      <c r="AD108" s="33">
        <f t="shared" si="5"/>
        <v>2.4574561328669753</v>
      </c>
      <c r="AE108" s="33">
        <f t="shared" si="5"/>
        <v>2.2981333293569342</v>
      </c>
      <c r="AF108" s="33">
        <f t="shared" si="5"/>
        <v>2.1213203435596428</v>
      </c>
      <c r="AG108" s="33">
        <f t="shared" si="5"/>
        <v>1.9283628290596182</v>
      </c>
      <c r="AH108" s="33">
        <f t="shared" si="5"/>
        <v>1.7207293090531386</v>
      </c>
      <c r="AI108" s="33">
        <f t="shared" si="5"/>
        <v>1.5000000000000004</v>
      </c>
      <c r="AJ108" s="33">
        <f t="shared" si="5"/>
        <v>1.2678547852220983</v>
      </c>
      <c r="AK108" s="33">
        <f t="shared" si="5"/>
        <v>1.0260604299770064</v>
      </c>
      <c r="AL108" s="33">
        <f t="shared" si="5"/>
        <v>0.77645713530756222</v>
      </c>
      <c r="AM108" s="33">
        <f t="shared" si="5"/>
        <v>0.52094453300079124</v>
      </c>
      <c r="AN108" s="33">
        <f t="shared" si="5"/>
        <v>0.26146722824297441</v>
      </c>
      <c r="AO108" s="33">
        <f t="shared" si="5"/>
        <v>1.83772268236293E-16</v>
      </c>
    </row>
    <row r="109" spans="19:80" ht="30" customHeight="1" x14ac:dyDescent="0.25">
      <c r="V109" s="33" t="s">
        <v>2</v>
      </c>
      <c r="W109" s="33">
        <f t="shared" ref="W109:AO109" si="6">2*COS(W$103 * PI()/180)</f>
        <v>2</v>
      </c>
      <c r="X109" s="33">
        <f t="shared" si="6"/>
        <v>1.9923893961834911</v>
      </c>
      <c r="Y109" s="33">
        <f t="shared" si="6"/>
        <v>1.969615506024416</v>
      </c>
      <c r="Z109" s="33">
        <f t="shared" si="6"/>
        <v>1.9318516525781366</v>
      </c>
      <c r="AA109" s="33">
        <f t="shared" si="6"/>
        <v>1.8793852415718169</v>
      </c>
      <c r="AB109" s="33">
        <f t="shared" si="6"/>
        <v>1.8126155740732999</v>
      </c>
      <c r="AC109" s="33">
        <f t="shared" si="6"/>
        <v>1.7320508075688774</v>
      </c>
      <c r="AD109" s="33">
        <f t="shared" si="6"/>
        <v>1.6383040885779836</v>
      </c>
      <c r="AE109" s="33">
        <f t="shared" si="6"/>
        <v>1.532088886237956</v>
      </c>
      <c r="AF109" s="33">
        <f t="shared" si="6"/>
        <v>1.4142135623730951</v>
      </c>
      <c r="AG109" s="33">
        <f t="shared" si="6"/>
        <v>1.2855752193730787</v>
      </c>
      <c r="AH109" s="33">
        <f t="shared" si="6"/>
        <v>1.1471528727020923</v>
      </c>
      <c r="AI109" s="33">
        <f t="shared" si="6"/>
        <v>1.0000000000000002</v>
      </c>
      <c r="AJ109" s="33">
        <f t="shared" si="6"/>
        <v>0.84523652348139888</v>
      </c>
      <c r="AK109" s="33">
        <f t="shared" si="6"/>
        <v>0.68404028665133765</v>
      </c>
      <c r="AL109" s="33">
        <f t="shared" si="6"/>
        <v>0.51763809020504148</v>
      </c>
      <c r="AM109" s="33">
        <f t="shared" si="6"/>
        <v>0.34729635533386083</v>
      </c>
      <c r="AN109" s="33">
        <f t="shared" si="6"/>
        <v>0.17431148549531628</v>
      </c>
      <c r="AO109" s="33">
        <f t="shared" si="6"/>
        <v>1.22514845490862E-16</v>
      </c>
    </row>
    <row r="110" spans="19:80" ht="30" customHeight="1" x14ac:dyDescent="0.25">
      <c r="V110" s="33" t="s">
        <v>2</v>
      </c>
      <c r="W110" s="33">
        <f t="shared" ref="W110:AO110" si="7">1*COS(W$103 * PI()/180)</f>
        <v>1</v>
      </c>
      <c r="X110" s="33">
        <f t="shared" si="7"/>
        <v>0.99619469809174555</v>
      </c>
      <c r="Y110" s="33">
        <f t="shared" si="7"/>
        <v>0.98480775301220802</v>
      </c>
      <c r="Z110" s="33">
        <f t="shared" si="7"/>
        <v>0.96592582628906831</v>
      </c>
      <c r="AA110" s="33">
        <f t="shared" si="7"/>
        <v>0.93969262078590843</v>
      </c>
      <c r="AB110" s="33">
        <f t="shared" si="7"/>
        <v>0.90630778703664994</v>
      </c>
      <c r="AC110" s="33">
        <f t="shared" si="7"/>
        <v>0.86602540378443871</v>
      </c>
      <c r="AD110" s="33">
        <f t="shared" si="7"/>
        <v>0.8191520442889918</v>
      </c>
      <c r="AE110" s="33">
        <f t="shared" si="7"/>
        <v>0.76604444311897801</v>
      </c>
      <c r="AF110" s="33">
        <f t="shared" si="7"/>
        <v>0.70710678118654757</v>
      </c>
      <c r="AG110" s="33">
        <f t="shared" si="7"/>
        <v>0.64278760968653936</v>
      </c>
      <c r="AH110" s="33">
        <f t="shared" si="7"/>
        <v>0.57357643635104616</v>
      </c>
      <c r="AI110" s="33">
        <f t="shared" si="7"/>
        <v>0.50000000000000011</v>
      </c>
      <c r="AJ110" s="33">
        <f t="shared" si="7"/>
        <v>0.42261826174069944</v>
      </c>
      <c r="AK110" s="33">
        <f t="shared" si="7"/>
        <v>0.34202014332566882</v>
      </c>
      <c r="AL110" s="33">
        <f t="shared" si="7"/>
        <v>0.25881904510252074</v>
      </c>
      <c r="AM110" s="33">
        <f t="shared" si="7"/>
        <v>0.17364817766693041</v>
      </c>
      <c r="AN110" s="33">
        <f t="shared" si="7"/>
        <v>8.7155742747658138E-2</v>
      </c>
      <c r="AO110" s="33">
        <f t="shared" si="7"/>
        <v>6.1257422745431001E-17</v>
      </c>
    </row>
    <row r="111" spans="19:80" ht="30" customHeight="1" x14ac:dyDescent="0.25">
      <c r="V111" s="33" t="s">
        <v>2</v>
      </c>
      <c r="W111" s="33">
        <f t="shared" ref="W111:AO111" si="8">0*COS(W$103 * PI()/180)</f>
        <v>0</v>
      </c>
      <c r="X111" s="33">
        <f t="shared" si="8"/>
        <v>0</v>
      </c>
      <c r="Y111" s="33">
        <f t="shared" si="8"/>
        <v>0</v>
      </c>
      <c r="Z111" s="33">
        <f t="shared" si="8"/>
        <v>0</v>
      </c>
      <c r="AA111" s="33">
        <f t="shared" si="8"/>
        <v>0</v>
      </c>
      <c r="AB111" s="33">
        <f t="shared" si="8"/>
        <v>0</v>
      </c>
      <c r="AC111" s="33">
        <f t="shared" si="8"/>
        <v>0</v>
      </c>
      <c r="AD111" s="33">
        <f t="shared" si="8"/>
        <v>0</v>
      </c>
      <c r="AE111" s="33">
        <f t="shared" si="8"/>
        <v>0</v>
      </c>
      <c r="AF111" s="33">
        <f t="shared" si="8"/>
        <v>0</v>
      </c>
      <c r="AG111" s="33">
        <f t="shared" si="8"/>
        <v>0</v>
      </c>
      <c r="AH111" s="33">
        <f t="shared" si="8"/>
        <v>0</v>
      </c>
      <c r="AI111" s="33">
        <f t="shared" si="8"/>
        <v>0</v>
      </c>
      <c r="AJ111" s="33">
        <f t="shared" si="8"/>
        <v>0</v>
      </c>
      <c r="AK111" s="33">
        <f t="shared" si="8"/>
        <v>0</v>
      </c>
      <c r="AL111" s="33">
        <f t="shared" si="8"/>
        <v>0</v>
      </c>
      <c r="AM111" s="33">
        <f t="shared" si="8"/>
        <v>0</v>
      </c>
      <c r="AN111" s="33">
        <f t="shared" si="8"/>
        <v>0</v>
      </c>
      <c r="AO111" s="33">
        <f t="shared" si="8"/>
        <v>0</v>
      </c>
    </row>
  </sheetData>
  <mergeCells count="33">
    <mergeCell ref="AW99:AX99"/>
    <mergeCell ref="BZ2:CA6"/>
    <mergeCell ref="BS3:BS7"/>
    <mergeCell ref="BT3:BT9"/>
    <mergeCell ref="BU3:BU7"/>
    <mergeCell ref="BV3:BV7"/>
    <mergeCell ref="BW3:BW7"/>
    <mergeCell ref="BX3:BX9"/>
    <mergeCell ref="BR4:BR10"/>
    <mergeCell ref="I19:I23"/>
    <mergeCell ref="BB46:BC48"/>
    <mergeCell ref="BG46:BH47"/>
    <mergeCell ref="BL46:BM47"/>
    <mergeCell ref="BQ46:BR47"/>
    <mergeCell ref="AR46:AS48"/>
    <mergeCell ref="S41:T43"/>
    <mergeCell ref="AR1:AR4"/>
    <mergeCell ref="AV1:AV4"/>
    <mergeCell ref="AW1:AW4"/>
    <mergeCell ref="AX1:AX4"/>
    <mergeCell ref="AY1:AY4"/>
    <mergeCell ref="BC1:BC4"/>
    <mergeCell ref="AW6:AX7"/>
    <mergeCell ref="AS98:AT99"/>
    <mergeCell ref="AM46:AN47"/>
    <mergeCell ref="AH46:AI47"/>
    <mergeCell ref="AC46:AD47"/>
    <mergeCell ref="X46:Y47"/>
    <mergeCell ref="CA41:CB43"/>
    <mergeCell ref="S46:T48"/>
    <mergeCell ref="CA46:CB49"/>
    <mergeCell ref="BV46:BW47"/>
    <mergeCell ref="S77:S81"/>
  </mergeCells>
  <printOptions horizontalCentered="1" verticalCentered="1"/>
  <pageMargins left="0" right="0" top="0" bottom="0" header="0" footer="0"/>
  <pageSetup paperSize="9" scale="2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E111"/>
  <sheetViews>
    <sheetView showGridLines="0" tabSelected="1" topLeftCell="G71" zoomScale="55" zoomScaleNormal="55" workbookViewId="0">
      <selection activeCell="W7" sqref="W7"/>
    </sheetView>
  </sheetViews>
  <sheetFormatPr defaultColWidth="2.85546875" defaultRowHeight="30" customHeight="1" x14ac:dyDescent="0.25"/>
  <cols>
    <col min="1" max="17" width="3.7109375" customWidth="1"/>
    <col min="18" max="18" width="6.28515625" customWidth="1"/>
    <col min="19" max="49" width="5.7109375" customWidth="1"/>
    <col min="50" max="50" width="5.7109375" style="8" customWidth="1"/>
    <col min="51" max="80" width="5.7109375" customWidth="1"/>
    <col min="81" max="102" width="3.7109375" customWidth="1"/>
    <col min="103" max="103" width="5.42578125" customWidth="1"/>
    <col min="104" max="104" width="7" customWidth="1"/>
    <col min="105" max="105" width="9" customWidth="1"/>
    <col min="106" max="118" width="5.42578125" customWidth="1"/>
  </cols>
  <sheetData>
    <row r="1" spans="2:80" ht="30" customHeight="1" x14ac:dyDescent="0.25">
      <c r="S1" s="14"/>
      <c r="T1" s="53"/>
      <c r="U1" s="15"/>
      <c r="V1" s="15"/>
      <c r="W1" s="15"/>
      <c r="X1" s="15"/>
      <c r="Y1" s="53"/>
      <c r="Z1" s="15"/>
      <c r="AA1" s="15"/>
      <c r="AB1" s="15"/>
      <c r="AC1" s="15"/>
      <c r="AD1" s="53"/>
      <c r="AE1" s="15"/>
      <c r="AF1" s="15"/>
      <c r="AG1" s="15"/>
      <c r="AH1" s="15"/>
      <c r="AI1" s="53"/>
      <c r="AJ1" s="15"/>
      <c r="AK1" s="15"/>
      <c r="AL1" s="15"/>
      <c r="AM1" s="15"/>
      <c r="AN1" s="53"/>
      <c r="AO1" s="15"/>
      <c r="AP1" s="41"/>
      <c r="AQ1" s="41"/>
      <c r="AR1" s="108" t="s">
        <v>22</v>
      </c>
      <c r="AS1" s="56"/>
      <c r="AT1" s="42"/>
      <c r="AU1" s="42"/>
      <c r="AV1" s="108" t="s">
        <v>20</v>
      </c>
      <c r="AW1" s="110" t="s">
        <v>21</v>
      </c>
      <c r="AX1" s="112" t="s">
        <v>23</v>
      </c>
      <c r="AY1" s="114" t="s">
        <v>24</v>
      </c>
      <c r="AZ1" s="43"/>
      <c r="BA1" s="43"/>
      <c r="BB1" s="43"/>
      <c r="BC1" s="116" t="s">
        <v>25</v>
      </c>
      <c r="BD1" s="41"/>
      <c r="BE1" s="41"/>
      <c r="BF1" s="15"/>
      <c r="BG1" s="15"/>
      <c r="BH1" s="53"/>
      <c r="BI1" s="15"/>
      <c r="BJ1" s="15"/>
      <c r="BK1" s="15"/>
      <c r="BL1" s="15"/>
      <c r="BM1" s="53"/>
      <c r="BN1" s="15"/>
      <c r="BO1" s="15"/>
      <c r="BP1" s="15"/>
      <c r="BQ1" s="30"/>
      <c r="BR1" s="15"/>
      <c r="BS1" s="15"/>
      <c r="BT1" s="15"/>
      <c r="BU1" s="15"/>
      <c r="BV1" s="15"/>
      <c r="BW1" s="53"/>
      <c r="BX1" s="15"/>
      <c r="BY1" s="15"/>
      <c r="BZ1" s="15"/>
      <c r="CA1" s="15"/>
      <c r="CB1" s="60"/>
    </row>
    <row r="2" spans="2:80" ht="30" customHeight="1" x14ac:dyDescent="0.25">
      <c r="S2" s="18"/>
      <c r="T2" s="54"/>
      <c r="X2" s="49"/>
      <c r="Y2" s="54"/>
      <c r="AC2" s="49"/>
      <c r="AD2" s="54"/>
      <c r="AH2" s="49"/>
      <c r="AI2" s="54"/>
      <c r="AM2" s="49"/>
      <c r="AN2" s="54"/>
      <c r="AP2" s="44"/>
      <c r="AQ2" s="44"/>
      <c r="AR2" s="109"/>
      <c r="AS2" s="57"/>
      <c r="AT2" s="45"/>
      <c r="AU2" s="45"/>
      <c r="AV2" s="109"/>
      <c r="AW2" s="111"/>
      <c r="AX2" s="113"/>
      <c r="AY2" s="115"/>
      <c r="AZ2" s="45"/>
      <c r="BA2" s="45"/>
      <c r="BB2" s="50"/>
      <c r="BC2" s="117"/>
      <c r="BD2" s="44"/>
      <c r="BE2" s="44"/>
      <c r="BG2" s="49"/>
      <c r="BH2" s="54"/>
      <c r="BL2" s="49"/>
      <c r="BM2" s="54"/>
      <c r="BQ2" s="31"/>
      <c r="BS2" s="39"/>
      <c r="BT2" s="39"/>
      <c r="BU2" s="39"/>
      <c r="BV2" s="52"/>
      <c r="BW2" s="59"/>
      <c r="BX2" s="40"/>
      <c r="BZ2" s="100" t="s">
        <v>6</v>
      </c>
      <c r="CA2" s="101"/>
      <c r="CB2" s="19"/>
    </row>
    <row r="3" spans="2:80" ht="30" customHeight="1" x14ac:dyDescent="0.25">
      <c r="S3" s="18"/>
      <c r="T3" s="54"/>
      <c r="X3" s="49"/>
      <c r="Y3" s="54"/>
      <c r="AC3" s="49"/>
      <c r="AD3" s="54"/>
      <c r="AH3" s="49"/>
      <c r="AI3" s="54"/>
      <c r="AM3" s="49"/>
      <c r="AN3" s="54"/>
      <c r="AP3" s="44"/>
      <c r="AQ3" s="84" t="s">
        <v>27</v>
      </c>
      <c r="AR3" s="109"/>
      <c r="AS3" s="58"/>
      <c r="AT3" s="46"/>
      <c r="AU3" s="46"/>
      <c r="AV3" s="109"/>
      <c r="AW3" s="111"/>
      <c r="AX3" s="113"/>
      <c r="AY3" s="115"/>
      <c r="AZ3" s="46"/>
      <c r="BA3" s="46"/>
      <c r="BB3" s="51"/>
      <c r="BC3" s="117"/>
      <c r="BD3" s="83" t="s">
        <v>26</v>
      </c>
      <c r="BE3" s="44"/>
      <c r="BG3" s="49"/>
      <c r="BH3" s="54"/>
      <c r="BL3" s="49"/>
      <c r="BM3" s="54"/>
      <c r="BQ3" s="31"/>
      <c r="BS3" s="106"/>
      <c r="BT3" s="107"/>
      <c r="BU3" s="106"/>
      <c r="BV3" s="107"/>
      <c r="BW3" s="97"/>
      <c r="BX3" s="107"/>
      <c r="BZ3" s="102"/>
      <c r="CA3" s="103"/>
      <c r="CB3" s="19"/>
    </row>
    <row r="4" spans="2:80" ht="30" customHeight="1" x14ac:dyDescent="0.25">
      <c r="S4" s="18"/>
      <c r="T4" s="54"/>
      <c r="X4" s="49"/>
      <c r="Y4" s="54"/>
      <c r="AC4" s="49"/>
      <c r="AD4" s="54"/>
      <c r="AH4" s="49"/>
      <c r="AI4" s="54"/>
      <c r="AM4" s="49"/>
      <c r="AN4" s="54"/>
      <c r="AP4" s="44"/>
      <c r="AQ4" s="44"/>
      <c r="AR4" s="109"/>
      <c r="AS4" s="58"/>
      <c r="AT4" s="46"/>
      <c r="AU4" s="46"/>
      <c r="AV4" s="109"/>
      <c r="AW4" s="111"/>
      <c r="AX4" s="113"/>
      <c r="AY4" s="115"/>
      <c r="AZ4" s="46"/>
      <c r="BA4" s="46"/>
      <c r="BB4" s="51"/>
      <c r="BC4" s="117"/>
      <c r="BD4" s="44"/>
      <c r="BE4" s="44"/>
      <c r="BG4" s="49"/>
      <c r="BH4" s="54"/>
      <c r="BL4" s="49"/>
      <c r="BM4" s="54"/>
      <c r="BQ4" s="49"/>
      <c r="BR4" s="97"/>
      <c r="BS4" s="106"/>
      <c r="BT4" s="107"/>
      <c r="BU4" s="106"/>
      <c r="BV4" s="107"/>
      <c r="BW4" s="97"/>
      <c r="BX4" s="107"/>
      <c r="BZ4" s="102"/>
      <c r="CA4" s="103"/>
      <c r="CB4" s="19"/>
    </row>
    <row r="5" spans="2:80" ht="30" customHeight="1" x14ac:dyDescent="0.25">
      <c r="S5" s="18"/>
      <c r="T5" s="54"/>
      <c r="X5" s="49"/>
      <c r="Y5" s="54"/>
      <c r="AC5" s="49"/>
      <c r="AD5" s="54"/>
      <c r="AH5" s="49"/>
      <c r="AI5" s="54"/>
      <c r="AM5" s="49"/>
      <c r="AN5" s="54"/>
      <c r="AR5" s="49"/>
      <c r="AS5" s="54"/>
      <c r="AW5" s="124"/>
      <c r="AX5" s="131"/>
      <c r="BB5" s="49"/>
      <c r="BC5" s="54"/>
      <c r="BG5" s="49"/>
      <c r="BH5" s="54"/>
      <c r="BL5" s="49"/>
      <c r="BM5" s="54"/>
      <c r="BQ5" s="49"/>
      <c r="BR5" s="97"/>
      <c r="BS5" s="106"/>
      <c r="BT5" s="107"/>
      <c r="BU5" s="106"/>
      <c r="BV5" s="107"/>
      <c r="BW5" s="97"/>
      <c r="BX5" s="107"/>
      <c r="BZ5" s="102"/>
      <c r="CA5" s="103"/>
      <c r="CB5" s="19"/>
    </row>
    <row r="6" spans="2:80" ht="30" customHeight="1" x14ac:dyDescent="0.25">
      <c r="S6" s="18"/>
      <c r="T6" s="54"/>
      <c r="X6" s="49"/>
      <c r="Y6" s="54"/>
      <c r="AC6" s="49"/>
      <c r="AD6" s="54"/>
      <c r="AH6" s="49"/>
      <c r="AI6" s="54"/>
      <c r="AM6" s="49"/>
      <c r="AN6" s="54"/>
      <c r="AR6" s="49"/>
      <c r="AS6" s="54"/>
      <c r="AW6" s="129" t="s">
        <v>66</v>
      </c>
      <c r="AX6" s="129"/>
      <c r="BB6" s="49"/>
      <c r="BC6" s="54"/>
      <c r="BG6" s="49"/>
      <c r="BH6" s="54"/>
      <c r="BL6" s="49"/>
      <c r="BM6" s="54"/>
      <c r="BQ6" s="49"/>
      <c r="BR6" s="97"/>
      <c r="BS6" s="106"/>
      <c r="BT6" s="107"/>
      <c r="BU6" s="106"/>
      <c r="BV6" s="107"/>
      <c r="BW6" s="97"/>
      <c r="BX6" s="107"/>
      <c r="BZ6" s="104"/>
      <c r="CA6" s="105"/>
      <c r="CB6" s="19"/>
    </row>
    <row r="7" spans="2:80" ht="30" customHeight="1" x14ac:dyDescent="0.25">
      <c r="S7" s="18"/>
      <c r="T7" s="54"/>
      <c r="X7" s="49"/>
      <c r="Y7" s="54"/>
      <c r="AC7" s="49"/>
      <c r="AD7" s="54"/>
      <c r="AH7" s="49"/>
      <c r="AI7" s="54"/>
      <c r="AM7" s="49"/>
      <c r="AN7" s="54"/>
      <c r="AR7" s="49"/>
      <c r="AS7" s="54"/>
      <c r="AW7" s="129"/>
      <c r="AX7" s="129"/>
      <c r="BB7" s="49"/>
      <c r="BC7" s="54"/>
      <c r="BG7" s="49"/>
      <c r="BH7" s="54"/>
      <c r="BL7" s="49"/>
      <c r="BM7" s="54"/>
      <c r="BQ7" s="49"/>
      <c r="BR7" s="97"/>
      <c r="BS7" s="106"/>
      <c r="BT7" s="107"/>
      <c r="BU7" s="106"/>
      <c r="BV7" s="107"/>
      <c r="BW7" s="97"/>
      <c r="BX7" s="107"/>
      <c r="CA7" s="49"/>
      <c r="CB7" s="61"/>
    </row>
    <row r="8" spans="2:80" ht="30" customHeight="1" x14ac:dyDescent="0.25">
      <c r="S8" s="18"/>
      <c r="T8" s="54"/>
      <c r="X8" s="49"/>
      <c r="Y8" s="54"/>
      <c r="AC8" s="49"/>
      <c r="AD8" s="54"/>
      <c r="AH8" s="49"/>
      <c r="AI8" s="54"/>
      <c r="AM8" s="49"/>
      <c r="AN8" s="54"/>
      <c r="AR8" s="49"/>
      <c r="AS8" s="54"/>
      <c r="BB8" s="49"/>
      <c r="BC8" s="54"/>
      <c r="BG8" s="49"/>
      <c r="BH8" s="54"/>
      <c r="BL8" s="49"/>
      <c r="BM8" s="54"/>
      <c r="BQ8" s="49"/>
      <c r="BR8" s="97"/>
      <c r="BT8" s="107"/>
      <c r="BV8" s="49"/>
      <c r="BW8" s="54"/>
      <c r="BX8" s="107"/>
      <c r="CA8" s="49"/>
      <c r="CB8" s="61"/>
    </row>
    <row r="9" spans="2:80" ht="30" customHeight="1" x14ac:dyDescent="0.25">
      <c r="S9" s="18"/>
      <c r="T9" s="54"/>
      <c r="X9" s="49"/>
      <c r="Y9" s="54"/>
      <c r="AC9" s="49"/>
      <c r="AD9" s="54"/>
      <c r="AH9" s="49"/>
      <c r="AI9" s="54"/>
      <c r="AM9" s="49"/>
      <c r="AN9" s="54"/>
      <c r="AR9" s="49"/>
      <c r="AS9" s="54"/>
      <c r="BB9" s="49"/>
      <c r="BC9" s="54"/>
      <c r="BG9" s="49"/>
      <c r="BH9" s="54"/>
      <c r="BL9" s="49"/>
      <c r="BM9" s="54"/>
      <c r="BQ9" s="49"/>
      <c r="BR9" s="97"/>
      <c r="BT9" s="107"/>
      <c r="BV9" s="49"/>
      <c r="BW9" s="54"/>
      <c r="BX9" s="107"/>
      <c r="CA9" s="49"/>
      <c r="CB9" s="61"/>
    </row>
    <row r="10" spans="2:80" ht="30" customHeight="1" x14ac:dyDescent="0.25">
      <c r="S10" s="18"/>
      <c r="T10" s="54"/>
      <c r="X10" s="49"/>
      <c r="Y10" s="54"/>
      <c r="AC10" s="49"/>
      <c r="AD10" s="54"/>
      <c r="AH10" s="49"/>
      <c r="AI10" s="54"/>
      <c r="AM10" s="49"/>
      <c r="AN10" s="54"/>
      <c r="AR10" s="49"/>
      <c r="AS10" s="54"/>
      <c r="BB10" s="49"/>
      <c r="BC10" s="54"/>
      <c r="BG10" s="49"/>
      <c r="BH10" s="54"/>
      <c r="BL10" s="49"/>
      <c r="BM10" s="54"/>
      <c r="BQ10" s="49"/>
      <c r="BR10" s="97"/>
      <c r="BV10" s="49"/>
      <c r="BW10" s="54"/>
      <c r="CA10" s="49"/>
      <c r="CB10" s="61"/>
    </row>
    <row r="11" spans="2:80" ht="30" customHeight="1" x14ac:dyDescent="0.25">
      <c r="B11" s="34" t="s">
        <v>8</v>
      </c>
      <c r="C11" s="35" t="s">
        <v>9</v>
      </c>
      <c r="S11" s="18"/>
      <c r="T11" s="54"/>
      <c r="X11" s="49"/>
      <c r="Y11" s="54"/>
      <c r="AC11" s="49"/>
      <c r="AD11" s="54"/>
      <c r="AH11" s="49"/>
      <c r="AI11" s="54"/>
      <c r="AM11" s="49"/>
      <c r="AN11" s="54"/>
      <c r="AR11" s="49"/>
      <c r="AS11" s="54"/>
      <c r="BB11" s="49"/>
      <c r="BC11" s="54"/>
      <c r="BG11" s="49"/>
      <c r="BH11" s="54"/>
      <c r="BL11" s="49"/>
      <c r="BM11" s="54"/>
      <c r="BQ11" s="49"/>
      <c r="BR11" s="54"/>
      <c r="BV11" s="49"/>
      <c r="BW11" s="54"/>
      <c r="CA11" s="49"/>
      <c r="CB11" s="61"/>
    </row>
    <row r="12" spans="2:80" ht="30" customHeight="1" x14ac:dyDescent="0.25">
      <c r="B12" s="34" t="s">
        <v>10</v>
      </c>
      <c r="C12" s="35" t="s">
        <v>11</v>
      </c>
      <c r="S12" s="18"/>
      <c r="T12" s="54"/>
      <c r="X12" s="49"/>
      <c r="Y12" s="54"/>
      <c r="AC12" s="49"/>
      <c r="AD12" s="54"/>
      <c r="AH12" s="49"/>
      <c r="AI12" s="54"/>
      <c r="AM12" s="49"/>
      <c r="AN12" s="54"/>
      <c r="AR12" s="49"/>
      <c r="AS12" s="54"/>
      <c r="BB12" s="49"/>
      <c r="BC12" s="54"/>
      <c r="BG12" s="49"/>
      <c r="BH12" s="54"/>
      <c r="BL12" s="49"/>
      <c r="BM12" s="54"/>
      <c r="BQ12" s="49"/>
      <c r="BR12" s="54"/>
      <c r="BV12" s="49"/>
      <c r="BW12" s="54"/>
      <c r="CA12" s="49"/>
      <c r="CB12" s="61"/>
    </row>
    <row r="13" spans="2:80" ht="30" customHeight="1" x14ac:dyDescent="0.25">
      <c r="B13" s="36" t="s">
        <v>12</v>
      </c>
      <c r="C13" s="35" t="s">
        <v>13</v>
      </c>
      <c r="S13" s="18"/>
      <c r="T13" s="54"/>
      <c r="X13" s="49"/>
      <c r="Y13" s="54"/>
      <c r="AC13" s="49"/>
      <c r="AD13" s="54"/>
      <c r="AH13" s="49"/>
      <c r="AI13" s="54"/>
      <c r="AM13" s="49"/>
      <c r="AN13" s="54"/>
      <c r="AR13" s="49"/>
      <c r="AS13" s="54"/>
      <c r="BB13" s="49"/>
      <c r="BC13" s="54"/>
      <c r="BG13" s="49"/>
      <c r="BH13" s="54"/>
      <c r="BL13" s="49"/>
      <c r="BM13" s="54"/>
      <c r="BQ13" s="49"/>
      <c r="BR13" s="54"/>
      <c r="BV13" s="49"/>
      <c r="BW13" s="54"/>
      <c r="CA13" s="49"/>
      <c r="CB13" s="61"/>
    </row>
    <row r="14" spans="2:80" ht="30" customHeight="1" x14ac:dyDescent="0.25">
      <c r="B14" s="36">
        <v>5</v>
      </c>
      <c r="C14" s="35" t="s">
        <v>14</v>
      </c>
      <c r="S14" s="18"/>
      <c r="T14" s="54"/>
      <c r="X14" s="49"/>
      <c r="Y14" s="54"/>
      <c r="AC14" s="49"/>
      <c r="AD14" s="54"/>
      <c r="AH14" s="49"/>
      <c r="AI14" s="54"/>
      <c r="AM14" s="49"/>
      <c r="AN14" s="54"/>
      <c r="AR14" s="49"/>
      <c r="AS14" s="54"/>
      <c r="BB14" s="49"/>
      <c r="BC14" s="54"/>
      <c r="BG14" s="49"/>
      <c r="BH14" s="54"/>
      <c r="BL14" s="49"/>
      <c r="BM14" s="54"/>
      <c r="BQ14" s="49"/>
      <c r="BR14" s="54"/>
      <c r="BV14" s="49"/>
      <c r="BW14" s="54"/>
      <c r="CA14" s="49"/>
      <c r="CB14" s="61"/>
    </row>
    <row r="15" spans="2:80" ht="30" customHeight="1" x14ac:dyDescent="0.25">
      <c r="B15" s="36" t="s">
        <v>15</v>
      </c>
      <c r="C15" s="35" t="s">
        <v>16</v>
      </c>
      <c r="S15" s="18"/>
      <c r="T15" s="54"/>
      <c r="X15" s="49"/>
      <c r="Y15" s="54"/>
      <c r="AC15" s="49"/>
      <c r="AD15" s="54"/>
      <c r="AH15" s="49"/>
      <c r="AI15" s="54"/>
      <c r="AM15" s="49"/>
      <c r="AN15" s="54"/>
      <c r="AR15" s="49"/>
      <c r="AS15" s="54"/>
      <c r="BB15" s="49"/>
      <c r="BC15" s="54"/>
      <c r="BG15" s="49"/>
      <c r="BH15" s="54"/>
      <c r="BL15" s="49"/>
      <c r="BM15" s="54"/>
      <c r="BQ15" s="49"/>
      <c r="BR15" s="54"/>
      <c r="BV15" s="49"/>
      <c r="BW15" s="54"/>
      <c r="CA15" s="49"/>
      <c r="CB15" s="61"/>
    </row>
    <row r="16" spans="2:80" ht="30" customHeight="1" x14ac:dyDescent="0.25">
      <c r="B16" s="36">
        <v>0</v>
      </c>
      <c r="C16" s="35" t="s">
        <v>17</v>
      </c>
      <c r="S16" s="18"/>
      <c r="T16" s="54"/>
      <c r="X16" s="49"/>
      <c r="Y16" s="54"/>
      <c r="AC16" s="49"/>
      <c r="AD16" s="54"/>
      <c r="AH16" s="49"/>
      <c r="AI16" s="54"/>
      <c r="AM16" s="49"/>
      <c r="AN16" s="54"/>
      <c r="AR16" s="49"/>
      <c r="AS16" s="54"/>
      <c r="BB16" s="49"/>
      <c r="BC16" s="54"/>
      <c r="BG16" s="49"/>
      <c r="BH16" s="54"/>
      <c r="BL16" s="49"/>
      <c r="BM16" s="54"/>
      <c r="BQ16" s="49"/>
      <c r="BR16" s="54"/>
      <c r="BV16" s="49"/>
      <c r="BW16" s="54"/>
      <c r="CA16" s="49"/>
      <c r="CB16" s="61"/>
    </row>
    <row r="17" spans="9:80" ht="30" customHeight="1" x14ac:dyDescent="0.25">
      <c r="S17" s="18"/>
      <c r="T17" s="54"/>
      <c r="X17" s="49"/>
      <c r="Y17" s="54"/>
      <c r="AC17" s="49"/>
      <c r="AD17" s="54"/>
      <c r="AH17" s="49"/>
      <c r="AI17" s="54"/>
      <c r="AM17" s="49"/>
      <c r="AN17" s="54"/>
      <c r="AR17" s="49"/>
      <c r="AS17" s="54"/>
      <c r="BB17" s="49"/>
      <c r="BC17" s="54"/>
      <c r="BG17" s="49"/>
      <c r="BH17" s="54"/>
      <c r="BL17" s="49"/>
      <c r="BM17" s="54"/>
      <c r="BQ17" s="49"/>
      <c r="BR17" s="54"/>
      <c r="BV17" s="49"/>
      <c r="BW17" s="54"/>
      <c r="CA17" s="49"/>
      <c r="CB17" s="61"/>
    </row>
    <row r="18" spans="9:80" ht="30" customHeight="1" x14ac:dyDescent="0.25">
      <c r="I18" s="37" t="s">
        <v>8</v>
      </c>
      <c r="J18" s="37" t="s">
        <v>10</v>
      </c>
      <c r="K18" s="38" t="s">
        <v>12</v>
      </c>
      <c r="L18" s="38">
        <v>5</v>
      </c>
      <c r="M18" s="38" t="s">
        <v>15</v>
      </c>
      <c r="N18" s="38">
        <v>0</v>
      </c>
      <c r="S18" s="18"/>
      <c r="T18" s="54"/>
      <c r="X18" s="49"/>
      <c r="Y18" s="54"/>
      <c r="AC18" s="49"/>
      <c r="AD18" s="54"/>
      <c r="AH18" s="49"/>
      <c r="AI18" s="54"/>
      <c r="AM18" s="49"/>
      <c r="AN18" s="54"/>
      <c r="AR18" s="49"/>
      <c r="AS18" s="54"/>
      <c r="BB18" s="49"/>
      <c r="BC18" s="54"/>
      <c r="BG18" s="49"/>
      <c r="BH18" s="54"/>
      <c r="BL18" s="49"/>
      <c r="BM18" s="54"/>
      <c r="BQ18" s="49"/>
      <c r="BR18" s="54"/>
      <c r="BV18" s="49"/>
      <c r="BW18" s="54"/>
      <c r="CA18" s="49"/>
      <c r="CB18" s="61"/>
    </row>
    <row r="19" spans="9:80" ht="30" customHeight="1" x14ac:dyDescent="0.25">
      <c r="I19" s="98" t="s">
        <v>9</v>
      </c>
      <c r="J19" s="32" t="s">
        <v>11</v>
      </c>
      <c r="K19" s="32" t="s">
        <v>13</v>
      </c>
      <c r="L19" s="32" t="s">
        <v>14</v>
      </c>
      <c r="M19" s="32" t="s">
        <v>16</v>
      </c>
      <c r="N19" s="32" t="s">
        <v>17</v>
      </c>
      <c r="S19" s="18"/>
      <c r="T19" s="54"/>
      <c r="X19" s="49"/>
      <c r="Y19" s="54"/>
      <c r="AC19" s="49"/>
      <c r="AD19" s="54"/>
      <c r="AH19" s="49"/>
      <c r="AI19" s="54"/>
      <c r="AM19" s="49"/>
      <c r="AN19" s="54"/>
      <c r="AR19" s="49"/>
      <c r="AS19" s="54"/>
      <c r="BB19" s="49"/>
      <c r="BC19" s="54"/>
      <c r="BG19" s="49"/>
      <c r="BH19" s="54"/>
      <c r="BL19" s="49"/>
      <c r="BM19" s="54"/>
      <c r="BQ19" s="49"/>
      <c r="BR19" s="54"/>
      <c r="BV19" s="49"/>
      <c r="BW19" s="54"/>
      <c r="CA19" s="49"/>
      <c r="CB19" s="61"/>
    </row>
    <row r="20" spans="9:80" ht="30" customHeight="1" x14ac:dyDescent="0.25">
      <c r="I20" s="99"/>
      <c r="J20" s="33"/>
      <c r="K20" s="33"/>
      <c r="L20" s="33"/>
      <c r="M20" s="33"/>
      <c r="N20" s="33"/>
      <c r="S20" s="18"/>
      <c r="T20" s="54"/>
      <c r="X20" s="49"/>
      <c r="Y20" s="54"/>
      <c r="AC20" s="49"/>
      <c r="AD20" s="54"/>
      <c r="AH20" s="49"/>
      <c r="AI20" s="54"/>
      <c r="AM20" s="49"/>
      <c r="AN20" s="54"/>
      <c r="AR20" s="49"/>
      <c r="AS20" s="54"/>
      <c r="BB20" s="49"/>
      <c r="BC20" s="54"/>
      <c r="BG20" s="49"/>
      <c r="BH20" s="54"/>
      <c r="BL20" s="49"/>
      <c r="BM20" s="54"/>
      <c r="BQ20" s="49"/>
      <c r="BR20" s="54"/>
      <c r="BV20" s="49"/>
      <c r="BW20" s="54"/>
      <c r="CA20" s="49"/>
      <c r="CB20" s="61"/>
    </row>
    <row r="21" spans="9:80" ht="30" customHeight="1" x14ac:dyDescent="0.25">
      <c r="I21" s="99"/>
      <c r="S21" s="18"/>
      <c r="T21" s="54"/>
      <c r="X21" s="49"/>
      <c r="Y21" s="54"/>
      <c r="AC21" s="49"/>
      <c r="AD21" s="54"/>
      <c r="AH21" s="49"/>
      <c r="AI21" s="54"/>
      <c r="AM21" s="49"/>
      <c r="AN21" s="54"/>
      <c r="AR21" s="49"/>
      <c r="AS21" s="54"/>
      <c r="BB21" s="49"/>
      <c r="BC21" s="54"/>
      <c r="BG21" s="49"/>
      <c r="BH21" s="54"/>
      <c r="BL21" s="49"/>
      <c r="BM21" s="54"/>
      <c r="BQ21" s="49"/>
      <c r="BR21" s="54"/>
      <c r="BV21" s="49"/>
      <c r="BW21" s="54"/>
      <c r="CA21" s="49"/>
      <c r="CB21" s="61"/>
    </row>
    <row r="22" spans="9:80" ht="30" customHeight="1" x14ac:dyDescent="0.25">
      <c r="I22" s="99"/>
      <c r="S22" s="18"/>
      <c r="T22" s="54"/>
      <c r="X22" s="49"/>
      <c r="Y22" s="54"/>
      <c r="AC22" s="49"/>
      <c r="AD22" s="54"/>
      <c r="AH22" s="49"/>
      <c r="AI22" s="54"/>
      <c r="AM22" s="49"/>
      <c r="AN22" s="54"/>
      <c r="AR22" s="49"/>
      <c r="AS22" s="54"/>
      <c r="BB22" s="49"/>
      <c r="BC22" s="54"/>
      <c r="BG22" s="49"/>
      <c r="BH22" s="54"/>
      <c r="BL22" s="49"/>
      <c r="BM22" s="54"/>
      <c r="BQ22" s="49"/>
      <c r="BR22" s="54"/>
      <c r="BV22" s="49"/>
      <c r="BW22" s="54"/>
      <c r="CA22" s="49"/>
      <c r="CB22" s="61"/>
    </row>
    <row r="23" spans="9:80" ht="30" customHeight="1" x14ac:dyDescent="0.25">
      <c r="I23" s="99"/>
      <c r="S23" s="18"/>
      <c r="T23" s="54"/>
      <c r="X23" s="49"/>
      <c r="Y23" s="54"/>
      <c r="AC23" s="49"/>
      <c r="AD23" s="54"/>
      <c r="AH23" s="49"/>
      <c r="AI23" s="54"/>
      <c r="AM23" s="49"/>
      <c r="AN23" s="54"/>
      <c r="AR23" s="49"/>
      <c r="AS23" s="54"/>
      <c r="BB23" s="49"/>
      <c r="BC23" s="54"/>
      <c r="BG23" s="49"/>
      <c r="BH23" s="54"/>
      <c r="BL23" s="49"/>
      <c r="BM23" s="54"/>
      <c r="BQ23" s="49"/>
      <c r="BR23" s="54"/>
      <c r="BV23" s="49"/>
      <c r="BW23" s="54"/>
      <c r="CA23" s="49"/>
      <c r="CB23" s="61"/>
    </row>
    <row r="24" spans="9:80" ht="30" customHeight="1" x14ac:dyDescent="0.25">
      <c r="S24" s="18"/>
      <c r="T24" s="54"/>
      <c r="X24" s="49"/>
      <c r="Y24" s="54"/>
      <c r="AC24" s="49"/>
      <c r="AD24" s="54"/>
      <c r="AH24" s="49"/>
      <c r="AI24" s="54"/>
      <c r="AM24" s="49"/>
      <c r="AN24" s="54"/>
      <c r="AR24" s="49"/>
      <c r="AS24" s="54"/>
      <c r="BB24" s="49"/>
      <c r="BC24" s="54"/>
      <c r="BG24" s="49"/>
      <c r="BH24" s="54"/>
      <c r="BL24" s="49"/>
      <c r="BM24" s="54"/>
      <c r="BQ24" s="49"/>
      <c r="BR24" s="54"/>
      <c r="BV24" s="49"/>
      <c r="BW24" s="54"/>
      <c r="CA24" s="49"/>
      <c r="CB24" s="61"/>
    </row>
    <row r="25" spans="9:80" ht="30" customHeight="1" x14ac:dyDescent="0.25">
      <c r="S25" s="18"/>
      <c r="T25" s="54"/>
      <c r="X25" s="49"/>
      <c r="Y25" s="54"/>
      <c r="AC25" s="49"/>
      <c r="AD25" s="54"/>
      <c r="AH25" s="49"/>
      <c r="AI25" s="54"/>
      <c r="AM25" s="49"/>
      <c r="AN25" s="54"/>
      <c r="AR25" s="49"/>
      <c r="AS25" s="54"/>
      <c r="BB25" s="49"/>
      <c r="BC25" s="54"/>
      <c r="BG25" s="49"/>
      <c r="BH25" s="54"/>
      <c r="BL25" s="49"/>
      <c r="BM25" s="54"/>
      <c r="BQ25" s="49"/>
      <c r="BR25" s="54"/>
      <c r="BV25" s="49"/>
      <c r="BW25" s="54"/>
      <c r="CA25" s="49"/>
      <c r="CB25" s="61"/>
    </row>
    <row r="26" spans="9:80" ht="30" customHeight="1" x14ac:dyDescent="0.25">
      <c r="S26" s="18"/>
      <c r="T26" s="54"/>
      <c r="X26" s="49"/>
      <c r="Y26" s="54"/>
      <c r="AC26" s="49"/>
      <c r="AD26" s="54"/>
      <c r="AH26" s="49"/>
      <c r="AI26" s="54"/>
      <c r="AM26" s="49"/>
      <c r="AN26" s="54"/>
      <c r="AR26" s="49"/>
      <c r="AS26" s="54"/>
      <c r="BB26" s="49"/>
      <c r="BC26" s="54"/>
      <c r="BG26" s="49"/>
      <c r="BH26" s="54"/>
      <c r="BL26" s="49"/>
      <c r="BM26" s="54"/>
      <c r="BQ26" s="49"/>
      <c r="BR26" s="54"/>
      <c r="BV26" s="49"/>
      <c r="BW26" s="54"/>
      <c r="CA26" s="49"/>
      <c r="CB26" s="61"/>
    </row>
    <row r="27" spans="9:80" ht="30" customHeight="1" x14ac:dyDescent="0.25">
      <c r="S27" s="18"/>
      <c r="T27" s="54"/>
      <c r="X27" s="49"/>
      <c r="Y27" s="54"/>
      <c r="AC27" s="49"/>
      <c r="AD27" s="54"/>
      <c r="AH27" s="49"/>
      <c r="AI27" s="54"/>
      <c r="AM27" s="49"/>
      <c r="AN27" s="54"/>
      <c r="AR27" s="49"/>
      <c r="AS27" s="54"/>
      <c r="BB27" s="49"/>
      <c r="BC27" s="54"/>
      <c r="BG27" s="49"/>
      <c r="BH27" s="54"/>
      <c r="BL27" s="49"/>
      <c r="BM27" s="54"/>
      <c r="BQ27" s="49"/>
      <c r="BR27" s="54"/>
      <c r="BV27" s="49"/>
      <c r="BW27" s="54"/>
      <c r="CA27" s="49"/>
      <c r="CB27" s="61"/>
    </row>
    <row r="28" spans="9:80" ht="30" customHeight="1" x14ac:dyDescent="0.25">
      <c r="S28" s="18"/>
      <c r="T28" s="54"/>
      <c r="X28" s="49"/>
      <c r="Y28" s="54"/>
      <c r="AC28" s="49"/>
      <c r="AD28" s="54"/>
      <c r="AH28" s="49"/>
      <c r="AI28" s="54"/>
      <c r="AM28" s="49"/>
      <c r="AN28" s="54"/>
      <c r="AR28" s="49"/>
      <c r="AS28" s="54"/>
      <c r="BB28" s="49"/>
      <c r="BC28" s="54"/>
      <c r="BG28" s="49"/>
      <c r="BH28" s="54"/>
      <c r="BL28" s="49"/>
      <c r="BM28" s="54"/>
      <c r="BQ28" s="49"/>
      <c r="BR28" s="54"/>
      <c r="BV28" s="49"/>
      <c r="BW28" s="54"/>
      <c r="CA28" s="49"/>
      <c r="CB28" s="61"/>
    </row>
    <row r="29" spans="9:80" ht="30" customHeight="1" x14ac:dyDescent="0.25">
      <c r="S29" s="18"/>
      <c r="T29" s="54"/>
      <c r="X29" s="49"/>
      <c r="Y29" s="54"/>
      <c r="AC29" s="49"/>
      <c r="AD29" s="54"/>
      <c r="AH29" s="49"/>
      <c r="AI29" s="54"/>
      <c r="AM29" s="49"/>
      <c r="AN29" s="54"/>
      <c r="AR29" s="49"/>
      <c r="AS29" s="54"/>
      <c r="BB29" s="49"/>
      <c r="BC29" s="54"/>
      <c r="BG29" s="49"/>
      <c r="BH29" s="54"/>
      <c r="BL29" s="49"/>
      <c r="BM29" s="54"/>
      <c r="BQ29" s="49"/>
      <c r="BR29" s="54"/>
      <c r="BV29" s="49"/>
      <c r="BW29" s="54"/>
      <c r="CA29" s="49"/>
      <c r="CB29" s="61"/>
    </row>
    <row r="30" spans="9:80" ht="30" customHeight="1" x14ac:dyDescent="0.25">
      <c r="S30" s="18"/>
      <c r="T30" s="54"/>
      <c r="X30" s="49"/>
      <c r="Y30" s="54"/>
      <c r="AC30" s="49"/>
      <c r="AD30" s="54"/>
      <c r="AH30" s="49"/>
      <c r="AI30" s="54"/>
      <c r="AM30" s="49"/>
      <c r="AN30" s="54"/>
      <c r="AR30" s="49"/>
      <c r="AS30" s="54"/>
      <c r="BB30" s="49"/>
      <c r="BC30" s="54"/>
      <c r="BG30" s="49"/>
      <c r="BH30" s="54"/>
      <c r="BL30" s="49"/>
      <c r="BM30" s="54"/>
      <c r="BQ30" s="49"/>
      <c r="BR30" s="54"/>
      <c r="BV30" s="49"/>
      <c r="BW30" s="54"/>
      <c r="CA30" s="49"/>
      <c r="CB30" s="61"/>
    </row>
    <row r="31" spans="9:80" ht="30" customHeight="1" x14ac:dyDescent="0.25">
      <c r="S31" s="18"/>
      <c r="T31" s="54"/>
      <c r="X31" s="49"/>
      <c r="Y31" s="54"/>
      <c r="AC31" s="49"/>
      <c r="AD31" s="54"/>
      <c r="AH31" s="49"/>
      <c r="AI31" s="54"/>
      <c r="AM31" s="49"/>
      <c r="AN31" s="54"/>
      <c r="AR31" s="49"/>
      <c r="AS31" s="54"/>
      <c r="BB31" s="49"/>
      <c r="BC31" s="54"/>
      <c r="BG31" s="49"/>
      <c r="BH31" s="54"/>
      <c r="BL31" s="49"/>
      <c r="BM31" s="54"/>
      <c r="BQ31" s="49"/>
      <c r="BR31" s="54"/>
      <c r="BV31" s="49"/>
      <c r="BW31" s="54"/>
      <c r="CA31" s="49"/>
      <c r="CB31" s="61"/>
    </row>
    <row r="32" spans="9:80" ht="30" customHeight="1" x14ac:dyDescent="0.25">
      <c r="S32" s="18"/>
      <c r="T32" s="54"/>
      <c r="X32" s="49"/>
      <c r="Y32" s="54"/>
      <c r="AC32" s="49"/>
      <c r="AD32" s="54"/>
      <c r="AH32" s="49"/>
      <c r="AI32" s="54"/>
      <c r="AM32" s="49"/>
      <c r="AN32" s="54"/>
      <c r="AR32" s="49"/>
      <c r="AS32" s="54"/>
      <c r="BB32" s="49"/>
      <c r="BC32" s="54"/>
      <c r="BG32" s="49"/>
      <c r="BH32" s="54"/>
      <c r="BL32" s="49"/>
      <c r="BM32" s="54"/>
      <c r="BQ32" s="49"/>
      <c r="BR32" s="54"/>
      <c r="BV32" s="49"/>
      <c r="BW32" s="54"/>
      <c r="CA32" s="49"/>
      <c r="CB32" s="61"/>
    </row>
    <row r="33" spans="1:109" ht="30" customHeight="1" x14ac:dyDescent="0.25">
      <c r="S33" s="18"/>
      <c r="T33" s="54"/>
      <c r="X33" s="49"/>
      <c r="Y33" s="54"/>
      <c r="AC33" s="49"/>
      <c r="AD33" s="54"/>
      <c r="AH33" s="49"/>
      <c r="AI33" s="54"/>
      <c r="AM33" s="49"/>
      <c r="AN33" s="54"/>
      <c r="AR33" s="49"/>
      <c r="AS33" s="54"/>
      <c r="BB33" s="49"/>
      <c r="BC33" s="54"/>
      <c r="BG33" s="49"/>
      <c r="BH33" s="54"/>
      <c r="BL33" s="49"/>
      <c r="BM33" s="54"/>
      <c r="BQ33" s="49"/>
      <c r="BR33" s="54"/>
      <c r="BV33" s="49"/>
      <c r="BW33" s="54"/>
      <c r="CA33" s="49"/>
      <c r="CB33" s="61"/>
    </row>
    <row r="34" spans="1:109" ht="30" customHeight="1" x14ac:dyDescent="0.25">
      <c r="S34" s="18"/>
      <c r="T34" s="54"/>
      <c r="X34" s="49"/>
      <c r="Y34" s="54"/>
      <c r="AC34" s="49"/>
      <c r="AD34" s="54"/>
      <c r="AH34" s="49"/>
      <c r="AI34" s="54"/>
      <c r="AM34" s="49"/>
      <c r="AN34" s="54"/>
      <c r="AR34" s="49"/>
      <c r="AS34" s="54"/>
      <c r="BB34" s="49"/>
      <c r="BC34" s="54"/>
      <c r="BG34" s="49"/>
      <c r="BH34" s="54"/>
      <c r="BL34" s="49"/>
      <c r="BM34" s="54"/>
      <c r="BQ34" s="49"/>
      <c r="BR34" s="54"/>
      <c r="BV34" s="49"/>
      <c r="BW34" s="54"/>
      <c r="CA34" s="49"/>
      <c r="CB34" s="61"/>
    </row>
    <row r="35" spans="1:109" ht="30" customHeight="1" x14ac:dyDescent="0.25">
      <c r="S35" s="18"/>
      <c r="T35" s="54"/>
      <c r="X35" s="49"/>
      <c r="Y35" s="54"/>
      <c r="AC35" s="49"/>
      <c r="AD35" s="54"/>
      <c r="AH35" s="49"/>
      <c r="AI35" s="54"/>
      <c r="AM35" s="49"/>
      <c r="AN35" s="54"/>
      <c r="AR35" s="49"/>
      <c r="AS35" s="54"/>
      <c r="BB35" s="49"/>
      <c r="BC35" s="54"/>
      <c r="BG35" s="49"/>
      <c r="BH35" s="54"/>
      <c r="BL35" s="49"/>
      <c r="BM35" s="54"/>
      <c r="BQ35" s="49"/>
      <c r="BR35" s="54"/>
      <c r="BV35" s="49"/>
      <c r="BW35" s="54"/>
      <c r="CA35" s="49"/>
      <c r="CB35" s="61"/>
    </row>
    <row r="36" spans="1:109" ht="30" customHeight="1" x14ac:dyDescent="0.25">
      <c r="S36" s="18"/>
      <c r="T36" s="54"/>
      <c r="X36" s="49"/>
      <c r="Y36" s="54"/>
      <c r="AC36" s="49"/>
      <c r="AD36" s="54"/>
      <c r="AH36" s="49"/>
      <c r="AI36" s="54"/>
      <c r="AM36" s="49"/>
      <c r="AN36" s="54"/>
      <c r="AR36" s="49"/>
      <c r="AS36" s="54"/>
      <c r="BB36" s="49"/>
      <c r="BC36" s="54"/>
      <c r="BG36" s="49"/>
      <c r="BH36" s="54"/>
      <c r="BL36" s="49"/>
      <c r="BM36" s="54"/>
      <c r="BQ36" s="49"/>
      <c r="BR36" s="54"/>
      <c r="BV36" s="49"/>
      <c r="BW36" s="54"/>
      <c r="CA36" s="49"/>
      <c r="CB36" s="61"/>
    </row>
    <row r="37" spans="1:109" ht="30" customHeight="1" x14ac:dyDescent="0.25">
      <c r="S37" s="18"/>
      <c r="T37" s="54"/>
      <c r="X37" s="49"/>
      <c r="Y37" s="54"/>
      <c r="AC37" s="49"/>
      <c r="AD37" s="54"/>
      <c r="AH37" s="49"/>
      <c r="AI37" s="54"/>
      <c r="AM37" s="49"/>
      <c r="AN37" s="54"/>
      <c r="AR37" s="49"/>
      <c r="AS37" s="54"/>
      <c r="BB37" s="49"/>
      <c r="BC37" s="54"/>
      <c r="BG37" s="49"/>
      <c r="BH37" s="54"/>
      <c r="BL37" s="49"/>
      <c r="BM37" s="54"/>
      <c r="BQ37" s="49"/>
      <c r="BR37" s="54"/>
      <c r="BV37" s="49"/>
      <c r="BW37" s="54"/>
      <c r="CA37" s="49"/>
      <c r="CB37" s="61"/>
    </row>
    <row r="38" spans="1:109" ht="30" customHeight="1" x14ac:dyDescent="0.25">
      <c r="S38" s="18"/>
      <c r="T38" s="54"/>
      <c r="X38" s="49"/>
      <c r="Y38" s="54"/>
      <c r="AC38" s="49"/>
      <c r="AD38" s="54"/>
      <c r="AH38" s="49"/>
      <c r="AI38" s="54"/>
      <c r="AM38" s="49"/>
      <c r="AN38" s="54"/>
      <c r="AR38" s="49"/>
      <c r="AS38" s="54"/>
      <c r="BB38" s="49"/>
      <c r="BC38" s="54"/>
      <c r="BG38" s="49"/>
      <c r="BH38" s="54"/>
      <c r="BL38" s="49"/>
      <c r="BM38" s="54"/>
      <c r="BQ38" s="49"/>
      <c r="BR38" s="54"/>
      <c r="BV38" s="49"/>
      <c r="BW38" s="54"/>
      <c r="CA38" s="49"/>
      <c r="CB38" s="61"/>
    </row>
    <row r="39" spans="1:109" ht="30" customHeight="1" x14ac:dyDescent="0.25">
      <c r="S39" s="18"/>
      <c r="T39" s="54"/>
      <c r="X39" s="49"/>
      <c r="Y39" s="54"/>
      <c r="AC39" s="49"/>
      <c r="AD39" s="54"/>
      <c r="AH39" s="49"/>
      <c r="AI39" s="54"/>
      <c r="AM39" s="49"/>
      <c r="AN39" s="54"/>
      <c r="AR39" s="49"/>
      <c r="AS39" s="54"/>
      <c r="BB39" s="49"/>
      <c r="BC39" s="54"/>
      <c r="BG39" s="49"/>
      <c r="BH39" s="54"/>
      <c r="BL39" s="49"/>
      <c r="BM39" s="54"/>
      <c r="BQ39" s="49"/>
      <c r="BR39" s="54"/>
      <c r="BV39" s="49"/>
      <c r="BW39" s="54"/>
      <c r="CA39" s="49"/>
      <c r="CB39" s="61"/>
    </row>
    <row r="40" spans="1:109" ht="30" customHeight="1" x14ac:dyDescent="0.25">
      <c r="S40" s="18"/>
      <c r="T40" s="54"/>
      <c r="X40" s="49"/>
      <c r="Y40" s="54"/>
      <c r="AC40" s="49"/>
      <c r="AD40" s="54"/>
      <c r="AH40" s="49"/>
      <c r="AI40" s="54"/>
      <c r="AM40" s="49"/>
      <c r="AN40" s="54"/>
      <c r="AR40" s="49"/>
      <c r="AS40" s="54"/>
      <c r="BB40" s="49"/>
      <c r="BC40" s="54"/>
      <c r="BG40" s="49"/>
      <c r="BH40" s="54"/>
      <c r="BL40" s="49"/>
      <c r="BM40" s="54"/>
      <c r="BQ40" s="49"/>
      <c r="BR40" s="54"/>
      <c r="BV40" s="49"/>
      <c r="BW40" s="54"/>
      <c r="CA40" s="49"/>
      <c r="CB40" s="61"/>
    </row>
    <row r="41" spans="1:109" ht="30" customHeight="1" x14ac:dyDescent="0.25">
      <c r="S41" s="88" t="s">
        <v>57</v>
      </c>
      <c r="T41" s="89"/>
      <c r="X41" s="49"/>
      <c r="Y41" s="54"/>
      <c r="AC41" s="49"/>
      <c r="AD41" s="54"/>
      <c r="AH41" s="49"/>
      <c r="AI41" s="54"/>
      <c r="AM41" s="49"/>
      <c r="AN41" s="54"/>
      <c r="AR41" s="49"/>
      <c r="AS41" s="54"/>
      <c r="BB41" s="49"/>
      <c r="BC41" s="54"/>
      <c r="BG41" s="49"/>
      <c r="BH41" s="54"/>
      <c r="BL41" s="49"/>
      <c r="BM41" s="54"/>
      <c r="BQ41" s="49"/>
      <c r="BR41" s="54"/>
      <c r="BV41" s="49"/>
      <c r="BW41" s="54"/>
      <c r="CA41" s="88" t="s">
        <v>57</v>
      </c>
      <c r="CB41" s="89"/>
    </row>
    <row r="42" spans="1:109" ht="30" customHeight="1" x14ac:dyDescent="0.25">
      <c r="S42" s="88"/>
      <c r="T42" s="89"/>
      <c r="X42" s="49"/>
      <c r="Y42" s="54"/>
      <c r="AC42" s="49"/>
      <c r="AD42" s="54"/>
      <c r="AH42" s="49"/>
      <c r="AI42" s="54"/>
      <c r="AM42" s="49"/>
      <c r="AN42" s="54"/>
      <c r="AR42" s="49"/>
      <c r="AS42" s="54"/>
      <c r="BB42" s="49"/>
      <c r="BC42" s="54"/>
      <c r="BG42" s="49"/>
      <c r="BH42" s="54"/>
      <c r="BL42" s="49"/>
      <c r="BM42" s="54"/>
      <c r="BQ42" s="49"/>
      <c r="BR42" s="54"/>
      <c r="BV42" s="49"/>
      <c r="BW42" s="54"/>
      <c r="CA42" s="88"/>
      <c r="CB42" s="89"/>
    </row>
    <row r="43" spans="1:109" s="1" customFormat="1" ht="30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s="90"/>
      <c r="T43" s="91"/>
      <c r="Y43" s="55"/>
      <c r="AD43" s="55"/>
      <c r="AI43" s="55"/>
      <c r="AN43" s="55"/>
      <c r="AS43" s="55"/>
      <c r="AX43" s="5"/>
      <c r="BC43" s="55"/>
      <c r="BH43" s="55"/>
      <c r="BM43" s="55"/>
      <c r="BR43" s="55"/>
      <c r="BW43" s="55"/>
      <c r="CA43" s="90"/>
      <c r="CB43" s="91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</row>
    <row r="44" spans="1:109" ht="11.25" customHeight="1" x14ac:dyDescent="0.25">
      <c r="S44" s="22"/>
      <c r="T44" s="8"/>
      <c r="U44" s="7"/>
      <c r="V44" s="7"/>
      <c r="W44" s="7"/>
      <c r="X44" s="7"/>
      <c r="Y44" s="8"/>
      <c r="Z44" s="7"/>
      <c r="AA44" s="7"/>
      <c r="AB44" s="7"/>
      <c r="AC44" s="7"/>
      <c r="AD44" s="8"/>
      <c r="AE44" s="7"/>
      <c r="AF44" s="7"/>
      <c r="AG44" s="7"/>
      <c r="AH44" s="7"/>
      <c r="AI44" s="8"/>
      <c r="AJ44" s="7"/>
      <c r="AK44" s="7"/>
      <c r="AL44" s="7"/>
      <c r="AM44" s="7"/>
      <c r="AN44" s="8"/>
      <c r="AO44" s="7"/>
      <c r="AP44" s="7"/>
      <c r="AQ44" s="7"/>
      <c r="AR44" s="7"/>
      <c r="AS44" s="8"/>
      <c r="AT44" s="7"/>
      <c r="AU44" s="7"/>
      <c r="AV44" s="7"/>
      <c r="AW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23"/>
    </row>
    <row r="45" spans="1:109" ht="11.25" customHeight="1" x14ac:dyDescent="0.25">
      <c r="S45" s="24"/>
      <c r="T45" s="8"/>
      <c r="X45" s="10"/>
      <c r="Y45" s="8"/>
      <c r="AC45" s="10"/>
      <c r="AD45" s="8"/>
      <c r="AH45" s="10"/>
      <c r="AI45" s="8"/>
      <c r="AM45" s="10"/>
      <c r="AN45" s="8"/>
      <c r="AR45" s="10"/>
      <c r="AS45" s="8"/>
      <c r="AW45" s="10"/>
      <c r="BB45" s="10"/>
      <c r="BC45" s="8"/>
      <c r="BG45" s="10"/>
      <c r="BH45" s="8"/>
      <c r="BL45" s="10"/>
      <c r="BM45" s="8"/>
      <c r="BQ45" s="10"/>
      <c r="BR45" s="8"/>
      <c r="BV45" s="10"/>
      <c r="BW45" s="8"/>
      <c r="CA45" s="10"/>
      <c r="CB45" s="25"/>
      <c r="CZ45" s="10"/>
      <c r="DA45" s="8"/>
      <c r="DE45" s="10"/>
    </row>
    <row r="46" spans="1:109" ht="13.5" customHeight="1" x14ac:dyDescent="0.25">
      <c r="S46" s="96" t="s">
        <v>58</v>
      </c>
      <c r="T46" s="96"/>
      <c r="X46" s="92" t="s">
        <v>39</v>
      </c>
      <c r="Y46" s="92"/>
      <c r="AC46" s="92" t="s">
        <v>43</v>
      </c>
      <c r="AD46" s="92"/>
      <c r="AH46" s="92" t="s">
        <v>42</v>
      </c>
      <c r="AI46" s="92"/>
      <c r="AM46" s="92" t="s">
        <v>41</v>
      </c>
      <c r="AN46" s="92"/>
      <c r="AR46" s="92" t="s">
        <v>40</v>
      </c>
      <c r="AS46" s="92"/>
      <c r="BB46" s="92" t="s">
        <v>39</v>
      </c>
      <c r="BC46" s="92"/>
      <c r="BG46" s="92">
        <v>20</v>
      </c>
      <c r="BH46" s="92"/>
      <c r="BL46" s="92">
        <v>30</v>
      </c>
      <c r="BM46" s="92"/>
      <c r="BQ46" s="92">
        <v>40</v>
      </c>
      <c r="BR46" s="92"/>
      <c r="BV46" s="92">
        <v>50</v>
      </c>
      <c r="BW46" s="92"/>
      <c r="CA46" s="96" t="s">
        <v>59</v>
      </c>
      <c r="CB46" s="96"/>
    </row>
    <row r="47" spans="1:109" s="12" customFormat="1" ht="30" customHeight="1" x14ac:dyDescent="0.45">
      <c r="S47" s="96"/>
      <c r="T47" s="96"/>
      <c r="X47" s="92"/>
      <c r="Y47" s="92"/>
      <c r="AC47" s="92"/>
      <c r="AD47" s="92"/>
      <c r="AH47" s="92"/>
      <c r="AI47" s="92"/>
      <c r="AM47" s="92"/>
      <c r="AN47" s="92"/>
      <c r="AR47" s="92"/>
      <c r="AS47" s="92"/>
      <c r="AX47" s="13"/>
      <c r="BB47" s="92"/>
      <c r="BC47" s="92"/>
      <c r="BG47" s="92"/>
      <c r="BH47" s="92"/>
      <c r="BL47" s="92"/>
      <c r="BM47" s="92"/>
      <c r="BQ47" s="92"/>
      <c r="BR47" s="92"/>
      <c r="BV47" s="92"/>
      <c r="BW47" s="92"/>
      <c r="CA47" s="96"/>
      <c r="CB47" s="96"/>
    </row>
    <row r="48" spans="1:109" s="12" customFormat="1" ht="30" customHeight="1" x14ac:dyDescent="0.45">
      <c r="S48" s="96"/>
      <c r="T48" s="96"/>
      <c r="X48" s="48"/>
      <c r="Y48" s="64"/>
      <c r="AC48" s="48"/>
      <c r="AD48" s="64"/>
      <c r="AH48" s="48"/>
      <c r="AI48" s="64"/>
      <c r="AM48" s="48"/>
      <c r="AN48" s="64"/>
      <c r="AR48" s="48"/>
      <c r="AS48" s="54"/>
      <c r="AX48" s="13"/>
      <c r="BB48" s="48"/>
      <c r="BC48" s="54"/>
      <c r="BG48" s="48"/>
      <c r="BH48" s="64"/>
      <c r="BL48" s="48"/>
      <c r="BM48" s="64"/>
      <c r="BQ48" s="48"/>
      <c r="BR48" s="64"/>
      <c r="BV48" s="48"/>
      <c r="BW48" s="64"/>
      <c r="CA48" s="96"/>
      <c r="CB48" s="96"/>
    </row>
    <row r="49" spans="19:80" s="12" customFormat="1" ht="30" customHeight="1" x14ac:dyDescent="0.45">
      <c r="S49" s="47"/>
      <c r="T49" s="54"/>
      <c r="X49" s="48"/>
      <c r="Y49" s="64"/>
      <c r="AC49" s="48"/>
      <c r="AD49" s="64"/>
      <c r="AH49" s="48"/>
      <c r="AI49" s="64"/>
      <c r="AM49" s="48"/>
      <c r="AN49" s="64"/>
      <c r="AR49" s="48"/>
      <c r="AS49" s="54"/>
      <c r="AX49" s="13"/>
      <c r="BB49" s="48"/>
      <c r="BC49" s="64"/>
      <c r="BG49" s="48"/>
      <c r="BH49" s="64"/>
      <c r="BL49" s="48"/>
      <c r="BM49" s="64"/>
      <c r="BQ49" s="48"/>
      <c r="BR49" s="64"/>
      <c r="BV49" s="48"/>
      <c r="BW49" s="64"/>
      <c r="CA49" s="96"/>
      <c r="CB49" s="96"/>
    </row>
    <row r="50" spans="19:80" ht="30" customHeight="1" x14ac:dyDescent="0.25">
      <c r="S50" s="18"/>
      <c r="T50" s="54"/>
      <c r="X50" s="49"/>
      <c r="Y50" s="54"/>
      <c r="AC50" s="49"/>
      <c r="AD50" s="54"/>
      <c r="AH50" s="49"/>
      <c r="AI50" s="54"/>
      <c r="AM50" s="49"/>
      <c r="AN50" s="54"/>
      <c r="AR50" s="49"/>
      <c r="AS50" s="54"/>
      <c r="BB50" s="49"/>
      <c r="BC50" s="54"/>
      <c r="BG50" s="49"/>
      <c r="BH50" s="54"/>
      <c r="BL50" s="49"/>
      <c r="BM50" s="54"/>
      <c r="BQ50" s="49"/>
      <c r="BR50" s="54"/>
      <c r="BV50" s="49"/>
      <c r="BW50" s="54"/>
      <c r="CA50" s="49"/>
      <c r="CB50" s="61"/>
    </row>
    <row r="51" spans="19:80" ht="30" customHeight="1" x14ac:dyDescent="0.25">
      <c r="S51" s="18"/>
      <c r="T51" s="54"/>
      <c r="X51" s="49"/>
      <c r="Y51" s="54"/>
      <c r="AC51" s="49"/>
      <c r="AD51" s="54"/>
      <c r="AH51" s="49"/>
      <c r="AI51" s="54"/>
      <c r="AM51" s="49"/>
      <c r="AN51" s="54"/>
      <c r="AR51" s="49"/>
      <c r="AS51" s="54"/>
      <c r="BB51" s="49"/>
      <c r="BC51" s="54"/>
      <c r="BG51" s="49"/>
      <c r="BH51" s="54"/>
      <c r="BL51" s="49"/>
      <c r="BM51" s="54"/>
      <c r="BQ51" s="49"/>
      <c r="BR51" s="54"/>
      <c r="BV51" s="49"/>
      <c r="BW51" s="54"/>
      <c r="CA51" s="49"/>
      <c r="CB51" s="61"/>
    </row>
    <row r="52" spans="19:80" ht="30" customHeight="1" x14ac:dyDescent="0.25">
      <c r="S52" s="18"/>
      <c r="T52" s="54"/>
      <c r="X52" s="49"/>
      <c r="Y52" s="54"/>
      <c r="AC52" s="49"/>
      <c r="AD52" s="54"/>
      <c r="AH52" s="49"/>
      <c r="AI52" s="54"/>
      <c r="AM52" s="49"/>
      <c r="AN52" s="54"/>
      <c r="AR52" s="49"/>
      <c r="AS52" s="54"/>
      <c r="BB52" s="49"/>
      <c r="BC52" s="54"/>
      <c r="BG52" s="49"/>
      <c r="BH52" s="54"/>
      <c r="BL52" s="49"/>
      <c r="BM52" s="54"/>
      <c r="BQ52" s="49"/>
      <c r="BR52" s="54"/>
      <c r="BV52" s="49"/>
      <c r="BW52" s="54"/>
      <c r="CA52" s="49"/>
      <c r="CB52" s="61"/>
    </row>
    <row r="53" spans="19:80" ht="30" customHeight="1" x14ac:dyDescent="0.25">
      <c r="S53" s="18"/>
      <c r="T53" s="54"/>
      <c r="X53" s="49"/>
      <c r="Y53" s="54"/>
      <c r="AC53" s="49"/>
      <c r="AD53" s="54"/>
      <c r="AH53" s="49"/>
      <c r="AI53" s="54"/>
      <c r="AM53" s="49"/>
      <c r="AN53" s="54"/>
      <c r="AR53" s="49"/>
      <c r="AS53" s="54"/>
      <c r="BB53" s="49"/>
      <c r="BC53" s="54"/>
      <c r="BG53" s="49"/>
      <c r="BH53" s="54"/>
      <c r="BL53" s="49"/>
      <c r="BM53" s="54"/>
      <c r="BQ53" s="49"/>
      <c r="BR53" s="54"/>
      <c r="BV53" s="49"/>
      <c r="BW53" s="54"/>
      <c r="CA53" s="49"/>
      <c r="CB53" s="61"/>
    </row>
    <row r="54" spans="19:80" ht="30" customHeight="1" x14ac:dyDescent="0.25">
      <c r="S54" s="18"/>
      <c r="T54" s="54"/>
      <c r="X54" s="49"/>
      <c r="Y54" s="54"/>
      <c r="AC54" s="49"/>
      <c r="AD54" s="54"/>
      <c r="AH54" s="49"/>
      <c r="AI54" s="54"/>
      <c r="AM54" s="49"/>
      <c r="AN54" s="54"/>
      <c r="AR54" s="49"/>
      <c r="AS54" s="54"/>
      <c r="BB54" s="49"/>
      <c r="BC54" s="54"/>
      <c r="BG54" s="49"/>
      <c r="BH54" s="54"/>
      <c r="BL54" s="49"/>
      <c r="BM54" s="54"/>
      <c r="BQ54" s="49"/>
      <c r="BR54" s="54"/>
      <c r="BV54" s="49"/>
      <c r="BW54" s="54"/>
      <c r="CA54" s="49"/>
      <c r="CB54" s="61"/>
    </row>
    <row r="55" spans="19:80" ht="30" customHeight="1" x14ac:dyDescent="0.25">
      <c r="S55" s="18"/>
      <c r="T55" s="54"/>
      <c r="X55" s="49"/>
      <c r="Y55" s="54"/>
      <c r="AC55" s="49"/>
      <c r="AD55" s="54"/>
      <c r="AH55" s="49"/>
      <c r="AI55" s="54"/>
      <c r="AM55" s="49"/>
      <c r="AN55" s="54"/>
      <c r="AR55" s="49"/>
      <c r="AS55" s="54"/>
      <c r="BB55" s="49"/>
      <c r="BC55" s="54"/>
      <c r="BG55" s="49"/>
      <c r="BH55" s="54"/>
      <c r="BL55" s="49"/>
      <c r="BM55" s="54"/>
      <c r="BQ55" s="49"/>
      <c r="BR55" s="54"/>
      <c r="BV55" s="49"/>
      <c r="BW55" s="54"/>
      <c r="CA55" s="49"/>
      <c r="CB55" s="61"/>
    </row>
    <row r="56" spans="19:80" ht="30" customHeight="1" x14ac:dyDescent="0.25">
      <c r="S56" s="18"/>
      <c r="T56" s="54"/>
      <c r="X56" s="49"/>
      <c r="Y56" s="54"/>
      <c r="AC56" s="49"/>
      <c r="AD56" s="54"/>
      <c r="AH56" s="49"/>
      <c r="AI56" s="54"/>
      <c r="AM56" s="49"/>
      <c r="AN56" s="54"/>
      <c r="AR56" s="49"/>
      <c r="AS56" s="54"/>
      <c r="BB56" s="49"/>
      <c r="BC56" s="54"/>
      <c r="BG56" s="49"/>
      <c r="BH56" s="54"/>
      <c r="BL56" s="49"/>
      <c r="BM56" s="54"/>
      <c r="BQ56" s="49"/>
      <c r="BR56" s="54"/>
      <c r="BV56" s="49"/>
      <c r="BW56" s="54"/>
      <c r="CA56" s="49"/>
      <c r="CB56" s="61"/>
    </row>
    <row r="57" spans="19:80" ht="30" customHeight="1" x14ac:dyDescent="0.25">
      <c r="S57" s="18"/>
      <c r="T57" s="54"/>
      <c r="X57" s="49"/>
      <c r="Y57" s="54"/>
      <c r="AC57" s="49"/>
      <c r="AD57" s="54"/>
      <c r="AH57" s="49"/>
      <c r="AI57" s="54"/>
      <c r="AM57" s="49"/>
      <c r="AN57" s="54"/>
      <c r="AR57" s="49"/>
      <c r="AS57" s="54"/>
      <c r="BB57" s="49"/>
      <c r="BC57" s="54"/>
      <c r="BG57" s="49"/>
      <c r="BH57" s="54"/>
      <c r="BL57" s="49"/>
      <c r="BM57" s="54"/>
      <c r="BQ57" s="49"/>
      <c r="BR57" s="54"/>
      <c r="BV57" s="49"/>
      <c r="BW57" s="54"/>
      <c r="CA57" s="49"/>
      <c r="CB57" s="61"/>
    </row>
    <row r="58" spans="19:80" ht="30" customHeight="1" x14ac:dyDescent="0.25">
      <c r="S58" s="18"/>
      <c r="T58" s="54"/>
      <c r="X58" s="49"/>
      <c r="Y58" s="54"/>
      <c r="AC58" s="49"/>
      <c r="AD58" s="54"/>
      <c r="AH58" s="49"/>
      <c r="AI58" s="54"/>
      <c r="AM58" s="49"/>
      <c r="AN58" s="54"/>
      <c r="AR58" s="49"/>
      <c r="AS58" s="54"/>
      <c r="BB58" s="49"/>
      <c r="BC58" s="54"/>
      <c r="BG58" s="49"/>
      <c r="BH58" s="54"/>
      <c r="BL58" s="49"/>
      <c r="BM58" s="54"/>
      <c r="BQ58" s="49"/>
      <c r="BR58" s="54"/>
      <c r="BV58" s="49"/>
      <c r="BW58" s="54"/>
      <c r="CA58" s="49"/>
      <c r="CB58" s="61"/>
    </row>
    <row r="59" spans="19:80" ht="30" customHeight="1" x14ac:dyDescent="0.25">
      <c r="S59" s="18"/>
      <c r="T59" s="54"/>
      <c r="X59" s="49"/>
      <c r="Y59" s="54"/>
      <c r="AC59" s="49"/>
      <c r="AD59" s="54"/>
      <c r="AH59" s="49"/>
      <c r="AI59" s="54"/>
      <c r="AM59" s="49"/>
      <c r="AN59" s="54"/>
      <c r="AR59" s="49"/>
      <c r="AS59" s="54"/>
      <c r="BB59" s="49"/>
      <c r="BC59" s="54"/>
      <c r="BG59" s="49"/>
      <c r="BH59" s="54"/>
      <c r="BL59" s="49"/>
      <c r="BM59" s="54"/>
      <c r="BQ59" s="49"/>
      <c r="BR59" s="54"/>
      <c r="BV59" s="49"/>
      <c r="BW59" s="54"/>
      <c r="CA59" s="49"/>
      <c r="CB59" s="61"/>
    </row>
    <row r="60" spans="19:80" ht="30" customHeight="1" x14ac:dyDescent="0.25">
      <c r="S60" s="18"/>
      <c r="T60" s="54"/>
      <c r="X60" s="49"/>
      <c r="Y60" s="54"/>
      <c r="AC60" s="49"/>
      <c r="AD60" s="54"/>
      <c r="AH60" s="49"/>
      <c r="AI60" s="54"/>
      <c r="AM60" s="49"/>
      <c r="AN60" s="54"/>
      <c r="AR60" s="49"/>
      <c r="AS60" s="54"/>
      <c r="BB60" s="49"/>
      <c r="BC60" s="54"/>
      <c r="BG60" s="49"/>
      <c r="BH60" s="54"/>
      <c r="BL60" s="49"/>
      <c r="BM60" s="54"/>
      <c r="BQ60" s="49"/>
      <c r="BR60" s="54"/>
      <c r="BV60" s="49"/>
      <c r="BW60" s="54"/>
      <c r="CA60" s="49"/>
      <c r="CB60" s="61"/>
    </row>
    <row r="61" spans="19:80" ht="30" customHeight="1" x14ac:dyDescent="0.25">
      <c r="S61" s="18"/>
      <c r="T61" s="54"/>
      <c r="X61" s="49"/>
      <c r="Y61" s="54"/>
      <c r="AC61" s="49"/>
      <c r="AD61" s="54"/>
      <c r="AH61" s="49"/>
      <c r="AI61" s="54"/>
      <c r="AM61" s="49"/>
      <c r="AN61" s="54"/>
      <c r="AR61" s="49"/>
      <c r="AS61" s="54"/>
      <c r="BB61" s="49"/>
      <c r="BC61" s="54"/>
      <c r="BG61" s="49"/>
      <c r="BH61" s="54"/>
      <c r="BL61" s="49"/>
      <c r="BM61" s="54"/>
      <c r="BQ61" s="49"/>
      <c r="BR61" s="54"/>
      <c r="BV61" s="49"/>
      <c r="BW61" s="54"/>
      <c r="CA61" s="49"/>
      <c r="CB61" s="61"/>
    </row>
    <row r="62" spans="19:80" ht="30" customHeight="1" x14ac:dyDescent="0.25">
      <c r="S62" s="18"/>
      <c r="T62" s="54"/>
      <c r="X62" s="49"/>
      <c r="Y62" s="54"/>
      <c r="AC62" s="49"/>
      <c r="AD62" s="54"/>
      <c r="AH62" s="49"/>
      <c r="AI62" s="54"/>
      <c r="AM62" s="49"/>
      <c r="AN62" s="54"/>
      <c r="AR62" s="49"/>
      <c r="AS62" s="54"/>
      <c r="BB62" s="49"/>
      <c r="BC62" s="54"/>
      <c r="BG62" s="49"/>
      <c r="BH62" s="54"/>
      <c r="BL62" s="49"/>
      <c r="BM62" s="54"/>
      <c r="BQ62" s="49"/>
      <c r="BR62" s="54"/>
      <c r="BV62" s="49"/>
      <c r="BW62" s="54"/>
      <c r="CA62" s="49"/>
      <c r="CB62" s="61"/>
    </row>
    <row r="63" spans="19:80" ht="30" customHeight="1" x14ac:dyDescent="0.25">
      <c r="S63" s="18"/>
      <c r="T63" s="54"/>
      <c r="X63" s="49"/>
      <c r="Y63" s="54"/>
      <c r="AC63" s="49"/>
      <c r="AD63" s="54"/>
      <c r="AH63" s="49"/>
      <c r="AI63" s="54"/>
      <c r="AM63" s="49"/>
      <c r="AN63" s="54"/>
      <c r="AR63" s="49"/>
      <c r="AS63" s="54"/>
      <c r="BB63" s="49"/>
      <c r="BC63" s="54"/>
      <c r="BG63" s="49"/>
      <c r="BH63" s="54"/>
      <c r="BL63" s="49"/>
      <c r="BM63" s="54"/>
      <c r="BQ63" s="49"/>
      <c r="BR63" s="54"/>
      <c r="BV63" s="49"/>
      <c r="BW63" s="54"/>
      <c r="CA63" s="49"/>
      <c r="CB63" s="61"/>
    </row>
    <row r="64" spans="19:80" ht="30" customHeight="1" x14ac:dyDescent="0.25">
      <c r="S64" s="18"/>
      <c r="T64" s="54"/>
      <c r="X64" s="49"/>
      <c r="Y64" s="54"/>
      <c r="AC64" s="49"/>
      <c r="AD64" s="54"/>
      <c r="AH64" s="49"/>
      <c r="AI64" s="54"/>
      <c r="AM64" s="49"/>
      <c r="AN64" s="54"/>
      <c r="AR64" s="49"/>
      <c r="AS64" s="54"/>
      <c r="BB64" s="49"/>
      <c r="BC64" s="54"/>
      <c r="BG64" s="49"/>
      <c r="BH64" s="54"/>
      <c r="BL64" s="49"/>
      <c r="BM64" s="54"/>
      <c r="BQ64" s="49"/>
      <c r="BR64" s="54"/>
      <c r="BV64" s="49"/>
      <c r="BW64" s="54"/>
      <c r="CA64" s="49"/>
      <c r="CB64" s="61"/>
    </row>
    <row r="65" spans="19:80" ht="30" customHeight="1" x14ac:dyDescent="0.25">
      <c r="S65" s="18"/>
      <c r="T65" s="54"/>
      <c r="X65" s="49"/>
      <c r="Y65" s="54"/>
      <c r="AC65" s="49"/>
      <c r="AD65" s="54"/>
      <c r="AH65" s="49"/>
      <c r="AI65" s="54"/>
      <c r="AM65" s="49"/>
      <c r="AN65" s="54"/>
      <c r="AR65" s="49"/>
      <c r="AS65" s="54"/>
      <c r="BB65" s="49"/>
      <c r="BC65" s="54"/>
      <c r="BG65" s="49"/>
      <c r="BH65" s="54"/>
      <c r="BL65" s="49"/>
      <c r="BM65" s="54"/>
      <c r="BQ65" s="49"/>
      <c r="BR65" s="54"/>
      <c r="BV65" s="49"/>
      <c r="BW65" s="54"/>
      <c r="CA65" s="49"/>
      <c r="CB65" s="61"/>
    </row>
    <row r="66" spans="19:80" ht="30" customHeight="1" x14ac:dyDescent="0.25">
      <c r="S66" s="18"/>
      <c r="T66" s="54"/>
      <c r="X66" s="49"/>
      <c r="Y66" s="54"/>
      <c r="AC66" s="49"/>
      <c r="AD66" s="54"/>
      <c r="AH66" s="49"/>
      <c r="AI66" s="54"/>
      <c r="AM66" s="49"/>
      <c r="AN66" s="54"/>
      <c r="AR66" s="49"/>
      <c r="AS66" s="54"/>
      <c r="BB66" s="49"/>
      <c r="BC66" s="54"/>
      <c r="BG66" s="49"/>
      <c r="BH66" s="54"/>
      <c r="BL66" s="49"/>
      <c r="BM66" s="54"/>
      <c r="BQ66" s="49"/>
      <c r="BR66" s="54"/>
      <c r="BV66" s="49"/>
      <c r="BW66" s="54"/>
      <c r="CA66" s="49"/>
      <c r="CB66" s="61"/>
    </row>
    <row r="67" spans="19:80" ht="30" customHeight="1" x14ac:dyDescent="0.25">
      <c r="S67" s="18"/>
      <c r="T67" s="54"/>
      <c r="X67" s="49"/>
      <c r="Y67" s="54"/>
      <c r="AC67" s="49"/>
      <c r="AD67" s="54"/>
      <c r="AH67" s="49"/>
      <c r="AI67" s="54"/>
      <c r="AM67" s="49"/>
      <c r="AN67" s="54"/>
      <c r="AR67" s="49"/>
      <c r="AS67" s="54"/>
      <c r="BB67" s="49"/>
      <c r="BC67" s="54"/>
      <c r="BG67" s="49"/>
      <c r="BH67" s="54"/>
      <c r="BL67" s="49"/>
      <c r="BM67" s="54"/>
      <c r="BQ67" s="49"/>
      <c r="BR67" s="54"/>
      <c r="BV67" s="49"/>
      <c r="BW67" s="54"/>
      <c r="CA67" s="49"/>
      <c r="CB67" s="61"/>
    </row>
    <row r="68" spans="19:80" ht="30" customHeight="1" x14ac:dyDescent="0.25">
      <c r="S68" s="18"/>
      <c r="T68" s="54"/>
      <c r="X68" s="49"/>
      <c r="Y68" s="54"/>
      <c r="AC68" s="49"/>
      <c r="AD68" s="54"/>
      <c r="AH68" s="49"/>
      <c r="AI68" s="54"/>
      <c r="AM68" s="49"/>
      <c r="AN68" s="54"/>
      <c r="AR68" s="49"/>
      <c r="AS68" s="54"/>
      <c r="BB68" s="49"/>
      <c r="BC68" s="54"/>
      <c r="BG68" s="49"/>
      <c r="BH68" s="54"/>
      <c r="BL68" s="49"/>
      <c r="BM68" s="54"/>
      <c r="BQ68" s="49"/>
      <c r="BR68" s="54"/>
      <c r="BV68" s="49"/>
      <c r="BW68" s="54"/>
      <c r="CA68" s="49"/>
      <c r="CB68" s="61"/>
    </row>
    <row r="69" spans="19:80" ht="30" customHeight="1" x14ac:dyDescent="0.25">
      <c r="S69" s="18"/>
      <c r="T69" s="54"/>
      <c r="X69" s="49"/>
      <c r="Y69" s="54"/>
      <c r="AC69" s="49"/>
      <c r="AD69" s="54"/>
      <c r="AH69" s="49"/>
      <c r="AI69" s="54"/>
      <c r="AM69" s="49"/>
      <c r="AN69" s="54"/>
      <c r="AR69" s="49"/>
      <c r="AS69" s="54"/>
      <c r="BB69" s="49"/>
      <c r="BC69" s="54"/>
      <c r="BG69" s="49"/>
      <c r="BH69" s="54"/>
      <c r="BL69" s="49"/>
      <c r="BM69" s="54"/>
      <c r="BQ69" s="49"/>
      <c r="BR69" s="54"/>
      <c r="BV69" s="49"/>
      <c r="BW69" s="54"/>
      <c r="CA69" s="49"/>
      <c r="CB69" s="61"/>
    </row>
    <row r="70" spans="19:80" ht="30" customHeight="1" x14ac:dyDescent="0.25">
      <c r="S70" s="18"/>
      <c r="T70" s="54"/>
      <c r="X70" s="49"/>
      <c r="Y70" s="54"/>
      <c r="AC70" s="49"/>
      <c r="AD70" s="54"/>
      <c r="AH70" s="49"/>
      <c r="AI70" s="54"/>
      <c r="AM70" s="49"/>
      <c r="AN70" s="54"/>
      <c r="AR70" s="49"/>
      <c r="AS70" s="54"/>
      <c r="BB70" s="49"/>
      <c r="BC70" s="54"/>
      <c r="BG70" s="49"/>
      <c r="BH70" s="54"/>
      <c r="BL70" s="49"/>
      <c r="BM70" s="54"/>
      <c r="BQ70" s="49"/>
      <c r="BR70" s="54"/>
      <c r="BV70" s="49"/>
      <c r="BW70" s="54"/>
      <c r="CA70" s="49"/>
      <c r="CB70" s="61"/>
    </row>
    <row r="71" spans="19:80" ht="30" customHeight="1" x14ac:dyDescent="0.25">
      <c r="S71" s="18"/>
      <c r="T71" s="54"/>
      <c r="X71" s="49"/>
      <c r="Y71" s="54"/>
      <c r="AC71" s="49"/>
      <c r="AD71" s="54"/>
      <c r="AH71" s="49"/>
      <c r="AI71" s="54"/>
      <c r="AM71" s="49"/>
      <c r="AN71" s="54"/>
      <c r="AR71" s="49"/>
      <c r="AS71" s="54"/>
      <c r="BB71" s="49"/>
      <c r="BC71" s="54"/>
      <c r="BG71" s="49"/>
      <c r="BH71" s="54"/>
      <c r="BL71" s="49"/>
      <c r="BM71" s="54"/>
      <c r="BQ71" s="49"/>
      <c r="BR71" s="54"/>
      <c r="BV71" s="49"/>
      <c r="BW71" s="54"/>
      <c r="CA71" s="49"/>
      <c r="CB71" s="61"/>
    </row>
    <row r="72" spans="19:80" ht="30" customHeight="1" x14ac:dyDescent="0.25">
      <c r="S72" s="18"/>
      <c r="T72" s="54"/>
      <c r="X72" s="49"/>
      <c r="Y72" s="54"/>
      <c r="AC72" s="49"/>
      <c r="AD72" s="54"/>
      <c r="AH72" s="49"/>
      <c r="AI72" s="54"/>
      <c r="AM72" s="49"/>
      <c r="AN72" s="54"/>
      <c r="AR72" s="49"/>
      <c r="AS72" s="54"/>
      <c r="BB72" s="49"/>
      <c r="BC72" s="54"/>
      <c r="BG72" s="49"/>
      <c r="BH72" s="54"/>
      <c r="BL72" s="49"/>
      <c r="BM72" s="54"/>
      <c r="BQ72" s="49"/>
      <c r="BR72" s="54"/>
      <c r="BV72" s="49"/>
      <c r="BW72" s="54"/>
      <c r="CA72" s="49"/>
      <c r="CB72" s="61"/>
    </row>
    <row r="73" spans="19:80" ht="30" customHeight="1" x14ac:dyDescent="0.25">
      <c r="S73" s="18"/>
      <c r="T73" s="54"/>
      <c r="X73" s="49"/>
      <c r="Y73" s="54"/>
      <c r="AC73" s="49"/>
      <c r="AD73" s="54"/>
      <c r="AH73" s="49"/>
      <c r="AI73" s="54"/>
      <c r="AM73" s="49"/>
      <c r="AN73" s="54"/>
      <c r="AR73" s="49"/>
      <c r="AS73" s="54"/>
      <c r="BB73" s="49"/>
      <c r="BC73" s="54"/>
      <c r="BG73" s="49"/>
      <c r="BH73" s="54"/>
      <c r="BL73" s="49"/>
      <c r="BM73" s="54"/>
      <c r="BQ73" s="49"/>
      <c r="BR73" s="54"/>
      <c r="BV73" s="49"/>
      <c r="BW73" s="54"/>
      <c r="CA73" s="49"/>
      <c r="CB73" s="61"/>
    </row>
    <row r="74" spans="19:80" ht="30" customHeight="1" x14ac:dyDescent="0.25">
      <c r="S74" s="18"/>
      <c r="T74" s="54"/>
      <c r="X74" s="49"/>
      <c r="Y74" s="54"/>
      <c r="AC74" s="49"/>
      <c r="AD74" s="54"/>
      <c r="AH74" s="49"/>
      <c r="AI74" s="54"/>
      <c r="AM74" s="49"/>
      <c r="AN74" s="54"/>
      <c r="AR74" s="49"/>
      <c r="AS74" s="54"/>
      <c r="BB74" s="49"/>
      <c r="BC74" s="54"/>
      <c r="BG74" s="49"/>
      <c r="BH74" s="54"/>
      <c r="BL74" s="49"/>
      <c r="BM74" s="54"/>
      <c r="BQ74" s="49"/>
      <c r="BR74" s="54"/>
      <c r="BV74" s="49"/>
      <c r="BW74" s="54"/>
      <c r="CA74" s="49"/>
      <c r="CB74" s="61"/>
    </row>
    <row r="75" spans="19:80" ht="30" customHeight="1" x14ac:dyDescent="0.25">
      <c r="S75" s="18"/>
      <c r="T75" s="54"/>
      <c r="X75" s="49"/>
      <c r="Y75" s="54"/>
      <c r="AC75" s="49"/>
      <c r="AD75" s="54"/>
      <c r="AH75" s="49"/>
      <c r="AI75" s="54"/>
      <c r="AM75" s="49"/>
      <c r="AN75" s="54"/>
      <c r="AR75" s="49"/>
      <c r="AS75" s="54"/>
      <c r="BB75" s="49"/>
      <c r="BC75" s="54"/>
      <c r="BG75" s="49"/>
      <c r="BH75" s="54"/>
      <c r="BL75" s="49"/>
      <c r="BM75" s="54"/>
      <c r="BQ75" s="49"/>
      <c r="BR75" s="54"/>
      <c r="BV75" s="49"/>
      <c r="BW75" s="54"/>
      <c r="CA75" s="49"/>
      <c r="CB75" s="61"/>
    </row>
    <row r="76" spans="19:80" ht="30" customHeight="1" x14ac:dyDescent="0.25">
      <c r="S76" s="18"/>
      <c r="T76" s="54"/>
      <c r="X76" s="49"/>
      <c r="Y76" s="54"/>
      <c r="AC76" s="49"/>
      <c r="AD76" s="54"/>
      <c r="AH76" s="49"/>
      <c r="AI76" s="54"/>
      <c r="AM76" s="49"/>
      <c r="AN76" s="54"/>
      <c r="AR76" s="49"/>
      <c r="AS76" s="54"/>
      <c r="BB76" s="49"/>
      <c r="BC76" s="54"/>
      <c r="BG76" s="49"/>
      <c r="BH76" s="54"/>
      <c r="BL76" s="49"/>
      <c r="BM76" s="54"/>
      <c r="BQ76" s="49"/>
      <c r="BR76" s="54"/>
      <c r="BV76" s="49"/>
      <c r="BW76" s="54"/>
      <c r="CA76" s="49"/>
      <c r="CB76" s="61"/>
    </row>
    <row r="77" spans="19:80" ht="30" customHeight="1" x14ac:dyDescent="0.25">
      <c r="S77" s="93" t="s">
        <v>19</v>
      </c>
      <c r="T77" s="54"/>
      <c r="X77" s="49"/>
      <c r="Y77" s="54"/>
      <c r="AC77" s="49"/>
      <c r="AD77" s="54"/>
      <c r="AH77" s="49"/>
      <c r="AI77" s="54"/>
      <c r="AM77" s="49"/>
      <c r="AN77" s="54"/>
      <c r="AR77" s="49"/>
      <c r="AS77" s="54"/>
      <c r="BB77" s="49"/>
      <c r="BC77" s="54"/>
      <c r="BG77" s="49"/>
      <c r="BH77" s="54"/>
      <c r="BL77" s="49"/>
      <c r="BM77" s="54"/>
      <c r="BQ77" s="49"/>
      <c r="BR77" s="54"/>
      <c r="BV77" s="49"/>
      <c r="BW77" s="54"/>
      <c r="CA77" s="49"/>
      <c r="CB77" s="61"/>
    </row>
    <row r="78" spans="19:80" ht="30" customHeight="1" x14ac:dyDescent="0.25">
      <c r="S78" s="93"/>
      <c r="T78" s="54"/>
      <c r="X78" s="49"/>
      <c r="Y78" s="54"/>
      <c r="AC78" s="49"/>
      <c r="AD78" s="54"/>
      <c r="AH78" s="49"/>
      <c r="AI78" s="54"/>
      <c r="AM78" s="49"/>
      <c r="AN78" s="54"/>
      <c r="AR78" s="49"/>
      <c r="AS78" s="54"/>
      <c r="BB78" s="49"/>
      <c r="BC78" s="54"/>
      <c r="BG78" s="49"/>
      <c r="BH78" s="54"/>
      <c r="BL78" s="49"/>
      <c r="BM78" s="54"/>
      <c r="BQ78" s="49"/>
      <c r="BR78" s="54"/>
      <c r="BV78" s="49"/>
      <c r="BW78" s="54"/>
      <c r="CA78" s="49"/>
      <c r="CB78" s="61"/>
    </row>
    <row r="79" spans="19:80" ht="30" customHeight="1" x14ac:dyDescent="0.25">
      <c r="S79" s="93"/>
      <c r="T79" s="54"/>
      <c r="X79" s="49"/>
      <c r="Y79" s="54"/>
      <c r="AC79" s="49"/>
      <c r="AD79" s="54"/>
      <c r="AH79" s="49"/>
      <c r="AI79" s="54"/>
      <c r="AM79" s="49"/>
      <c r="AN79" s="54"/>
      <c r="AR79" s="49"/>
      <c r="AS79" s="54"/>
      <c r="BB79" s="49"/>
      <c r="BC79" s="54"/>
      <c r="BG79" s="49"/>
      <c r="BH79" s="54"/>
      <c r="BL79" s="49"/>
      <c r="BM79" s="54"/>
      <c r="BQ79" s="49"/>
      <c r="BR79" s="54"/>
      <c r="BV79" s="49"/>
      <c r="BW79" s="54"/>
      <c r="CA79" s="49"/>
      <c r="CB79" s="61"/>
    </row>
    <row r="80" spans="19:80" ht="30" customHeight="1" x14ac:dyDescent="0.25">
      <c r="S80" s="93"/>
      <c r="T80" s="54"/>
      <c r="X80" s="49"/>
      <c r="Y80" s="54"/>
      <c r="AC80" s="49"/>
      <c r="AD80" s="54"/>
      <c r="AH80" s="49"/>
      <c r="AI80" s="54"/>
      <c r="AM80" s="49"/>
      <c r="AN80" s="54"/>
      <c r="AR80" s="49"/>
      <c r="AS80" s="54"/>
      <c r="BB80" s="49"/>
      <c r="BC80" s="54"/>
      <c r="BG80" s="49"/>
      <c r="BH80" s="54"/>
      <c r="BL80" s="49"/>
      <c r="BM80" s="54"/>
      <c r="BQ80" s="49"/>
      <c r="BR80" s="54"/>
      <c r="BV80" s="49"/>
      <c r="BW80" s="54"/>
      <c r="CA80" s="49"/>
      <c r="CB80" s="61"/>
    </row>
    <row r="81" spans="19:80" ht="30" customHeight="1" x14ac:dyDescent="0.25">
      <c r="S81" s="93"/>
      <c r="T81" s="54"/>
      <c r="X81" s="49"/>
      <c r="Y81" s="54"/>
      <c r="AC81" s="49"/>
      <c r="AD81" s="54"/>
      <c r="AH81" s="49"/>
      <c r="AI81" s="54"/>
      <c r="AM81" s="49"/>
      <c r="AN81" s="54"/>
      <c r="AR81" s="49"/>
      <c r="AS81" s="54"/>
      <c r="BB81" s="49"/>
      <c r="BC81" s="54"/>
      <c r="BG81" s="49"/>
      <c r="BH81" s="54"/>
      <c r="BL81" s="49"/>
      <c r="BM81" s="54"/>
      <c r="BQ81" s="49"/>
      <c r="BR81" s="54"/>
      <c r="BV81" s="49"/>
      <c r="BW81" s="54"/>
      <c r="CA81" s="49"/>
      <c r="CB81" s="61"/>
    </row>
    <row r="82" spans="19:80" ht="30" customHeight="1" x14ac:dyDescent="0.25">
      <c r="S82" s="18"/>
      <c r="AS82" s="54"/>
      <c r="BB82" s="49"/>
      <c r="BC82" s="54"/>
      <c r="BG82" s="49"/>
      <c r="BH82" s="54"/>
      <c r="BL82" s="49"/>
      <c r="BM82" s="54"/>
      <c r="BQ82" s="49"/>
      <c r="BR82" s="54"/>
      <c r="BV82" s="49"/>
      <c r="BW82" s="54"/>
      <c r="CA82" s="49"/>
      <c r="CB82" s="61"/>
    </row>
    <row r="83" spans="19:80" ht="30" customHeight="1" x14ac:dyDescent="0.25">
      <c r="S83" s="18"/>
      <c r="AS83" s="54"/>
      <c r="BB83" s="49"/>
      <c r="BC83" s="54"/>
      <c r="BG83" s="49"/>
      <c r="BH83" s="54"/>
      <c r="BL83" s="49"/>
      <c r="BM83" s="54"/>
      <c r="BQ83" s="49"/>
      <c r="BR83" s="54"/>
      <c r="BV83" s="49"/>
      <c r="BW83" s="54"/>
      <c r="CA83" s="49"/>
      <c r="CB83" s="61"/>
    </row>
    <row r="84" spans="19:80" ht="30" customHeight="1" x14ac:dyDescent="0.25">
      <c r="S84" s="18"/>
      <c r="AS84" s="54"/>
      <c r="BB84" s="49"/>
      <c r="BC84" s="54"/>
      <c r="BG84" s="49"/>
      <c r="BH84" s="54"/>
      <c r="BL84" s="49"/>
      <c r="BM84" s="54"/>
      <c r="BQ84" s="49"/>
      <c r="BR84" s="54"/>
      <c r="BV84" s="49"/>
      <c r="BW84" s="54"/>
      <c r="CA84" s="49"/>
      <c r="CB84" s="61"/>
    </row>
    <row r="85" spans="19:80" ht="30" customHeight="1" x14ac:dyDescent="0.25">
      <c r="S85" s="18"/>
      <c r="AS85" s="54"/>
      <c r="BB85" s="49"/>
      <c r="BC85" s="54"/>
      <c r="BG85" s="49"/>
      <c r="BH85" s="54"/>
      <c r="BL85" s="49"/>
      <c r="BM85" s="54"/>
      <c r="BQ85" s="49"/>
      <c r="BR85" s="54"/>
      <c r="BV85" s="49"/>
      <c r="BW85" s="54"/>
      <c r="CA85" s="49"/>
      <c r="CB85" s="61"/>
    </row>
    <row r="86" spans="19:80" ht="30" customHeight="1" x14ac:dyDescent="0.25">
      <c r="S86" s="18"/>
      <c r="AS86" s="54"/>
      <c r="BB86" s="49"/>
      <c r="BC86" s="54"/>
      <c r="BG86" s="49"/>
      <c r="BH86" s="54"/>
      <c r="BL86" s="49"/>
      <c r="BM86" s="54"/>
      <c r="BQ86" s="49"/>
      <c r="BR86" s="54"/>
      <c r="BV86" s="49"/>
      <c r="BW86" s="54"/>
      <c r="CA86" s="49"/>
      <c r="CB86" s="61"/>
    </row>
    <row r="87" spans="19:80" ht="30" customHeight="1" x14ac:dyDescent="0.25">
      <c r="S87" s="18"/>
      <c r="AS87" s="54"/>
      <c r="BB87" s="49"/>
      <c r="BC87" s="54"/>
      <c r="BG87" s="49"/>
      <c r="BH87" s="54"/>
      <c r="BL87" s="49"/>
      <c r="BM87" s="54"/>
      <c r="BQ87" s="49"/>
      <c r="BR87" s="54"/>
      <c r="BV87" s="49"/>
      <c r="BW87" s="54"/>
      <c r="CA87" s="49"/>
      <c r="CB87" s="61"/>
    </row>
    <row r="88" spans="19:80" ht="30" customHeight="1" x14ac:dyDescent="0.25">
      <c r="S88" s="18"/>
      <c r="AS88" s="54"/>
      <c r="BB88" s="49"/>
      <c r="BC88" s="54"/>
      <c r="BG88" s="49"/>
      <c r="BH88" s="54"/>
      <c r="BL88" s="49"/>
      <c r="BM88" s="54"/>
      <c r="BQ88" s="49"/>
      <c r="BR88" s="54"/>
      <c r="BV88" s="49"/>
      <c r="BW88" s="54"/>
      <c r="CA88" s="49"/>
      <c r="CB88" s="61"/>
    </row>
    <row r="89" spans="19:80" ht="30" customHeight="1" x14ac:dyDescent="0.25">
      <c r="S89" s="18"/>
      <c r="AS89" s="54"/>
      <c r="BB89" s="49"/>
      <c r="BC89" s="54"/>
      <c r="BG89" s="49"/>
      <c r="BH89" s="54"/>
      <c r="BL89" s="49"/>
      <c r="BM89" s="54"/>
      <c r="BQ89" s="49"/>
      <c r="BR89" s="54"/>
      <c r="BV89" s="49"/>
      <c r="BW89" s="54"/>
      <c r="CA89" s="49"/>
      <c r="CB89" s="61"/>
    </row>
    <row r="90" spans="19:80" ht="30" customHeight="1" x14ac:dyDescent="0.25">
      <c r="S90" s="18"/>
      <c r="AS90" s="54"/>
      <c r="BB90" s="49"/>
      <c r="BC90" s="54"/>
      <c r="BG90" s="49"/>
      <c r="BH90" s="54"/>
      <c r="BL90" s="49"/>
      <c r="BM90" s="54"/>
      <c r="BQ90" s="49"/>
      <c r="BR90" s="54"/>
      <c r="BV90" s="49"/>
      <c r="BW90" s="54"/>
      <c r="CA90" s="49"/>
      <c r="CB90" s="61"/>
    </row>
    <row r="91" spans="19:80" ht="30" customHeight="1" x14ac:dyDescent="0.25">
      <c r="S91" s="18"/>
      <c r="AS91" s="54"/>
      <c r="BB91" s="49"/>
      <c r="BC91" s="54"/>
      <c r="BG91" s="49"/>
      <c r="BH91" s="54"/>
      <c r="BL91" s="49"/>
      <c r="BM91" s="54"/>
      <c r="BQ91" s="49"/>
      <c r="BR91" s="54"/>
      <c r="BV91" s="49"/>
      <c r="BW91" s="54"/>
      <c r="CA91" s="49"/>
      <c r="CB91" s="61"/>
    </row>
    <row r="92" spans="19:80" ht="30" customHeight="1" x14ac:dyDescent="0.25">
      <c r="S92" s="18"/>
      <c r="AS92" s="54"/>
      <c r="BB92" s="49"/>
      <c r="BC92" s="54"/>
      <c r="BG92" s="49"/>
      <c r="BH92" s="54"/>
      <c r="BL92" s="49"/>
      <c r="BM92" s="54"/>
      <c r="BQ92" s="49"/>
      <c r="BR92" s="54"/>
      <c r="BV92" s="49"/>
      <c r="BW92" s="54"/>
      <c r="CA92" s="49"/>
      <c r="CB92" s="61"/>
    </row>
    <row r="93" spans="19:80" ht="30" customHeight="1" x14ac:dyDescent="0.25">
      <c r="S93" s="18"/>
      <c r="AS93" s="54"/>
      <c r="BB93" s="49"/>
      <c r="BC93" s="54"/>
      <c r="BG93" s="49"/>
      <c r="BH93" s="54"/>
      <c r="BL93" s="49"/>
      <c r="BM93" s="54"/>
      <c r="BQ93" s="49"/>
      <c r="BR93" s="54"/>
      <c r="BV93" s="49"/>
      <c r="BW93" s="54"/>
      <c r="CA93" s="49"/>
      <c r="CB93" s="61"/>
    </row>
    <row r="94" spans="19:80" ht="30" customHeight="1" x14ac:dyDescent="0.25">
      <c r="S94" s="18"/>
      <c r="AS94" s="54"/>
      <c r="BB94" s="49"/>
      <c r="BC94" s="54"/>
      <c r="BG94" s="49"/>
      <c r="BH94" s="54"/>
      <c r="BL94" s="49"/>
      <c r="BM94" s="54"/>
      <c r="BQ94" s="49"/>
      <c r="BR94" s="54"/>
      <c r="BV94" s="49"/>
      <c r="BW94" s="54"/>
      <c r="CA94" s="49"/>
      <c r="CB94" s="61"/>
    </row>
    <row r="95" spans="19:80" ht="30" customHeight="1" x14ac:dyDescent="0.25">
      <c r="S95" s="18"/>
      <c r="AS95" s="54"/>
      <c r="BB95" s="49"/>
      <c r="BC95" s="54"/>
      <c r="BG95" s="49"/>
      <c r="BH95" s="54"/>
      <c r="BL95" s="49"/>
      <c r="BM95" s="54"/>
      <c r="BQ95" s="49"/>
      <c r="BR95" s="54"/>
      <c r="BV95" s="49"/>
      <c r="BW95" s="54"/>
      <c r="CA95" s="49"/>
      <c r="CB95" s="61"/>
    </row>
    <row r="96" spans="19:80" ht="30" customHeight="1" x14ac:dyDescent="0.25">
      <c r="S96" s="18"/>
      <c r="AS96" s="54"/>
      <c r="BB96" s="49"/>
      <c r="BC96" s="54"/>
      <c r="BG96" s="49"/>
      <c r="BH96" s="54"/>
      <c r="BL96" s="49"/>
      <c r="BM96" s="54"/>
      <c r="BQ96" s="49"/>
      <c r="BR96" s="54"/>
      <c r="BV96" s="49"/>
      <c r="BW96" s="54"/>
      <c r="CA96" s="49"/>
      <c r="CB96" s="61"/>
    </row>
    <row r="97" spans="19:80" ht="30" customHeight="1" x14ac:dyDescent="0.25">
      <c r="S97" s="18"/>
      <c r="AS97" s="54"/>
      <c r="BB97" s="49"/>
      <c r="BC97" s="54"/>
      <c r="BG97" s="49"/>
      <c r="BH97" s="54"/>
      <c r="BL97" s="49"/>
      <c r="BM97" s="54"/>
      <c r="BQ97" s="49"/>
      <c r="BR97" s="54"/>
      <c r="BV97" s="49"/>
      <c r="BW97" s="54"/>
      <c r="CA97" s="49"/>
      <c r="CB97" s="61"/>
    </row>
    <row r="98" spans="19:80" ht="30" customHeight="1" x14ac:dyDescent="0.25">
      <c r="S98" s="18"/>
      <c r="AS98" s="94" t="s">
        <v>18</v>
      </c>
      <c r="AT98" s="94"/>
      <c r="AW98" s="131"/>
      <c r="AX98" s="124"/>
      <c r="BB98" s="49"/>
      <c r="BC98" s="54"/>
      <c r="BG98" s="49"/>
      <c r="BH98" s="54"/>
      <c r="BL98" s="49"/>
      <c r="BM98" s="54"/>
      <c r="BQ98" s="49"/>
      <c r="BR98" s="54"/>
      <c r="BV98" s="49"/>
      <c r="BW98" s="54"/>
      <c r="CA98" s="49"/>
      <c r="CB98" s="61"/>
    </row>
    <row r="99" spans="19:80" ht="30" customHeight="1" x14ac:dyDescent="0.25">
      <c r="S99" s="26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95"/>
      <c r="AT99" s="95"/>
      <c r="AU99" s="27"/>
      <c r="AV99" s="27"/>
      <c r="AW99" s="127" t="s">
        <v>67</v>
      </c>
      <c r="AX99" s="127"/>
      <c r="AY99" s="27"/>
      <c r="AZ99" s="27"/>
      <c r="BA99" s="27"/>
      <c r="BB99" s="27"/>
      <c r="BC99" s="65"/>
      <c r="BD99" s="27"/>
      <c r="BE99" s="27"/>
      <c r="BF99" s="27"/>
      <c r="BG99" s="27"/>
      <c r="BH99" s="65"/>
      <c r="BI99" s="27"/>
      <c r="BJ99" s="27"/>
      <c r="BK99" s="27"/>
      <c r="BL99" s="27"/>
      <c r="BM99" s="65"/>
      <c r="BN99" s="27"/>
      <c r="BO99" s="27"/>
      <c r="BP99" s="27"/>
      <c r="BQ99" s="27"/>
      <c r="BR99" s="65"/>
      <c r="BS99" s="27"/>
      <c r="BT99" s="27"/>
      <c r="BU99" s="27"/>
      <c r="BV99" s="27"/>
      <c r="BW99" s="65"/>
      <c r="BX99" s="27"/>
      <c r="BY99" s="27"/>
      <c r="BZ99" s="27"/>
      <c r="CA99" s="27"/>
      <c r="CB99" s="63"/>
    </row>
    <row r="100" spans="19:80" ht="30" customHeight="1" x14ac:dyDescent="0.25">
      <c r="AW100" s="138"/>
      <c r="AX100" s="138"/>
    </row>
    <row r="103" spans="19:80" ht="30" customHeight="1" x14ac:dyDescent="0.25">
      <c r="V103" t="s">
        <v>1</v>
      </c>
      <c r="W103">
        <v>0</v>
      </c>
      <c r="X103">
        <f>W103+5</f>
        <v>5</v>
      </c>
      <c r="Y103">
        <f t="shared" ref="Y103:AO103" si="0">X103+5</f>
        <v>10</v>
      </c>
      <c r="Z103">
        <f t="shared" si="0"/>
        <v>15</v>
      </c>
      <c r="AA103">
        <f t="shared" si="0"/>
        <v>20</v>
      </c>
      <c r="AB103">
        <f t="shared" si="0"/>
        <v>25</v>
      </c>
      <c r="AC103">
        <f t="shared" si="0"/>
        <v>30</v>
      </c>
      <c r="AD103">
        <f t="shared" si="0"/>
        <v>35</v>
      </c>
      <c r="AE103">
        <f t="shared" si="0"/>
        <v>40</v>
      </c>
      <c r="AF103">
        <f t="shared" si="0"/>
        <v>45</v>
      </c>
      <c r="AG103">
        <f t="shared" si="0"/>
        <v>50</v>
      </c>
      <c r="AH103">
        <f t="shared" si="0"/>
        <v>55</v>
      </c>
      <c r="AI103">
        <f t="shared" si="0"/>
        <v>60</v>
      </c>
      <c r="AJ103">
        <f t="shared" si="0"/>
        <v>65</v>
      </c>
      <c r="AK103">
        <f t="shared" si="0"/>
        <v>70</v>
      </c>
      <c r="AL103">
        <f t="shared" si="0"/>
        <v>75</v>
      </c>
      <c r="AM103">
        <f t="shared" si="0"/>
        <v>80</v>
      </c>
      <c r="AN103">
        <f t="shared" si="0"/>
        <v>85</v>
      </c>
      <c r="AO103">
        <f t="shared" si="0"/>
        <v>90</v>
      </c>
    </row>
    <row r="104" spans="19:80" ht="30" customHeight="1" x14ac:dyDescent="0.25">
      <c r="V104" t="s">
        <v>2</v>
      </c>
      <c r="W104">
        <f t="shared" ref="W104:AO104" si="1">15*COS(W$103 * PI()/180)</f>
        <v>15</v>
      </c>
      <c r="X104">
        <f t="shared" si="1"/>
        <v>14.942920471376183</v>
      </c>
      <c r="Y104">
        <f t="shared" si="1"/>
        <v>14.772116295183121</v>
      </c>
      <c r="Z104">
        <f t="shared" si="1"/>
        <v>14.488887394336025</v>
      </c>
      <c r="AA104">
        <f t="shared" si="1"/>
        <v>14.095389311788626</v>
      </c>
      <c r="AB104">
        <f t="shared" si="1"/>
        <v>13.59461680554975</v>
      </c>
      <c r="AC104">
        <f t="shared" si="1"/>
        <v>12.99038105676658</v>
      </c>
      <c r="AD104">
        <f t="shared" si="1"/>
        <v>12.287280664334878</v>
      </c>
      <c r="AE104">
        <f t="shared" si="1"/>
        <v>11.490666646784669</v>
      </c>
      <c r="AF104">
        <f t="shared" si="1"/>
        <v>10.606601717798213</v>
      </c>
      <c r="AG104">
        <f t="shared" si="1"/>
        <v>9.6418141452980901</v>
      </c>
      <c r="AH104">
        <f t="shared" si="1"/>
        <v>8.6036465452656916</v>
      </c>
      <c r="AI104">
        <f t="shared" si="1"/>
        <v>7.5000000000000018</v>
      </c>
      <c r="AJ104">
        <f t="shared" si="1"/>
        <v>6.3392739261104918</v>
      </c>
      <c r="AK104">
        <f t="shared" si="1"/>
        <v>5.1303021498850327</v>
      </c>
      <c r="AL104">
        <f t="shared" si="1"/>
        <v>3.8822856765378111</v>
      </c>
      <c r="AM104">
        <f t="shared" si="1"/>
        <v>2.6047226650039561</v>
      </c>
      <c r="AN104">
        <f t="shared" si="1"/>
        <v>1.3073361412148721</v>
      </c>
      <c r="AO104">
        <f t="shared" si="1"/>
        <v>9.1886134118146501E-16</v>
      </c>
    </row>
    <row r="105" spans="19:80" ht="30" customHeight="1" x14ac:dyDescent="0.25">
      <c r="V105" t="s">
        <v>2</v>
      </c>
      <c r="W105">
        <f t="shared" ref="W105:AO105" si="2">10*COS(W$103 * PI()/180)</f>
        <v>10</v>
      </c>
      <c r="X105">
        <f t="shared" si="2"/>
        <v>9.961946980917455</v>
      </c>
      <c r="Y105">
        <f t="shared" si="2"/>
        <v>9.8480775301220795</v>
      </c>
      <c r="Z105">
        <f t="shared" si="2"/>
        <v>9.6592582628906829</v>
      </c>
      <c r="AA105">
        <f t="shared" si="2"/>
        <v>9.3969262078590852</v>
      </c>
      <c r="AB105">
        <f t="shared" si="2"/>
        <v>9.0630778703664987</v>
      </c>
      <c r="AC105">
        <f t="shared" si="2"/>
        <v>8.6602540378443873</v>
      </c>
      <c r="AD105">
        <f t="shared" si="2"/>
        <v>8.1915204428899173</v>
      </c>
      <c r="AE105">
        <f t="shared" si="2"/>
        <v>7.6604444311897799</v>
      </c>
      <c r="AF105">
        <f t="shared" si="2"/>
        <v>7.0710678118654755</v>
      </c>
      <c r="AG105">
        <f t="shared" si="2"/>
        <v>6.4278760968653934</v>
      </c>
      <c r="AH105">
        <f t="shared" si="2"/>
        <v>5.7357643635104614</v>
      </c>
      <c r="AI105">
        <f t="shared" si="2"/>
        <v>5.0000000000000009</v>
      </c>
      <c r="AJ105">
        <f t="shared" si="2"/>
        <v>4.2261826174069945</v>
      </c>
      <c r="AK105">
        <f t="shared" si="2"/>
        <v>3.4202014332566884</v>
      </c>
      <c r="AL105">
        <f t="shared" si="2"/>
        <v>2.5881904510252074</v>
      </c>
      <c r="AM105">
        <f t="shared" si="2"/>
        <v>1.7364817766693041</v>
      </c>
      <c r="AN105">
        <f t="shared" si="2"/>
        <v>0.87155742747658138</v>
      </c>
      <c r="AO105">
        <f t="shared" si="2"/>
        <v>6.1257422745431001E-16</v>
      </c>
    </row>
    <row r="106" spans="19:80" ht="30" customHeight="1" x14ac:dyDescent="0.25">
      <c r="V106" t="s">
        <v>2</v>
      </c>
      <c r="W106">
        <f t="shared" ref="W106:AO106" si="3">5*COS(W$103 * PI()/180)</f>
        <v>5</v>
      </c>
      <c r="X106">
        <f t="shared" si="3"/>
        <v>4.9809734904587275</v>
      </c>
      <c r="Y106">
        <f t="shared" si="3"/>
        <v>4.9240387650610398</v>
      </c>
      <c r="Z106">
        <f t="shared" si="3"/>
        <v>4.8296291314453415</v>
      </c>
      <c r="AA106">
        <f t="shared" si="3"/>
        <v>4.6984631039295426</v>
      </c>
      <c r="AB106">
        <f t="shared" si="3"/>
        <v>4.5315389351832494</v>
      </c>
      <c r="AC106">
        <f t="shared" si="3"/>
        <v>4.3301270189221936</v>
      </c>
      <c r="AD106">
        <f t="shared" si="3"/>
        <v>4.0957602214449587</v>
      </c>
      <c r="AE106">
        <f t="shared" si="3"/>
        <v>3.83022221559489</v>
      </c>
      <c r="AF106">
        <f t="shared" si="3"/>
        <v>3.5355339059327378</v>
      </c>
      <c r="AG106">
        <f t="shared" si="3"/>
        <v>3.2139380484326967</v>
      </c>
      <c r="AH106">
        <f t="shared" si="3"/>
        <v>2.8678821817552307</v>
      </c>
      <c r="AI106">
        <f t="shared" si="3"/>
        <v>2.5000000000000004</v>
      </c>
      <c r="AJ106">
        <f t="shared" si="3"/>
        <v>2.1130913087034973</v>
      </c>
      <c r="AK106">
        <f t="shared" si="3"/>
        <v>1.7101007166283442</v>
      </c>
      <c r="AL106">
        <f t="shared" si="3"/>
        <v>1.2940952255126037</v>
      </c>
      <c r="AM106">
        <f t="shared" si="3"/>
        <v>0.86824088833465207</v>
      </c>
      <c r="AN106">
        <f t="shared" si="3"/>
        <v>0.43577871373829069</v>
      </c>
      <c r="AO106">
        <f t="shared" si="3"/>
        <v>3.06287113727155E-16</v>
      </c>
    </row>
    <row r="107" spans="19:80" ht="30" customHeight="1" x14ac:dyDescent="0.25">
      <c r="V107" t="s">
        <v>2</v>
      </c>
      <c r="W107">
        <f t="shared" ref="W107:AO107" si="4">4*COS(W$103 * PI()/180)</f>
        <v>4</v>
      </c>
      <c r="X107">
        <f t="shared" si="4"/>
        <v>3.9847787923669822</v>
      </c>
      <c r="Y107">
        <f t="shared" si="4"/>
        <v>3.9392310120488321</v>
      </c>
      <c r="Z107">
        <f t="shared" si="4"/>
        <v>3.8637033051562732</v>
      </c>
      <c r="AA107">
        <f t="shared" si="4"/>
        <v>3.7587704831436337</v>
      </c>
      <c r="AB107">
        <f t="shared" si="4"/>
        <v>3.6252311481465997</v>
      </c>
      <c r="AC107">
        <f t="shared" si="4"/>
        <v>3.4641016151377548</v>
      </c>
      <c r="AD107">
        <f t="shared" si="4"/>
        <v>3.2766081771559672</v>
      </c>
      <c r="AE107">
        <f t="shared" si="4"/>
        <v>3.0641777724759121</v>
      </c>
      <c r="AF107">
        <f t="shared" si="4"/>
        <v>2.8284271247461903</v>
      </c>
      <c r="AG107">
        <f t="shared" si="4"/>
        <v>2.5711504387461575</v>
      </c>
      <c r="AH107">
        <f t="shared" si="4"/>
        <v>2.2943057454041846</v>
      </c>
      <c r="AI107">
        <f t="shared" si="4"/>
        <v>2.0000000000000004</v>
      </c>
      <c r="AJ107">
        <f t="shared" si="4"/>
        <v>1.6904730469627978</v>
      </c>
      <c r="AK107">
        <f t="shared" si="4"/>
        <v>1.3680805733026753</v>
      </c>
      <c r="AL107">
        <f t="shared" si="4"/>
        <v>1.035276180410083</v>
      </c>
      <c r="AM107">
        <f t="shared" si="4"/>
        <v>0.69459271066772166</v>
      </c>
      <c r="AN107">
        <f t="shared" si="4"/>
        <v>0.34862297099063255</v>
      </c>
      <c r="AO107">
        <f t="shared" si="4"/>
        <v>2.45029690981724E-16</v>
      </c>
    </row>
    <row r="108" spans="19:80" ht="30" customHeight="1" x14ac:dyDescent="0.25">
      <c r="V108" t="s">
        <v>2</v>
      </c>
      <c r="W108">
        <f t="shared" ref="W108:AO108" si="5">3*COS(W$103 * PI()/180)</f>
        <v>3</v>
      </c>
      <c r="X108">
        <f t="shared" si="5"/>
        <v>2.9885840942752369</v>
      </c>
      <c r="Y108">
        <f t="shared" si="5"/>
        <v>2.9544232590366239</v>
      </c>
      <c r="Z108">
        <f t="shared" si="5"/>
        <v>2.897777478867205</v>
      </c>
      <c r="AA108">
        <f t="shared" si="5"/>
        <v>2.8190778623577253</v>
      </c>
      <c r="AB108">
        <f t="shared" si="5"/>
        <v>2.7189233611099497</v>
      </c>
      <c r="AC108">
        <f t="shared" si="5"/>
        <v>2.598076211353316</v>
      </c>
      <c r="AD108">
        <f t="shared" si="5"/>
        <v>2.4574561328669753</v>
      </c>
      <c r="AE108">
        <f t="shared" si="5"/>
        <v>2.2981333293569342</v>
      </c>
      <c r="AF108">
        <f t="shared" si="5"/>
        <v>2.1213203435596428</v>
      </c>
      <c r="AG108">
        <f t="shared" si="5"/>
        <v>1.9283628290596182</v>
      </c>
      <c r="AH108">
        <f t="shared" si="5"/>
        <v>1.7207293090531386</v>
      </c>
      <c r="AI108">
        <f t="shared" si="5"/>
        <v>1.5000000000000004</v>
      </c>
      <c r="AJ108">
        <f t="shared" si="5"/>
        <v>1.2678547852220983</v>
      </c>
      <c r="AK108">
        <f t="shared" si="5"/>
        <v>1.0260604299770064</v>
      </c>
      <c r="AL108">
        <f t="shared" si="5"/>
        <v>0.77645713530756222</v>
      </c>
      <c r="AM108">
        <f t="shared" si="5"/>
        <v>0.52094453300079124</v>
      </c>
      <c r="AN108">
        <f t="shared" si="5"/>
        <v>0.26146722824297441</v>
      </c>
      <c r="AO108">
        <f t="shared" si="5"/>
        <v>1.83772268236293E-16</v>
      </c>
    </row>
    <row r="109" spans="19:80" ht="30" customHeight="1" x14ac:dyDescent="0.25">
      <c r="V109" t="s">
        <v>2</v>
      </c>
      <c r="W109">
        <f t="shared" ref="W109:AO109" si="6">2*COS(W$103 * PI()/180)</f>
        <v>2</v>
      </c>
      <c r="X109">
        <f t="shared" si="6"/>
        <v>1.9923893961834911</v>
      </c>
      <c r="Y109">
        <f t="shared" si="6"/>
        <v>1.969615506024416</v>
      </c>
      <c r="Z109">
        <f t="shared" si="6"/>
        <v>1.9318516525781366</v>
      </c>
      <c r="AA109">
        <f t="shared" si="6"/>
        <v>1.8793852415718169</v>
      </c>
      <c r="AB109">
        <f t="shared" si="6"/>
        <v>1.8126155740732999</v>
      </c>
      <c r="AC109">
        <f t="shared" si="6"/>
        <v>1.7320508075688774</v>
      </c>
      <c r="AD109">
        <f t="shared" si="6"/>
        <v>1.6383040885779836</v>
      </c>
      <c r="AE109">
        <f t="shared" si="6"/>
        <v>1.532088886237956</v>
      </c>
      <c r="AF109">
        <f t="shared" si="6"/>
        <v>1.4142135623730951</v>
      </c>
      <c r="AG109">
        <f t="shared" si="6"/>
        <v>1.2855752193730787</v>
      </c>
      <c r="AH109">
        <f t="shared" si="6"/>
        <v>1.1471528727020923</v>
      </c>
      <c r="AI109">
        <f t="shared" si="6"/>
        <v>1.0000000000000002</v>
      </c>
      <c r="AJ109">
        <f t="shared" si="6"/>
        <v>0.84523652348139888</v>
      </c>
      <c r="AK109">
        <f t="shared" si="6"/>
        <v>0.68404028665133765</v>
      </c>
      <c r="AL109">
        <f t="shared" si="6"/>
        <v>0.51763809020504148</v>
      </c>
      <c r="AM109">
        <f t="shared" si="6"/>
        <v>0.34729635533386083</v>
      </c>
      <c r="AN109">
        <f t="shared" si="6"/>
        <v>0.17431148549531628</v>
      </c>
      <c r="AO109">
        <f t="shared" si="6"/>
        <v>1.22514845490862E-16</v>
      </c>
    </row>
    <row r="110" spans="19:80" ht="30" customHeight="1" x14ac:dyDescent="0.25">
      <c r="V110" t="s">
        <v>2</v>
      </c>
      <c r="W110">
        <f t="shared" ref="W110:AO110" si="7">1*COS(W$103 * PI()/180)</f>
        <v>1</v>
      </c>
      <c r="X110">
        <f t="shared" si="7"/>
        <v>0.99619469809174555</v>
      </c>
      <c r="Y110">
        <f t="shared" si="7"/>
        <v>0.98480775301220802</v>
      </c>
      <c r="Z110">
        <f t="shared" si="7"/>
        <v>0.96592582628906831</v>
      </c>
      <c r="AA110">
        <f t="shared" si="7"/>
        <v>0.93969262078590843</v>
      </c>
      <c r="AB110">
        <f t="shared" si="7"/>
        <v>0.90630778703664994</v>
      </c>
      <c r="AC110">
        <f t="shared" si="7"/>
        <v>0.86602540378443871</v>
      </c>
      <c r="AD110">
        <f t="shared" si="7"/>
        <v>0.8191520442889918</v>
      </c>
      <c r="AE110">
        <f t="shared" si="7"/>
        <v>0.76604444311897801</v>
      </c>
      <c r="AF110">
        <f t="shared" si="7"/>
        <v>0.70710678118654757</v>
      </c>
      <c r="AG110">
        <f t="shared" si="7"/>
        <v>0.64278760968653936</v>
      </c>
      <c r="AH110">
        <f t="shared" si="7"/>
        <v>0.57357643635104616</v>
      </c>
      <c r="AI110">
        <f t="shared" si="7"/>
        <v>0.50000000000000011</v>
      </c>
      <c r="AJ110">
        <f t="shared" si="7"/>
        <v>0.42261826174069944</v>
      </c>
      <c r="AK110">
        <f t="shared" si="7"/>
        <v>0.34202014332566882</v>
      </c>
      <c r="AL110">
        <f t="shared" si="7"/>
        <v>0.25881904510252074</v>
      </c>
      <c r="AM110">
        <f t="shared" si="7"/>
        <v>0.17364817766693041</v>
      </c>
      <c r="AN110">
        <f t="shared" si="7"/>
        <v>8.7155742747658138E-2</v>
      </c>
      <c r="AO110">
        <f t="shared" si="7"/>
        <v>6.1257422745431001E-17</v>
      </c>
    </row>
    <row r="111" spans="19:80" ht="30" customHeight="1" x14ac:dyDescent="0.25">
      <c r="V111" t="s">
        <v>2</v>
      </c>
      <c r="W111">
        <f t="shared" ref="W111:AO111" si="8">0*COS(W$103 * PI()/180)</f>
        <v>0</v>
      </c>
      <c r="X111">
        <f t="shared" si="8"/>
        <v>0</v>
      </c>
      <c r="Y111">
        <f t="shared" si="8"/>
        <v>0</v>
      </c>
      <c r="Z111">
        <f t="shared" si="8"/>
        <v>0</v>
      </c>
      <c r="AA111">
        <f t="shared" si="8"/>
        <v>0</v>
      </c>
      <c r="AB111">
        <f t="shared" si="8"/>
        <v>0</v>
      </c>
      <c r="AC111">
        <f t="shared" si="8"/>
        <v>0</v>
      </c>
      <c r="AD111">
        <f t="shared" si="8"/>
        <v>0</v>
      </c>
      <c r="AE111">
        <f t="shared" si="8"/>
        <v>0</v>
      </c>
      <c r="AF111">
        <f t="shared" si="8"/>
        <v>0</v>
      </c>
      <c r="AG111">
        <f t="shared" si="8"/>
        <v>0</v>
      </c>
      <c r="AH111">
        <f t="shared" si="8"/>
        <v>0</v>
      </c>
      <c r="AI111">
        <f t="shared" si="8"/>
        <v>0</v>
      </c>
      <c r="AJ111">
        <f t="shared" si="8"/>
        <v>0</v>
      </c>
      <c r="AK111">
        <f t="shared" si="8"/>
        <v>0</v>
      </c>
      <c r="AL111">
        <f t="shared" si="8"/>
        <v>0</v>
      </c>
      <c r="AM111">
        <f t="shared" si="8"/>
        <v>0</v>
      </c>
      <c r="AN111">
        <f t="shared" si="8"/>
        <v>0</v>
      </c>
      <c r="AO111">
        <f t="shared" si="8"/>
        <v>0</v>
      </c>
    </row>
  </sheetData>
  <mergeCells count="33">
    <mergeCell ref="AW99:AX99"/>
    <mergeCell ref="AS98:AT99"/>
    <mergeCell ref="S77:S81"/>
    <mergeCell ref="AY1:AY4"/>
    <mergeCell ref="BC1:BC4"/>
    <mergeCell ref="AX1:AX4"/>
    <mergeCell ref="AW1:AW4"/>
    <mergeCell ref="AV1:AV4"/>
    <mergeCell ref="AR1:AR4"/>
    <mergeCell ref="AM46:AN47"/>
    <mergeCell ref="AH46:AI47"/>
    <mergeCell ref="AC46:AD47"/>
    <mergeCell ref="X46:Y47"/>
    <mergeCell ref="S46:T48"/>
    <mergeCell ref="AW6:AX7"/>
    <mergeCell ref="BX3:BX9"/>
    <mergeCell ref="BZ2:CA6"/>
    <mergeCell ref="I19:I23"/>
    <mergeCell ref="BS3:BS7"/>
    <mergeCell ref="BU3:BU7"/>
    <mergeCell ref="BV3:BV7"/>
    <mergeCell ref="BW3:BW7"/>
    <mergeCell ref="BT3:BT9"/>
    <mergeCell ref="BR4:BR10"/>
    <mergeCell ref="CA41:CB43"/>
    <mergeCell ref="S41:T43"/>
    <mergeCell ref="AR46:AS47"/>
    <mergeCell ref="BB46:BC47"/>
    <mergeCell ref="CA46:CB49"/>
    <mergeCell ref="BG46:BH47"/>
    <mergeCell ref="BL46:BM47"/>
    <mergeCell ref="BQ46:BR47"/>
    <mergeCell ref="BV46:BW47"/>
  </mergeCells>
  <printOptions horizontalCentered="1" verticalCentered="1"/>
  <pageMargins left="0" right="0" top="0" bottom="0" header="0" footer="0"/>
  <pageSetup paperSize="9" scale="2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8F22-BA0D-472C-9AF4-621C925D0E25}">
  <sheetPr codeName="Sheet1">
    <pageSetUpPr fitToPage="1"/>
  </sheetPr>
  <dimension ref="A1:DE111"/>
  <sheetViews>
    <sheetView topLeftCell="A56" zoomScale="25" zoomScaleNormal="25" workbookViewId="0">
      <selection activeCell="W7" sqref="W7"/>
    </sheetView>
  </sheetViews>
  <sheetFormatPr defaultColWidth="2.85546875" defaultRowHeight="30" customHeight="1" x14ac:dyDescent="0.25"/>
  <cols>
    <col min="1" max="17" width="3.7109375" customWidth="1"/>
    <col min="18" max="18" width="6.28515625" customWidth="1"/>
    <col min="19" max="49" width="5.7109375" customWidth="1"/>
    <col min="50" max="50" width="5.7109375" style="8" customWidth="1"/>
    <col min="51" max="80" width="5.7109375" customWidth="1"/>
    <col min="81" max="102" width="3.7109375" customWidth="1"/>
    <col min="103" max="103" width="5.42578125" customWidth="1"/>
    <col min="104" max="104" width="7" customWidth="1"/>
    <col min="105" max="105" width="9" customWidth="1"/>
    <col min="106" max="118" width="5.42578125" customWidth="1"/>
  </cols>
  <sheetData>
    <row r="1" spans="19:80" ht="30" customHeight="1" x14ac:dyDescent="0.25">
      <c r="S1" s="14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6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7"/>
    </row>
    <row r="2" spans="19:80" ht="30" customHeight="1" x14ac:dyDescent="0.25">
      <c r="S2" s="18"/>
      <c r="BZ2" s="100" t="s">
        <v>5</v>
      </c>
      <c r="CA2" s="101"/>
      <c r="CB2" s="19"/>
    </row>
    <row r="3" spans="19:80" ht="30" customHeight="1" x14ac:dyDescent="0.25">
      <c r="S3" s="18"/>
      <c r="BZ3" s="102"/>
      <c r="CA3" s="103"/>
      <c r="CB3" s="19"/>
    </row>
    <row r="4" spans="19:80" ht="30" customHeight="1" x14ac:dyDescent="0.25">
      <c r="S4" s="18"/>
      <c r="BZ4" s="102"/>
      <c r="CA4" s="103"/>
      <c r="CB4" s="19"/>
    </row>
    <row r="5" spans="19:80" ht="30" customHeight="1" x14ac:dyDescent="0.25">
      <c r="S5" s="18"/>
      <c r="BZ5" s="104"/>
      <c r="CA5" s="105"/>
      <c r="CB5" s="19"/>
    </row>
    <row r="6" spans="19:80" ht="30" customHeight="1" x14ac:dyDescent="0.25">
      <c r="S6" s="18"/>
      <c r="CB6" s="19"/>
    </row>
    <row r="7" spans="19:80" ht="30" customHeight="1" x14ac:dyDescent="0.25">
      <c r="S7" s="18"/>
      <c r="CB7" s="19"/>
    </row>
    <row r="8" spans="19:80" ht="30" customHeight="1" x14ac:dyDescent="0.25">
      <c r="S8" s="18"/>
      <c r="CB8" s="19"/>
    </row>
    <row r="9" spans="19:80" ht="30" customHeight="1" x14ac:dyDescent="0.25">
      <c r="S9" s="18"/>
      <c r="CB9" s="19"/>
    </row>
    <row r="10" spans="19:80" ht="30" customHeight="1" x14ac:dyDescent="0.25">
      <c r="S10" s="18"/>
      <c r="CB10" s="19"/>
    </row>
    <row r="11" spans="19:80" ht="30" customHeight="1" x14ac:dyDescent="0.25">
      <c r="S11" s="18"/>
      <c r="CB11" s="19"/>
    </row>
    <row r="12" spans="19:80" ht="30" customHeight="1" x14ac:dyDescent="0.25">
      <c r="S12" s="18"/>
      <c r="CB12" s="19"/>
    </row>
    <row r="13" spans="19:80" ht="30" customHeight="1" x14ac:dyDescent="0.25">
      <c r="S13" s="18"/>
      <c r="CB13" s="19"/>
    </row>
    <row r="14" spans="19:80" ht="30" customHeight="1" x14ac:dyDescent="0.25">
      <c r="S14" s="18"/>
      <c r="CB14" s="19"/>
    </row>
    <row r="15" spans="19:80" ht="30" customHeight="1" x14ac:dyDescent="0.25">
      <c r="S15" s="18"/>
      <c r="CB15" s="19"/>
    </row>
    <row r="16" spans="19:80" ht="30" customHeight="1" x14ac:dyDescent="0.25">
      <c r="S16" s="18"/>
      <c r="CB16" s="19"/>
    </row>
    <row r="17" spans="19:80" ht="30" customHeight="1" x14ac:dyDescent="0.25">
      <c r="S17" s="18"/>
      <c r="CB17" s="19"/>
    </row>
    <row r="18" spans="19:80" ht="30" customHeight="1" x14ac:dyDescent="0.25">
      <c r="S18" s="18"/>
      <c r="CB18" s="19"/>
    </row>
    <row r="19" spans="19:80" ht="30" customHeight="1" x14ac:dyDescent="0.25">
      <c r="S19" s="18"/>
      <c r="CB19" s="19"/>
    </row>
    <row r="20" spans="19:80" ht="30" customHeight="1" x14ac:dyDescent="0.25">
      <c r="S20" s="18"/>
      <c r="CB20" s="19"/>
    </row>
    <row r="21" spans="19:80" ht="30" customHeight="1" x14ac:dyDescent="0.25">
      <c r="S21" s="18"/>
      <c r="CB21" s="19"/>
    </row>
    <row r="22" spans="19:80" ht="30" customHeight="1" x14ac:dyDescent="0.25">
      <c r="S22" s="18"/>
      <c r="CB22" s="19"/>
    </row>
    <row r="23" spans="19:80" ht="30" customHeight="1" x14ac:dyDescent="0.25">
      <c r="S23" s="18"/>
      <c r="CB23" s="19"/>
    </row>
    <row r="24" spans="19:80" ht="30" customHeight="1" x14ac:dyDescent="0.25">
      <c r="S24" s="18"/>
      <c r="CB24" s="19"/>
    </row>
    <row r="25" spans="19:80" ht="30" customHeight="1" x14ac:dyDescent="0.25">
      <c r="S25" s="18"/>
      <c r="CB25" s="19"/>
    </row>
    <row r="26" spans="19:80" ht="30" customHeight="1" x14ac:dyDescent="0.25">
      <c r="S26" s="18"/>
      <c r="CB26" s="19"/>
    </row>
    <row r="27" spans="19:80" ht="30" customHeight="1" x14ac:dyDescent="0.25">
      <c r="S27" s="18"/>
      <c r="CB27" s="19"/>
    </row>
    <row r="28" spans="19:80" ht="30" customHeight="1" x14ac:dyDescent="0.25">
      <c r="S28" s="18"/>
      <c r="CB28" s="19"/>
    </row>
    <row r="29" spans="19:80" ht="30" customHeight="1" x14ac:dyDescent="0.25">
      <c r="S29" s="18"/>
      <c r="CB29" s="19"/>
    </row>
    <row r="30" spans="19:80" ht="30" customHeight="1" x14ac:dyDescent="0.25">
      <c r="S30" s="18"/>
      <c r="CB30" s="19"/>
    </row>
    <row r="31" spans="19:80" ht="30" customHeight="1" x14ac:dyDescent="0.25">
      <c r="S31" s="18"/>
      <c r="CB31" s="19"/>
    </row>
    <row r="32" spans="19:80" ht="30" customHeight="1" x14ac:dyDescent="0.25">
      <c r="S32" s="18"/>
      <c r="CB32" s="19"/>
    </row>
    <row r="33" spans="1:109" ht="30" customHeight="1" x14ac:dyDescent="0.25">
      <c r="S33" s="18"/>
      <c r="CB33" s="19"/>
    </row>
    <row r="34" spans="1:109" ht="30" customHeight="1" x14ac:dyDescent="0.25">
      <c r="S34" s="18"/>
      <c r="CB34" s="19"/>
    </row>
    <row r="35" spans="1:109" ht="30" customHeight="1" x14ac:dyDescent="0.25">
      <c r="S35" s="18"/>
      <c r="CB35" s="19"/>
    </row>
    <row r="36" spans="1:109" ht="30" customHeight="1" x14ac:dyDescent="0.25">
      <c r="S36" s="18"/>
      <c r="CB36" s="19"/>
    </row>
    <row r="37" spans="1:109" ht="30" customHeight="1" x14ac:dyDescent="0.25">
      <c r="S37" s="18"/>
      <c r="CB37" s="19"/>
    </row>
    <row r="38" spans="1:109" ht="30" customHeight="1" x14ac:dyDescent="0.25">
      <c r="S38" s="18"/>
      <c r="CB38" s="19"/>
    </row>
    <row r="39" spans="1:109" ht="30" customHeight="1" x14ac:dyDescent="0.25">
      <c r="S39" s="18"/>
      <c r="CB39" s="19"/>
    </row>
    <row r="40" spans="1:109" ht="30" customHeight="1" x14ac:dyDescent="0.25">
      <c r="S40" s="18"/>
      <c r="CB40" s="19"/>
    </row>
    <row r="41" spans="1:109" ht="30" customHeight="1" x14ac:dyDescent="0.25">
      <c r="S41" s="18"/>
      <c r="CB41" s="19"/>
    </row>
    <row r="42" spans="1:109" ht="30" customHeight="1" x14ac:dyDescent="0.25">
      <c r="S42" s="18"/>
      <c r="CB42" s="19"/>
      <c r="CP42" t="s">
        <v>3</v>
      </c>
    </row>
    <row r="43" spans="1:109" s="1" customFormat="1" ht="30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s="20"/>
      <c r="AX43" s="5"/>
      <c r="CB43" s="21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</row>
    <row r="44" spans="1:109" ht="11.25" customHeight="1" x14ac:dyDescent="0.25">
      <c r="S44" s="22"/>
      <c r="T44" s="8"/>
      <c r="U44" s="7"/>
      <c r="V44" s="7"/>
      <c r="W44" s="7"/>
      <c r="X44" s="7"/>
      <c r="Y44" s="8"/>
      <c r="Z44" s="7"/>
      <c r="AA44" s="7"/>
      <c r="AB44" s="7"/>
      <c r="AC44" s="7"/>
      <c r="AD44" s="8"/>
      <c r="AE44" s="7"/>
      <c r="AF44" s="7"/>
      <c r="AG44" s="7"/>
      <c r="AH44" s="7"/>
      <c r="AI44" s="8"/>
      <c r="AJ44" s="7"/>
      <c r="AK44" s="7"/>
      <c r="AL44" s="7"/>
      <c r="AM44" s="7"/>
      <c r="AN44" s="8"/>
      <c r="AO44" s="7"/>
      <c r="AP44" s="7"/>
      <c r="AQ44" s="7"/>
      <c r="AR44" s="7"/>
      <c r="AS44" s="8"/>
      <c r="AT44" s="7"/>
      <c r="AU44" s="7"/>
      <c r="AV44" s="7"/>
      <c r="AW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23"/>
    </row>
    <row r="45" spans="1:109" ht="11.25" customHeight="1" x14ac:dyDescent="0.25">
      <c r="S45" s="24"/>
      <c r="T45" s="8"/>
      <c r="X45" s="10"/>
      <c r="Y45" s="8"/>
      <c r="AC45" s="10"/>
      <c r="AD45" s="8"/>
      <c r="AH45" s="10"/>
      <c r="AI45" s="8"/>
      <c r="AM45" s="10"/>
      <c r="AN45" s="8"/>
      <c r="AR45" s="10"/>
      <c r="AS45" s="8"/>
      <c r="AW45" s="10"/>
      <c r="BB45" s="10"/>
      <c r="BC45" s="8"/>
      <c r="BG45" s="10"/>
      <c r="BH45" s="8"/>
      <c r="BL45" s="10"/>
      <c r="BM45" s="8"/>
      <c r="BQ45" s="10"/>
      <c r="BR45" s="8"/>
      <c r="BV45" s="10"/>
      <c r="BW45" s="8"/>
      <c r="CA45" s="10"/>
      <c r="CB45" s="25"/>
      <c r="CZ45" s="10"/>
      <c r="DA45" s="8"/>
      <c r="DE45" s="10"/>
    </row>
    <row r="46" spans="1:109" ht="13.5" customHeight="1" x14ac:dyDescent="0.25">
      <c r="S46" s="18"/>
      <c r="CB46" s="19"/>
    </row>
    <row r="47" spans="1:109" s="12" customFormat="1" ht="30" customHeight="1" x14ac:dyDescent="0.45">
      <c r="S47" s="119">
        <v>30</v>
      </c>
      <c r="T47" s="92"/>
      <c r="X47" s="92">
        <v>25</v>
      </c>
      <c r="Y47" s="92"/>
      <c r="AC47" s="92">
        <v>20</v>
      </c>
      <c r="AD47" s="92"/>
      <c r="AH47" s="92">
        <v>15</v>
      </c>
      <c r="AI47" s="92"/>
      <c r="AM47" s="92">
        <v>10</v>
      </c>
      <c r="AN47" s="92"/>
      <c r="AR47" s="92" t="s">
        <v>7</v>
      </c>
      <c r="AS47" s="92"/>
      <c r="AX47" s="13"/>
      <c r="BB47" s="92" t="s">
        <v>4</v>
      </c>
      <c r="BC47" s="92"/>
      <c r="BG47" s="92">
        <v>50</v>
      </c>
      <c r="BH47" s="92"/>
      <c r="BL47" s="92">
        <v>45</v>
      </c>
      <c r="BM47" s="92"/>
      <c r="BQ47" s="92">
        <v>40</v>
      </c>
      <c r="BR47" s="92"/>
      <c r="BV47" s="92">
        <v>35</v>
      </c>
      <c r="BW47" s="92"/>
      <c r="CA47" s="92">
        <v>30</v>
      </c>
      <c r="CB47" s="120"/>
    </row>
    <row r="48" spans="1:109" s="12" customFormat="1" ht="30" customHeight="1" x14ac:dyDescent="0.45">
      <c r="S48" s="119"/>
      <c r="T48" s="92"/>
      <c r="X48" s="92"/>
      <c r="Y48" s="92"/>
      <c r="AC48" s="92"/>
      <c r="AD48" s="92"/>
      <c r="AH48" s="92"/>
      <c r="AI48" s="92"/>
      <c r="AM48" s="92"/>
      <c r="AN48" s="92"/>
      <c r="AR48" s="92"/>
      <c r="AS48" s="92"/>
      <c r="AX48" s="13"/>
      <c r="BB48" s="92"/>
      <c r="BC48" s="92"/>
      <c r="BG48" s="92"/>
      <c r="BH48" s="92"/>
      <c r="BL48" s="92"/>
      <c r="BM48" s="92"/>
      <c r="BQ48" s="92"/>
      <c r="BR48" s="92"/>
      <c r="BV48" s="92"/>
      <c r="BW48" s="92"/>
      <c r="CA48" s="92"/>
      <c r="CB48" s="120"/>
    </row>
    <row r="49" spans="19:80" s="12" customFormat="1" ht="30" customHeight="1" x14ac:dyDescent="0.45">
      <c r="S49" s="119"/>
      <c r="T49" s="92"/>
      <c r="X49" s="92"/>
      <c r="Y49" s="92"/>
      <c r="AC49" s="92"/>
      <c r="AD49" s="92"/>
      <c r="AH49" s="92"/>
      <c r="AI49" s="92"/>
      <c r="AM49" s="92"/>
      <c r="AN49" s="92"/>
      <c r="AR49" s="92"/>
      <c r="AS49" s="92"/>
      <c r="AX49" s="13"/>
      <c r="BB49" s="92"/>
      <c r="BC49" s="92"/>
      <c r="BG49" s="92"/>
      <c r="BH49" s="92"/>
      <c r="BL49" s="92"/>
      <c r="BM49" s="92"/>
      <c r="BQ49" s="92"/>
      <c r="BR49" s="92"/>
      <c r="BV49" s="92"/>
      <c r="BW49" s="92"/>
      <c r="CA49" s="92"/>
      <c r="CB49" s="120"/>
    </row>
    <row r="50" spans="19:80" ht="30" customHeight="1" x14ac:dyDescent="0.25">
      <c r="S50" s="18"/>
      <c r="CB50" s="19"/>
    </row>
    <row r="51" spans="19:80" ht="30" customHeight="1" x14ac:dyDescent="0.25">
      <c r="S51" s="18"/>
      <c r="CB51" s="19"/>
    </row>
    <row r="52" spans="19:80" ht="30" customHeight="1" x14ac:dyDescent="0.25">
      <c r="S52" s="18"/>
      <c r="CB52" s="19"/>
    </row>
    <row r="53" spans="19:80" ht="30" customHeight="1" x14ac:dyDescent="0.25">
      <c r="S53" s="18"/>
      <c r="CB53" s="19"/>
    </row>
    <row r="54" spans="19:80" ht="30" customHeight="1" x14ac:dyDescent="0.25">
      <c r="S54" s="18"/>
      <c r="CB54" s="19"/>
    </row>
    <row r="55" spans="19:80" ht="30" customHeight="1" x14ac:dyDescent="0.25">
      <c r="S55" s="18"/>
      <c r="CB55" s="19"/>
    </row>
    <row r="56" spans="19:80" ht="30" customHeight="1" x14ac:dyDescent="0.25">
      <c r="S56" s="18"/>
      <c r="CB56" s="19"/>
    </row>
    <row r="57" spans="19:80" ht="30" customHeight="1" x14ac:dyDescent="0.25">
      <c r="S57" s="18"/>
      <c r="CB57" s="19"/>
    </row>
    <row r="58" spans="19:80" ht="30" customHeight="1" x14ac:dyDescent="0.25">
      <c r="S58" s="18"/>
      <c r="CB58" s="19"/>
    </row>
    <row r="59" spans="19:80" ht="30" customHeight="1" x14ac:dyDescent="0.25">
      <c r="S59" s="18"/>
      <c r="CB59" s="19"/>
    </row>
    <row r="60" spans="19:80" ht="30" customHeight="1" x14ac:dyDescent="0.25">
      <c r="S60" s="18"/>
      <c r="CB60" s="19"/>
    </row>
    <row r="61" spans="19:80" ht="30" customHeight="1" x14ac:dyDescent="0.25">
      <c r="S61" s="18"/>
      <c r="CB61" s="19"/>
    </row>
    <row r="62" spans="19:80" ht="30" customHeight="1" x14ac:dyDescent="0.25">
      <c r="S62" s="18"/>
      <c r="CB62" s="19"/>
    </row>
    <row r="63" spans="19:80" ht="30" customHeight="1" x14ac:dyDescent="0.25">
      <c r="S63" s="18"/>
      <c r="CB63" s="19"/>
    </row>
    <row r="64" spans="19:80" ht="30" customHeight="1" x14ac:dyDescent="0.25">
      <c r="S64" s="18"/>
      <c r="CB64" s="19"/>
    </row>
    <row r="65" spans="19:80" ht="30" customHeight="1" x14ac:dyDescent="0.25">
      <c r="S65" s="18"/>
      <c r="CB65" s="19"/>
    </row>
    <row r="66" spans="19:80" ht="30" customHeight="1" x14ac:dyDescent="0.25">
      <c r="S66" s="18"/>
      <c r="CB66" s="19"/>
    </row>
    <row r="67" spans="19:80" ht="30" customHeight="1" x14ac:dyDescent="0.25">
      <c r="S67" s="18"/>
      <c r="CB67" s="19"/>
    </row>
    <row r="68" spans="19:80" ht="30" customHeight="1" x14ac:dyDescent="0.25">
      <c r="S68" s="18"/>
      <c r="CB68" s="19"/>
    </row>
    <row r="69" spans="19:80" ht="30" customHeight="1" x14ac:dyDescent="0.25">
      <c r="S69" s="18"/>
      <c r="CB69" s="19"/>
    </row>
    <row r="70" spans="19:80" ht="30" customHeight="1" x14ac:dyDescent="0.25">
      <c r="S70" s="18"/>
      <c r="CB70" s="19"/>
    </row>
    <row r="71" spans="19:80" ht="30" customHeight="1" x14ac:dyDescent="0.25">
      <c r="S71" s="18"/>
      <c r="CB71" s="19"/>
    </row>
    <row r="72" spans="19:80" ht="30" customHeight="1" x14ac:dyDescent="0.25">
      <c r="S72" s="18"/>
      <c r="CB72" s="19"/>
    </row>
    <row r="73" spans="19:80" ht="30" customHeight="1" x14ac:dyDescent="0.25">
      <c r="S73" s="18"/>
      <c r="CB73" s="19"/>
    </row>
    <row r="74" spans="19:80" ht="30" customHeight="1" x14ac:dyDescent="0.25">
      <c r="S74" s="18"/>
      <c r="CB74" s="19"/>
    </row>
    <row r="75" spans="19:80" ht="30" customHeight="1" x14ac:dyDescent="0.25">
      <c r="S75" s="18"/>
      <c r="CB75" s="19"/>
    </row>
    <row r="76" spans="19:80" ht="30" customHeight="1" x14ac:dyDescent="0.25">
      <c r="S76" s="18"/>
      <c r="CB76" s="19"/>
    </row>
    <row r="77" spans="19:80" ht="30" customHeight="1" x14ac:dyDescent="0.25">
      <c r="S77" s="18"/>
      <c r="CB77" s="19"/>
    </row>
    <row r="78" spans="19:80" ht="30" customHeight="1" x14ac:dyDescent="0.25">
      <c r="S78" s="18"/>
      <c r="CB78" s="19"/>
    </row>
    <row r="79" spans="19:80" ht="30" customHeight="1" x14ac:dyDescent="0.25">
      <c r="S79" s="18"/>
      <c r="CB79" s="19"/>
    </row>
    <row r="80" spans="19:80" ht="30" customHeight="1" x14ac:dyDescent="0.25">
      <c r="S80" s="18"/>
      <c r="CB80" s="19"/>
    </row>
    <row r="81" spans="19:80" ht="30" customHeight="1" x14ac:dyDescent="0.25">
      <c r="S81" s="18"/>
      <c r="CB81" s="19"/>
    </row>
    <row r="82" spans="19:80" ht="30" customHeight="1" x14ac:dyDescent="0.25">
      <c r="S82" s="18"/>
      <c r="CB82" s="19"/>
    </row>
    <row r="83" spans="19:80" ht="30" customHeight="1" x14ac:dyDescent="0.25">
      <c r="S83" s="18"/>
      <c r="CB83" s="19"/>
    </row>
    <row r="84" spans="19:80" ht="30" customHeight="1" x14ac:dyDescent="0.25">
      <c r="S84" s="18"/>
      <c r="CB84" s="19"/>
    </row>
    <row r="85" spans="19:80" ht="30" customHeight="1" x14ac:dyDescent="0.25">
      <c r="S85" s="18"/>
      <c r="CB85" s="19"/>
    </row>
    <row r="86" spans="19:80" ht="30" customHeight="1" x14ac:dyDescent="0.25">
      <c r="S86" s="18"/>
      <c r="CB86" s="19"/>
    </row>
    <row r="87" spans="19:80" ht="30" customHeight="1" x14ac:dyDescent="0.25">
      <c r="S87" s="18"/>
      <c r="CB87" s="19"/>
    </row>
    <row r="88" spans="19:80" ht="30" customHeight="1" x14ac:dyDescent="0.25">
      <c r="S88" s="18"/>
      <c r="CB88" s="19"/>
    </row>
    <row r="89" spans="19:80" ht="30" customHeight="1" x14ac:dyDescent="0.25">
      <c r="S89" s="18"/>
      <c r="CB89" s="19"/>
    </row>
    <row r="90" spans="19:80" ht="30" customHeight="1" x14ac:dyDescent="0.25">
      <c r="S90" s="18"/>
      <c r="CB90" s="19"/>
    </row>
    <row r="91" spans="19:80" ht="30" customHeight="1" x14ac:dyDescent="0.25">
      <c r="S91" s="18"/>
      <c r="CB91" s="19"/>
    </row>
    <row r="92" spans="19:80" ht="30" customHeight="1" x14ac:dyDescent="0.25">
      <c r="S92" s="18"/>
      <c r="CB92" s="19"/>
    </row>
    <row r="93" spans="19:80" ht="30" customHeight="1" x14ac:dyDescent="0.25">
      <c r="S93" s="18"/>
      <c r="CB93" s="19"/>
    </row>
    <row r="94" spans="19:80" ht="30" customHeight="1" x14ac:dyDescent="0.25">
      <c r="S94" s="18"/>
      <c r="CB94" s="19"/>
    </row>
    <row r="95" spans="19:80" ht="30" customHeight="1" x14ac:dyDescent="0.25">
      <c r="S95" s="18"/>
      <c r="CB95" s="19"/>
    </row>
    <row r="96" spans="19:80" ht="30" customHeight="1" x14ac:dyDescent="0.25">
      <c r="S96" s="18"/>
      <c r="CB96" s="19"/>
    </row>
    <row r="97" spans="19:80" ht="30" customHeight="1" x14ac:dyDescent="0.25">
      <c r="S97" s="18"/>
      <c r="CB97" s="19"/>
    </row>
    <row r="98" spans="19:80" ht="30" customHeight="1" x14ac:dyDescent="0.25">
      <c r="S98" s="18"/>
      <c r="CB98" s="19"/>
    </row>
    <row r="99" spans="19:80" ht="30" customHeight="1" x14ac:dyDescent="0.25">
      <c r="S99" s="26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8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9"/>
    </row>
    <row r="103" spans="19:80" ht="30" customHeight="1" x14ac:dyDescent="0.25">
      <c r="V103" t="s">
        <v>1</v>
      </c>
      <c r="W103">
        <v>0</v>
      </c>
      <c r="X103">
        <f>W103+5</f>
        <v>5</v>
      </c>
      <c r="Y103">
        <f t="shared" ref="Y103:AO103" si="0">X103+5</f>
        <v>10</v>
      </c>
      <c r="Z103">
        <f t="shared" si="0"/>
        <v>15</v>
      </c>
      <c r="AA103">
        <f t="shared" si="0"/>
        <v>20</v>
      </c>
      <c r="AB103">
        <f t="shared" si="0"/>
        <v>25</v>
      </c>
      <c r="AC103">
        <f t="shared" si="0"/>
        <v>30</v>
      </c>
      <c r="AD103">
        <f t="shared" si="0"/>
        <v>35</v>
      </c>
      <c r="AE103">
        <f t="shared" si="0"/>
        <v>40</v>
      </c>
      <c r="AF103">
        <f t="shared" si="0"/>
        <v>45</v>
      </c>
      <c r="AG103">
        <f t="shared" si="0"/>
        <v>50</v>
      </c>
      <c r="AH103">
        <f t="shared" si="0"/>
        <v>55</v>
      </c>
      <c r="AI103">
        <f t="shared" si="0"/>
        <v>60</v>
      </c>
      <c r="AJ103">
        <f t="shared" si="0"/>
        <v>65</v>
      </c>
      <c r="AK103">
        <f t="shared" si="0"/>
        <v>70</v>
      </c>
      <c r="AL103">
        <f t="shared" si="0"/>
        <v>75</v>
      </c>
      <c r="AM103">
        <f t="shared" si="0"/>
        <v>80</v>
      </c>
      <c r="AN103">
        <f t="shared" si="0"/>
        <v>85</v>
      </c>
      <c r="AO103">
        <f t="shared" si="0"/>
        <v>90</v>
      </c>
    </row>
    <row r="104" spans="19:80" ht="30" customHeight="1" x14ac:dyDescent="0.25">
      <c r="V104" t="s">
        <v>2</v>
      </c>
      <c r="W104">
        <f t="shared" ref="W104:AO104" si="1">15*COS(W$103 * PI()/180)</f>
        <v>15</v>
      </c>
      <c r="X104">
        <f t="shared" si="1"/>
        <v>14.942920471376183</v>
      </c>
      <c r="Y104">
        <f t="shared" si="1"/>
        <v>14.772116295183121</v>
      </c>
      <c r="Z104">
        <f t="shared" si="1"/>
        <v>14.488887394336025</v>
      </c>
      <c r="AA104">
        <f t="shared" si="1"/>
        <v>14.095389311788626</v>
      </c>
      <c r="AB104">
        <f t="shared" si="1"/>
        <v>13.59461680554975</v>
      </c>
      <c r="AC104">
        <f t="shared" si="1"/>
        <v>12.99038105676658</v>
      </c>
      <c r="AD104">
        <f t="shared" si="1"/>
        <v>12.287280664334878</v>
      </c>
      <c r="AE104">
        <f t="shared" si="1"/>
        <v>11.490666646784669</v>
      </c>
      <c r="AF104">
        <f t="shared" si="1"/>
        <v>10.606601717798213</v>
      </c>
      <c r="AG104">
        <f t="shared" si="1"/>
        <v>9.6418141452980901</v>
      </c>
      <c r="AH104">
        <f t="shared" si="1"/>
        <v>8.6036465452656916</v>
      </c>
      <c r="AI104">
        <f t="shared" si="1"/>
        <v>7.5000000000000018</v>
      </c>
      <c r="AJ104">
        <f t="shared" si="1"/>
        <v>6.3392739261104918</v>
      </c>
      <c r="AK104">
        <f t="shared" si="1"/>
        <v>5.1303021498850327</v>
      </c>
      <c r="AL104">
        <f t="shared" si="1"/>
        <v>3.8822856765378111</v>
      </c>
      <c r="AM104">
        <f t="shared" si="1"/>
        <v>2.6047226650039561</v>
      </c>
      <c r="AN104">
        <f t="shared" si="1"/>
        <v>1.3073361412148721</v>
      </c>
      <c r="AO104">
        <f t="shared" si="1"/>
        <v>9.1886134118146501E-16</v>
      </c>
    </row>
    <row r="105" spans="19:80" ht="30" customHeight="1" x14ac:dyDescent="0.25">
      <c r="V105" t="s">
        <v>2</v>
      </c>
      <c r="W105">
        <f t="shared" ref="W105:AO105" si="2">10*COS(W$103 * PI()/180)</f>
        <v>10</v>
      </c>
      <c r="X105">
        <f t="shared" si="2"/>
        <v>9.961946980917455</v>
      </c>
      <c r="Y105">
        <f t="shared" si="2"/>
        <v>9.8480775301220795</v>
      </c>
      <c r="Z105">
        <f t="shared" si="2"/>
        <v>9.6592582628906829</v>
      </c>
      <c r="AA105">
        <f t="shared" si="2"/>
        <v>9.3969262078590852</v>
      </c>
      <c r="AB105">
        <f t="shared" si="2"/>
        <v>9.0630778703664987</v>
      </c>
      <c r="AC105">
        <f t="shared" si="2"/>
        <v>8.6602540378443873</v>
      </c>
      <c r="AD105">
        <f t="shared" si="2"/>
        <v>8.1915204428899173</v>
      </c>
      <c r="AE105">
        <f t="shared" si="2"/>
        <v>7.6604444311897799</v>
      </c>
      <c r="AF105">
        <f t="shared" si="2"/>
        <v>7.0710678118654755</v>
      </c>
      <c r="AG105">
        <f t="shared" si="2"/>
        <v>6.4278760968653934</v>
      </c>
      <c r="AH105">
        <f t="shared" si="2"/>
        <v>5.7357643635104614</v>
      </c>
      <c r="AI105">
        <f t="shared" si="2"/>
        <v>5.0000000000000009</v>
      </c>
      <c r="AJ105">
        <f t="shared" si="2"/>
        <v>4.2261826174069945</v>
      </c>
      <c r="AK105">
        <f t="shared" si="2"/>
        <v>3.4202014332566884</v>
      </c>
      <c r="AL105">
        <f t="shared" si="2"/>
        <v>2.5881904510252074</v>
      </c>
      <c r="AM105">
        <f t="shared" si="2"/>
        <v>1.7364817766693041</v>
      </c>
      <c r="AN105">
        <f t="shared" si="2"/>
        <v>0.87155742747658138</v>
      </c>
      <c r="AO105">
        <f t="shared" si="2"/>
        <v>6.1257422745431001E-16</v>
      </c>
    </row>
    <row r="106" spans="19:80" ht="30" customHeight="1" x14ac:dyDescent="0.25">
      <c r="V106" t="s">
        <v>2</v>
      </c>
      <c r="W106">
        <f t="shared" ref="W106:AO106" si="3">5*COS(W$103 * PI()/180)</f>
        <v>5</v>
      </c>
      <c r="X106">
        <f t="shared" si="3"/>
        <v>4.9809734904587275</v>
      </c>
      <c r="Y106">
        <f t="shared" si="3"/>
        <v>4.9240387650610398</v>
      </c>
      <c r="Z106">
        <f t="shared" si="3"/>
        <v>4.8296291314453415</v>
      </c>
      <c r="AA106">
        <f t="shared" si="3"/>
        <v>4.6984631039295426</v>
      </c>
      <c r="AB106">
        <f t="shared" si="3"/>
        <v>4.5315389351832494</v>
      </c>
      <c r="AC106">
        <f t="shared" si="3"/>
        <v>4.3301270189221936</v>
      </c>
      <c r="AD106">
        <f t="shared" si="3"/>
        <v>4.0957602214449587</v>
      </c>
      <c r="AE106">
        <f t="shared" si="3"/>
        <v>3.83022221559489</v>
      </c>
      <c r="AF106">
        <f t="shared" si="3"/>
        <v>3.5355339059327378</v>
      </c>
      <c r="AG106">
        <f t="shared" si="3"/>
        <v>3.2139380484326967</v>
      </c>
      <c r="AH106">
        <f t="shared" si="3"/>
        <v>2.8678821817552307</v>
      </c>
      <c r="AI106">
        <f t="shared" si="3"/>
        <v>2.5000000000000004</v>
      </c>
      <c r="AJ106">
        <f t="shared" si="3"/>
        <v>2.1130913087034973</v>
      </c>
      <c r="AK106">
        <f t="shared" si="3"/>
        <v>1.7101007166283442</v>
      </c>
      <c r="AL106">
        <f t="shared" si="3"/>
        <v>1.2940952255126037</v>
      </c>
      <c r="AM106">
        <f t="shared" si="3"/>
        <v>0.86824088833465207</v>
      </c>
      <c r="AN106">
        <f t="shared" si="3"/>
        <v>0.43577871373829069</v>
      </c>
      <c r="AO106">
        <f t="shared" si="3"/>
        <v>3.06287113727155E-16</v>
      </c>
    </row>
    <row r="107" spans="19:80" ht="30" customHeight="1" x14ac:dyDescent="0.25">
      <c r="V107" t="s">
        <v>2</v>
      </c>
      <c r="W107">
        <f t="shared" ref="W107:AO107" si="4">4*COS(W$103 * PI()/180)</f>
        <v>4</v>
      </c>
      <c r="X107">
        <f t="shared" si="4"/>
        <v>3.9847787923669822</v>
      </c>
      <c r="Y107">
        <f t="shared" si="4"/>
        <v>3.9392310120488321</v>
      </c>
      <c r="Z107">
        <f t="shared" si="4"/>
        <v>3.8637033051562732</v>
      </c>
      <c r="AA107">
        <f t="shared" si="4"/>
        <v>3.7587704831436337</v>
      </c>
      <c r="AB107">
        <f t="shared" si="4"/>
        <v>3.6252311481465997</v>
      </c>
      <c r="AC107">
        <f t="shared" si="4"/>
        <v>3.4641016151377548</v>
      </c>
      <c r="AD107">
        <f t="shared" si="4"/>
        <v>3.2766081771559672</v>
      </c>
      <c r="AE107">
        <f t="shared" si="4"/>
        <v>3.0641777724759121</v>
      </c>
      <c r="AF107">
        <f t="shared" si="4"/>
        <v>2.8284271247461903</v>
      </c>
      <c r="AG107">
        <f t="shared" si="4"/>
        <v>2.5711504387461575</v>
      </c>
      <c r="AH107">
        <f t="shared" si="4"/>
        <v>2.2943057454041846</v>
      </c>
      <c r="AI107">
        <f t="shared" si="4"/>
        <v>2.0000000000000004</v>
      </c>
      <c r="AJ107">
        <f t="shared" si="4"/>
        <v>1.6904730469627978</v>
      </c>
      <c r="AK107">
        <f t="shared" si="4"/>
        <v>1.3680805733026753</v>
      </c>
      <c r="AL107">
        <f t="shared" si="4"/>
        <v>1.035276180410083</v>
      </c>
      <c r="AM107">
        <f t="shared" si="4"/>
        <v>0.69459271066772166</v>
      </c>
      <c r="AN107">
        <f t="shared" si="4"/>
        <v>0.34862297099063255</v>
      </c>
      <c r="AO107">
        <f t="shared" si="4"/>
        <v>2.45029690981724E-16</v>
      </c>
    </row>
    <row r="108" spans="19:80" ht="30" customHeight="1" x14ac:dyDescent="0.25">
      <c r="V108" t="s">
        <v>2</v>
      </c>
      <c r="W108">
        <f t="shared" ref="W108:AO108" si="5">3*COS(W$103 * PI()/180)</f>
        <v>3</v>
      </c>
      <c r="X108">
        <f t="shared" si="5"/>
        <v>2.9885840942752369</v>
      </c>
      <c r="Y108">
        <f t="shared" si="5"/>
        <v>2.9544232590366239</v>
      </c>
      <c r="Z108">
        <f t="shared" si="5"/>
        <v>2.897777478867205</v>
      </c>
      <c r="AA108">
        <f t="shared" si="5"/>
        <v>2.8190778623577253</v>
      </c>
      <c r="AB108">
        <f t="shared" si="5"/>
        <v>2.7189233611099497</v>
      </c>
      <c r="AC108">
        <f t="shared" si="5"/>
        <v>2.598076211353316</v>
      </c>
      <c r="AD108">
        <f t="shared" si="5"/>
        <v>2.4574561328669753</v>
      </c>
      <c r="AE108">
        <f t="shared" si="5"/>
        <v>2.2981333293569342</v>
      </c>
      <c r="AF108">
        <f t="shared" si="5"/>
        <v>2.1213203435596428</v>
      </c>
      <c r="AG108">
        <f t="shared" si="5"/>
        <v>1.9283628290596182</v>
      </c>
      <c r="AH108">
        <f t="shared" si="5"/>
        <v>1.7207293090531386</v>
      </c>
      <c r="AI108">
        <f t="shared" si="5"/>
        <v>1.5000000000000004</v>
      </c>
      <c r="AJ108">
        <f t="shared" si="5"/>
        <v>1.2678547852220983</v>
      </c>
      <c r="AK108">
        <f t="shared" si="5"/>
        <v>1.0260604299770064</v>
      </c>
      <c r="AL108">
        <f t="shared" si="5"/>
        <v>0.77645713530756222</v>
      </c>
      <c r="AM108">
        <f t="shared" si="5"/>
        <v>0.52094453300079124</v>
      </c>
      <c r="AN108">
        <f t="shared" si="5"/>
        <v>0.26146722824297441</v>
      </c>
      <c r="AO108">
        <f t="shared" si="5"/>
        <v>1.83772268236293E-16</v>
      </c>
    </row>
    <row r="109" spans="19:80" ht="30" customHeight="1" x14ac:dyDescent="0.25">
      <c r="V109" t="s">
        <v>2</v>
      </c>
      <c r="W109">
        <f t="shared" ref="W109:AO109" si="6">2*COS(W$103 * PI()/180)</f>
        <v>2</v>
      </c>
      <c r="X109">
        <f t="shared" si="6"/>
        <v>1.9923893961834911</v>
      </c>
      <c r="Y109">
        <f t="shared" si="6"/>
        <v>1.969615506024416</v>
      </c>
      <c r="Z109">
        <f t="shared" si="6"/>
        <v>1.9318516525781366</v>
      </c>
      <c r="AA109">
        <f t="shared" si="6"/>
        <v>1.8793852415718169</v>
      </c>
      <c r="AB109">
        <f t="shared" si="6"/>
        <v>1.8126155740732999</v>
      </c>
      <c r="AC109">
        <f t="shared" si="6"/>
        <v>1.7320508075688774</v>
      </c>
      <c r="AD109">
        <f t="shared" si="6"/>
        <v>1.6383040885779836</v>
      </c>
      <c r="AE109">
        <f t="shared" si="6"/>
        <v>1.532088886237956</v>
      </c>
      <c r="AF109">
        <f t="shared" si="6"/>
        <v>1.4142135623730951</v>
      </c>
      <c r="AG109">
        <f t="shared" si="6"/>
        <v>1.2855752193730787</v>
      </c>
      <c r="AH109">
        <f t="shared" si="6"/>
        <v>1.1471528727020923</v>
      </c>
      <c r="AI109">
        <f t="shared" si="6"/>
        <v>1.0000000000000002</v>
      </c>
      <c r="AJ109">
        <f t="shared" si="6"/>
        <v>0.84523652348139888</v>
      </c>
      <c r="AK109">
        <f t="shared" si="6"/>
        <v>0.68404028665133765</v>
      </c>
      <c r="AL109">
        <f t="shared" si="6"/>
        <v>0.51763809020504148</v>
      </c>
      <c r="AM109">
        <f t="shared" si="6"/>
        <v>0.34729635533386083</v>
      </c>
      <c r="AN109">
        <f t="shared" si="6"/>
        <v>0.17431148549531628</v>
      </c>
      <c r="AO109">
        <f t="shared" si="6"/>
        <v>1.22514845490862E-16</v>
      </c>
    </row>
    <row r="110" spans="19:80" ht="30" customHeight="1" x14ac:dyDescent="0.25">
      <c r="V110" t="s">
        <v>2</v>
      </c>
      <c r="W110">
        <f t="shared" ref="W110:AO110" si="7">1*COS(W$103 * PI()/180)</f>
        <v>1</v>
      </c>
      <c r="X110">
        <f t="shared" si="7"/>
        <v>0.99619469809174555</v>
      </c>
      <c r="Y110">
        <f t="shared" si="7"/>
        <v>0.98480775301220802</v>
      </c>
      <c r="Z110">
        <f t="shared" si="7"/>
        <v>0.96592582628906831</v>
      </c>
      <c r="AA110">
        <f t="shared" si="7"/>
        <v>0.93969262078590843</v>
      </c>
      <c r="AB110">
        <f t="shared" si="7"/>
        <v>0.90630778703664994</v>
      </c>
      <c r="AC110">
        <f t="shared" si="7"/>
        <v>0.86602540378443871</v>
      </c>
      <c r="AD110">
        <f t="shared" si="7"/>
        <v>0.8191520442889918</v>
      </c>
      <c r="AE110">
        <f t="shared" si="7"/>
        <v>0.76604444311897801</v>
      </c>
      <c r="AF110">
        <f t="shared" si="7"/>
        <v>0.70710678118654757</v>
      </c>
      <c r="AG110">
        <f t="shared" si="7"/>
        <v>0.64278760968653936</v>
      </c>
      <c r="AH110">
        <f t="shared" si="7"/>
        <v>0.57357643635104616</v>
      </c>
      <c r="AI110">
        <f t="shared" si="7"/>
        <v>0.50000000000000011</v>
      </c>
      <c r="AJ110">
        <f t="shared" si="7"/>
        <v>0.42261826174069944</v>
      </c>
      <c r="AK110">
        <f t="shared" si="7"/>
        <v>0.34202014332566882</v>
      </c>
      <c r="AL110">
        <f t="shared" si="7"/>
        <v>0.25881904510252074</v>
      </c>
      <c r="AM110">
        <f t="shared" si="7"/>
        <v>0.17364817766693041</v>
      </c>
      <c r="AN110">
        <f t="shared" si="7"/>
        <v>8.7155742747658138E-2</v>
      </c>
      <c r="AO110">
        <f t="shared" si="7"/>
        <v>6.1257422745431001E-17</v>
      </c>
    </row>
    <row r="111" spans="19:80" ht="30" customHeight="1" x14ac:dyDescent="0.25">
      <c r="V111" t="s">
        <v>2</v>
      </c>
      <c r="W111">
        <f t="shared" ref="W111:AO111" si="8">0*COS(W$103 * PI()/180)</f>
        <v>0</v>
      </c>
      <c r="X111">
        <f t="shared" si="8"/>
        <v>0</v>
      </c>
      <c r="Y111">
        <f t="shared" si="8"/>
        <v>0</v>
      </c>
      <c r="Z111">
        <f t="shared" si="8"/>
        <v>0</v>
      </c>
      <c r="AA111">
        <f t="shared" si="8"/>
        <v>0</v>
      </c>
      <c r="AB111">
        <f t="shared" si="8"/>
        <v>0</v>
      </c>
      <c r="AC111">
        <f t="shared" si="8"/>
        <v>0</v>
      </c>
      <c r="AD111">
        <f t="shared" si="8"/>
        <v>0</v>
      </c>
      <c r="AE111">
        <f t="shared" si="8"/>
        <v>0</v>
      </c>
      <c r="AF111">
        <f t="shared" si="8"/>
        <v>0</v>
      </c>
      <c r="AG111">
        <f t="shared" si="8"/>
        <v>0</v>
      </c>
      <c r="AH111">
        <f t="shared" si="8"/>
        <v>0</v>
      </c>
      <c r="AI111">
        <f t="shared" si="8"/>
        <v>0</v>
      </c>
      <c r="AJ111">
        <f t="shared" si="8"/>
        <v>0</v>
      </c>
      <c r="AK111">
        <f t="shared" si="8"/>
        <v>0</v>
      </c>
      <c r="AL111">
        <f t="shared" si="8"/>
        <v>0</v>
      </c>
      <c r="AM111">
        <f t="shared" si="8"/>
        <v>0</v>
      </c>
      <c r="AN111">
        <f t="shared" si="8"/>
        <v>0</v>
      </c>
      <c r="AO111">
        <f t="shared" si="8"/>
        <v>0</v>
      </c>
    </row>
  </sheetData>
  <mergeCells count="13">
    <mergeCell ref="BZ2:CA5"/>
    <mergeCell ref="BB47:BC49"/>
    <mergeCell ref="BG47:BH49"/>
    <mergeCell ref="BL47:BM49"/>
    <mergeCell ref="BQ47:BR49"/>
    <mergeCell ref="BV47:BW49"/>
    <mergeCell ref="CA47:CB49"/>
    <mergeCell ref="AR47:AS49"/>
    <mergeCell ref="S47:T49"/>
    <mergeCell ref="X47:Y49"/>
    <mergeCell ref="AC47:AD49"/>
    <mergeCell ref="AH47:AI49"/>
    <mergeCell ref="AM47:AN49"/>
  </mergeCells>
  <printOptions horizontalCentered="1" verticalCentered="1"/>
  <pageMargins left="0" right="0" top="0" bottom="0" header="0" footer="0"/>
  <pageSetup paperSize="9" scale="2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DR62"/>
  <sheetViews>
    <sheetView zoomScale="25" zoomScaleNormal="25" workbookViewId="0">
      <selection activeCell="W7" sqref="W7"/>
    </sheetView>
  </sheetViews>
  <sheetFormatPr defaultColWidth="2.85546875" defaultRowHeight="15" x14ac:dyDescent="0.25"/>
  <cols>
    <col min="43" max="43" width="0.85546875" style="8" customWidth="1"/>
    <col min="44" max="44" width="1" customWidth="1"/>
    <col min="45" max="45" width="1.28515625" customWidth="1"/>
    <col min="102" max="103" width="5.42578125" customWidth="1"/>
    <col min="104" max="104" width="7" customWidth="1"/>
    <col min="105" max="105" width="9" customWidth="1"/>
    <col min="106" max="118" width="5.42578125" customWidth="1"/>
  </cols>
  <sheetData>
    <row r="1" spans="1:92" x14ac:dyDescent="0.25">
      <c r="A1" s="7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6"/>
      <c r="AR1" s="2"/>
      <c r="AS1" s="3"/>
      <c r="AT1" s="122">
        <v>30</v>
      </c>
      <c r="AU1" s="122"/>
      <c r="AV1" s="122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9"/>
    </row>
    <row r="2" spans="1:92" x14ac:dyDescent="0.25">
      <c r="A2" s="8"/>
      <c r="AQ2" s="5"/>
      <c r="AR2" s="4"/>
      <c r="AS2" s="4"/>
      <c r="AT2" s="121"/>
      <c r="AU2" s="121"/>
      <c r="AV2" s="121"/>
      <c r="CN2" s="10"/>
    </row>
    <row r="3" spans="1:92" x14ac:dyDescent="0.25">
      <c r="A3" s="8"/>
      <c r="AQ3" s="6"/>
      <c r="CN3" s="10"/>
    </row>
    <row r="4" spans="1:92" x14ac:dyDescent="0.25">
      <c r="A4" s="8"/>
      <c r="AQ4" s="6"/>
      <c r="CN4" s="10"/>
    </row>
    <row r="5" spans="1:92" x14ac:dyDescent="0.25">
      <c r="A5" s="8"/>
      <c r="AQ5" s="6"/>
      <c r="CN5" s="10"/>
    </row>
    <row r="6" spans="1:92" x14ac:dyDescent="0.25">
      <c r="A6" s="8"/>
      <c r="AQ6" s="5"/>
      <c r="AR6" s="1"/>
      <c r="AS6" s="4"/>
      <c r="AT6" s="121">
        <v>25</v>
      </c>
      <c r="AU6" s="121"/>
      <c r="AV6" s="121"/>
      <c r="CN6" s="10"/>
    </row>
    <row r="7" spans="1:92" x14ac:dyDescent="0.25">
      <c r="A7" s="8"/>
      <c r="AQ7" s="5"/>
      <c r="AR7" s="4"/>
      <c r="AS7" s="4"/>
      <c r="AT7" s="121"/>
      <c r="AU7" s="121"/>
      <c r="AV7" s="121"/>
      <c r="CN7" s="10"/>
    </row>
    <row r="8" spans="1:92" x14ac:dyDescent="0.25">
      <c r="A8" s="8"/>
      <c r="AQ8" s="6"/>
      <c r="CN8" s="10"/>
    </row>
    <row r="9" spans="1:92" x14ac:dyDescent="0.25">
      <c r="A9" s="8"/>
      <c r="AQ9" s="6"/>
      <c r="CN9" s="10"/>
    </row>
    <row r="10" spans="1:92" x14ac:dyDescent="0.25">
      <c r="A10" s="8"/>
      <c r="AQ10" s="6"/>
      <c r="CN10" s="10"/>
    </row>
    <row r="11" spans="1:92" x14ac:dyDescent="0.25">
      <c r="A11" s="8"/>
      <c r="AQ11" s="5"/>
      <c r="AR11" s="1"/>
      <c r="AS11" s="4"/>
      <c r="AT11" s="121">
        <v>20</v>
      </c>
      <c r="AU11" s="121"/>
      <c r="AV11" s="121"/>
      <c r="CN11" s="10"/>
    </row>
    <row r="12" spans="1:92" x14ac:dyDescent="0.25">
      <c r="A12" s="8"/>
      <c r="AQ12" s="5"/>
      <c r="AR12" s="4"/>
      <c r="AS12" s="4"/>
      <c r="AT12" s="121"/>
      <c r="AU12" s="121"/>
      <c r="AV12" s="121"/>
      <c r="CN12" s="10"/>
    </row>
    <row r="13" spans="1:92" x14ac:dyDescent="0.25">
      <c r="A13" s="8"/>
      <c r="AQ13" s="6"/>
      <c r="CN13" s="10"/>
    </row>
    <row r="14" spans="1:92" x14ac:dyDescent="0.25">
      <c r="A14" s="8"/>
      <c r="AQ14" s="6"/>
      <c r="CN14" s="10"/>
    </row>
    <row r="15" spans="1:92" x14ac:dyDescent="0.25">
      <c r="A15" s="8"/>
      <c r="AQ15" s="7"/>
      <c r="CN15" s="10"/>
    </row>
    <row r="16" spans="1:92" x14ac:dyDescent="0.25">
      <c r="A16" s="8"/>
      <c r="AQ16" s="6"/>
      <c r="AR16" s="1"/>
      <c r="AT16" s="121">
        <v>15</v>
      </c>
      <c r="AU16" s="121"/>
      <c r="AV16" s="121"/>
      <c r="CN16" s="10"/>
    </row>
    <row r="17" spans="1:92" x14ac:dyDescent="0.25">
      <c r="A17" s="8"/>
      <c r="AQ17" s="5"/>
      <c r="AR17" s="4"/>
      <c r="AT17" s="121"/>
      <c r="AU17" s="121"/>
      <c r="AV17" s="121"/>
      <c r="CN17" s="10"/>
    </row>
    <row r="18" spans="1:92" x14ac:dyDescent="0.25">
      <c r="A18" s="8"/>
      <c r="AQ18" s="5"/>
      <c r="CN18" s="10"/>
    </row>
    <row r="19" spans="1:92" x14ac:dyDescent="0.25">
      <c r="A19" s="8"/>
      <c r="AQ19" s="6"/>
      <c r="CN19" s="10"/>
    </row>
    <row r="20" spans="1:92" x14ac:dyDescent="0.25">
      <c r="A20" s="8"/>
      <c r="AQ20" s="6"/>
      <c r="CN20" s="10"/>
    </row>
    <row r="21" spans="1:92" x14ac:dyDescent="0.25">
      <c r="A21" s="8"/>
      <c r="AQ21" s="5"/>
      <c r="AR21" s="1"/>
      <c r="AS21" s="4"/>
      <c r="AT21" s="121">
        <v>10</v>
      </c>
      <c r="AU21" s="121"/>
      <c r="AV21" s="121"/>
      <c r="CN21" s="10"/>
    </row>
    <row r="22" spans="1:92" x14ac:dyDescent="0.25">
      <c r="A22" s="8"/>
      <c r="AQ22" s="5"/>
      <c r="AR22" s="4"/>
      <c r="AS22" s="4"/>
      <c r="AT22" s="121"/>
      <c r="AU22" s="121"/>
      <c r="AV22" s="121"/>
      <c r="CN22" s="10"/>
    </row>
    <row r="23" spans="1:92" x14ac:dyDescent="0.25">
      <c r="A23" s="8"/>
      <c r="AQ23" s="6"/>
      <c r="CN23" s="10"/>
    </row>
    <row r="24" spans="1:92" x14ac:dyDescent="0.25">
      <c r="A24" s="8"/>
      <c r="AQ24" s="6"/>
      <c r="CN24" s="10"/>
    </row>
    <row r="25" spans="1:92" x14ac:dyDescent="0.25">
      <c r="A25" s="8"/>
      <c r="AQ25" s="6"/>
      <c r="CN25" s="10"/>
    </row>
    <row r="26" spans="1:92" x14ac:dyDescent="0.25">
      <c r="A26" s="8"/>
      <c r="AQ26" s="5"/>
      <c r="AR26" s="1"/>
      <c r="AS26" s="4"/>
      <c r="AT26" s="121" t="s">
        <v>0</v>
      </c>
      <c r="AU26" s="121"/>
      <c r="AV26" s="121"/>
      <c r="CN26" s="10"/>
    </row>
    <row r="27" spans="1:92" x14ac:dyDescent="0.25">
      <c r="A27" s="8"/>
      <c r="AQ27" s="5"/>
      <c r="AR27" s="4"/>
      <c r="AS27" s="4"/>
      <c r="AT27" s="121"/>
      <c r="AU27" s="121"/>
      <c r="AV27" s="121"/>
      <c r="CN27" s="10"/>
    </row>
    <row r="28" spans="1:92" x14ac:dyDescent="0.25">
      <c r="A28" s="8"/>
      <c r="AQ28" s="6"/>
      <c r="CN28" s="10"/>
    </row>
    <row r="29" spans="1:92" x14ac:dyDescent="0.25">
      <c r="A29" s="8"/>
      <c r="AQ29" s="6"/>
      <c r="CN29" s="10"/>
    </row>
    <row r="30" spans="1:92" x14ac:dyDescent="0.25">
      <c r="A30" s="8"/>
      <c r="AQ30" s="6"/>
      <c r="CN30" s="10"/>
    </row>
    <row r="31" spans="1:92" s="1" customFormat="1" x14ac:dyDescent="0.25">
      <c r="A31" s="5"/>
      <c r="AQ31" s="6"/>
      <c r="CN31" s="11"/>
    </row>
    <row r="32" spans="1:92" x14ac:dyDescent="0.25">
      <c r="A32" s="8"/>
      <c r="AQ32" s="5"/>
      <c r="AR32" s="4"/>
      <c r="AS32" s="4"/>
      <c r="AT32" s="4"/>
      <c r="AU32" s="4"/>
      <c r="AV32" s="4"/>
      <c r="CN32" s="10"/>
    </row>
    <row r="33" spans="1:122" x14ac:dyDescent="0.25">
      <c r="A33" s="8"/>
      <c r="AQ33" s="6"/>
      <c r="CN33" s="10"/>
    </row>
    <row r="34" spans="1:122" x14ac:dyDescent="0.25">
      <c r="A34" s="8"/>
      <c r="AQ34" s="6"/>
      <c r="CN34" s="10"/>
    </row>
    <row r="35" spans="1:122" x14ac:dyDescent="0.25">
      <c r="A35" s="8"/>
      <c r="AQ35" s="6"/>
      <c r="BO35" s="4"/>
      <c r="CN35" s="10"/>
    </row>
    <row r="36" spans="1:122" x14ac:dyDescent="0.25">
      <c r="A36" s="8"/>
      <c r="AQ36" s="5"/>
      <c r="AR36" s="1"/>
      <c r="AS36" s="4"/>
      <c r="AT36" s="121">
        <v>55</v>
      </c>
      <c r="AU36" s="121"/>
      <c r="AV36" s="121"/>
      <c r="CN36" s="10"/>
    </row>
    <row r="37" spans="1:122" x14ac:dyDescent="0.25">
      <c r="A37" s="8"/>
      <c r="AQ37" s="5"/>
      <c r="AR37" s="4"/>
      <c r="AS37" s="4"/>
      <c r="AT37" s="121"/>
      <c r="AU37" s="121"/>
      <c r="AV37" s="121"/>
      <c r="CN37" s="10"/>
    </row>
    <row r="38" spans="1:122" x14ac:dyDescent="0.25">
      <c r="A38" s="8"/>
      <c r="AQ38" s="6"/>
      <c r="CN38" s="10"/>
    </row>
    <row r="39" spans="1:122" x14ac:dyDescent="0.25">
      <c r="A39" s="8"/>
      <c r="AQ39" s="6"/>
      <c r="CN39" s="10"/>
    </row>
    <row r="40" spans="1:122" x14ac:dyDescent="0.25">
      <c r="A40" s="8"/>
      <c r="AQ40" s="6"/>
      <c r="CN40" s="10"/>
    </row>
    <row r="41" spans="1:122" x14ac:dyDescent="0.25">
      <c r="A41" s="8"/>
      <c r="AQ41" s="5"/>
      <c r="AR41" s="1"/>
      <c r="AS41" s="4"/>
      <c r="AT41" s="121">
        <v>50</v>
      </c>
      <c r="AU41" s="121"/>
      <c r="AV41" s="121"/>
      <c r="CN41" s="10"/>
    </row>
    <row r="42" spans="1:122" x14ac:dyDescent="0.25">
      <c r="A42" s="8"/>
      <c r="AQ42" s="5"/>
      <c r="AR42" s="4"/>
      <c r="AS42" s="4"/>
      <c r="AT42" s="121"/>
      <c r="AU42" s="121"/>
      <c r="AV42" s="121"/>
      <c r="CN42" s="10"/>
    </row>
    <row r="43" spans="1:122" x14ac:dyDescent="0.25">
      <c r="A43" s="8"/>
      <c r="AQ43" s="6"/>
      <c r="CN43" s="10"/>
    </row>
    <row r="44" spans="1:122" x14ac:dyDescent="0.25">
      <c r="A44" s="8"/>
      <c r="AQ44" s="6"/>
      <c r="CN44" s="10"/>
    </row>
    <row r="45" spans="1:122" x14ac:dyDescent="0.25">
      <c r="A45" s="8"/>
      <c r="AQ45" s="7"/>
      <c r="CN45" s="10"/>
    </row>
    <row r="46" spans="1:122" x14ac:dyDescent="0.25">
      <c r="A46" s="8"/>
      <c r="AQ46" s="6"/>
      <c r="AR46" s="1"/>
      <c r="AT46" s="121">
        <v>45</v>
      </c>
      <c r="AU46" s="121"/>
      <c r="AV46" s="121"/>
      <c r="CN46" s="10"/>
      <c r="CY46" t="s">
        <v>1</v>
      </c>
      <c r="CZ46">
        <v>0</v>
      </c>
      <c r="DA46">
        <f>CZ46+5</f>
        <v>5</v>
      </c>
      <c r="DB46">
        <f t="shared" ref="DB46:DO46" si="0">DA46+5</f>
        <v>10</v>
      </c>
      <c r="DC46">
        <f t="shared" si="0"/>
        <v>15</v>
      </c>
      <c r="DD46">
        <f t="shared" si="0"/>
        <v>20</v>
      </c>
      <c r="DE46">
        <f t="shared" si="0"/>
        <v>25</v>
      </c>
      <c r="DF46">
        <f t="shared" si="0"/>
        <v>30</v>
      </c>
      <c r="DG46">
        <f t="shared" si="0"/>
        <v>35</v>
      </c>
      <c r="DH46">
        <f t="shared" si="0"/>
        <v>40</v>
      </c>
      <c r="DI46">
        <f t="shared" si="0"/>
        <v>45</v>
      </c>
      <c r="DJ46">
        <f t="shared" si="0"/>
        <v>50</v>
      </c>
      <c r="DK46">
        <f t="shared" si="0"/>
        <v>55</v>
      </c>
      <c r="DL46">
        <f t="shared" si="0"/>
        <v>60</v>
      </c>
      <c r="DM46">
        <f t="shared" si="0"/>
        <v>65</v>
      </c>
      <c r="DN46">
        <f t="shared" si="0"/>
        <v>70</v>
      </c>
      <c r="DO46">
        <f t="shared" si="0"/>
        <v>75</v>
      </c>
      <c r="DP46">
        <f t="shared" ref="DP46:DR46" si="1">DO46+5</f>
        <v>80</v>
      </c>
      <c r="DQ46">
        <f t="shared" si="1"/>
        <v>85</v>
      </c>
      <c r="DR46">
        <f t="shared" si="1"/>
        <v>90</v>
      </c>
    </row>
    <row r="47" spans="1:122" x14ac:dyDescent="0.25">
      <c r="A47" s="8"/>
      <c r="AQ47" s="5"/>
      <c r="AR47" s="4"/>
      <c r="AT47" s="121"/>
      <c r="AU47" s="121"/>
      <c r="AV47" s="121"/>
      <c r="CN47" s="10"/>
      <c r="CY47" t="s">
        <v>2</v>
      </c>
      <c r="CZ47">
        <f>15*COS(CZ$46 * PI()/180)</f>
        <v>15</v>
      </c>
      <c r="DA47">
        <f t="shared" ref="DA47:DR47" si="2">15*COS(DA$46 * PI()/180)</f>
        <v>14.942920471376183</v>
      </c>
      <c r="DB47">
        <f t="shared" si="2"/>
        <v>14.772116295183121</v>
      </c>
      <c r="DC47">
        <f t="shared" si="2"/>
        <v>14.488887394336025</v>
      </c>
      <c r="DD47">
        <f t="shared" si="2"/>
        <v>14.095389311788626</v>
      </c>
      <c r="DE47">
        <f t="shared" si="2"/>
        <v>13.59461680554975</v>
      </c>
      <c r="DF47">
        <f t="shared" si="2"/>
        <v>12.99038105676658</v>
      </c>
      <c r="DG47">
        <f t="shared" si="2"/>
        <v>12.287280664334878</v>
      </c>
      <c r="DH47">
        <f t="shared" si="2"/>
        <v>11.490666646784669</v>
      </c>
      <c r="DI47">
        <f t="shared" si="2"/>
        <v>10.606601717798213</v>
      </c>
      <c r="DJ47">
        <f t="shared" si="2"/>
        <v>9.6418141452980901</v>
      </c>
      <c r="DK47">
        <f t="shared" si="2"/>
        <v>8.6036465452656916</v>
      </c>
      <c r="DL47">
        <f t="shared" si="2"/>
        <v>7.5000000000000018</v>
      </c>
      <c r="DM47">
        <f t="shared" si="2"/>
        <v>6.3392739261104918</v>
      </c>
      <c r="DN47">
        <f t="shared" si="2"/>
        <v>5.1303021498850327</v>
      </c>
      <c r="DO47">
        <f t="shared" si="2"/>
        <v>3.8822856765378111</v>
      </c>
      <c r="DP47">
        <f t="shared" si="2"/>
        <v>2.6047226650039561</v>
      </c>
      <c r="DQ47">
        <f t="shared" si="2"/>
        <v>1.3073361412148721</v>
      </c>
      <c r="DR47">
        <f t="shared" si="2"/>
        <v>9.1886134118146501E-16</v>
      </c>
    </row>
    <row r="48" spans="1:122" x14ac:dyDescent="0.25">
      <c r="A48" s="8"/>
      <c r="AQ48" s="5"/>
      <c r="CN48" s="10"/>
      <c r="CY48" t="s">
        <v>2</v>
      </c>
      <c r="CZ48">
        <f>10*COS(CZ$46 * PI()/180)</f>
        <v>10</v>
      </c>
      <c r="DA48">
        <f t="shared" ref="DA48:DR48" si="3">10*COS(DA$46 * PI()/180)</f>
        <v>9.961946980917455</v>
      </c>
      <c r="DB48">
        <f t="shared" si="3"/>
        <v>9.8480775301220795</v>
      </c>
      <c r="DC48">
        <f t="shared" si="3"/>
        <v>9.6592582628906829</v>
      </c>
      <c r="DD48">
        <f t="shared" si="3"/>
        <v>9.3969262078590852</v>
      </c>
      <c r="DE48">
        <f t="shared" si="3"/>
        <v>9.0630778703664987</v>
      </c>
      <c r="DF48">
        <f t="shared" si="3"/>
        <v>8.6602540378443873</v>
      </c>
      <c r="DG48">
        <f t="shared" si="3"/>
        <v>8.1915204428899173</v>
      </c>
      <c r="DH48">
        <f t="shared" si="3"/>
        <v>7.6604444311897799</v>
      </c>
      <c r="DI48">
        <f t="shared" si="3"/>
        <v>7.0710678118654755</v>
      </c>
      <c r="DJ48">
        <f t="shared" si="3"/>
        <v>6.4278760968653934</v>
      </c>
      <c r="DK48">
        <f t="shared" si="3"/>
        <v>5.7357643635104614</v>
      </c>
      <c r="DL48">
        <f t="shared" si="3"/>
        <v>5.0000000000000009</v>
      </c>
      <c r="DM48">
        <f t="shared" si="3"/>
        <v>4.2261826174069945</v>
      </c>
      <c r="DN48">
        <f t="shared" si="3"/>
        <v>3.4202014332566884</v>
      </c>
      <c r="DO48">
        <f t="shared" si="3"/>
        <v>2.5881904510252074</v>
      </c>
      <c r="DP48">
        <f t="shared" si="3"/>
        <v>1.7364817766693041</v>
      </c>
      <c r="DQ48">
        <f t="shared" si="3"/>
        <v>0.87155742747658138</v>
      </c>
      <c r="DR48">
        <f t="shared" si="3"/>
        <v>6.1257422745431001E-16</v>
      </c>
    </row>
    <row r="49" spans="1:122" x14ac:dyDescent="0.25">
      <c r="A49" s="8"/>
      <c r="AQ49" s="6"/>
      <c r="CN49" s="10"/>
      <c r="CY49" t="s">
        <v>2</v>
      </c>
      <c r="CZ49">
        <f>5*COS(CZ$46 * PI()/180)</f>
        <v>5</v>
      </c>
      <c r="DA49">
        <f t="shared" ref="DA49:DR49" si="4">5*COS(DA$46 * PI()/180)</f>
        <v>4.9809734904587275</v>
      </c>
      <c r="DB49">
        <f t="shared" si="4"/>
        <v>4.9240387650610398</v>
      </c>
      <c r="DC49">
        <f t="shared" si="4"/>
        <v>4.8296291314453415</v>
      </c>
      <c r="DD49">
        <f t="shared" si="4"/>
        <v>4.6984631039295426</v>
      </c>
      <c r="DE49">
        <f t="shared" si="4"/>
        <v>4.5315389351832494</v>
      </c>
      <c r="DF49">
        <f t="shared" si="4"/>
        <v>4.3301270189221936</v>
      </c>
      <c r="DG49">
        <f t="shared" si="4"/>
        <v>4.0957602214449587</v>
      </c>
      <c r="DH49">
        <f t="shared" si="4"/>
        <v>3.83022221559489</v>
      </c>
      <c r="DI49">
        <f t="shared" si="4"/>
        <v>3.5355339059327378</v>
      </c>
      <c r="DJ49">
        <f t="shared" si="4"/>
        <v>3.2139380484326967</v>
      </c>
      <c r="DK49">
        <f t="shared" si="4"/>
        <v>2.8678821817552307</v>
      </c>
      <c r="DL49">
        <f t="shared" si="4"/>
        <v>2.5000000000000004</v>
      </c>
      <c r="DM49">
        <f t="shared" si="4"/>
        <v>2.1130913087034973</v>
      </c>
      <c r="DN49">
        <f t="shared" si="4"/>
        <v>1.7101007166283442</v>
      </c>
      <c r="DO49">
        <f t="shared" si="4"/>
        <v>1.2940952255126037</v>
      </c>
      <c r="DP49">
        <f t="shared" si="4"/>
        <v>0.86824088833465207</v>
      </c>
      <c r="DQ49">
        <f t="shared" si="4"/>
        <v>0.43577871373829069</v>
      </c>
      <c r="DR49">
        <f t="shared" si="4"/>
        <v>3.06287113727155E-16</v>
      </c>
    </row>
    <row r="50" spans="1:122" x14ac:dyDescent="0.25">
      <c r="A50" s="8"/>
      <c r="AQ50" s="6"/>
      <c r="CN50" s="10"/>
      <c r="CY50" t="s">
        <v>2</v>
      </c>
      <c r="CZ50">
        <f>4*COS(CZ$46 * PI()/180)</f>
        <v>4</v>
      </c>
      <c r="DA50">
        <f t="shared" ref="DA50:DR50" si="5">4*COS(DA$46 * PI()/180)</f>
        <v>3.9847787923669822</v>
      </c>
      <c r="DB50">
        <f t="shared" si="5"/>
        <v>3.9392310120488321</v>
      </c>
      <c r="DC50">
        <f t="shared" si="5"/>
        <v>3.8637033051562732</v>
      </c>
      <c r="DD50">
        <f t="shared" si="5"/>
        <v>3.7587704831436337</v>
      </c>
      <c r="DE50">
        <f t="shared" si="5"/>
        <v>3.6252311481465997</v>
      </c>
      <c r="DF50">
        <f t="shared" si="5"/>
        <v>3.4641016151377548</v>
      </c>
      <c r="DG50">
        <f t="shared" si="5"/>
        <v>3.2766081771559672</v>
      </c>
      <c r="DH50">
        <f t="shared" si="5"/>
        <v>3.0641777724759121</v>
      </c>
      <c r="DI50">
        <f t="shared" si="5"/>
        <v>2.8284271247461903</v>
      </c>
      <c r="DJ50">
        <f t="shared" si="5"/>
        <v>2.5711504387461575</v>
      </c>
      <c r="DK50">
        <f t="shared" si="5"/>
        <v>2.2943057454041846</v>
      </c>
      <c r="DL50">
        <f t="shared" si="5"/>
        <v>2.0000000000000004</v>
      </c>
      <c r="DM50">
        <f t="shared" si="5"/>
        <v>1.6904730469627978</v>
      </c>
      <c r="DN50">
        <f t="shared" si="5"/>
        <v>1.3680805733026753</v>
      </c>
      <c r="DO50">
        <f t="shared" si="5"/>
        <v>1.035276180410083</v>
      </c>
      <c r="DP50">
        <f t="shared" si="5"/>
        <v>0.69459271066772166</v>
      </c>
      <c r="DQ50">
        <f t="shared" si="5"/>
        <v>0.34862297099063255</v>
      </c>
      <c r="DR50">
        <f t="shared" si="5"/>
        <v>2.45029690981724E-16</v>
      </c>
    </row>
    <row r="51" spans="1:122" x14ac:dyDescent="0.25">
      <c r="A51" s="8"/>
      <c r="AQ51" s="5"/>
      <c r="AR51" s="1"/>
      <c r="AS51" s="4"/>
      <c r="AT51" s="121">
        <v>40</v>
      </c>
      <c r="AU51" s="121"/>
      <c r="AV51" s="121"/>
      <c r="CN51" s="10"/>
      <c r="CY51" t="s">
        <v>2</v>
      </c>
      <c r="CZ51">
        <f>3*COS(CZ$46 * PI()/180)</f>
        <v>3</v>
      </c>
      <c r="DA51">
        <f t="shared" ref="DA51:DR51" si="6">3*COS(DA$46 * PI()/180)</f>
        <v>2.9885840942752369</v>
      </c>
      <c r="DB51">
        <f t="shared" si="6"/>
        <v>2.9544232590366239</v>
      </c>
      <c r="DC51">
        <f t="shared" si="6"/>
        <v>2.897777478867205</v>
      </c>
      <c r="DD51">
        <f t="shared" si="6"/>
        <v>2.8190778623577253</v>
      </c>
      <c r="DE51">
        <f t="shared" si="6"/>
        <v>2.7189233611099497</v>
      </c>
      <c r="DF51">
        <f t="shared" si="6"/>
        <v>2.598076211353316</v>
      </c>
      <c r="DG51">
        <f t="shared" si="6"/>
        <v>2.4574561328669753</v>
      </c>
      <c r="DH51">
        <f t="shared" si="6"/>
        <v>2.2981333293569342</v>
      </c>
      <c r="DI51">
        <f t="shared" si="6"/>
        <v>2.1213203435596428</v>
      </c>
      <c r="DJ51">
        <f t="shared" si="6"/>
        <v>1.9283628290596182</v>
      </c>
      <c r="DK51">
        <f t="shared" si="6"/>
        <v>1.7207293090531386</v>
      </c>
      <c r="DL51">
        <f t="shared" si="6"/>
        <v>1.5000000000000004</v>
      </c>
      <c r="DM51">
        <f t="shared" si="6"/>
        <v>1.2678547852220983</v>
      </c>
      <c r="DN51">
        <f t="shared" si="6"/>
        <v>1.0260604299770064</v>
      </c>
      <c r="DO51">
        <f t="shared" si="6"/>
        <v>0.77645713530756222</v>
      </c>
      <c r="DP51">
        <f t="shared" si="6"/>
        <v>0.52094453300079124</v>
      </c>
      <c r="DQ51">
        <f t="shared" si="6"/>
        <v>0.26146722824297441</v>
      </c>
      <c r="DR51">
        <f t="shared" si="6"/>
        <v>1.83772268236293E-16</v>
      </c>
    </row>
    <row r="52" spans="1:122" x14ac:dyDescent="0.25">
      <c r="A52" s="8"/>
      <c r="AQ52" s="5"/>
      <c r="AR52" s="4"/>
      <c r="AS52" s="4"/>
      <c r="AT52" s="121"/>
      <c r="AU52" s="121"/>
      <c r="AV52" s="121"/>
      <c r="CN52" s="10"/>
      <c r="CY52" t="s">
        <v>2</v>
      </c>
      <c r="CZ52">
        <f>2*COS(CZ$46 * PI()/180)</f>
        <v>2</v>
      </c>
      <c r="DA52">
        <f t="shared" ref="DA52:DR52" si="7">2*COS(DA$46 * PI()/180)</f>
        <v>1.9923893961834911</v>
      </c>
      <c r="DB52">
        <f t="shared" si="7"/>
        <v>1.969615506024416</v>
      </c>
      <c r="DC52">
        <f t="shared" si="7"/>
        <v>1.9318516525781366</v>
      </c>
      <c r="DD52">
        <f t="shared" si="7"/>
        <v>1.8793852415718169</v>
      </c>
      <c r="DE52">
        <f t="shared" si="7"/>
        <v>1.8126155740732999</v>
      </c>
      <c r="DF52">
        <f t="shared" si="7"/>
        <v>1.7320508075688774</v>
      </c>
      <c r="DG52">
        <f t="shared" si="7"/>
        <v>1.6383040885779836</v>
      </c>
      <c r="DH52">
        <f t="shared" si="7"/>
        <v>1.532088886237956</v>
      </c>
      <c r="DI52">
        <f t="shared" si="7"/>
        <v>1.4142135623730951</v>
      </c>
      <c r="DJ52">
        <f t="shared" si="7"/>
        <v>1.2855752193730787</v>
      </c>
      <c r="DK52">
        <f t="shared" si="7"/>
        <v>1.1471528727020923</v>
      </c>
      <c r="DL52">
        <f t="shared" si="7"/>
        <v>1.0000000000000002</v>
      </c>
      <c r="DM52">
        <f t="shared" si="7"/>
        <v>0.84523652348139888</v>
      </c>
      <c r="DN52">
        <f t="shared" si="7"/>
        <v>0.68404028665133765</v>
      </c>
      <c r="DO52">
        <f t="shared" si="7"/>
        <v>0.51763809020504148</v>
      </c>
      <c r="DP52">
        <f t="shared" si="7"/>
        <v>0.34729635533386083</v>
      </c>
      <c r="DQ52">
        <f t="shared" si="7"/>
        <v>0.17431148549531628</v>
      </c>
      <c r="DR52">
        <f t="shared" si="7"/>
        <v>1.22514845490862E-16</v>
      </c>
    </row>
    <row r="53" spans="1:122" x14ac:dyDescent="0.25">
      <c r="A53" s="8"/>
      <c r="AQ53" s="6"/>
      <c r="CN53" s="10"/>
      <c r="CY53" t="s">
        <v>2</v>
      </c>
      <c r="CZ53">
        <f>1*COS(CZ$46 * PI()/180)</f>
        <v>1</v>
      </c>
      <c r="DA53">
        <f t="shared" ref="DA53:DR53" si="8">1*COS(DA$46 * PI()/180)</f>
        <v>0.99619469809174555</v>
      </c>
      <c r="DB53">
        <f t="shared" si="8"/>
        <v>0.98480775301220802</v>
      </c>
      <c r="DC53">
        <f t="shared" si="8"/>
        <v>0.96592582628906831</v>
      </c>
      <c r="DD53">
        <f t="shared" si="8"/>
        <v>0.93969262078590843</v>
      </c>
      <c r="DE53">
        <f t="shared" si="8"/>
        <v>0.90630778703664994</v>
      </c>
      <c r="DF53">
        <f t="shared" si="8"/>
        <v>0.86602540378443871</v>
      </c>
      <c r="DG53">
        <f t="shared" si="8"/>
        <v>0.8191520442889918</v>
      </c>
      <c r="DH53">
        <f t="shared" si="8"/>
        <v>0.76604444311897801</v>
      </c>
      <c r="DI53">
        <f t="shared" si="8"/>
        <v>0.70710678118654757</v>
      </c>
      <c r="DJ53">
        <f t="shared" si="8"/>
        <v>0.64278760968653936</v>
      </c>
      <c r="DK53">
        <f t="shared" si="8"/>
        <v>0.57357643635104616</v>
      </c>
      <c r="DL53">
        <f t="shared" si="8"/>
        <v>0.50000000000000011</v>
      </c>
      <c r="DM53">
        <f t="shared" si="8"/>
        <v>0.42261826174069944</v>
      </c>
      <c r="DN53">
        <f t="shared" si="8"/>
        <v>0.34202014332566882</v>
      </c>
      <c r="DO53">
        <f t="shared" si="8"/>
        <v>0.25881904510252074</v>
      </c>
      <c r="DP53">
        <f t="shared" si="8"/>
        <v>0.17364817766693041</v>
      </c>
      <c r="DQ53">
        <f t="shared" si="8"/>
        <v>8.7155742747658138E-2</v>
      </c>
      <c r="DR53">
        <f t="shared" si="8"/>
        <v>6.1257422745431001E-17</v>
      </c>
    </row>
    <row r="54" spans="1:122" x14ac:dyDescent="0.25">
      <c r="A54" s="8"/>
      <c r="AQ54" s="6"/>
      <c r="CN54" s="10"/>
      <c r="CY54" t="s">
        <v>2</v>
      </c>
      <c r="CZ54">
        <f>0*COS(CZ$46 * PI()/180)</f>
        <v>0</v>
      </c>
      <c r="DA54">
        <f t="shared" ref="DA54:DR54" si="9">0*COS(DA$46 * PI()/180)</f>
        <v>0</v>
      </c>
      <c r="DB54">
        <f t="shared" si="9"/>
        <v>0</v>
      </c>
      <c r="DC54">
        <f t="shared" si="9"/>
        <v>0</v>
      </c>
      <c r="DD54">
        <f t="shared" si="9"/>
        <v>0</v>
      </c>
      <c r="DE54">
        <f t="shared" si="9"/>
        <v>0</v>
      </c>
      <c r="DF54">
        <f t="shared" si="9"/>
        <v>0</v>
      </c>
      <c r="DG54">
        <f t="shared" si="9"/>
        <v>0</v>
      </c>
      <c r="DH54">
        <f t="shared" si="9"/>
        <v>0</v>
      </c>
      <c r="DI54">
        <f t="shared" si="9"/>
        <v>0</v>
      </c>
      <c r="DJ54">
        <f t="shared" si="9"/>
        <v>0</v>
      </c>
      <c r="DK54">
        <f t="shared" si="9"/>
        <v>0</v>
      </c>
      <c r="DL54">
        <f t="shared" si="9"/>
        <v>0</v>
      </c>
      <c r="DM54">
        <f t="shared" si="9"/>
        <v>0</v>
      </c>
      <c r="DN54">
        <f t="shared" si="9"/>
        <v>0</v>
      </c>
      <c r="DO54">
        <f t="shared" si="9"/>
        <v>0</v>
      </c>
      <c r="DP54">
        <f t="shared" si="9"/>
        <v>0</v>
      </c>
      <c r="DQ54">
        <f t="shared" si="9"/>
        <v>0</v>
      </c>
      <c r="DR54">
        <f t="shared" si="9"/>
        <v>0</v>
      </c>
    </row>
    <row r="55" spans="1:122" x14ac:dyDescent="0.25">
      <c r="A55" s="8"/>
      <c r="AQ55" s="6"/>
      <c r="CN55" s="10"/>
    </row>
    <row r="56" spans="1:122" x14ac:dyDescent="0.25">
      <c r="A56" s="8"/>
      <c r="AQ56" s="5"/>
      <c r="AR56" s="1"/>
      <c r="AS56" s="4"/>
      <c r="AT56" s="121">
        <v>35</v>
      </c>
      <c r="AU56" s="121"/>
      <c r="AV56" s="121"/>
      <c r="CN56" s="10"/>
    </row>
    <row r="57" spans="1:122" x14ac:dyDescent="0.25">
      <c r="A57" s="8"/>
      <c r="AQ57" s="5"/>
      <c r="AR57" s="4"/>
      <c r="AS57" s="4"/>
      <c r="AT57" s="121"/>
      <c r="AU57" s="121"/>
      <c r="AV57" s="121"/>
      <c r="CN57" s="10"/>
    </row>
    <row r="58" spans="1:122" x14ac:dyDescent="0.25">
      <c r="A58" s="8"/>
      <c r="AQ58" s="6"/>
      <c r="CN58" s="10"/>
    </row>
    <row r="59" spans="1:122" x14ac:dyDescent="0.25">
      <c r="A59" s="8"/>
      <c r="AQ59" s="6"/>
      <c r="CN59" s="10"/>
    </row>
    <row r="60" spans="1:122" x14ac:dyDescent="0.25">
      <c r="A60" s="8"/>
      <c r="AQ60" s="6"/>
      <c r="CN60" s="10"/>
    </row>
    <row r="61" spans="1:122" x14ac:dyDescent="0.25">
      <c r="A61" s="8"/>
      <c r="AQ61" s="6"/>
      <c r="AR61" s="1"/>
      <c r="AT61" s="121">
        <v>30</v>
      </c>
      <c r="AU61" s="121"/>
      <c r="AV61" s="121"/>
      <c r="CN61" s="10"/>
    </row>
    <row r="62" spans="1:122" x14ac:dyDescent="0.25">
      <c r="A62" s="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5"/>
      <c r="AR62" s="1"/>
      <c r="AS62" s="1"/>
      <c r="AT62" s="123"/>
      <c r="AU62" s="123"/>
      <c r="AV62" s="123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1"/>
    </row>
  </sheetData>
  <mergeCells count="12">
    <mergeCell ref="AT56:AV57"/>
    <mergeCell ref="AT61:AV62"/>
    <mergeCell ref="AT36:AV37"/>
    <mergeCell ref="AT41:AV42"/>
    <mergeCell ref="AT46:AV47"/>
    <mergeCell ref="AT51:AV52"/>
    <mergeCell ref="AT26:AV27"/>
    <mergeCell ref="AT1:AV2"/>
    <mergeCell ref="AT6:AV7"/>
    <mergeCell ref="AT11:AV12"/>
    <mergeCell ref="AT16:AV17"/>
    <mergeCell ref="AT21:AV22"/>
  </mergeCells>
  <printOptions horizontalCentered="1" verticalCentered="1"/>
  <pageMargins left="0" right="0" top="0" bottom="0" header="0" footer="0"/>
  <pageSetup paperSize="9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Notations</vt:lpstr>
      <vt:lpstr>Sud - 10 Milles</vt:lpstr>
      <vt:lpstr>Sud - 5 Milles</vt:lpstr>
      <vt:lpstr>Sud - X Mn</vt:lpstr>
      <vt:lpstr>Nord - X Mn</vt:lpstr>
      <vt:lpstr>Nord - 5 Milles</vt:lpstr>
      <vt:lpstr>Nord - 10 Milles</vt:lpstr>
      <vt:lpstr>Sud</vt:lpstr>
      <vt:lpstr>Sheet1</vt:lpstr>
      <vt:lpstr>'Nord - 10 Milles'!Print_Area</vt:lpstr>
      <vt:lpstr>'Nord - 5 Milles'!Print_Area</vt:lpstr>
      <vt:lpstr>'Nord - X Mn'!Print_Area</vt:lpstr>
      <vt:lpstr>Notations!Print_Area</vt:lpstr>
      <vt:lpstr>Sheet1!Print_Area</vt:lpstr>
      <vt:lpstr>Sud!Print_Area</vt:lpstr>
      <vt:lpstr>'Sud - 10 Milles'!Print_Area</vt:lpstr>
      <vt:lpstr>'Sud - 5 Milles'!Print_Area</vt:lpstr>
      <vt:lpstr>'Sud - X Mn'!Print_Area</vt:lpstr>
    </vt:vector>
  </TitlesOfParts>
  <Company>DASSAULT SYSTEMES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FAGES Pierre</dc:creator>
  <cp:lastModifiedBy>FAGES Pierre</cp:lastModifiedBy>
  <cp:lastPrinted>2026-09-30T13:08:55Z</cp:lastPrinted>
  <dcterms:created xsi:type="dcterms:W3CDTF">2024-08-01T10:36:08Z</dcterms:created>
  <dcterms:modified xsi:type="dcterms:W3CDTF">2026-09-30T13:12:05Z</dcterms:modified>
</cp:coreProperties>
</file>