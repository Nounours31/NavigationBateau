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WorkSpaces\WS\GitHub\Navigation\NavigationBateau\ProjetXLS\"/>
    </mc:Choice>
  </mc:AlternateContent>
  <xr:revisionPtr revIDLastSave="0" documentId="13_ncr:1_{D85CF5C4-059B-4DFC-967F-7BA0F27CD48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d" sheetId="3" r:id="rId1"/>
    <sheet name="Nord" sheetId="2" r:id="rId2"/>
    <sheet name="Sheet1" sheetId="1" r:id="rId3"/>
  </sheets>
  <definedNames>
    <definedName name="_xlnm.Print_Area" localSheetId="1">Nord!$S$1:$CB$99</definedName>
    <definedName name="_xlnm.Print_Area" localSheetId="2">Sheet1!$A$1:$CN$62</definedName>
    <definedName name="_xlnm.Print_Area" localSheetId="0">Sud!$S$1:$CB$99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11" i="3" l="1"/>
  <c r="W110" i="3"/>
  <c r="W109" i="3"/>
  <c r="W108" i="3"/>
  <c r="W107" i="3"/>
  <c r="W106" i="3"/>
  <c r="W105" i="3"/>
  <c r="W104" i="3"/>
  <c r="X103" i="3"/>
  <c r="X111" i="3" s="1"/>
  <c r="W111" i="2"/>
  <c r="W110" i="2"/>
  <c r="W109" i="2"/>
  <c r="W108" i="2"/>
  <c r="W107" i="2"/>
  <c r="W106" i="2"/>
  <c r="W105" i="2"/>
  <c r="W104" i="2"/>
  <c r="X103" i="2"/>
  <c r="X106" i="2" s="1"/>
  <c r="CZ54" i="1"/>
  <c r="CZ53" i="1"/>
  <c r="CZ52" i="1"/>
  <c r="CZ51" i="1"/>
  <c r="CZ50" i="1"/>
  <c r="CZ49" i="1"/>
  <c r="CZ48" i="1"/>
  <c r="CZ47" i="1"/>
  <c r="DA46" i="1"/>
  <c r="DA51" i="1" s="1"/>
  <c r="Y103" i="3" l="1"/>
  <c r="X104" i="3"/>
  <c r="X106" i="3"/>
  <c r="X109" i="3"/>
  <c r="Y104" i="3"/>
  <c r="X107" i="3"/>
  <c r="Y107" i="3"/>
  <c r="X110" i="3"/>
  <c r="Y109" i="3"/>
  <c r="X105" i="3"/>
  <c r="Y110" i="3"/>
  <c r="Y105" i="3"/>
  <c r="X108" i="3"/>
  <c r="Y108" i="3"/>
  <c r="DA50" i="1"/>
  <c r="DA48" i="1"/>
  <c r="DA52" i="1"/>
  <c r="DA53" i="1"/>
  <c r="DB46" i="1"/>
  <c r="DA49" i="1"/>
  <c r="DA54" i="1"/>
  <c r="DA47" i="1"/>
  <c r="X105" i="2"/>
  <c r="Y103" i="2"/>
  <c r="Y107" i="2" s="1"/>
  <c r="X109" i="2"/>
  <c r="X104" i="2"/>
  <c r="X107" i="2"/>
  <c r="X110" i="2"/>
  <c r="Y105" i="2"/>
  <c r="X108" i="2"/>
  <c r="Y108" i="2"/>
  <c r="X111" i="2"/>
  <c r="Y106" i="2" l="1"/>
  <c r="Y109" i="2"/>
  <c r="Y111" i="3"/>
  <c r="Z103" i="3"/>
  <c r="Y106" i="3"/>
  <c r="Y104" i="2"/>
  <c r="DC46" i="1"/>
  <c r="DB51" i="1"/>
  <c r="DB47" i="1"/>
  <c r="DB54" i="1"/>
  <c r="DB50" i="1"/>
  <c r="DB53" i="1"/>
  <c r="DB49" i="1"/>
  <c r="DB52" i="1"/>
  <c r="DB48" i="1"/>
  <c r="Y110" i="2"/>
  <c r="Y111" i="2"/>
  <c r="Z103" i="2"/>
  <c r="Z108" i="3" l="1"/>
  <c r="Z106" i="3"/>
  <c r="Z109" i="3"/>
  <c r="Z111" i="3"/>
  <c r="Z110" i="3"/>
  <c r="Z105" i="3"/>
  <c r="Z107" i="3"/>
  <c r="AA103" i="3"/>
  <c r="Z104" i="3"/>
  <c r="DC54" i="1"/>
  <c r="DC49" i="1"/>
  <c r="DC52" i="1"/>
  <c r="DC50" i="1"/>
  <c r="DC53" i="1"/>
  <c r="DC48" i="1"/>
  <c r="DC51" i="1"/>
  <c r="DC47" i="1"/>
  <c r="DD46" i="1"/>
  <c r="Z108" i="2"/>
  <c r="Z109" i="2"/>
  <c r="Z105" i="2"/>
  <c r="Z104" i="2"/>
  <c r="Z110" i="2"/>
  <c r="AA103" i="2"/>
  <c r="Z111" i="2"/>
  <c r="Z106" i="2"/>
  <c r="Z107" i="2"/>
  <c r="AA105" i="3" l="1"/>
  <c r="AA108" i="3"/>
  <c r="AA107" i="3"/>
  <c r="AA111" i="3"/>
  <c r="AA104" i="3"/>
  <c r="AA109" i="3"/>
  <c r="AA106" i="3"/>
  <c r="AB103" i="3"/>
  <c r="AA110" i="3"/>
  <c r="DD50" i="1"/>
  <c r="DD53" i="1"/>
  <c r="DD49" i="1"/>
  <c r="DD52" i="1"/>
  <c r="DD48" i="1"/>
  <c r="DD51" i="1"/>
  <c r="DD47" i="1"/>
  <c r="DD54" i="1"/>
  <c r="DE46" i="1"/>
  <c r="AA109" i="2"/>
  <c r="AA108" i="2"/>
  <c r="AA105" i="2"/>
  <c r="AA111" i="2"/>
  <c r="AA110" i="2"/>
  <c r="AB103" i="2"/>
  <c r="AA107" i="2"/>
  <c r="AA106" i="2"/>
  <c r="AA104" i="2"/>
  <c r="AB107" i="3" l="1"/>
  <c r="AB105" i="3"/>
  <c r="AB106" i="3"/>
  <c r="AB111" i="3"/>
  <c r="AB110" i="3"/>
  <c r="AB104" i="3"/>
  <c r="AB109" i="3"/>
  <c r="AB108" i="3"/>
  <c r="AC103" i="3"/>
  <c r="DE53" i="1"/>
  <c r="DE49" i="1"/>
  <c r="DE52" i="1"/>
  <c r="DE54" i="1"/>
  <c r="DE48" i="1"/>
  <c r="DE50" i="1"/>
  <c r="DE51" i="1"/>
  <c r="DE47" i="1"/>
  <c r="DF46" i="1"/>
  <c r="AB111" i="2"/>
  <c r="AB110" i="2"/>
  <c r="AB108" i="2"/>
  <c r="AB106" i="2"/>
  <c r="AC103" i="2"/>
  <c r="AB107" i="2"/>
  <c r="AB104" i="2"/>
  <c r="AB109" i="2"/>
  <c r="AB105" i="2"/>
  <c r="AC104" i="3" l="1"/>
  <c r="AC109" i="3"/>
  <c r="AC108" i="3"/>
  <c r="AC107" i="3"/>
  <c r="AC105" i="3"/>
  <c r="AC110" i="3"/>
  <c r="AC106" i="3"/>
  <c r="AC111" i="3"/>
  <c r="AD103" i="3"/>
  <c r="DF53" i="1"/>
  <c r="DF49" i="1"/>
  <c r="DF52" i="1"/>
  <c r="DF48" i="1"/>
  <c r="DF51" i="1"/>
  <c r="DF47" i="1"/>
  <c r="DF54" i="1"/>
  <c r="DF50" i="1"/>
  <c r="DG46" i="1"/>
  <c r="AC108" i="2"/>
  <c r="AC107" i="2"/>
  <c r="AC105" i="2"/>
  <c r="AC104" i="2"/>
  <c r="AC109" i="2"/>
  <c r="AC106" i="2"/>
  <c r="AD103" i="2"/>
  <c r="AC111" i="2"/>
  <c r="AC110" i="2"/>
  <c r="AD104" i="3" l="1"/>
  <c r="AD111" i="3"/>
  <c r="AD107" i="3"/>
  <c r="AD106" i="3"/>
  <c r="AD109" i="3"/>
  <c r="AE103" i="3"/>
  <c r="AD108" i="3"/>
  <c r="AD105" i="3"/>
  <c r="AD110" i="3"/>
  <c r="DG50" i="1"/>
  <c r="DG52" i="1"/>
  <c r="DG48" i="1"/>
  <c r="DG51" i="1"/>
  <c r="DG54" i="1"/>
  <c r="DG53" i="1"/>
  <c r="DG49" i="1"/>
  <c r="DG47" i="1"/>
  <c r="DH46" i="1"/>
  <c r="AD108" i="2"/>
  <c r="AD104" i="2"/>
  <c r="AD110" i="2"/>
  <c r="AD105" i="2"/>
  <c r="AE103" i="2"/>
  <c r="AD109" i="2"/>
  <c r="AD107" i="2"/>
  <c r="AD106" i="2"/>
  <c r="AD111" i="2"/>
  <c r="AE109" i="3" l="1"/>
  <c r="AF103" i="3"/>
  <c r="AE105" i="3"/>
  <c r="AE110" i="3"/>
  <c r="AE106" i="3"/>
  <c r="AE111" i="3"/>
  <c r="AE108" i="3"/>
  <c r="AE104" i="3"/>
  <c r="AE107" i="3"/>
  <c r="DH52" i="1"/>
  <c r="DH48" i="1"/>
  <c r="DH51" i="1"/>
  <c r="DH47" i="1"/>
  <c r="DH54" i="1"/>
  <c r="DH50" i="1"/>
  <c r="DH53" i="1"/>
  <c r="DH49" i="1"/>
  <c r="DI46" i="1"/>
  <c r="AE110" i="2"/>
  <c r="AE109" i="2"/>
  <c r="AE107" i="2"/>
  <c r="AE104" i="2"/>
  <c r="AE106" i="2"/>
  <c r="AF103" i="2"/>
  <c r="AE111" i="2"/>
  <c r="AE108" i="2"/>
  <c r="AE105" i="2"/>
  <c r="AF111" i="3" l="1"/>
  <c r="AF105" i="3"/>
  <c r="AF106" i="3"/>
  <c r="AF108" i="3"/>
  <c r="AF109" i="3"/>
  <c r="AF104" i="3"/>
  <c r="AG103" i="3"/>
  <c r="AF110" i="3"/>
  <c r="AF107" i="3"/>
  <c r="DI51" i="1"/>
  <c r="DI47" i="1"/>
  <c r="DI54" i="1"/>
  <c r="DI50" i="1"/>
  <c r="DI53" i="1"/>
  <c r="DI49" i="1"/>
  <c r="DI52" i="1"/>
  <c r="DI48" i="1"/>
  <c r="DJ46" i="1"/>
  <c r="AF107" i="2"/>
  <c r="AF106" i="2"/>
  <c r="AF104" i="2"/>
  <c r="AG103" i="2"/>
  <c r="AF111" i="2"/>
  <c r="AF109" i="2"/>
  <c r="AF108" i="2"/>
  <c r="AF105" i="2"/>
  <c r="AF110" i="2"/>
  <c r="AG111" i="3" l="1"/>
  <c r="AG108" i="3"/>
  <c r="AG110" i="3"/>
  <c r="AG104" i="3"/>
  <c r="AG105" i="3"/>
  <c r="AG107" i="3"/>
  <c r="AH103" i="3"/>
  <c r="AG106" i="3"/>
  <c r="AG109" i="3"/>
  <c r="DJ51" i="1"/>
  <c r="DJ47" i="1"/>
  <c r="DJ54" i="1"/>
  <c r="DJ50" i="1"/>
  <c r="DJ53" i="1"/>
  <c r="DJ49" i="1"/>
  <c r="DJ52" i="1"/>
  <c r="DJ48" i="1"/>
  <c r="DK46" i="1"/>
  <c r="AG104" i="2"/>
  <c r="AG111" i="2"/>
  <c r="AG109" i="2"/>
  <c r="AG108" i="2"/>
  <c r="AG105" i="2"/>
  <c r="AG106" i="2"/>
  <c r="AH103" i="2"/>
  <c r="AG107" i="2"/>
  <c r="AG110" i="2"/>
  <c r="AH108" i="3" l="1"/>
  <c r="AH104" i="3"/>
  <c r="AH107" i="3"/>
  <c r="AI103" i="3"/>
  <c r="AH111" i="3"/>
  <c r="AH105" i="3"/>
  <c r="AH110" i="3"/>
  <c r="AH106" i="3"/>
  <c r="AH109" i="3"/>
  <c r="DK54" i="1"/>
  <c r="DK50" i="1"/>
  <c r="DK48" i="1"/>
  <c r="DK49" i="1"/>
  <c r="DK52" i="1"/>
  <c r="DK51" i="1"/>
  <c r="DK47" i="1"/>
  <c r="DK53" i="1"/>
  <c r="DL46" i="1"/>
  <c r="AH109" i="2"/>
  <c r="AH108" i="2"/>
  <c r="AH106" i="2"/>
  <c r="AI103" i="2"/>
  <c r="AH110" i="2"/>
  <c r="AH105" i="2"/>
  <c r="AH104" i="2"/>
  <c r="AH111" i="2"/>
  <c r="AH107" i="2"/>
  <c r="AI105" i="3" l="1"/>
  <c r="AI110" i="3"/>
  <c r="AI108" i="3"/>
  <c r="AJ103" i="3"/>
  <c r="AI107" i="3"/>
  <c r="AI106" i="3"/>
  <c r="AI111" i="3"/>
  <c r="AI109" i="3"/>
  <c r="AI104" i="3"/>
  <c r="DL50" i="1"/>
  <c r="DL53" i="1"/>
  <c r="DL49" i="1"/>
  <c r="DL52" i="1"/>
  <c r="DL48" i="1"/>
  <c r="DL51" i="1"/>
  <c r="DL47" i="1"/>
  <c r="DL54" i="1"/>
  <c r="DM46" i="1"/>
  <c r="AI109" i="2"/>
  <c r="AI105" i="2"/>
  <c r="AI111" i="2"/>
  <c r="AI110" i="2"/>
  <c r="AI106" i="2"/>
  <c r="AI104" i="2"/>
  <c r="AI107" i="2"/>
  <c r="AJ103" i="2"/>
  <c r="AI108" i="2"/>
  <c r="AJ107" i="3" l="1"/>
  <c r="AK103" i="3"/>
  <c r="AJ110" i="3"/>
  <c r="AJ104" i="3"/>
  <c r="AJ106" i="3"/>
  <c r="AJ108" i="3"/>
  <c r="AJ109" i="3"/>
  <c r="AJ111" i="3"/>
  <c r="AJ105" i="3"/>
  <c r="DM52" i="1"/>
  <c r="DM47" i="1"/>
  <c r="DM53" i="1"/>
  <c r="DM49" i="1"/>
  <c r="DM48" i="1"/>
  <c r="DM54" i="1"/>
  <c r="DM51" i="1"/>
  <c r="DM50" i="1"/>
  <c r="DN46" i="1"/>
  <c r="AJ108" i="2"/>
  <c r="AJ110" i="2"/>
  <c r="AJ105" i="2"/>
  <c r="AJ107" i="2"/>
  <c r="AJ104" i="2"/>
  <c r="AK103" i="2"/>
  <c r="AJ109" i="2"/>
  <c r="AJ106" i="2"/>
  <c r="AJ111" i="2"/>
  <c r="AK107" i="3" l="1"/>
  <c r="AK106" i="3"/>
  <c r="AK105" i="3"/>
  <c r="AK108" i="3"/>
  <c r="AK110" i="3"/>
  <c r="AL103" i="3"/>
  <c r="AK104" i="3"/>
  <c r="AK109" i="3"/>
  <c r="AK111" i="3"/>
  <c r="DN53" i="1"/>
  <c r="DN49" i="1"/>
  <c r="DN52" i="1"/>
  <c r="DN48" i="1"/>
  <c r="DN51" i="1"/>
  <c r="DN47" i="1"/>
  <c r="DN54" i="1"/>
  <c r="DN50" i="1"/>
  <c r="DO46" i="1"/>
  <c r="AK108" i="2"/>
  <c r="AK107" i="2"/>
  <c r="AK105" i="2"/>
  <c r="AK104" i="2"/>
  <c r="AK109" i="2"/>
  <c r="AK106" i="2"/>
  <c r="AL103" i="2"/>
  <c r="AK110" i="2"/>
  <c r="AK111" i="2"/>
  <c r="AL104" i="3" l="1"/>
  <c r="AL107" i="3"/>
  <c r="AL106" i="3"/>
  <c r="AL105" i="3"/>
  <c r="AL109" i="3"/>
  <c r="AM103" i="3"/>
  <c r="AL108" i="3"/>
  <c r="AL110" i="3"/>
  <c r="AL111" i="3"/>
  <c r="DO47" i="1"/>
  <c r="DO52" i="1"/>
  <c r="DO48" i="1"/>
  <c r="DP46" i="1"/>
  <c r="DO54" i="1"/>
  <c r="DO50" i="1"/>
  <c r="DO51" i="1"/>
  <c r="DO53" i="1"/>
  <c r="DO49" i="1"/>
  <c r="AL107" i="2"/>
  <c r="AL104" i="2"/>
  <c r="AL110" i="2"/>
  <c r="AL109" i="2"/>
  <c r="AL105" i="2"/>
  <c r="AL106" i="2"/>
  <c r="AM103" i="2"/>
  <c r="AL111" i="2"/>
  <c r="AL108" i="2"/>
  <c r="AM109" i="3" l="1"/>
  <c r="AM104" i="3"/>
  <c r="AN103" i="3"/>
  <c r="AM108" i="3"/>
  <c r="AM106" i="3"/>
  <c r="AM111" i="3"/>
  <c r="AM105" i="3"/>
  <c r="AM110" i="3"/>
  <c r="AM107" i="3"/>
  <c r="DP52" i="1"/>
  <c r="DP48" i="1"/>
  <c r="DQ46" i="1"/>
  <c r="DP51" i="1"/>
  <c r="DP47" i="1"/>
  <c r="DP54" i="1"/>
  <c r="DP50" i="1"/>
  <c r="DP53" i="1"/>
  <c r="DP49" i="1"/>
  <c r="AM104" i="2"/>
  <c r="AM109" i="2"/>
  <c r="AM107" i="2"/>
  <c r="AM106" i="2"/>
  <c r="AN103" i="2"/>
  <c r="AM111" i="2"/>
  <c r="AM108" i="2"/>
  <c r="AM105" i="2"/>
  <c r="AM110" i="2"/>
  <c r="AO103" i="3" l="1"/>
  <c r="AN111" i="3"/>
  <c r="AN105" i="3"/>
  <c r="AN104" i="3"/>
  <c r="AN107" i="3"/>
  <c r="AN109" i="3"/>
  <c r="AN106" i="3"/>
  <c r="AN108" i="3"/>
  <c r="AN110" i="3"/>
  <c r="DQ50" i="1"/>
  <c r="DQ51" i="1"/>
  <c r="DQ47" i="1"/>
  <c r="DR46" i="1"/>
  <c r="DQ54" i="1"/>
  <c r="DQ53" i="1"/>
  <c r="DQ52" i="1"/>
  <c r="DQ48" i="1"/>
  <c r="DQ49" i="1"/>
  <c r="AN109" i="2"/>
  <c r="AN106" i="2"/>
  <c r="AN104" i="2"/>
  <c r="AO103" i="2"/>
  <c r="AN111" i="2"/>
  <c r="AN110" i="2"/>
  <c r="AN108" i="2"/>
  <c r="AN105" i="2"/>
  <c r="AN107" i="2"/>
  <c r="AO111" i="3" l="1"/>
  <c r="AO106" i="3"/>
  <c r="AO108" i="3"/>
  <c r="AO110" i="3"/>
  <c r="AO109" i="3"/>
  <c r="AO105" i="3"/>
  <c r="AO107" i="3"/>
  <c r="AO104" i="3"/>
  <c r="DR51" i="1"/>
  <c r="DR47" i="1"/>
  <c r="DR54" i="1"/>
  <c r="DR50" i="1"/>
  <c r="DR53" i="1"/>
  <c r="DR49" i="1"/>
  <c r="DR52" i="1"/>
  <c r="DR48" i="1"/>
  <c r="AO109" i="2"/>
  <c r="AO111" i="2"/>
  <c r="AO108" i="2"/>
  <c r="AO104" i="2"/>
  <c r="AO105" i="2"/>
  <c r="AO110" i="2"/>
  <c r="AO107" i="2"/>
  <c r="AO106" i="2"/>
</calcChain>
</file>

<file path=xl/sharedStrings.xml><?xml version="1.0" encoding="utf-8"?>
<sst xmlns="http://schemas.openxmlformats.org/spreadsheetml/2006/main" count="34" uniqueCount="8">
  <si>
    <t>5 Nmi</t>
  </si>
  <si>
    <t>Lat</t>
  </si>
  <si>
    <t>Long</t>
  </si>
  <si>
    <t>Sud</t>
  </si>
  <si>
    <t>55 Mn</t>
  </si>
  <si>
    <t>Lat. Sud</t>
  </si>
  <si>
    <t>Lat. Nord</t>
  </si>
  <si>
    <t>5 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</si>
</sst>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4"/>
      <color theme="1"/>
      <name val="Garamond"/>
      <family val="1"/>
    </font>
    <font>
      <b/>
      <sz val="2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 style="dotted">
        <color auto="1"/>
      </top>
      <bottom/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/>
      <top/>
      <bottom style="thin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/>
      <top style="thin">
        <color indexed="64"/>
      </top>
      <bottom/>
      <diagonal/>
    </border>
    <border>
      <left style="thin">
        <color indexed="64"/>
      </left>
      <right style="dotted">
        <color auto="1"/>
      </right>
      <top style="thin">
        <color indexed="64"/>
      </top>
      <bottom/>
      <diagonal/>
    </border>
    <border>
      <left style="dotted">
        <color auto="1"/>
      </left>
      <right style="thin">
        <color indexed="64"/>
      </right>
      <top/>
      <bottom/>
      <diagonal/>
    </border>
    <border>
      <left style="thin">
        <color indexed="64"/>
      </left>
      <right style="dotted">
        <color auto="1"/>
      </right>
      <top/>
      <bottom/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/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2" borderId="7" xfId="0" applyFont="1" applyFill="1" applyBorder="1" applyAlignment="1">
      <alignment horizontal="center" vertical="center" textRotation="180"/>
    </xf>
    <xf numFmtId="0" fontId="2" fillId="2" borderId="8" xfId="0" applyFont="1" applyFill="1" applyBorder="1" applyAlignment="1">
      <alignment horizontal="center" vertical="center" textRotation="180"/>
    </xf>
    <xf numFmtId="0" fontId="2" fillId="2" borderId="4" xfId="0" applyFont="1" applyFill="1" applyBorder="1" applyAlignment="1">
      <alignment horizontal="center" vertical="center" textRotation="180"/>
    </xf>
    <xf numFmtId="0" fontId="2" fillId="2" borderId="9" xfId="0" applyFont="1" applyFill="1" applyBorder="1" applyAlignment="1">
      <alignment horizontal="center" vertical="center" textRotation="180"/>
    </xf>
    <xf numFmtId="0" fontId="2" fillId="2" borderId="5" xfId="0" applyFont="1" applyFill="1" applyBorder="1" applyAlignment="1">
      <alignment horizontal="center" vertical="center" textRotation="180"/>
    </xf>
    <xf numFmtId="0" fontId="2" fillId="2" borderId="10" xfId="0" applyFont="1" applyFill="1" applyBorder="1" applyAlignment="1">
      <alignment horizontal="center" vertical="center" textRotation="180"/>
    </xf>
    <xf numFmtId="0" fontId="1" fillId="0" borderId="0" xfId="0" applyFont="1" applyAlignment="1">
      <alignment horizontal="center" vertical="top" textRotation="180"/>
    </xf>
    <xf numFmtId="0" fontId="1" fillId="0" borderId="16" xfId="0" applyFont="1" applyBorder="1" applyAlignment="1">
      <alignment horizontal="center" vertical="top" textRotation="180"/>
    </xf>
    <xf numFmtId="0" fontId="1" fillId="0" borderId="15" xfId="0" applyFont="1" applyBorder="1" applyAlignment="1">
      <alignment horizontal="center" vertical="top" textRotation="180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535061611946323E-2"/>
          <c:y val="5.7449554619923231E-2"/>
          <c:w val="0.9692408602071094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Sud!$V$104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Sud!$W$104:$AO$104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D-4C40-95D1-B56E2418EA6E}"/>
            </c:ext>
          </c:extLst>
        </c:ser>
        <c:ser>
          <c:idx val="2"/>
          <c:order val="1"/>
          <c:tx>
            <c:strRef>
              <c:f>Sud!$V$105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Sud!$W$105:$AO$105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6D-4C40-95D1-B56E2418EA6E}"/>
            </c:ext>
          </c:extLst>
        </c:ser>
        <c:ser>
          <c:idx val="3"/>
          <c:order val="2"/>
          <c:tx>
            <c:strRef>
              <c:f>Sud!$V$106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Sud!$W$106:$AO$106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6D-4C40-95D1-B56E2418EA6E}"/>
            </c:ext>
          </c:extLst>
        </c:ser>
        <c:ser>
          <c:idx val="4"/>
          <c:order val="3"/>
          <c:tx>
            <c:strRef>
              <c:f>Sud!$V$107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Sud!$W$107:$AO$107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6D-4C40-95D1-B56E2418EA6E}"/>
            </c:ext>
          </c:extLst>
        </c:ser>
        <c:ser>
          <c:idx val="5"/>
          <c:order val="4"/>
          <c:tx>
            <c:strRef>
              <c:f>Sud!$V$108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Sud!$W$108:$AO$108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6D-4C40-95D1-B56E2418EA6E}"/>
            </c:ext>
          </c:extLst>
        </c:ser>
        <c:ser>
          <c:idx val="6"/>
          <c:order val="5"/>
          <c:tx>
            <c:strRef>
              <c:f>Sud!$V$109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Sud!$W$109:$AO$109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6D-4C40-95D1-B56E2418EA6E}"/>
            </c:ext>
          </c:extLst>
        </c:ser>
        <c:ser>
          <c:idx val="7"/>
          <c:order val="6"/>
          <c:tx>
            <c:strRef>
              <c:f>Sud!$V$110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Sud!$W$110:$AO$110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6D-4C40-95D1-B56E2418EA6E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Sud!$W$111:$AO$111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6D-4C40-95D1-B56E2418E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4675313111392689"/>
              <c:y val="0.702960174294372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Longitude</a:t>
                </a:r>
                <a:endParaRPr lang="fr-FR" sz="1600" b="1"/>
              </a:p>
            </c:rich>
          </c:tx>
          <c:layout>
            <c:manualLayout>
              <c:xMode val="edge"/>
              <c:yMode val="edge"/>
              <c:x val="4.6955887796838507E-2"/>
              <c:y val="0.14702232837305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535061611946323E-2"/>
          <c:y val="5.7449554619923231E-2"/>
          <c:w val="0.9692408602071094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Nord!$V$104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Nord!$W$104:$AO$104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A6-478E-824C-DDBAB472A333}"/>
            </c:ext>
          </c:extLst>
        </c:ser>
        <c:ser>
          <c:idx val="2"/>
          <c:order val="1"/>
          <c:tx>
            <c:strRef>
              <c:f>Nord!$V$105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Nord!$W$105:$AO$105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A6-478E-824C-DDBAB472A333}"/>
            </c:ext>
          </c:extLst>
        </c:ser>
        <c:ser>
          <c:idx val="3"/>
          <c:order val="2"/>
          <c:tx>
            <c:strRef>
              <c:f>Nord!$V$106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Nord!$W$106:$AO$106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A6-478E-824C-DDBAB472A333}"/>
            </c:ext>
          </c:extLst>
        </c:ser>
        <c:ser>
          <c:idx val="4"/>
          <c:order val="3"/>
          <c:tx>
            <c:strRef>
              <c:f>Nord!$V$107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Nord!$W$107:$AO$107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6-478E-824C-DDBAB472A333}"/>
            </c:ext>
          </c:extLst>
        </c:ser>
        <c:ser>
          <c:idx val="5"/>
          <c:order val="4"/>
          <c:tx>
            <c:strRef>
              <c:f>Nord!$V$108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Nord!$W$108:$AO$108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A6-478E-824C-DDBAB472A333}"/>
            </c:ext>
          </c:extLst>
        </c:ser>
        <c:ser>
          <c:idx val="6"/>
          <c:order val="5"/>
          <c:tx>
            <c:strRef>
              <c:f>Nord!$V$109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Nord!$W$109:$AO$109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A6-478E-824C-DDBAB472A333}"/>
            </c:ext>
          </c:extLst>
        </c:ser>
        <c:ser>
          <c:idx val="7"/>
          <c:order val="6"/>
          <c:tx>
            <c:strRef>
              <c:f>Nord!$V$110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Nord!$W$110:$AO$110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A6-478E-824C-DDBAB472A333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Nord!$W$111:$AO$111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A6-478E-824C-DDBAB472A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4675313111392689"/>
              <c:y val="0.702960174294372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Longitude</a:t>
                </a:r>
                <a:endParaRPr lang="fr-FR" sz="1600" b="1"/>
              </a:p>
            </c:rich>
          </c:tx>
          <c:layout>
            <c:manualLayout>
              <c:xMode val="edge"/>
              <c:yMode val="edge"/>
              <c:x val="4.6955887796838507E-2"/>
              <c:y val="0.14702232837305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540000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Echelle</a:t>
            </a:r>
            <a:r>
              <a:rPr lang="fr-FR" baseline="0"/>
              <a:t> de longitude</a:t>
            </a:r>
            <a:endParaRPr lang="fr-FR"/>
          </a:p>
        </c:rich>
      </c:tx>
      <c:layout>
        <c:manualLayout>
          <c:xMode val="edge"/>
          <c:yMode val="edge"/>
          <c:x val="0.91068585357034149"/>
          <c:y val="3.1884057971014491E-2"/>
        </c:manualLayout>
      </c:layout>
      <c:overlay val="0"/>
      <c:spPr>
        <a:noFill/>
        <a:ln>
          <a:noFill/>
        </a:ln>
        <a:effectLst/>
      </c:spPr>
      <c:txPr>
        <a:bodyPr rot="540000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162442059028671E-2"/>
          <c:y val="2.3347940203126756E-2"/>
          <c:w val="0.8816653161966008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Sheet1!$CY$47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Sheet1!$CZ$47:$DR$47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F2-4CA4-A39E-EE5F1C525115}"/>
            </c:ext>
          </c:extLst>
        </c:ser>
        <c:ser>
          <c:idx val="2"/>
          <c:order val="1"/>
          <c:tx>
            <c:strRef>
              <c:f>Sheet1!$CY$48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Sheet1!$CZ$48:$DR$48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F2-4CA4-A39E-EE5F1C525115}"/>
            </c:ext>
          </c:extLst>
        </c:ser>
        <c:ser>
          <c:idx val="3"/>
          <c:order val="2"/>
          <c:tx>
            <c:strRef>
              <c:f>Sheet1!$CY$49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Sheet1!$CZ$49:$DR$49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F2-4CA4-A39E-EE5F1C525115}"/>
            </c:ext>
          </c:extLst>
        </c:ser>
        <c:ser>
          <c:idx val="4"/>
          <c:order val="3"/>
          <c:tx>
            <c:strRef>
              <c:f>Sheet1!$CY$50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Sheet1!$CZ$50:$DR$50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F2-4CA4-A39E-EE5F1C525115}"/>
            </c:ext>
          </c:extLst>
        </c:ser>
        <c:ser>
          <c:idx val="5"/>
          <c:order val="4"/>
          <c:tx>
            <c:strRef>
              <c:f>Sheet1!$CY$51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Sheet1!$CZ$51:$DR$51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F2-4CA4-A39E-EE5F1C525115}"/>
            </c:ext>
          </c:extLst>
        </c:ser>
        <c:ser>
          <c:idx val="6"/>
          <c:order val="5"/>
          <c:tx>
            <c:strRef>
              <c:f>Sheet1!$CY$52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Sheet1!$CZ$52:$DR$52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F2-4CA4-A39E-EE5F1C525115}"/>
            </c:ext>
          </c:extLst>
        </c:ser>
        <c:ser>
          <c:idx val="7"/>
          <c:order val="6"/>
          <c:tx>
            <c:strRef>
              <c:f>Sheet1!$CY$53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Sheet1!$CZ$53:$DR$53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FF2-4CA4-A39E-EE5F1C525115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Sheet1!$CZ$54:$DR$54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F2-4CA4-A39E-EE5F1C525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349735808245967"/>
              <c:y val="0.66266712313134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Longitude</a:t>
                </a:r>
                <a:endParaRPr lang="fr-FR" sz="1100" b="1"/>
              </a:p>
            </c:rich>
          </c:tx>
          <c:layout>
            <c:manualLayout>
              <c:xMode val="edge"/>
              <c:yMode val="edge"/>
              <c:x val="1.6852539450451294E-2"/>
              <c:y val="5.636304926275088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79785</xdr:colOff>
      <xdr:row>80</xdr:row>
      <xdr:rowOff>259772</xdr:rowOff>
    </xdr:from>
    <xdr:to>
      <xdr:col>43</xdr:col>
      <xdr:colOff>258041</xdr:colOff>
      <xdr:row>98</xdr:row>
      <xdr:rowOff>346364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F0FE1C-30CA-483E-AD0A-7AF5B54E4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79785</xdr:colOff>
      <xdr:row>80</xdr:row>
      <xdr:rowOff>259772</xdr:rowOff>
    </xdr:from>
    <xdr:to>
      <xdr:col>43</xdr:col>
      <xdr:colOff>258041</xdr:colOff>
      <xdr:row>98</xdr:row>
      <xdr:rowOff>346364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190499</xdr:colOff>
      <xdr:row>38</xdr:row>
      <xdr:rowOff>112059</xdr:rowOff>
    </xdr:from>
    <xdr:to>
      <xdr:col>99</xdr:col>
      <xdr:colOff>123264</xdr:colOff>
      <xdr:row>61</xdr:row>
      <xdr:rowOff>112059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8F22-BA0D-472C-9AF4-621C925D0E25}">
  <sheetPr>
    <pageSetUpPr fitToPage="1"/>
  </sheetPr>
  <dimension ref="A1:DE111"/>
  <sheetViews>
    <sheetView zoomScale="40" zoomScaleNormal="40" workbookViewId="0">
      <selection activeCell="CT14" sqref="CT14"/>
    </sheetView>
  </sheetViews>
  <sheetFormatPr defaultColWidth="2.85546875" defaultRowHeight="30" customHeight="1" x14ac:dyDescent="0.25"/>
  <cols>
    <col min="1" max="17" width="3.7109375" customWidth="1"/>
    <col min="18" max="18" width="6.28515625" customWidth="1"/>
    <col min="19" max="49" width="5.7109375" customWidth="1"/>
    <col min="50" max="50" width="5.7109375" style="8" customWidth="1"/>
    <col min="51" max="80" width="5.7109375" customWidth="1"/>
    <col min="81" max="102" width="3.7109375" customWidth="1"/>
    <col min="103" max="103" width="5.42578125" customWidth="1"/>
    <col min="104" max="104" width="7" customWidth="1"/>
    <col min="105" max="105" width="9" customWidth="1"/>
    <col min="106" max="118" width="5.42578125" customWidth="1"/>
  </cols>
  <sheetData>
    <row r="1" spans="19:80" ht="30" customHeight="1" x14ac:dyDescent="0.25">
      <c r="S1" s="14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6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7"/>
    </row>
    <row r="2" spans="19:80" ht="30" customHeight="1" x14ac:dyDescent="0.25">
      <c r="S2" s="18"/>
      <c r="BZ2" s="30" t="s">
        <v>5</v>
      </c>
      <c r="CA2" s="31"/>
      <c r="CB2" s="19"/>
    </row>
    <row r="3" spans="19:80" ht="30" customHeight="1" x14ac:dyDescent="0.25">
      <c r="S3" s="18"/>
      <c r="BZ3" s="32"/>
      <c r="CA3" s="33"/>
      <c r="CB3" s="19"/>
    </row>
    <row r="4" spans="19:80" ht="30" customHeight="1" x14ac:dyDescent="0.25">
      <c r="S4" s="18"/>
      <c r="BZ4" s="32"/>
      <c r="CA4" s="33"/>
      <c r="CB4" s="19"/>
    </row>
    <row r="5" spans="19:80" ht="30" customHeight="1" x14ac:dyDescent="0.25">
      <c r="S5" s="18"/>
      <c r="BZ5" s="34"/>
      <c r="CA5" s="35"/>
      <c r="CB5" s="19"/>
    </row>
    <row r="6" spans="19:80" ht="30" customHeight="1" x14ac:dyDescent="0.25">
      <c r="S6" s="18"/>
      <c r="CB6" s="19"/>
    </row>
    <row r="7" spans="19:80" ht="30" customHeight="1" x14ac:dyDescent="0.25">
      <c r="S7" s="18"/>
      <c r="CB7" s="19"/>
    </row>
    <row r="8" spans="19:80" ht="30" customHeight="1" x14ac:dyDescent="0.25">
      <c r="S8" s="18"/>
      <c r="CB8" s="19"/>
    </row>
    <row r="9" spans="19:80" ht="30" customHeight="1" x14ac:dyDescent="0.25">
      <c r="S9" s="18"/>
      <c r="CB9" s="19"/>
    </row>
    <row r="10" spans="19:80" ht="30" customHeight="1" x14ac:dyDescent="0.25">
      <c r="S10" s="18"/>
      <c r="CB10" s="19"/>
    </row>
    <row r="11" spans="19:80" ht="30" customHeight="1" x14ac:dyDescent="0.25">
      <c r="S11" s="18"/>
      <c r="CB11" s="19"/>
    </row>
    <row r="12" spans="19:80" ht="30" customHeight="1" x14ac:dyDescent="0.25">
      <c r="S12" s="18"/>
      <c r="CB12" s="19"/>
    </row>
    <row r="13" spans="19:80" ht="30" customHeight="1" x14ac:dyDescent="0.25">
      <c r="S13" s="18"/>
      <c r="CB13" s="19"/>
    </row>
    <row r="14" spans="19:80" ht="30" customHeight="1" x14ac:dyDescent="0.25">
      <c r="S14" s="18"/>
      <c r="CB14" s="19"/>
    </row>
    <row r="15" spans="19:80" ht="30" customHeight="1" x14ac:dyDescent="0.25">
      <c r="S15" s="18"/>
      <c r="CB15" s="19"/>
    </row>
    <row r="16" spans="19:80" ht="30" customHeight="1" x14ac:dyDescent="0.25">
      <c r="S16" s="18"/>
      <c r="CB16" s="19"/>
    </row>
    <row r="17" spans="19:80" ht="30" customHeight="1" x14ac:dyDescent="0.25">
      <c r="S17" s="18"/>
      <c r="CB17" s="19"/>
    </row>
    <row r="18" spans="19:80" ht="30" customHeight="1" x14ac:dyDescent="0.25">
      <c r="S18" s="18"/>
      <c r="CB18" s="19"/>
    </row>
    <row r="19" spans="19:80" ht="30" customHeight="1" x14ac:dyDescent="0.25">
      <c r="S19" s="18"/>
      <c r="CB19" s="19"/>
    </row>
    <row r="20" spans="19:80" ht="30" customHeight="1" x14ac:dyDescent="0.25">
      <c r="S20" s="18"/>
      <c r="CB20" s="19"/>
    </row>
    <row r="21" spans="19:80" ht="30" customHeight="1" x14ac:dyDescent="0.25">
      <c r="S21" s="18"/>
      <c r="CB21" s="19"/>
    </row>
    <row r="22" spans="19:80" ht="30" customHeight="1" x14ac:dyDescent="0.25">
      <c r="S22" s="18"/>
      <c r="CB22" s="19"/>
    </row>
    <row r="23" spans="19:80" ht="30" customHeight="1" x14ac:dyDescent="0.25">
      <c r="S23" s="18"/>
      <c r="CB23" s="19"/>
    </row>
    <row r="24" spans="19:80" ht="30" customHeight="1" x14ac:dyDescent="0.25">
      <c r="S24" s="18"/>
      <c r="CB24" s="19"/>
    </row>
    <row r="25" spans="19:80" ht="30" customHeight="1" x14ac:dyDescent="0.25">
      <c r="S25" s="18"/>
      <c r="CB25" s="19"/>
    </row>
    <row r="26" spans="19:80" ht="30" customHeight="1" x14ac:dyDescent="0.25">
      <c r="S26" s="18"/>
      <c r="CB26" s="19"/>
    </row>
    <row r="27" spans="19:80" ht="30" customHeight="1" x14ac:dyDescent="0.25">
      <c r="S27" s="18"/>
      <c r="CB27" s="19"/>
    </row>
    <row r="28" spans="19:80" ht="30" customHeight="1" x14ac:dyDescent="0.25">
      <c r="S28" s="18"/>
      <c r="CB28" s="19"/>
    </row>
    <row r="29" spans="19:80" ht="30" customHeight="1" x14ac:dyDescent="0.25">
      <c r="S29" s="18"/>
      <c r="CB29" s="19"/>
    </row>
    <row r="30" spans="19:80" ht="30" customHeight="1" x14ac:dyDescent="0.25">
      <c r="S30" s="18"/>
      <c r="CB30" s="19"/>
    </row>
    <row r="31" spans="19:80" ht="30" customHeight="1" x14ac:dyDescent="0.25">
      <c r="S31" s="18"/>
      <c r="CB31" s="19"/>
    </row>
    <row r="32" spans="19:80" ht="30" customHeight="1" x14ac:dyDescent="0.25">
      <c r="S32" s="18"/>
      <c r="CB32" s="19"/>
    </row>
    <row r="33" spans="1:109" ht="30" customHeight="1" x14ac:dyDescent="0.25">
      <c r="S33" s="18"/>
      <c r="CB33" s="19"/>
    </row>
    <row r="34" spans="1:109" ht="30" customHeight="1" x14ac:dyDescent="0.25">
      <c r="S34" s="18"/>
      <c r="CB34" s="19"/>
    </row>
    <row r="35" spans="1:109" ht="30" customHeight="1" x14ac:dyDescent="0.25">
      <c r="S35" s="18"/>
      <c r="CB35" s="19"/>
    </row>
    <row r="36" spans="1:109" ht="30" customHeight="1" x14ac:dyDescent="0.25">
      <c r="S36" s="18"/>
      <c r="CB36" s="19"/>
    </row>
    <row r="37" spans="1:109" ht="30" customHeight="1" x14ac:dyDescent="0.25">
      <c r="S37" s="18"/>
      <c r="CB37" s="19"/>
    </row>
    <row r="38" spans="1:109" ht="30" customHeight="1" x14ac:dyDescent="0.25">
      <c r="S38" s="18"/>
      <c r="CB38" s="19"/>
    </row>
    <row r="39" spans="1:109" ht="30" customHeight="1" x14ac:dyDescent="0.25">
      <c r="S39" s="18"/>
      <c r="CB39" s="19"/>
    </row>
    <row r="40" spans="1:109" ht="30" customHeight="1" x14ac:dyDescent="0.25">
      <c r="S40" s="18"/>
      <c r="CB40" s="19"/>
    </row>
    <row r="41" spans="1:109" ht="30" customHeight="1" x14ac:dyDescent="0.25">
      <c r="S41" s="18"/>
      <c r="CB41" s="19"/>
    </row>
    <row r="42" spans="1:109" ht="30" customHeight="1" x14ac:dyDescent="0.25">
      <c r="S42" s="18"/>
      <c r="CB42" s="19"/>
      <c r="CP42" t="s">
        <v>3</v>
      </c>
    </row>
    <row r="43" spans="1:109" s="1" customFormat="1" ht="30" customHeight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 s="20"/>
      <c r="AX43" s="5"/>
      <c r="CB43" s="21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9" ht="11.25" customHeight="1" x14ac:dyDescent="0.25">
      <c r="S44" s="22"/>
      <c r="T44" s="8"/>
      <c r="U44" s="7"/>
      <c r="V44" s="7"/>
      <c r="W44" s="7"/>
      <c r="X44" s="7"/>
      <c r="Y44" s="8"/>
      <c r="Z44" s="7"/>
      <c r="AA44" s="7"/>
      <c r="AB44" s="7"/>
      <c r="AC44" s="7"/>
      <c r="AD44" s="8"/>
      <c r="AE44" s="7"/>
      <c r="AF44" s="7"/>
      <c r="AG44" s="7"/>
      <c r="AH44" s="7"/>
      <c r="AI44" s="8"/>
      <c r="AJ44" s="7"/>
      <c r="AK44" s="7"/>
      <c r="AL44" s="7"/>
      <c r="AM44" s="7"/>
      <c r="AN44" s="8"/>
      <c r="AO44" s="7"/>
      <c r="AP44" s="7"/>
      <c r="AQ44" s="7"/>
      <c r="AR44" s="7"/>
      <c r="AS44" s="8"/>
      <c r="AT44" s="7"/>
      <c r="AU44" s="7"/>
      <c r="AV44" s="7"/>
      <c r="AW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23"/>
    </row>
    <row r="45" spans="1:109" ht="11.25" customHeight="1" x14ac:dyDescent="0.25">
      <c r="S45" s="24"/>
      <c r="T45" s="8"/>
      <c r="X45" s="10"/>
      <c r="Y45" s="8"/>
      <c r="AC45" s="10"/>
      <c r="AD45" s="8"/>
      <c r="AH45" s="10"/>
      <c r="AI45" s="8"/>
      <c r="AM45" s="10"/>
      <c r="AN45" s="8"/>
      <c r="AR45" s="10"/>
      <c r="AS45" s="8"/>
      <c r="AW45" s="10"/>
      <c r="BB45" s="10"/>
      <c r="BC45" s="8"/>
      <c r="BG45" s="10"/>
      <c r="BH45" s="8"/>
      <c r="BL45" s="10"/>
      <c r="BM45" s="8"/>
      <c r="BQ45" s="10"/>
      <c r="BR45" s="8"/>
      <c r="BV45" s="10"/>
      <c r="BW45" s="8"/>
      <c r="CA45" s="10"/>
      <c r="CB45" s="25"/>
      <c r="CZ45" s="10"/>
      <c r="DA45" s="8"/>
      <c r="DE45" s="10"/>
    </row>
    <row r="46" spans="1:109" ht="13.5" customHeight="1" x14ac:dyDescent="0.25">
      <c r="S46" s="18"/>
      <c r="CB46" s="19"/>
    </row>
    <row r="47" spans="1:109" s="12" customFormat="1" ht="30" customHeight="1" x14ac:dyDescent="0.45">
      <c r="S47" s="38">
        <v>30</v>
      </c>
      <c r="T47" s="36"/>
      <c r="X47" s="36">
        <v>25</v>
      </c>
      <c r="Y47" s="36"/>
      <c r="AC47" s="36">
        <v>20</v>
      </c>
      <c r="AD47" s="36"/>
      <c r="AH47" s="36">
        <v>15</v>
      </c>
      <c r="AI47" s="36"/>
      <c r="AM47" s="36">
        <v>10</v>
      </c>
      <c r="AN47" s="36"/>
      <c r="AR47" s="36" t="s">
        <v>7</v>
      </c>
      <c r="AS47" s="36"/>
      <c r="AX47" s="13"/>
      <c r="BB47" s="36" t="s">
        <v>4</v>
      </c>
      <c r="BC47" s="36"/>
      <c r="BG47" s="36">
        <v>50</v>
      </c>
      <c r="BH47" s="36"/>
      <c r="BL47" s="36">
        <v>45</v>
      </c>
      <c r="BM47" s="36"/>
      <c r="BQ47" s="36">
        <v>40</v>
      </c>
      <c r="BR47" s="36"/>
      <c r="BV47" s="36">
        <v>35</v>
      </c>
      <c r="BW47" s="36"/>
      <c r="CA47" s="36">
        <v>30</v>
      </c>
      <c r="CB47" s="37"/>
    </row>
    <row r="48" spans="1:109" s="12" customFormat="1" ht="30" customHeight="1" x14ac:dyDescent="0.45">
      <c r="S48" s="38"/>
      <c r="T48" s="36"/>
      <c r="X48" s="36"/>
      <c r="Y48" s="36"/>
      <c r="AC48" s="36"/>
      <c r="AD48" s="36"/>
      <c r="AH48" s="36"/>
      <c r="AI48" s="36"/>
      <c r="AM48" s="36"/>
      <c r="AN48" s="36"/>
      <c r="AR48" s="36"/>
      <c r="AS48" s="36"/>
      <c r="AX48" s="13"/>
      <c r="BB48" s="36"/>
      <c r="BC48" s="36"/>
      <c r="BG48" s="36"/>
      <c r="BH48" s="36"/>
      <c r="BL48" s="36"/>
      <c r="BM48" s="36"/>
      <c r="BQ48" s="36"/>
      <c r="BR48" s="36"/>
      <c r="BV48" s="36"/>
      <c r="BW48" s="36"/>
      <c r="CA48" s="36"/>
      <c r="CB48" s="37"/>
    </row>
    <row r="49" spans="19:80" s="12" customFormat="1" ht="30" customHeight="1" x14ac:dyDescent="0.45">
      <c r="S49" s="38"/>
      <c r="T49" s="36"/>
      <c r="X49" s="36"/>
      <c r="Y49" s="36"/>
      <c r="AC49" s="36"/>
      <c r="AD49" s="36"/>
      <c r="AH49" s="36"/>
      <c r="AI49" s="36"/>
      <c r="AM49" s="36"/>
      <c r="AN49" s="36"/>
      <c r="AR49" s="36"/>
      <c r="AS49" s="36"/>
      <c r="AX49" s="13"/>
      <c r="BB49" s="36"/>
      <c r="BC49" s="36"/>
      <c r="BG49" s="36"/>
      <c r="BH49" s="36"/>
      <c r="BL49" s="36"/>
      <c r="BM49" s="36"/>
      <c r="BQ49" s="36"/>
      <c r="BR49" s="36"/>
      <c r="BV49" s="36"/>
      <c r="BW49" s="36"/>
      <c r="CA49" s="36"/>
      <c r="CB49" s="37"/>
    </row>
    <row r="50" spans="19:80" ht="30" customHeight="1" x14ac:dyDescent="0.25">
      <c r="S50" s="18"/>
      <c r="CB50" s="19"/>
    </row>
    <row r="51" spans="19:80" ht="30" customHeight="1" x14ac:dyDescent="0.25">
      <c r="S51" s="18"/>
      <c r="CB51" s="19"/>
    </row>
    <row r="52" spans="19:80" ht="30" customHeight="1" x14ac:dyDescent="0.25">
      <c r="S52" s="18"/>
      <c r="CB52" s="19"/>
    </row>
    <row r="53" spans="19:80" ht="30" customHeight="1" x14ac:dyDescent="0.25">
      <c r="S53" s="18"/>
      <c r="CB53" s="19"/>
    </row>
    <row r="54" spans="19:80" ht="30" customHeight="1" x14ac:dyDescent="0.25">
      <c r="S54" s="18"/>
      <c r="CB54" s="19"/>
    </row>
    <row r="55" spans="19:80" ht="30" customHeight="1" x14ac:dyDescent="0.25">
      <c r="S55" s="18"/>
      <c r="CB55" s="19"/>
    </row>
    <row r="56" spans="19:80" ht="30" customHeight="1" x14ac:dyDescent="0.25">
      <c r="S56" s="18"/>
      <c r="CB56" s="19"/>
    </row>
    <row r="57" spans="19:80" ht="30" customHeight="1" x14ac:dyDescent="0.25">
      <c r="S57" s="18"/>
      <c r="CB57" s="19"/>
    </row>
    <row r="58" spans="19:80" ht="30" customHeight="1" x14ac:dyDescent="0.25">
      <c r="S58" s="18"/>
      <c r="CB58" s="19"/>
    </row>
    <row r="59" spans="19:80" ht="30" customHeight="1" x14ac:dyDescent="0.25">
      <c r="S59" s="18"/>
      <c r="CB59" s="19"/>
    </row>
    <row r="60" spans="19:80" ht="30" customHeight="1" x14ac:dyDescent="0.25">
      <c r="S60" s="18"/>
      <c r="CB60" s="19"/>
    </row>
    <row r="61" spans="19:80" ht="30" customHeight="1" x14ac:dyDescent="0.25">
      <c r="S61" s="18"/>
      <c r="CB61" s="19"/>
    </row>
    <row r="62" spans="19:80" ht="30" customHeight="1" x14ac:dyDescent="0.25">
      <c r="S62" s="18"/>
      <c r="CB62" s="19"/>
    </row>
    <row r="63" spans="19:80" ht="30" customHeight="1" x14ac:dyDescent="0.25">
      <c r="S63" s="18"/>
      <c r="CB63" s="19"/>
    </row>
    <row r="64" spans="19:80" ht="30" customHeight="1" x14ac:dyDescent="0.25">
      <c r="S64" s="18"/>
      <c r="CB64" s="19"/>
    </row>
    <row r="65" spans="19:80" ht="30" customHeight="1" x14ac:dyDescent="0.25">
      <c r="S65" s="18"/>
      <c r="CB65" s="19"/>
    </row>
    <row r="66" spans="19:80" ht="30" customHeight="1" x14ac:dyDescent="0.25">
      <c r="S66" s="18"/>
      <c r="CB66" s="19"/>
    </row>
    <row r="67" spans="19:80" ht="30" customHeight="1" x14ac:dyDescent="0.25">
      <c r="S67" s="18"/>
      <c r="CB67" s="19"/>
    </row>
    <row r="68" spans="19:80" ht="30" customHeight="1" x14ac:dyDescent="0.25">
      <c r="S68" s="18"/>
      <c r="CB68" s="19"/>
    </row>
    <row r="69" spans="19:80" ht="30" customHeight="1" x14ac:dyDescent="0.25">
      <c r="S69" s="18"/>
      <c r="CB69" s="19"/>
    </row>
    <row r="70" spans="19:80" ht="30" customHeight="1" x14ac:dyDescent="0.25">
      <c r="S70" s="18"/>
      <c r="CB70" s="19"/>
    </row>
    <row r="71" spans="19:80" ht="30" customHeight="1" x14ac:dyDescent="0.25">
      <c r="S71" s="18"/>
      <c r="CB71" s="19"/>
    </row>
    <row r="72" spans="19:80" ht="30" customHeight="1" x14ac:dyDescent="0.25">
      <c r="S72" s="18"/>
      <c r="CB72" s="19"/>
    </row>
    <row r="73" spans="19:80" ht="30" customHeight="1" x14ac:dyDescent="0.25">
      <c r="S73" s="18"/>
      <c r="CB73" s="19"/>
    </row>
    <row r="74" spans="19:80" ht="30" customHeight="1" x14ac:dyDescent="0.25">
      <c r="S74" s="18"/>
      <c r="CB74" s="19"/>
    </row>
    <row r="75" spans="19:80" ht="30" customHeight="1" x14ac:dyDescent="0.25">
      <c r="S75" s="18"/>
      <c r="CB75" s="19"/>
    </row>
    <row r="76" spans="19:80" ht="30" customHeight="1" x14ac:dyDescent="0.25">
      <c r="S76" s="18"/>
      <c r="CB76" s="19"/>
    </row>
    <row r="77" spans="19:80" ht="30" customHeight="1" x14ac:dyDescent="0.25">
      <c r="S77" s="18"/>
      <c r="CB77" s="19"/>
    </row>
    <row r="78" spans="19:80" ht="30" customHeight="1" x14ac:dyDescent="0.25">
      <c r="S78" s="18"/>
      <c r="CB78" s="19"/>
    </row>
    <row r="79" spans="19:80" ht="30" customHeight="1" x14ac:dyDescent="0.25">
      <c r="S79" s="18"/>
      <c r="CB79" s="19"/>
    </row>
    <row r="80" spans="19:80" ht="30" customHeight="1" x14ac:dyDescent="0.25">
      <c r="S80" s="18"/>
      <c r="CB80" s="19"/>
    </row>
    <row r="81" spans="19:80" ht="30" customHeight="1" x14ac:dyDescent="0.25">
      <c r="S81" s="18"/>
      <c r="CB81" s="19"/>
    </row>
    <row r="82" spans="19:80" ht="30" customHeight="1" x14ac:dyDescent="0.25">
      <c r="S82" s="18"/>
      <c r="CB82" s="19"/>
    </row>
    <row r="83" spans="19:80" ht="30" customHeight="1" x14ac:dyDescent="0.25">
      <c r="S83" s="18"/>
      <c r="CB83" s="19"/>
    </row>
    <row r="84" spans="19:80" ht="30" customHeight="1" x14ac:dyDescent="0.25">
      <c r="S84" s="18"/>
      <c r="CB84" s="19"/>
    </row>
    <row r="85" spans="19:80" ht="30" customHeight="1" x14ac:dyDescent="0.25">
      <c r="S85" s="18"/>
      <c r="CB85" s="19"/>
    </row>
    <row r="86" spans="19:80" ht="30" customHeight="1" x14ac:dyDescent="0.25">
      <c r="S86" s="18"/>
      <c r="CB86" s="19"/>
    </row>
    <row r="87" spans="19:80" ht="30" customHeight="1" x14ac:dyDescent="0.25">
      <c r="S87" s="18"/>
      <c r="CB87" s="19"/>
    </row>
    <row r="88" spans="19:80" ht="30" customHeight="1" x14ac:dyDescent="0.25">
      <c r="S88" s="18"/>
      <c r="CB88" s="19"/>
    </row>
    <row r="89" spans="19:80" ht="30" customHeight="1" x14ac:dyDescent="0.25">
      <c r="S89" s="18"/>
      <c r="CB89" s="19"/>
    </row>
    <row r="90" spans="19:80" ht="30" customHeight="1" x14ac:dyDescent="0.25">
      <c r="S90" s="18"/>
      <c r="CB90" s="19"/>
    </row>
    <row r="91" spans="19:80" ht="30" customHeight="1" x14ac:dyDescent="0.25">
      <c r="S91" s="18"/>
      <c r="CB91" s="19"/>
    </row>
    <row r="92" spans="19:80" ht="30" customHeight="1" x14ac:dyDescent="0.25">
      <c r="S92" s="18"/>
      <c r="CB92" s="19"/>
    </row>
    <row r="93" spans="19:80" ht="30" customHeight="1" x14ac:dyDescent="0.25">
      <c r="S93" s="18"/>
      <c r="CB93" s="19"/>
    </row>
    <row r="94" spans="19:80" ht="30" customHeight="1" x14ac:dyDescent="0.25">
      <c r="S94" s="18"/>
      <c r="CB94" s="19"/>
    </row>
    <row r="95" spans="19:80" ht="30" customHeight="1" x14ac:dyDescent="0.25">
      <c r="S95" s="18"/>
      <c r="CB95" s="19"/>
    </row>
    <row r="96" spans="19:80" ht="30" customHeight="1" x14ac:dyDescent="0.25">
      <c r="S96" s="18"/>
      <c r="CB96" s="19"/>
    </row>
    <row r="97" spans="19:80" ht="30" customHeight="1" x14ac:dyDescent="0.25">
      <c r="S97" s="18"/>
      <c r="CB97" s="19"/>
    </row>
    <row r="98" spans="19:80" ht="30" customHeight="1" x14ac:dyDescent="0.25">
      <c r="S98" s="18"/>
      <c r="CB98" s="19"/>
    </row>
    <row r="99" spans="19:80" ht="30" customHeight="1" x14ac:dyDescent="0.25">
      <c r="S99" s="26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8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9"/>
    </row>
    <row r="103" spans="19:80" ht="30" customHeight="1" x14ac:dyDescent="0.25">
      <c r="V103" t="s">
        <v>1</v>
      </c>
      <c r="W103">
        <v>0</v>
      </c>
      <c r="X103">
        <f>W103+5</f>
        <v>5</v>
      </c>
      <c r="Y103">
        <f t="shared" ref="Y103:AO103" si="0">X103+5</f>
        <v>10</v>
      </c>
      <c r="Z103">
        <f t="shared" si="0"/>
        <v>15</v>
      </c>
      <c r="AA103">
        <f t="shared" si="0"/>
        <v>20</v>
      </c>
      <c r="AB103">
        <f t="shared" si="0"/>
        <v>25</v>
      </c>
      <c r="AC103">
        <f t="shared" si="0"/>
        <v>30</v>
      </c>
      <c r="AD103">
        <f t="shared" si="0"/>
        <v>35</v>
      </c>
      <c r="AE103">
        <f t="shared" si="0"/>
        <v>40</v>
      </c>
      <c r="AF103">
        <f t="shared" si="0"/>
        <v>45</v>
      </c>
      <c r="AG103">
        <f t="shared" si="0"/>
        <v>50</v>
      </c>
      <c r="AH103">
        <f t="shared" si="0"/>
        <v>55</v>
      </c>
      <c r="AI103">
        <f t="shared" si="0"/>
        <v>60</v>
      </c>
      <c r="AJ103">
        <f t="shared" si="0"/>
        <v>65</v>
      </c>
      <c r="AK103">
        <f t="shared" si="0"/>
        <v>70</v>
      </c>
      <c r="AL103">
        <f t="shared" si="0"/>
        <v>75</v>
      </c>
      <c r="AM103">
        <f t="shared" si="0"/>
        <v>80</v>
      </c>
      <c r="AN103">
        <f t="shared" si="0"/>
        <v>85</v>
      </c>
      <c r="AO103">
        <f t="shared" si="0"/>
        <v>90</v>
      </c>
    </row>
    <row r="104" spans="19:80" ht="30" customHeight="1" x14ac:dyDescent="0.25">
      <c r="V104" t="s">
        <v>2</v>
      </c>
      <c r="W104">
        <f t="shared" ref="W104:AO104" si="1">15*COS(W$103 * PI()/180)</f>
        <v>15</v>
      </c>
      <c r="X104">
        <f t="shared" si="1"/>
        <v>14.942920471376183</v>
      </c>
      <c r="Y104">
        <f t="shared" si="1"/>
        <v>14.772116295183121</v>
      </c>
      <c r="Z104">
        <f t="shared" si="1"/>
        <v>14.488887394336025</v>
      </c>
      <c r="AA104">
        <f t="shared" si="1"/>
        <v>14.095389311788626</v>
      </c>
      <c r="AB104">
        <f t="shared" si="1"/>
        <v>13.59461680554975</v>
      </c>
      <c r="AC104">
        <f t="shared" si="1"/>
        <v>12.99038105676658</v>
      </c>
      <c r="AD104">
        <f t="shared" si="1"/>
        <v>12.287280664334878</v>
      </c>
      <c r="AE104">
        <f t="shared" si="1"/>
        <v>11.490666646784669</v>
      </c>
      <c r="AF104">
        <f t="shared" si="1"/>
        <v>10.606601717798213</v>
      </c>
      <c r="AG104">
        <f t="shared" si="1"/>
        <v>9.6418141452980901</v>
      </c>
      <c r="AH104">
        <f t="shared" si="1"/>
        <v>8.6036465452656916</v>
      </c>
      <c r="AI104">
        <f t="shared" si="1"/>
        <v>7.5000000000000018</v>
      </c>
      <c r="AJ104">
        <f t="shared" si="1"/>
        <v>6.3392739261104918</v>
      </c>
      <c r="AK104">
        <f t="shared" si="1"/>
        <v>5.1303021498850327</v>
      </c>
      <c r="AL104">
        <f t="shared" si="1"/>
        <v>3.8822856765378111</v>
      </c>
      <c r="AM104">
        <f t="shared" si="1"/>
        <v>2.6047226650039561</v>
      </c>
      <c r="AN104">
        <f t="shared" si="1"/>
        <v>1.3073361412148721</v>
      </c>
      <c r="AO104">
        <f t="shared" si="1"/>
        <v>9.1886134118146501E-16</v>
      </c>
    </row>
    <row r="105" spans="19:80" ht="30" customHeight="1" x14ac:dyDescent="0.25">
      <c r="V105" t="s">
        <v>2</v>
      </c>
      <c r="W105">
        <f t="shared" ref="W105:AO105" si="2">10*COS(W$103 * PI()/180)</f>
        <v>10</v>
      </c>
      <c r="X105">
        <f t="shared" si="2"/>
        <v>9.961946980917455</v>
      </c>
      <c r="Y105">
        <f t="shared" si="2"/>
        <v>9.8480775301220795</v>
      </c>
      <c r="Z105">
        <f t="shared" si="2"/>
        <v>9.6592582628906829</v>
      </c>
      <c r="AA105">
        <f t="shared" si="2"/>
        <v>9.3969262078590852</v>
      </c>
      <c r="AB105">
        <f t="shared" si="2"/>
        <v>9.0630778703664987</v>
      </c>
      <c r="AC105">
        <f t="shared" si="2"/>
        <v>8.6602540378443873</v>
      </c>
      <c r="AD105">
        <f t="shared" si="2"/>
        <v>8.1915204428899173</v>
      </c>
      <c r="AE105">
        <f t="shared" si="2"/>
        <v>7.6604444311897799</v>
      </c>
      <c r="AF105">
        <f t="shared" si="2"/>
        <v>7.0710678118654755</v>
      </c>
      <c r="AG105">
        <f t="shared" si="2"/>
        <v>6.4278760968653934</v>
      </c>
      <c r="AH105">
        <f t="shared" si="2"/>
        <v>5.7357643635104614</v>
      </c>
      <c r="AI105">
        <f t="shared" si="2"/>
        <v>5.0000000000000009</v>
      </c>
      <c r="AJ105">
        <f t="shared" si="2"/>
        <v>4.2261826174069945</v>
      </c>
      <c r="AK105">
        <f t="shared" si="2"/>
        <v>3.4202014332566884</v>
      </c>
      <c r="AL105">
        <f t="shared" si="2"/>
        <v>2.5881904510252074</v>
      </c>
      <c r="AM105">
        <f t="shared" si="2"/>
        <v>1.7364817766693041</v>
      </c>
      <c r="AN105">
        <f t="shared" si="2"/>
        <v>0.87155742747658138</v>
      </c>
      <c r="AO105">
        <f t="shared" si="2"/>
        <v>6.1257422745431001E-16</v>
      </c>
    </row>
    <row r="106" spans="19:80" ht="30" customHeight="1" x14ac:dyDescent="0.25">
      <c r="V106" t="s">
        <v>2</v>
      </c>
      <c r="W106">
        <f t="shared" ref="W106:AO106" si="3">5*COS(W$103 * PI()/180)</f>
        <v>5</v>
      </c>
      <c r="X106">
        <f t="shared" si="3"/>
        <v>4.9809734904587275</v>
      </c>
      <c r="Y106">
        <f t="shared" si="3"/>
        <v>4.9240387650610398</v>
      </c>
      <c r="Z106">
        <f t="shared" si="3"/>
        <v>4.8296291314453415</v>
      </c>
      <c r="AA106">
        <f t="shared" si="3"/>
        <v>4.6984631039295426</v>
      </c>
      <c r="AB106">
        <f t="shared" si="3"/>
        <v>4.5315389351832494</v>
      </c>
      <c r="AC106">
        <f t="shared" si="3"/>
        <v>4.3301270189221936</v>
      </c>
      <c r="AD106">
        <f t="shared" si="3"/>
        <v>4.0957602214449587</v>
      </c>
      <c r="AE106">
        <f t="shared" si="3"/>
        <v>3.83022221559489</v>
      </c>
      <c r="AF106">
        <f t="shared" si="3"/>
        <v>3.5355339059327378</v>
      </c>
      <c r="AG106">
        <f t="shared" si="3"/>
        <v>3.2139380484326967</v>
      </c>
      <c r="AH106">
        <f t="shared" si="3"/>
        <v>2.8678821817552307</v>
      </c>
      <c r="AI106">
        <f t="shared" si="3"/>
        <v>2.5000000000000004</v>
      </c>
      <c r="AJ106">
        <f t="shared" si="3"/>
        <v>2.1130913087034973</v>
      </c>
      <c r="AK106">
        <f t="shared" si="3"/>
        <v>1.7101007166283442</v>
      </c>
      <c r="AL106">
        <f t="shared" si="3"/>
        <v>1.2940952255126037</v>
      </c>
      <c r="AM106">
        <f t="shared" si="3"/>
        <v>0.86824088833465207</v>
      </c>
      <c r="AN106">
        <f t="shared" si="3"/>
        <v>0.43577871373829069</v>
      </c>
      <c r="AO106">
        <f t="shared" si="3"/>
        <v>3.06287113727155E-16</v>
      </c>
    </row>
    <row r="107" spans="19:80" ht="30" customHeight="1" x14ac:dyDescent="0.25">
      <c r="V107" t="s">
        <v>2</v>
      </c>
      <c r="W107">
        <f t="shared" ref="W107:AO107" si="4">4*COS(W$103 * PI()/180)</f>
        <v>4</v>
      </c>
      <c r="X107">
        <f t="shared" si="4"/>
        <v>3.9847787923669822</v>
      </c>
      <c r="Y107">
        <f t="shared" si="4"/>
        <v>3.9392310120488321</v>
      </c>
      <c r="Z107">
        <f t="shared" si="4"/>
        <v>3.8637033051562732</v>
      </c>
      <c r="AA107">
        <f t="shared" si="4"/>
        <v>3.7587704831436337</v>
      </c>
      <c r="AB107">
        <f t="shared" si="4"/>
        <v>3.6252311481465997</v>
      </c>
      <c r="AC107">
        <f t="shared" si="4"/>
        <v>3.4641016151377548</v>
      </c>
      <c r="AD107">
        <f t="shared" si="4"/>
        <v>3.2766081771559672</v>
      </c>
      <c r="AE107">
        <f t="shared" si="4"/>
        <v>3.0641777724759121</v>
      </c>
      <c r="AF107">
        <f t="shared" si="4"/>
        <v>2.8284271247461903</v>
      </c>
      <c r="AG107">
        <f t="shared" si="4"/>
        <v>2.5711504387461575</v>
      </c>
      <c r="AH107">
        <f t="shared" si="4"/>
        <v>2.2943057454041846</v>
      </c>
      <c r="AI107">
        <f t="shared" si="4"/>
        <v>2.0000000000000004</v>
      </c>
      <c r="AJ107">
        <f t="shared" si="4"/>
        <v>1.6904730469627978</v>
      </c>
      <c r="AK107">
        <f t="shared" si="4"/>
        <v>1.3680805733026753</v>
      </c>
      <c r="AL107">
        <f t="shared" si="4"/>
        <v>1.035276180410083</v>
      </c>
      <c r="AM107">
        <f t="shared" si="4"/>
        <v>0.69459271066772166</v>
      </c>
      <c r="AN107">
        <f t="shared" si="4"/>
        <v>0.34862297099063255</v>
      </c>
      <c r="AO107">
        <f t="shared" si="4"/>
        <v>2.45029690981724E-16</v>
      </c>
    </row>
    <row r="108" spans="19:80" ht="30" customHeight="1" x14ac:dyDescent="0.25">
      <c r="V108" t="s">
        <v>2</v>
      </c>
      <c r="W108">
        <f t="shared" ref="W108:AO108" si="5">3*COS(W$103 * PI()/180)</f>
        <v>3</v>
      </c>
      <c r="X108">
        <f t="shared" si="5"/>
        <v>2.9885840942752369</v>
      </c>
      <c r="Y108">
        <f t="shared" si="5"/>
        <v>2.9544232590366239</v>
      </c>
      <c r="Z108">
        <f t="shared" si="5"/>
        <v>2.897777478867205</v>
      </c>
      <c r="AA108">
        <f t="shared" si="5"/>
        <v>2.8190778623577253</v>
      </c>
      <c r="AB108">
        <f t="shared" si="5"/>
        <v>2.7189233611099497</v>
      </c>
      <c r="AC108">
        <f t="shared" si="5"/>
        <v>2.598076211353316</v>
      </c>
      <c r="AD108">
        <f t="shared" si="5"/>
        <v>2.4574561328669753</v>
      </c>
      <c r="AE108">
        <f t="shared" si="5"/>
        <v>2.2981333293569342</v>
      </c>
      <c r="AF108">
        <f t="shared" si="5"/>
        <v>2.1213203435596428</v>
      </c>
      <c r="AG108">
        <f t="shared" si="5"/>
        <v>1.9283628290596182</v>
      </c>
      <c r="AH108">
        <f t="shared" si="5"/>
        <v>1.7207293090531386</v>
      </c>
      <c r="AI108">
        <f t="shared" si="5"/>
        <v>1.5000000000000004</v>
      </c>
      <c r="AJ108">
        <f t="shared" si="5"/>
        <v>1.2678547852220983</v>
      </c>
      <c r="AK108">
        <f t="shared" si="5"/>
        <v>1.0260604299770064</v>
      </c>
      <c r="AL108">
        <f t="shared" si="5"/>
        <v>0.77645713530756222</v>
      </c>
      <c r="AM108">
        <f t="shared" si="5"/>
        <v>0.52094453300079124</v>
      </c>
      <c r="AN108">
        <f t="shared" si="5"/>
        <v>0.26146722824297441</v>
      </c>
      <c r="AO108">
        <f t="shared" si="5"/>
        <v>1.83772268236293E-16</v>
      </c>
    </row>
    <row r="109" spans="19:80" ht="30" customHeight="1" x14ac:dyDescent="0.25">
      <c r="V109" t="s">
        <v>2</v>
      </c>
      <c r="W109">
        <f t="shared" ref="W109:AO109" si="6">2*COS(W$103 * PI()/180)</f>
        <v>2</v>
      </c>
      <c r="X109">
        <f t="shared" si="6"/>
        <v>1.9923893961834911</v>
      </c>
      <c r="Y109">
        <f t="shared" si="6"/>
        <v>1.969615506024416</v>
      </c>
      <c r="Z109">
        <f t="shared" si="6"/>
        <v>1.9318516525781366</v>
      </c>
      <c r="AA109">
        <f t="shared" si="6"/>
        <v>1.8793852415718169</v>
      </c>
      <c r="AB109">
        <f t="shared" si="6"/>
        <v>1.8126155740732999</v>
      </c>
      <c r="AC109">
        <f t="shared" si="6"/>
        <v>1.7320508075688774</v>
      </c>
      <c r="AD109">
        <f t="shared" si="6"/>
        <v>1.6383040885779836</v>
      </c>
      <c r="AE109">
        <f t="shared" si="6"/>
        <v>1.532088886237956</v>
      </c>
      <c r="AF109">
        <f t="shared" si="6"/>
        <v>1.4142135623730951</v>
      </c>
      <c r="AG109">
        <f t="shared" si="6"/>
        <v>1.2855752193730787</v>
      </c>
      <c r="AH109">
        <f t="shared" si="6"/>
        <v>1.1471528727020923</v>
      </c>
      <c r="AI109">
        <f t="shared" si="6"/>
        <v>1.0000000000000002</v>
      </c>
      <c r="AJ109">
        <f t="shared" si="6"/>
        <v>0.84523652348139888</v>
      </c>
      <c r="AK109">
        <f t="shared" si="6"/>
        <v>0.68404028665133765</v>
      </c>
      <c r="AL109">
        <f t="shared" si="6"/>
        <v>0.51763809020504148</v>
      </c>
      <c r="AM109">
        <f t="shared" si="6"/>
        <v>0.34729635533386083</v>
      </c>
      <c r="AN109">
        <f t="shared" si="6"/>
        <v>0.17431148549531628</v>
      </c>
      <c r="AO109">
        <f t="shared" si="6"/>
        <v>1.22514845490862E-16</v>
      </c>
    </row>
    <row r="110" spans="19:80" ht="30" customHeight="1" x14ac:dyDescent="0.25">
      <c r="V110" t="s">
        <v>2</v>
      </c>
      <c r="W110">
        <f t="shared" ref="W110:AO110" si="7">1*COS(W$103 * PI()/180)</f>
        <v>1</v>
      </c>
      <c r="X110">
        <f t="shared" si="7"/>
        <v>0.99619469809174555</v>
      </c>
      <c r="Y110">
        <f t="shared" si="7"/>
        <v>0.98480775301220802</v>
      </c>
      <c r="Z110">
        <f t="shared" si="7"/>
        <v>0.96592582628906831</v>
      </c>
      <c r="AA110">
        <f t="shared" si="7"/>
        <v>0.93969262078590843</v>
      </c>
      <c r="AB110">
        <f t="shared" si="7"/>
        <v>0.90630778703664994</v>
      </c>
      <c r="AC110">
        <f t="shared" si="7"/>
        <v>0.86602540378443871</v>
      </c>
      <c r="AD110">
        <f t="shared" si="7"/>
        <v>0.8191520442889918</v>
      </c>
      <c r="AE110">
        <f t="shared" si="7"/>
        <v>0.76604444311897801</v>
      </c>
      <c r="AF110">
        <f t="shared" si="7"/>
        <v>0.70710678118654757</v>
      </c>
      <c r="AG110">
        <f t="shared" si="7"/>
        <v>0.64278760968653936</v>
      </c>
      <c r="AH110">
        <f t="shared" si="7"/>
        <v>0.57357643635104616</v>
      </c>
      <c r="AI110">
        <f t="shared" si="7"/>
        <v>0.50000000000000011</v>
      </c>
      <c r="AJ110">
        <f t="shared" si="7"/>
        <v>0.42261826174069944</v>
      </c>
      <c r="AK110">
        <f t="shared" si="7"/>
        <v>0.34202014332566882</v>
      </c>
      <c r="AL110">
        <f t="shared" si="7"/>
        <v>0.25881904510252074</v>
      </c>
      <c r="AM110">
        <f t="shared" si="7"/>
        <v>0.17364817766693041</v>
      </c>
      <c r="AN110">
        <f t="shared" si="7"/>
        <v>8.7155742747658138E-2</v>
      </c>
      <c r="AO110">
        <f t="shared" si="7"/>
        <v>6.1257422745431001E-17</v>
      </c>
    </row>
    <row r="111" spans="19:80" ht="30" customHeight="1" x14ac:dyDescent="0.25">
      <c r="V111" t="s">
        <v>2</v>
      </c>
      <c r="W111">
        <f t="shared" ref="W111:AO111" si="8">0*COS(W$103 * PI()/180)</f>
        <v>0</v>
      </c>
      <c r="X111">
        <f t="shared" si="8"/>
        <v>0</v>
      </c>
      <c r="Y111">
        <f t="shared" si="8"/>
        <v>0</v>
      </c>
      <c r="Z111">
        <f t="shared" si="8"/>
        <v>0</v>
      </c>
      <c r="AA111">
        <f t="shared" si="8"/>
        <v>0</v>
      </c>
      <c r="AB111">
        <f t="shared" si="8"/>
        <v>0</v>
      </c>
      <c r="AC111">
        <f t="shared" si="8"/>
        <v>0</v>
      </c>
      <c r="AD111">
        <f t="shared" si="8"/>
        <v>0</v>
      </c>
      <c r="AE111">
        <f t="shared" si="8"/>
        <v>0</v>
      </c>
      <c r="AF111">
        <f t="shared" si="8"/>
        <v>0</v>
      </c>
      <c r="AG111">
        <f t="shared" si="8"/>
        <v>0</v>
      </c>
      <c r="AH111">
        <f t="shared" si="8"/>
        <v>0</v>
      </c>
      <c r="AI111">
        <f t="shared" si="8"/>
        <v>0</v>
      </c>
      <c r="AJ111">
        <f t="shared" si="8"/>
        <v>0</v>
      </c>
      <c r="AK111">
        <f t="shared" si="8"/>
        <v>0</v>
      </c>
      <c r="AL111">
        <f t="shared" si="8"/>
        <v>0</v>
      </c>
      <c r="AM111">
        <f t="shared" si="8"/>
        <v>0</v>
      </c>
      <c r="AN111">
        <f t="shared" si="8"/>
        <v>0</v>
      </c>
      <c r="AO111">
        <f t="shared" si="8"/>
        <v>0</v>
      </c>
    </row>
  </sheetData>
  <mergeCells count="13">
    <mergeCell ref="AR47:AS49"/>
    <mergeCell ref="S47:T49"/>
    <mergeCell ref="X47:Y49"/>
    <mergeCell ref="AC47:AD49"/>
    <mergeCell ref="AH47:AI49"/>
    <mergeCell ref="AM47:AN49"/>
    <mergeCell ref="BZ2:CA5"/>
    <mergeCell ref="BB47:BC49"/>
    <mergeCell ref="BG47:BH49"/>
    <mergeCell ref="BL47:BM49"/>
    <mergeCell ref="BQ47:BR49"/>
    <mergeCell ref="BV47:BW49"/>
    <mergeCell ref="CA47:CB49"/>
  </mergeCells>
  <printOptions horizontalCentered="1" verticalCentered="1"/>
  <pageMargins left="0" right="0" top="0" bottom="0" header="0" footer="0"/>
  <pageSetup paperSize="9" scale="2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E111"/>
  <sheetViews>
    <sheetView tabSelected="1" topLeftCell="A2" zoomScale="40" zoomScaleNormal="40" workbookViewId="0">
      <selection activeCell="BB50" sqref="BB50"/>
    </sheetView>
  </sheetViews>
  <sheetFormatPr defaultColWidth="2.85546875" defaultRowHeight="30" customHeight="1" x14ac:dyDescent="0.25"/>
  <cols>
    <col min="1" max="17" width="3.7109375" customWidth="1"/>
    <col min="18" max="18" width="6.28515625" customWidth="1"/>
    <col min="19" max="49" width="5.7109375" customWidth="1"/>
    <col min="50" max="50" width="5.7109375" style="8" customWidth="1"/>
    <col min="51" max="80" width="5.7109375" customWidth="1"/>
    <col min="81" max="102" width="3.7109375" customWidth="1"/>
    <col min="103" max="103" width="5.42578125" customWidth="1"/>
    <col min="104" max="104" width="7" customWidth="1"/>
    <col min="105" max="105" width="9" customWidth="1"/>
    <col min="106" max="118" width="5.42578125" customWidth="1"/>
  </cols>
  <sheetData>
    <row r="1" spans="19:80" ht="30" customHeight="1" x14ac:dyDescent="0.25">
      <c r="S1" s="14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6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7"/>
    </row>
    <row r="2" spans="19:80" ht="30" customHeight="1" x14ac:dyDescent="0.25">
      <c r="S2" s="18"/>
      <c r="BZ2" s="30" t="s">
        <v>6</v>
      </c>
      <c r="CA2" s="31"/>
      <c r="CB2" s="19"/>
    </row>
    <row r="3" spans="19:80" ht="30" customHeight="1" x14ac:dyDescent="0.25">
      <c r="S3" s="18"/>
      <c r="BZ3" s="32"/>
      <c r="CA3" s="33"/>
      <c r="CB3" s="19"/>
    </row>
    <row r="4" spans="19:80" ht="30" customHeight="1" x14ac:dyDescent="0.25">
      <c r="S4" s="18"/>
      <c r="BZ4" s="32"/>
      <c r="CA4" s="33"/>
      <c r="CB4" s="19"/>
    </row>
    <row r="5" spans="19:80" ht="30" customHeight="1" x14ac:dyDescent="0.25">
      <c r="S5" s="18"/>
      <c r="BZ5" s="34"/>
      <c r="CA5" s="35"/>
      <c r="CB5" s="19"/>
    </row>
    <row r="6" spans="19:80" ht="30" customHeight="1" x14ac:dyDescent="0.25">
      <c r="S6" s="18"/>
      <c r="CB6" s="19"/>
    </row>
    <row r="7" spans="19:80" ht="30" customHeight="1" x14ac:dyDescent="0.25">
      <c r="S7" s="18"/>
      <c r="CB7" s="19"/>
    </row>
    <row r="8" spans="19:80" ht="30" customHeight="1" x14ac:dyDescent="0.25">
      <c r="S8" s="18"/>
      <c r="CB8" s="19"/>
    </row>
    <row r="9" spans="19:80" ht="30" customHeight="1" x14ac:dyDescent="0.25">
      <c r="S9" s="18"/>
      <c r="CB9" s="19"/>
    </row>
    <row r="10" spans="19:80" ht="30" customHeight="1" x14ac:dyDescent="0.25">
      <c r="S10" s="18"/>
      <c r="CB10" s="19"/>
    </row>
    <row r="11" spans="19:80" ht="30" customHeight="1" x14ac:dyDescent="0.25">
      <c r="S11" s="18"/>
      <c r="CB11" s="19"/>
    </row>
    <row r="12" spans="19:80" ht="30" customHeight="1" x14ac:dyDescent="0.25">
      <c r="S12" s="18"/>
      <c r="CB12" s="19"/>
    </row>
    <row r="13" spans="19:80" ht="30" customHeight="1" x14ac:dyDescent="0.25">
      <c r="S13" s="18"/>
      <c r="CB13" s="19"/>
    </row>
    <row r="14" spans="19:80" ht="30" customHeight="1" x14ac:dyDescent="0.25">
      <c r="S14" s="18"/>
      <c r="CB14" s="19"/>
    </row>
    <row r="15" spans="19:80" ht="30" customHeight="1" x14ac:dyDescent="0.25">
      <c r="S15" s="18"/>
      <c r="CB15" s="19"/>
    </row>
    <row r="16" spans="19:80" ht="30" customHeight="1" x14ac:dyDescent="0.25">
      <c r="S16" s="18"/>
      <c r="CB16" s="19"/>
    </row>
    <row r="17" spans="19:80" ht="30" customHeight="1" x14ac:dyDescent="0.25">
      <c r="S17" s="18"/>
      <c r="CB17" s="19"/>
    </row>
    <row r="18" spans="19:80" ht="30" customHeight="1" x14ac:dyDescent="0.25">
      <c r="S18" s="18"/>
      <c r="CB18" s="19"/>
    </row>
    <row r="19" spans="19:80" ht="30" customHeight="1" x14ac:dyDescent="0.25">
      <c r="S19" s="18"/>
      <c r="CB19" s="19"/>
    </row>
    <row r="20" spans="19:80" ht="30" customHeight="1" x14ac:dyDescent="0.25">
      <c r="S20" s="18"/>
      <c r="CB20" s="19"/>
    </row>
    <row r="21" spans="19:80" ht="30" customHeight="1" x14ac:dyDescent="0.25">
      <c r="S21" s="18"/>
      <c r="CB21" s="19"/>
    </row>
    <row r="22" spans="19:80" ht="30" customHeight="1" x14ac:dyDescent="0.25">
      <c r="S22" s="18"/>
      <c r="CB22" s="19"/>
    </row>
    <row r="23" spans="19:80" ht="30" customHeight="1" x14ac:dyDescent="0.25">
      <c r="S23" s="18"/>
      <c r="CB23" s="19"/>
    </row>
    <row r="24" spans="19:80" ht="30" customHeight="1" x14ac:dyDescent="0.25">
      <c r="S24" s="18"/>
      <c r="CB24" s="19"/>
    </row>
    <row r="25" spans="19:80" ht="30" customHeight="1" x14ac:dyDescent="0.25">
      <c r="S25" s="18"/>
      <c r="CB25" s="19"/>
    </row>
    <row r="26" spans="19:80" ht="30" customHeight="1" x14ac:dyDescent="0.25">
      <c r="S26" s="18"/>
      <c r="CB26" s="19"/>
    </row>
    <row r="27" spans="19:80" ht="30" customHeight="1" x14ac:dyDescent="0.25">
      <c r="S27" s="18"/>
      <c r="CB27" s="19"/>
    </row>
    <row r="28" spans="19:80" ht="30" customHeight="1" x14ac:dyDescent="0.25">
      <c r="S28" s="18"/>
      <c r="CB28" s="19"/>
    </row>
    <row r="29" spans="19:80" ht="30" customHeight="1" x14ac:dyDescent="0.25">
      <c r="S29" s="18"/>
      <c r="CB29" s="19"/>
    </row>
    <row r="30" spans="19:80" ht="30" customHeight="1" x14ac:dyDescent="0.25">
      <c r="S30" s="18"/>
      <c r="CB30" s="19"/>
    </row>
    <row r="31" spans="19:80" ht="30" customHeight="1" x14ac:dyDescent="0.25">
      <c r="S31" s="18"/>
      <c r="CB31" s="19"/>
    </row>
    <row r="32" spans="19:80" ht="30" customHeight="1" x14ac:dyDescent="0.25">
      <c r="S32" s="18"/>
      <c r="CB32" s="19"/>
    </row>
    <row r="33" spans="1:109" ht="30" customHeight="1" x14ac:dyDescent="0.25">
      <c r="S33" s="18"/>
      <c r="CB33" s="19"/>
    </row>
    <row r="34" spans="1:109" ht="30" customHeight="1" x14ac:dyDescent="0.25">
      <c r="S34" s="18"/>
      <c r="CB34" s="19"/>
    </row>
    <row r="35" spans="1:109" ht="30" customHeight="1" x14ac:dyDescent="0.25">
      <c r="S35" s="18"/>
      <c r="CB35" s="19"/>
    </row>
    <row r="36" spans="1:109" ht="30" customHeight="1" x14ac:dyDescent="0.25">
      <c r="S36" s="18"/>
      <c r="CB36" s="19"/>
    </row>
    <row r="37" spans="1:109" ht="30" customHeight="1" x14ac:dyDescent="0.25">
      <c r="S37" s="18"/>
      <c r="CB37" s="19"/>
    </row>
    <row r="38" spans="1:109" ht="30" customHeight="1" x14ac:dyDescent="0.25">
      <c r="S38" s="18"/>
      <c r="CB38" s="19"/>
    </row>
    <row r="39" spans="1:109" ht="30" customHeight="1" x14ac:dyDescent="0.25">
      <c r="S39" s="18"/>
      <c r="CB39" s="19"/>
    </row>
    <row r="40" spans="1:109" ht="30" customHeight="1" x14ac:dyDescent="0.25">
      <c r="S40" s="18"/>
      <c r="CB40" s="19"/>
    </row>
    <row r="41" spans="1:109" ht="30" customHeight="1" x14ac:dyDescent="0.25">
      <c r="S41" s="18"/>
      <c r="CB41" s="19"/>
    </row>
    <row r="42" spans="1:109" ht="30" customHeight="1" x14ac:dyDescent="0.25">
      <c r="S42" s="18"/>
      <c r="CB42" s="19"/>
    </row>
    <row r="43" spans="1:109" s="1" customFormat="1" ht="30" customHeight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 s="20"/>
      <c r="AX43" s="5"/>
      <c r="CB43" s="21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9" ht="11.25" customHeight="1" x14ac:dyDescent="0.25">
      <c r="S44" s="22"/>
      <c r="T44" s="8"/>
      <c r="U44" s="7"/>
      <c r="V44" s="7"/>
      <c r="W44" s="7"/>
      <c r="X44" s="7"/>
      <c r="Y44" s="8"/>
      <c r="Z44" s="7"/>
      <c r="AA44" s="7"/>
      <c r="AB44" s="7"/>
      <c r="AC44" s="7"/>
      <c r="AD44" s="8"/>
      <c r="AE44" s="7"/>
      <c r="AF44" s="7"/>
      <c r="AG44" s="7"/>
      <c r="AH44" s="7"/>
      <c r="AI44" s="8"/>
      <c r="AJ44" s="7"/>
      <c r="AK44" s="7"/>
      <c r="AL44" s="7"/>
      <c r="AM44" s="7"/>
      <c r="AN44" s="8"/>
      <c r="AO44" s="7"/>
      <c r="AP44" s="7"/>
      <c r="AQ44" s="7"/>
      <c r="AR44" s="7"/>
      <c r="AS44" s="8"/>
      <c r="AT44" s="7"/>
      <c r="AU44" s="7"/>
      <c r="AV44" s="7"/>
      <c r="AW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23"/>
    </row>
    <row r="45" spans="1:109" ht="11.25" customHeight="1" x14ac:dyDescent="0.25">
      <c r="S45" s="24"/>
      <c r="T45" s="8"/>
      <c r="X45" s="10"/>
      <c r="Y45" s="8"/>
      <c r="AC45" s="10"/>
      <c r="AD45" s="8"/>
      <c r="AH45" s="10"/>
      <c r="AI45" s="8"/>
      <c r="AM45" s="10"/>
      <c r="AN45" s="8"/>
      <c r="AR45" s="10"/>
      <c r="AS45" s="8"/>
      <c r="AW45" s="10"/>
      <c r="BB45" s="10"/>
      <c r="BC45" s="8"/>
      <c r="BG45" s="10"/>
      <c r="BH45" s="8"/>
      <c r="BL45" s="10"/>
      <c r="BM45" s="8"/>
      <c r="BQ45" s="10"/>
      <c r="BR45" s="8"/>
      <c r="BV45" s="10"/>
      <c r="BW45" s="8"/>
      <c r="CA45" s="10"/>
      <c r="CB45" s="25"/>
      <c r="CZ45" s="10"/>
      <c r="DA45" s="8"/>
      <c r="DE45" s="10"/>
    </row>
    <row r="46" spans="1:109" ht="13.5" customHeight="1" x14ac:dyDescent="0.25">
      <c r="S46" s="18"/>
      <c r="CB46" s="19"/>
    </row>
    <row r="47" spans="1:109" s="12" customFormat="1" ht="30" customHeight="1" x14ac:dyDescent="0.45">
      <c r="S47" s="38">
        <v>30</v>
      </c>
      <c r="T47" s="36"/>
      <c r="X47" s="36">
        <v>35</v>
      </c>
      <c r="Y47" s="36"/>
      <c r="AC47" s="36">
        <v>40</v>
      </c>
      <c r="AD47" s="36"/>
      <c r="AH47" s="36">
        <v>45</v>
      </c>
      <c r="AI47" s="36"/>
      <c r="AM47" s="36">
        <v>50</v>
      </c>
      <c r="AN47" s="36"/>
      <c r="AR47" s="36">
        <v>55</v>
      </c>
      <c r="AS47" s="36"/>
      <c r="AX47" s="13"/>
      <c r="BB47" s="36" t="s">
        <v>7</v>
      </c>
      <c r="BC47" s="36"/>
      <c r="BG47" s="36">
        <v>10</v>
      </c>
      <c r="BH47" s="36"/>
      <c r="BL47" s="36">
        <v>15</v>
      </c>
      <c r="BM47" s="36"/>
      <c r="BQ47" s="36">
        <v>20</v>
      </c>
      <c r="BR47" s="36"/>
      <c r="BV47" s="36">
        <v>25</v>
      </c>
      <c r="BW47" s="36"/>
      <c r="CA47" s="36">
        <v>30</v>
      </c>
      <c r="CB47" s="37"/>
    </row>
    <row r="48" spans="1:109" s="12" customFormat="1" ht="30" customHeight="1" x14ac:dyDescent="0.45">
      <c r="S48" s="38"/>
      <c r="T48" s="36"/>
      <c r="X48" s="36"/>
      <c r="Y48" s="36"/>
      <c r="AC48" s="36"/>
      <c r="AD48" s="36"/>
      <c r="AH48" s="36"/>
      <c r="AI48" s="36"/>
      <c r="AM48" s="36"/>
      <c r="AN48" s="36"/>
      <c r="AR48" s="36"/>
      <c r="AS48" s="36"/>
      <c r="AX48" s="13"/>
      <c r="BB48" s="36"/>
      <c r="BC48" s="36"/>
      <c r="BG48" s="36"/>
      <c r="BH48" s="36"/>
      <c r="BL48" s="36"/>
      <c r="BM48" s="36"/>
      <c r="BQ48" s="36"/>
      <c r="BR48" s="36"/>
      <c r="BV48" s="36"/>
      <c r="BW48" s="36"/>
      <c r="CA48" s="36"/>
      <c r="CB48" s="37"/>
    </row>
    <row r="49" spans="19:80" s="12" customFormat="1" ht="30" customHeight="1" x14ac:dyDescent="0.45">
      <c r="S49" s="38"/>
      <c r="T49" s="36"/>
      <c r="X49" s="36"/>
      <c r="Y49" s="36"/>
      <c r="AC49" s="36"/>
      <c r="AD49" s="36"/>
      <c r="AH49" s="36"/>
      <c r="AI49" s="36"/>
      <c r="AM49" s="36"/>
      <c r="AN49" s="36"/>
      <c r="AR49" s="36"/>
      <c r="AS49" s="36"/>
      <c r="AX49" s="13"/>
      <c r="BB49" s="36"/>
      <c r="BC49" s="36"/>
      <c r="BG49" s="36"/>
      <c r="BH49" s="36"/>
      <c r="BL49" s="36"/>
      <c r="BM49" s="36"/>
      <c r="BQ49" s="36"/>
      <c r="BR49" s="36"/>
      <c r="BV49" s="36"/>
      <c r="BW49" s="36"/>
      <c r="CA49" s="36"/>
      <c r="CB49" s="37"/>
    </row>
    <row r="50" spans="19:80" ht="30" customHeight="1" x14ac:dyDescent="0.25">
      <c r="S50" s="18"/>
      <c r="CB50" s="19"/>
    </row>
    <row r="51" spans="19:80" ht="30" customHeight="1" x14ac:dyDescent="0.25">
      <c r="S51" s="18"/>
      <c r="CB51" s="19"/>
    </row>
    <row r="52" spans="19:80" ht="30" customHeight="1" x14ac:dyDescent="0.25">
      <c r="S52" s="18"/>
      <c r="CB52" s="19"/>
    </row>
    <row r="53" spans="19:80" ht="30" customHeight="1" x14ac:dyDescent="0.25">
      <c r="S53" s="18"/>
      <c r="CB53" s="19"/>
    </row>
    <row r="54" spans="19:80" ht="30" customHeight="1" x14ac:dyDescent="0.25">
      <c r="S54" s="18"/>
      <c r="CB54" s="19"/>
    </row>
    <row r="55" spans="19:80" ht="30" customHeight="1" x14ac:dyDescent="0.25">
      <c r="S55" s="18"/>
      <c r="CB55" s="19"/>
    </row>
    <row r="56" spans="19:80" ht="30" customHeight="1" x14ac:dyDescent="0.25">
      <c r="S56" s="18"/>
      <c r="CB56" s="19"/>
    </row>
    <row r="57" spans="19:80" ht="30" customHeight="1" x14ac:dyDescent="0.25">
      <c r="S57" s="18"/>
      <c r="CB57" s="19"/>
    </row>
    <row r="58" spans="19:80" ht="30" customHeight="1" x14ac:dyDescent="0.25">
      <c r="S58" s="18"/>
      <c r="CB58" s="19"/>
    </row>
    <row r="59" spans="19:80" ht="30" customHeight="1" x14ac:dyDescent="0.25">
      <c r="S59" s="18"/>
      <c r="CB59" s="19"/>
    </row>
    <row r="60" spans="19:80" ht="30" customHeight="1" x14ac:dyDescent="0.25">
      <c r="S60" s="18"/>
      <c r="CB60" s="19"/>
    </row>
    <row r="61" spans="19:80" ht="30" customHeight="1" x14ac:dyDescent="0.25">
      <c r="S61" s="18"/>
      <c r="CB61" s="19"/>
    </row>
    <row r="62" spans="19:80" ht="30" customHeight="1" x14ac:dyDescent="0.25">
      <c r="S62" s="18"/>
      <c r="CB62" s="19"/>
    </row>
    <row r="63" spans="19:80" ht="30" customHeight="1" x14ac:dyDescent="0.25">
      <c r="S63" s="18"/>
      <c r="CB63" s="19"/>
    </row>
    <row r="64" spans="19:80" ht="30" customHeight="1" x14ac:dyDescent="0.25">
      <c r="S64" s="18"/>
      <c r="CB64" s="19"/>
    </row>
    <row r="65" spans="19:80" ht="30" customHeight="1" x14ac:dyDescent="0.25">
      <c r="S65" s="18"/>
      <c r="CB65" s="19"/>
    </row>
    <row r="66" spans="19:80" ht="30" customHeight="1" x14ac:dyDescent="0.25">
      <c r="S66" s="18"/>
      <c r="CB66" s="19"/>
    </row>
    <row r="67" spans="19:80" ht="30" customHeight="1" x14ac:dyDescent="0.25">
      <c r="S67" s="18"/>
      <c r="CB67" s="19"/>
    </row>
    <row r="68" spans="19:80" ht="30" customHeight="1" x14ac:dyDescent="0.25">
      <c r="S68" s="18"/>
      <c r="CB68" s="19"/>
    </row>
    <row r="69" spans="19:80" ht="30" customHeight="1" x14ac:dyDescent="0.25">
      <c r="S69" s="18"/>
      <c r="CB69" s="19"/>
    </row>
    <row r="70" spans="19:80" ht="30" customHeight="1" x14ac:dyDescent="0.25">
      <c r="S70" s="18"/>
      <c r="CB70" s="19"/>
    </row>
    <row r="71" spans="19:80" ht="30" customHeight="1" x14ac:dyDescent="0.25">
      <c r="S71" s="18"/>
      <c r="CB71" s="19"/>
    </row>
    <row r="72" spans="19:80" ht="30" customHeight="1" x14ac:dyDescent="0.25">
      <c r="S72" s="18"/>
      <c r="CB72" s="19"/>
    </row>
    <row r="73" spans="19:80" ht="30" customHeight="1" x14ac:dyDescent="0.25">
      <c r="S73" s="18"/>
      <c r="CB73" s="19"/>
    </row>
    <row r="74" spans="19:80" ht="30" customHeight="1" x14ac:dyDescent="0.25">
      <c r="S74" s="18"/>
      <c r="CB74" s="19"/>
    </row>
    <row r="75" spans="19:80" ht="30" customHeight="1" x14ac:dyDescent="0.25">
      <c r="S75" s="18"/>
      <c r="CB75" s="19"/>
    </row>
    <row r="76" spans="19:80" ht="30" customHeight="1" x14ac:dyDescent="0.25">
      <c r="S76" s="18"/>
      <c r="CB76" s="19"/>
    </row>
    <row r="77" spans="19:80" ht="30" customHeight="1" x14ac:dyDescent="0.25">
      <c r="S77" s="18"/>
      <c r="CB77" s="19"/>
    </row>
    <row r="78" spans="19:80" ht="30" customHeight="1" x14ac:dyDescent="0.25">
      <c r="S78" s="18"/>
      <c r="CB78" s="19"/>
    </row>
    <row r="79" spans="19:80" ht="30" customHeight="1" x14ac:dyDescent="0.25">
      <c r="S79" s="18"/>
      <c r="CB79" s="19"/>
    </row>
    <row r="80" spans="19:80" ht="30" customHeight="1" x14ac:dyDescent="0.25">
      <c r="S80" s="18"/>
      <c r="CB80" s="19"/>
    </row>
    <row r="81" spans="19:80" ht="30" customHeight="1" x14ac:dyDescent="0.25">
      <c r="S81" s="18"/>
      <c r="CB81" s="19"/>
    </row>
    <row r="82" spans="19:80" ht="30" customHeight="1" x14ac:dyDescent="0.25">
      <c r="S82" s="18"/>
      <c r="CB82" s="19"/>
    </row>
    <row r="83" spans="19:80" ht="30" customHeight="1" x14ac:dyDescent="0.25">
      <c r="S83" s="18"/>
      <c r="CB83" s="19"/>
    </row>
    <row r="84" spans="19:80" ht="30" customHeight="1" x14ac:dyDescent="0.25">
      <c r="S84" s="18"/>
      <c r="CB84" s="19"/>
    </row>
    <row r="85" spans="19:80" ht="30" customHeight="1" x14ac:dyDescent="0.25">
      <c r="S85" s="18"/>
      <c r="CB85" s="19"/>
    </row>
    <row r="86" spans="19:80" ht="30" customHeight="1" x14ac:dyDescent="0.25">
      <c r="S86" s="18"/>
      <c r="CB86" s="19"/>
    </row>
    <row r="87" spans="19:80" ht="30" customHeight="1" x14ac:dyDescent="0.25">
      <c r="S87" s="18"/>
      <c r="CB87" s="19"/>
    </row>
    <row r="88" spans="19:80" ht="30" customHeight="1" x14ac:dyDescent="0.25">
      <c r="S88" s="18"/>
      <c r="CB88" s="19"/>
    </row>
    <row r="89" spans="19:80" ht="30" customHeight="1" x14ac:dyDescent="0.25">
      <c r="S89" s="18"/>
      <c r="CB89" s="19"/>
    </row>
    <row r="90" spans="19:80" ht="30" customHeight="1" x14ac:dyDescent="0.25">
      <c r="S90" s="18"/>
      <c r="CB90" s="19"/>
    </row>
    <row r="91" spans="19:80" ht="30" customHeight="1" x14ac:dyDescent="0.25">
      <c r="S91" s="18"/>
      <c r="CB91" s="19"/>
    </row>
    <row r="92" spans="19:80" ht="30" customHeight="1" x14ac:dyDescent="0.25">
      <c r="S92" s="18"/>
      <c r="CB92" s="19"/>
    </row>
    <row r="93" spans="19:80" ht="30" customHeight="1" x14ac:dyDescent="0.25">
      <c r="S93" s="18"/>
      <c r="CB93" s="19"/>
    </row>
    <row r="94" spans="19:80" ht="30" customHeight="1" x14ac:dyDescent="0.25">
      <c r="S94" s="18"/>
      <c r="CB94" s="19"/>
    </row>
    <row r="95" spans="19:80" ht="30" customHeight="1" x14ac:dyDescent="0.25">
      <c r="S95" s="18"/>
      <c r="CB95" s="19"/>
    </row>
    <row r="96" spans="19:80" ht="30" customHeight="1" x14ac:dyDescent="0.25">
      <c r="S96" s="18"/>
      <c r="CB96" s="19"/>
    </row>
    <row r="97" spans="19:80" ht="30" customHeight="1" x14ac:dyDescent="0.25">
      <c r="S97" s="18"/>
      <c r="CB97" s="19"/>
    </row>
    <row r="98" spans="19:80" ht="30" customHeight="1" x14ac:dyDescent="0.25">
      <c r="S98" s="18"/>
      <c r="CB98" s="19"/>
    </row>
    <row r="99" spans="19:80" ht="30" customHeight="1" x14ac:dyDescent="0.25">
      <c r="S99" s="26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8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9"/>
    </row>
    <row r="103" spans="19:80" ht="30" customHeight="1" x14ac:dyDescent="0.25">
      <c r="V103" t="s">
        <v>1</v>
      </c>
      <c r="W103">
        <v>0</v>
      </c>
      <c r="X103">
        <f>W103+5</f>
        <v>5</v>
      </c>
      <c r="Y103">
        <f t="shared" ref="Y103:AO103" si="0">X103+5</f>
        <v>10</v>
      </c>
      <c r="Z103">
        <f t="shared" si="0"/>
        <v>15</v>
      </c>
      <c r="AA103">
        <f t="shared" si="0"/>
        <v>20</v>
      </c>
      <c r="AB103">
        <f t="shared" si="0"/>
        <v>25</v>
      </c>
      <c r="AC103">
        <f t="shared" si="0"/>
        <v>30</v>
      </c>
      <c r="AD103">
        <f t="shared" si="0"/>
        <v>35</v>
      </c>
      <c r="AE103">
        <f t="shared" si="0"/>
        <v>40</v>
      </c>
      <c r="AF103">
        <f t="shared" si="0"/>
        <v>45</v>
      </c>
      <c r="AG103">
        <f t="shared" si="0"/>
        <v>50</v>
      </c>
      <c r="AH103">
        <f t="shared" si="0"/>
        <v>55</v>
      </c>
      <c r="AI103">
        <f t="shared" si="0"/>
        <v>60</v>
      </c>
      <c r="AJ103">
        <f t="shared" si="0"/>
        <v>65</v>
      </c>
      <c r="AK103">
        <f t="shared" si="0"/>
        <v>70</v>
      </c>
      <c r="AL103">
        <f t="shared" si="0"/>
        <v>75</v>
      </c>
      <c r="AM103">
        <f t="shared" si="0"/>
        <v>80</v>
      </c>
      <c r="AN103">
        <f t="shared" si="0"/>
        <v>85</v>
      </c>
      <c r="AO103">
        <f t="shared" si="0"/>
        <v>90</v>
      </c>
    </row>
    <row r="104" spans="19:80" ht="30" customHeight="1" x14ac:dyDescent="0.25">
      <c r="V104" t="s">
        <v>2</v>
      </c>
      <c r="W104">
        <f t="shared" ref="W104:AO104" si="1">15*COS(W$103 * PI()/180)</f>
        <v>15</v>
      </c>
      <c r="X104">
        <f t="shared" si="1"/>
        <v>14.942920471376183</v>
      </c>
      <c r="Y104">
        <f t="shared" si="1"/>
        <v>14.772116295183121</v>
      </c>
      <c r="Z104">
        <f t="shared" si="1"/>
        <v>14.488887394336025</v>
      </c>
      <c r="AA104">
        <f t="shared" si="1"/>
        <v>14.095389311788626</v>
      </c>
      <c r="AB104">
        <f t="shared" si="1"/>
        <v>13.59461680554975</v>
      </c>
      <c r="AC104">
        <f t="shared" si="1"/>
        <v>12.99038105676658</v>
      </c>
      <c r="AD104">
        <f t="shared" si="1"/>
        <v>12.287280664334878</v>
      </c>
      <c r="AE104">
        <f t="shared" si="1"/>
        <v>11.490666646784669</v>
      </c>
      <c r="AF104">
        <f t="shared" si="1"/>
        <v>10.606601717798213</v>
      </c>
      <c r="AG104">
        <f t="shared" si="1"/>
        <v>9.6418141452980901</v>
      </c>
      <c r="AH104">
        <f t="shared" si="1"/>
        <v>8.6036465452656916</v>
      </c>
      <c r="AI104">
        <f t="shared" si="1"/>
        <v>7.5000000000000018</v>
      </c>
      <c r="AJ104">
        <f t="shared" si="1"/>
        <v>6.3392739261104918</v>
      </c>
      <c r="AK104">
        <f t="shared" si="1"/>
        <v>5.1303021498850327</v>
      </c>
      <c r="AL104">
        <f t="shared" si="1"/>
        <v>3.8822856765378111</v>
      </c>
      <c r="AM104">
        <f t="shared" si="1"/>
        <v>2.6047226650039561</v>
      </c>
      <c r="AN104">
        <f t="shared" si="1"/>
        <v>1.3073361412148721</v>
      </c>
      <c r="AO104">
        <f t="shared" si="1"/>
        <v>9.1886134118146501E-16</v>
      </c>
    </row>
    <row r="105" spans="19:80" ht="30" customHeight="1" x14ac:dyDescent="0.25">
      <c r="V105" t="s">
        <v>2</v>
      </c>
      <c r="W105">
        <f t="shared" ref="W105:AO105" si="2">10*COS(W$103 * PI()/180)</f>
        <v>10</v>
      </c>
      <c r="X105">
        <f t="shared" si="2"/>
        <v>9.961946980917455</v>
      </c>
      <c r="Y105">
        <f t="shared" si="2"/>
        <v>9.8480775301220795</v>
      </c>
      <c r="Z105">
        <f t="shared" si="2"/>
        <v>9.6592582628906829</v>
      </c>
      <c r="AA105">
        <f t="shared" si="2"/>
        <v>9.3969262078590852</v>
      </c>
      <c r="AB105">
        <f t="shared" si="2"/>
        <v>9.0630778703664987</v>
      </c>
      <c r="AC105">
        <f t="shared" si="2"/>
        <v>8.6602540378443873</v>
      </c>
      <c r="AD105">
        <f t="shared" si="2"/>
        <v>8.1915204428899173</v>
      </c>
      <c r="AE105">
        <f t="shared" si="2"/>
        <v>7.6604444311897799</v>
      </c>
      <c r="AF105">
        <f t="shared" si="2"/>
        <v>7.0710678118654755</v>
      </c>
      <c r="AG105">
        <f t="shared" si="2"/>
        <v>6.4278760968653934</v>
      </c>
      <c r="AH105">
        <f t="shared" si="2"/>
        <v>5.7357643635104614</v>
      </c>
      <c r="AI105">
        <f t="shared" si="2"/>
        <v>5.0000000000000009</v>
      </c>
      <c r="AJ105">
        <f t="shared" si="2"/>
        <v>4.2261826174069945</v>
      </c>
      <c r="AK105">
        <f t="shared" si="2"/>
        <v>3.4202014332566884</v>
      </c>
      <c r="AL105">
        <f t="shared" si="2"/>
        <v>2.5881904510252074</v>
      </c>
      <c r="AM105">
        <f t="shared" si="2"/>
        <v>1.7364817766693041</v>
      </c>
      <c r="AN105">
        <f t="shared" si="2"/>
        <v>0.87155742747658138</v>
      </c>
      <c r="AO105">
        <f t="shared" si="2"/>
        <v>6.1257422745431001E-16</v>
      </c>
    </row>
    <row r="106" spans="19:80" ht="30" customHeight="1" x14ac:dyDescent="0.25">
      <c r="V106" t="s">
        <v>2</v>
      </c>
      <c r="W106">
        <f t="shared" ref="W106:AO106" si="3">5*COS(W$103 * PI()/180)</f>
        <v>5</v>
      </c>
      <c r="X106">
        <f t="shared" si="3"/>
        <v>4.9809734904587275</v>
      </c>
      <c r="Y106">
        <f t="shared" si="3"/>
        <v>4.9240387650610398</v>
      </c>
      <c r="Z106">
        <f t="shared" si="3"/>
        <v>4.8296291314453415</v>
      </c>
      <c r="AA106">
        <f t="shared" si="3"/>
        <v>4.6984631039295426</v>
      </c>
      <c r="AB106">
        <f t="shared" si="3"/>
        <v>4.5315389351832494</v>
      </c>
      <c r="AC106">
        <f t="shared" si="3"/>
        <v>4.3301270189221936</v>
      </c>
      <c r="AD106">
        <f t="shared" si="3"/>
        <v>4.0957602214449587</v>
      </c>
      <c r="AE106">
        <f t="shared" si="3"/>
        <v>3.83022221559489</v>
      </c>
      <c r="AF106">
        <f t="shared" si="3"/>
        <v>3.5355339059327378</v>
      </c>
      <c r="AG106">
        <f t="shared" si="3"/>
        <v>3.2139380484326967</v>
      </c>
      <c r="AH106">
        <f t="shared" si="3"/>
        <v>2.8678821817552307</v>
      </c>
      <c r="AI106">
        <f t="shared" si="3"/>
        <v>2.5000000000000004</v>
      </c>
      <c r="AJ106">
        <f t="shared" si="3"/>
        <v>2.1130913087034973</v>
      </c>
      <c r="AK106">
        <f t="shared" si="3"/>
        <v>1.7101007166283442</v>
      </c>
      <c r="AL106">
        <f t="shared" si="3"/>
        <v>1.2940952255126037</v>
      </c>
      <c r="AM106">
        <f t="shared" si="3"/>
        <v>0.86824088833465207</v>
      </c>
      <c r="AN106">
        <f t="shared" si="3"/>
        <v>0.43577871373829069</v>
      </c>
      <c r="AO106">
        <f t="shared" si="3"/>
        <v>3.06287113727155E-16</v>
      </c>
    </row>
    <row r="107" spans="19:80" ht="30" customHeight="1" x14ac:dyDescent="0.25">
      <c r="V107" t="s">
        <v>2</v>
      </c>
      <c r="W107">
        <f t="shared" ref="W107:AO107" si="4">4*COS(W$103 * PI()/180)</f>
        <v>4</v>
      </c>
      <c r="X107">
        <f t="shared" si="4"/>
        <v>3.9847787923669822</v>
      </c>
      <c r="Y107">
        <f t="shared" si="4"/>
        <v>3.9392310120488321</v>
      </c>
      <c r="Z107">
        <f t="shared" si="4"/>
        <v>3.8637033051562732</v>
      </c>
      <c r="AA107">
        <f t="shared" si="4"/>
        <v>3.7587704831436337</v>
      </c>
      <c r="AB107">
        <f t="shared" si="4"/>
        <v>3.6252311481465997</v>
      </c>
      <c r="AC107">
        <f t="shared" si="4"/>
        <v>3.4641016151377548</v>
      </c>
      <c r="AD107">
        <f t="shared" si="4"/>
        <v>3.2766081771559672</v>
      </c>
      <c r="AE107">
        <f t="shared" si="4"/>
        <v>3.0641777724759121</v>
      </c>
      <c r="AF107">
        <f t="shared" si="4"/>
        <v>2.8284271247461903</v>
      </c>
      <c r="AG107">
        <f t="shared" si="4"/>
        <v>2.5711504387461575</v>
      </c>
      <c r="AH107">
        <f t="shared" si="4"/>
        <v>2.2943057454041846</v>
      </c>
      <c r="AI107">
        <f t="shared" si="4"/>
        <v>2.0000000000000004</v>
      </c>
      <c r="AJ107">
        <f t="shared" si="4"/>
        <v>1.6904730469627978</v>
      </c>
      <c r="AK107">
        <f t="shared" si="4"/>
        <v>1.3680805733026753</v>
      </c>
      <c r="AL107">
        <f t="shared" si="4"/>
        <v>1.035276180410083</v>
      </c>
      <c r="AM107">
        <f t="shared" si="4"/>
        <v>0.69459271066772166</v>
      </c>
      <c r="AN107">
        <f t="shared" si="4"/>
        <v>0.34862297099063255</v>
      </c>
      <c r="AO107">
        <f t="shared" si="4"/>
        <v>2.45029690981724E-16</v>
      </c>
    </row>
    <row r="108" spans="19:80" ht="30" customHeight="1" x14ac:dyDescent="0.25">
      <c r="V108" t="s">
        <v>2</v>
      </c>
      <c r="W108">
        <f t="shared" ref="W108:AO108" si="5">3*COS(W$103 * PI()/180)</f>
        <v>3</v>
      </c>
      <c r="X108">
        <f t="shared" si="5"/>
        <v>2.9885840942752369</v>
      </c>
      <c r="Y108">
        <f t="shared" si="5"/>
        <v>2.9544232590366239</v>
      </c>
      <c r="Z108">
        <f t="shared" si="5"/>
        <v>2.897777478867205</v>
      </c>
      <c r="AA108">
        <f t="shared" si="5"/>
        <v>2.8190778623577253</v>
      </c>
      <c r="AB108">
        <f t="shared" si="5"/>
        <v>2.7189233611099497</v>
      </c>
      <c r="AC108">
        <f t="shared" si="5"/>
        <v>2.598076211353316</v>
      </c>
      <c r="AD108">
        <f t="shared" si="5"/>
        <v>2.4574561328669753</v>
      </c>
      <c r="AE108">
        <f t="shared" si="5"/>
        <v>2.2981333293569342</v>
      </c>
      <c r="AF108">
        <f t="shared" si="5"/>
        <v>2.1213203435596428</v>
      </c>
      <c r="AG108">
        <f t="shared" si="5"/>
        <v>1.9283628290596182</v>
      </c>
      <c r="AH108">
        <f t="shared" si="5"/>
        <v>1.7207293090531386</v>
      </c>
      <c r="AI108">
        <f t="shared" si="5"/>
        <v>1.5000000000000004</v>
      </c>
      <c r="AJ108">
        <f t="shared" si="5"/>
        <v>1.2678547852220983</v>
      </c>
      <c r="AK108">
        <f t="shared" si="5"/>
        <v>1.0260604299770064</v>
      </c>
      <c r="AL108">
        <f t="shared" si="5"/>
        <v>0.77645713530756222</v>
      </c>
      <c r="AM108">
        <f t="shared" si="5"/>
        <v>0.52094453300079124</v>
      </c>
      <c r="AN108">
        <f t="shared" si="5"/>
        <v>0.26146722824297441</v>
      </c>
      <c r="AO108">
        <f t="shared" si="5"/>
        <v>1.83772268236293E-16</v>
      </c>
    </row>
    <row r="109" spans="19:80" ht="30" customHeight="1" x14ac:dyDescent="0.25">
      <c r="V109" t="s">
        <v>2</v>
      </c>
      <c r="W109">
        <f t="shared" ref="W109:AO109" si="6">2*COS(W$103 * PI()/180)</f>
        <v>2</v>
      </c>
      <c r="X109">
        <f t="shared" si="6"/>
        <v>1.9923893961834911</v>
      </c>
      <c r="Y109">
        <f t="shared" si="6"/>
        <v>1.969615506024416</v>
      </c>
      <c r="Z109">
        <f t="shared" si="6"/>
        <v>1.9318516525781366</v>
      </c>
      <c r="AA109">
        <f t="shared" si="6"/>
        <v>1.8793852415718169</v>
      </c>
      <c r="AB109">
        <f t="shared" si="6"/>
        <v>1.8126155740732999</v>
      </c>
      <c r="AC109">
        <f t="shared" si="6"/>
        <v>1.7320508075688774</v>
      </c>
      <c r="AD109">
        <f t="shared" si="6"/>
        <v>1.6383040885779836</v>
      </c>
      <c r="AE109">
        <f t="shared" si="6"/>
        <v>1.532088886237956</v>
      </c>
      <c r="AF109">
        <f t="shared" si="6"/>
        <v>1.4142135623730951</v>
      </c>
      <c r="AG109">
        <f t="shared" si="6"/>
        <v>1.2855752193730787</v>
      </c>
      <c r="AH109">
        <f t="shared" si="6"/>
        <v>1.1471528727020923</v>
      </c>
      <c r="AI109">
        <f t="shared" si="6"/>
        <v>1.0000000000000002</v>
      </c>
      <c r="AJ109">
        <f t="shared" si="6"/>
        <v>0.84523652348139888</v>
      </c>
      <c r="AK109">
        <f t="shared" si="6"/>
        <v>0.68404028665133765</v>
      </c>
      <c r="AL109">
        <f t="shared" si="6"/>
        <v>0.51763809020504148</v>
      </c>
      <c r="AM109">
        <f t="shared" si="6"/>
        <v>0.34729635533386083</v>
      </c>
      <c r="AN109">
        <f t="shared" si="6"/>
        <v>0.17431148549531628</v>
      </c>
      <c r="AO109">
        <f t="shared" si="6"/>
        <v>1.22514845490862E-16</v>
      </c>
    </row>
    <row r="110" spans="19:80" ht="30" customHeight="1" x14ac:dyDescent="0.25">
      <c r="V110" t="s">
        <v>2</v>
      </c>
      <c r="W110">
        <f t="shared" ref="W110:AO110" si="7">1*COS(W$103 * PI()/180)</f>
        <v>1</v>
      </c>
      <c r="X110">
        <f t="shared" si="7"/>
        <v>0.99619469809174555</v>
      </c>
      <c r="Y110">
        <f t="shared" si="7"/>
        <v>0.98480775301220802</v>
      </c>
      <c r="Z110">
        <f t="shared" si="7"/>
        <v>0.96592582628906831</v>
      </c>
      <c r="AA110">
        <f t="shared" si="7"/>
        <v>0.93969262078590843</v>
      </c>
      <c r="AB110">
        <f t="shared" si="7"/>
        <v>0.90630778703664994</v>
      </c>
      <c r="AC110">
        <f t="shared" si="7"/>
        <v>0.86602540378443871</v>
      </c>
      <c r="AD110">
        <f t="shared" si="7"/>
        <v>0.8191520442889918</v>
      </c>
      <c r="AE110">
        <f t="shared" si="7"/>
        <v>0.76604444311897801</v>
      </c>
      <c r="AF110">
        <f t="shared" si="7"/>
        <v>0.70710678118654757</v>
      </c>
      <c r="AG110">
        <f t="shared" si="7"/>
        <v>0.64278760968653936</v>
      </c>
      <c r="AH110">
        <f t="shared" si="7"/>
        <v>0.57357643635104616</v>
      </c>
      <c r="AI110">
        <f t="shared" si="7"/>
        <v>0.50000000000000011</v>
      </c>
      <c r="AJ110">
        <f t="shared" si="7"/>
        <v>0.42261826174069944</v>
      </c>
      <c r="AK110">
        <f t="shared" si="7"/>
        <v>0.34202014332566882</v>
      </c>
      <c r="AL110">
        <f t="shared" si="7"/>
        <v>0.25881904510252074</v>
      </c>
      <c r="AM110">
        <f t="shared" si="7"/>
        <v>0.17364817766693041</v>
      </c>
      <c r="AN110">
        <f t="shared" si="7"/>
        <v>8.7155742747658138E-2</v>
      </c>
      <c r="AO110">
        <f t="shared" si="7"/>
        <v>6.1257422745431001E-17</v>
      </c>
    </row>
    <row r="111" spans="19:80" ht="30" customHeight="1" x14ac:dyDescent="0.25">
      <c r="V111" t="s">
        <v>2</v>
      </c>
      <c r="W111">
        <f t="shared" ref="W111:AO111" si="8">0*COS(W$103 * PI()/180)</f>
        <v>0</v>
      </c>
      <c r="X111">
        <f t="shared" si="8"/>
        <v>0</v>
      </c>
      <c r="Y111">
        <f t="shared" si="8"/>
        <v>0</v>
      </c>
      <c r="Z111">
        <f t="shared" si="8"/>
        <v>0</v>
      </c>
      <c r="AA111">
        <f t="shared" si="8"/>
        <v>0</v>
      </c>
      <c r="AB111">
        <f t="shared" si="8"/>
        <v>0</v>
      </c>
      <c r="AC111">
        <f t="shared" si="8"/>
        <v>0</v>
      </c>
      <c r="AD111">
        <f t="shared" si="8"/>
        <v>0</v>
      </c>
      <c r="AE111">
        <f t="shared" si="8"/>
        <v>0</v>
      </c>
      <c r="AF111">
        <f t="shared" si="8"/>
        <v>0</v>
      </c>
      <c r="AG111">
        <f t="shared" si="8"/>
        <v>0</v>
      </c>
      <c r="AH111">
        <f t="shared" si="8"/>
        <v>0</v>
      </c>
      <c r="AI111">
        <f t="shared" si="8"/>
        <v>0</v>
      </c>
      <c r="AJ111">
        <f t="shared" si="8"/>
        <v>0</v>
      </c>
      <c r="AK111">
        <f t="shared" si="8"/>
        <v>0</v>
      </c>
      <c r="AL111">
        <f t="shared" si="8"/>
        <v>0</v>
      </c>
      <c r="AM111">
        <f t="shared" si="8"/>
        <v>0</v>
      </c>
      <c r="AN111">
        <f t="shared" si="8"/>
        <v>0</v>
      </c>
      <c r="AO111">
        <f t="shared" si="8"/>
        <v>0</v>
      </c>
    </row>
  </sheetData>
  <mergeCells count="13">
    <mergeCell ref="BZ2:CA5"/>
    <mergeCell ref="S47:T49"/>
    <mergeCell ref="X47:Y49"/>
    <mergeCell ref="AC47:AD49"/>
    <mergeCell ref="AH47:AI49"/>
    <mergeCell ref="AM47:AN49"/>
    <mergeCell ref="BV47:BW49"/>
    <mergeCell ref="CA47:CB49"/>
    <mergeCell ref="AR47:AS49"/>
    <mergeCell ref="BB47:BC49"/>
    <mergeCell ref="BG47:BH49"/>
    <mergeCell ref="BL47:BM49"/>
    <mergeCell ref="BQ47:BR49"/>
  </mergeCells>
  <printOptions horizontalCentered="1" verticalCentered="1"/>
  <pageMargins left="0" right="0" top="0" bottom="0" header="0" footer="0"/>
  <pageSetup paperSize="9" scale="2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R62"/>
  <sheetViews>
    <sheetView zoomScale="20" zoomScaleNormal="20" workbookViewId="0">
      <selection activeCell="DF38" sqref="DF38"/>
    </sheetView>
  </sheetViews>
  <sheetFormatPr defaultColWidth="2.85546875" defaultRowHeight="15" x14ac:dyDescent="0.25"/>
  <cols>
    <col min="43" max="43" width="0.85546875" style="8" customWidth="1"/>
    <col min="44" max="44" width="1" customWidth="1"/>
    <col min="45" max="45" width="1.28515625" customWidth="1"/>
    <col min="102" max="103" width="5.42578125" customWidth="1"/>
    <col min="104" max="104" width="7" customWidth="1"/>
    <col min="105" max="105" width="9" customWidth="1"/>
    <col min="106" max="118" width="5.42578125" customWidth="1"/>
  </cols>
  <sheetData>
    <row r="1" spans="1:92" x14ac:dyDescent="0.25">
      <c r="A1" s="7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6"/>
      <c r="AR1" s="2"/>
      <c r="AS1" s="3"/>
      <c r="AT1" s="41">
        <v>30</v>
      </c>
      <c r="AU1" s="41"/>
      <c r="AV1" s="41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9"/>
    </row>
    <row r="2" spans="1:92" x14ac:dyDescent="0.25">
      <c r="A2" s="8"/>
      <c r="AQ2" s="5"/>
      <c r="AR2" s="4"/>
      <c r="AS2" s="4"/>
      <c r="AT2" s="39"/>
      <c r="AU2" s="39"/>
      <c r="AV2" s="39"/>
      <c r="CN2" s="10"/>
    </row>
    <row r="3" spans="1:92" x14ac:dyDescent="0.25">
      <c r="A3" s="8"/>
      <c r="AQ3" s="6"/>
      <c r="CN3" s="10"/>
    </row>
    <row r="4" spans="1:92" x14ac:dyDescent="0.25">
      <c r="A4" s="8"/>
      <c r="AQ4" s="6"/>
      <c r="CN4" s="10"/>
    </row>
    <row r="5" spans="1:92" x14ac:dyDescent="0.25">
      <c r="A5" s="8"/>
      <c r="AQ5" s="6"/>
      <c r="CN5" s="10"/>
    </row>
    <row r="6" spans="1:92" x14ac:dyDescent="0.25">
      <c r="A6" s="8"/>
      <c r="AQ6" s="5"/>
      <c r="AR6" s="1"/>
      <c r="AS6" s="4"/>
      <c r="AT6" s="39">
        <v>25</v>
      </c>
      <c r="AU6" s="39"/>
      <c r="AV6" s="39"/>
      <c r="CN6" s="10"/>
    </row>
    <row r="7" spans="1:92" x14ac:dyDescent="0.25">
      <c r="A7" s="8"/>
      <c r="AQ7" s="5"/>
      <c r="AR7" s="4"/>
      <c r="AS7" s="4"/>
      <c r="AT7" s="39"/>
      <c r="AU7" s="39"/>
      <c r="AV7" s="39"/>
      <c r="CN7" s="10"/>
    </row>
    <row r="8" spans="1:92" x14ac:dyDescent="0.25">
      <c r="A8" s="8"/>
      <c r="AQ8" s="6"/>
      <c r="CN8" s="10"/>
    </row>
    <row r="9" spans="1:92" x14ac:dyDescent="0.25">
      <c r="A9" s="8"/>
      <c r="AQ9" s="6"/>
      <c r="CN9" s="10"/>
    </row>
    <row r="10" spans="1:92" x14ac:dyDescent="0.25">
      <c r="A10" s="8"/>
      <c r="AQ10" s="6"/>
      <c r="CN10" s="10"/>
    </row>
    <row r="11" spans="1:92" x14ac:dyDescent="0.25">
      <c r="A11" s="8"/>
      <c r="AQ11" s="5"/>
      <c r="AR11" s="1"/>
      <c r="AS11" s="4"/>
      <c r="AT11" s="39">
        <v>20</v>
      </c>
      <c r="AU11" s="39"/>
      <c r="AV11" s="39"/>
      <c r="CN11" s="10"/>
    </row>
    <row r="12" spans="1:92" x14ac:dyDescent="0.25">
      <c r="A12" s="8"/>
      <c r="AQ12" s="5"/>
      <c r="AR12" s="4"/>
      <c r="AS12" s="4"/>
      <c r="AT12" s="39"/>
      <c r="AU12" s="39"/>
      <c r="AV12" s="39"/>
      <c r="CN12" s="10"/>
    </row>
    <row r="13" spans="1:92" x14ac:dyDescent="0.25">
      <c r="A13" s="8"/>
      <c r="AQ13" s="6"/>
      <c r="CN13" s="10"/>
    </row>
    <row r="14" spans="1:92" x14ac:dyDescent="0.25">
      <c r="A14" s="8"/>
      <c r="AQ14" s="6"/>
      <c r="CN14" s="10"/>
    </row>
    <row r="15" spans="1:92" x14ac:dyDescent="0.25">
      <c r="A15" s="8"/>
      <c r="AQ15" s="7"/>
      <c r="CN15" s="10"/>
    </row>
    <row r="16" spans="1:92" x14ac:dyDescent="0.25">
      <c r="A16" s="8"/>
      <c r="AQ16" s="6"/>
      <c r="AR16" s="1"/>
      <c r="AT16" s="39">
        <v>15</v>
      </c>
      <c r="AU16" s="39"/>
      <c r="AV16" s="39"/>
      <c r="CN16" s="10"/>
    </row>
    <row r="17" spans="1:92" x14ac:dyDescent="0.25">
      <c r="A17" s="8"/>
      <c r="AQ17" s="5"/>
      <c r="AR17" s="4"/>
      <c r="AT17" s="39"/>
      <c r="AU17" s="39"/>
      <c r="AV17" s="39"/>
      <c r="CN17" s="10"/>
    </row>
    <row r="18" spans="1:92" x14ac:dyDescent="0.25">
      <c r="A18" s="8"/>
      <c r="AQ18" s="5"/>
      <c r="CN18" s="10"/>
    </row>
    <row r="19" spans="1:92" x14ac:dyDescent="0.25">
      <c r="A19" s="8"/>
      <c r="AQ19" s="6"/>
      <c r="CN19" s="10"/>
    </row>
    <row r="20" spans="1:92" x14ac:dyDescent="0.25">
      <c r="A20" s="8"/>
      <c r="AQ20" s="6"/>
      <c r="CN20" s="10"/>
    </row>
    <row r="21" spans="1:92" x14ac:dyDescent="0.25">
      <c r="A21" s="8"/>
      <c r="AQ21" s="5"/>
      <c r="AR21" s="1"/>
      <c r="AS21" s="4"/>
      <c r="AT21" s="39">
        <v>10</v>
      </c>
      <c r="AU21" s="39"/>
      <c r="AV21" s="39"/>
      <c r="CN21" s="10"/>
    </row>
    <row r="22" spans="1:92" x14ac:dyDescent="0.25">
      <c r="A22" s="8"/>
      <c r="AQ22" s="5"/>
      <c r="AR22" s="4"/>
      <c r="AS22" s="4"/>
      <c r="AT22" s="39"/>
      <c r="AU22" s="39"/>
      <c r="AV22" s="39"/>
      <c r="CN22" s="10"/>
    </row>
    <row r="23" spans="1:92" x14ac:dyDescent="0.25">
      <c r="A23" s="8"/>
      <c r="AQ23" s="6"/>
      <c r="CN23" s="10"/>
    </row>
    <row r="24" spans="1:92" x14ac:dyDescent="0.25">
      <c r="A24" s="8"/>
      <c r="AQ24" s="6"/>
      <c r="CN24" s="10"/>
    </row>
    <row r="25" spans="1:92" x14ac:dyDescent="0.25">
      <c r="A25" s="8"/>
      <c r="AQ25" s="6"/>
      <c r="CN25" s="10"/>
    </row>
    <row r="26" spans="1:92" x14ac:dyDescent="0.25">
      <c r="A26" s="8"/>
      <c r="AQ26" s="5"/>
      <c r="AR26" s="1"/>
      <c r="AS26" s="4"/>
      <c r="AT26" s="39" t="s">
        <v>0</v>
      </c>
      <c r="AU26" s="39"/>
      <c r="AV26" s="39"/>
      <c r="CN26" s="10"/>
    </row>
    <row r="27" spans="1:92" x14ac:dyDescent="0.25">
      <c r="A27" s="8"/>
      <c r="AQ27" s="5"/>
      <c r="AR27" s="4"/>
      <c r="AS27" s="4"/>
      <c r="AT27" s="39"/>
      <c r="AU27" s="39"/>
      <c r="AV27" s="39"/>
      <c r="CN27" s="10"/>
    </row>
    <row r="28" spans="1:92" x14ac:dyDescent="0.25">
      <c r="A28" s="8"/>
      <c r="AQ28" s="6"/>
      <c r="CN28" s="10"/>
    </row>
    <row r="29" spans="1:92" x14ac:dyDescent="0.25">
      <c r="A29" s="8"/>
      <c r="AQ29" s="6"/>
      <c r="CN29" s="10"/>
    </row>
    <row r="30" spans="1:92" x14ac:dyDescent="0.25">
      <c r="A30" s="8"/>
      <c r="AQ30" s="6"/>
      <c r="CN30" s="10"/>
    </row>
    <row r="31" spans="1:92" s="1" customFormat="1" x14ac:dyDescent="0.25">
      <c r="A31" s="5"/>
      <c r="AQ31" s="6"/>
      <c r="CN31" s="11"/>
    </row>
    <row r="32" spans="1:92" x14ac:dyDescent="0.25">
      <c r="A32" s="8"/>
      <c r="AQ32" s="5"/>
      <c r="AR32" s="4"/>
      <c r="AS32" s="4"/>
      <c r="AT32" s="4"/>
      <c r="AU32" s="4"/>
      <c r="AV32" s="4"/>
      <c r="CN32" s="10"/>
    </row>
    <row r="33" spans="1:122" x14ac:dyDescent="0.25">
      <c r="A33" s="8"/>
      <c r="AQ33" s="6"/>
      <c r="CN33" s="10"/>
    </row>
    <row r="34" spans="1:122" x14ac:dyDescent="0.25">
      <c r="A34" s="8"/>
      <c r="AQ34" s="6"/>
      <c r="CN34" s="10"/>
    </row>
    <row r="35" spans="1:122" x14ac:dyDescent="0.25">
      <c r="A35" s="8"/>
      <c r="AQ35" s="6"/>
      <c r="BO35" s="4"/>
      <c r="CN35" s="10"/>
    </row>
    <row r="36" spans="1:122" x14ac:dyDescent="0.25">
      <c r="A36" s="8"/>
      <c r="AQ36" s="5"/>
      <c r="AR36" s="1"/>
      <c r="AS36" s="4"/>
      <c r="AT36" s="39">
        <v>55</v>
      </c>
      <c r="AU36" s="39"/>
      <c r="AV36" s="39"/>
      <c r="CN36" s="10"/>
    </row>
    <row r="37" spans="1:122" x14ac:dyDescent="0.25">
      <c r="A37" s="8"/>
      <c r="AQ37" s="5"/>
      <c r="AR37" s="4"/>
      <c r="AS37" s="4"/>
      <c r="AT37" s="39"/>
      <c r="AU37" s="39"/>
      <c r="AV37" s="39"/>
      <c r="CN37" s="10"/>
    </row>
    <row r="38" spans="1:122" x14ac:dyDescent="0.25">
      <c r="A38" s="8"/>
      <c r="AQ38" s="6"/>
      <c r="CN38" s="10"/>
    </row>
    <row r="39" spans="1:122" x14ac:dyDescent="0.25">
      <c r="A39" s="8"/>
      <c r="AQ39" s="6"/>
      <c r="CN39" s="10"/>
    </row>
    <row r="40" spans="1:122" x14ac:dyDescent="0.25">
      <c r="A40" s="8"/>
      <c r="AQ40" s="6"/>
      <c r="CN40" s="10"/>
    </row>
    <row r="41" spans="1:122" x14ac:dyDescent="0.25">
      <c r="A41" s="8"/>
      <c r="AQ41" s="5"/>
      <c r="AR41" s="1"/>
      <c r="AS41" s="4"/>
      <c r="AT41" s="39">
        <v>50</v>
      </c>
      <c r="AU41" s="39"/>
      <c r="AV41" s="39"/>
      <c r="CN41" s="10"/>
    </row>
    <row r="42" spans="1:122" x14ac:dyDescent="0.25">
      <c r="A42" s="8"/>
      <c r="AQ42" s="5"/>
      <c r="AR42" s="4"/>
      <c r="AS42" s="4"/>
      <c r="AT42" s="39"/>
      <c r="AU42" s="39"/>
      <c r="AV42" s="39"/>
      <c r="CN42" s="10"/>
    </row>
    <row r="43" spans="1:122" x14ac:dyDescent="0.25">
      <c r="A43" s="8"/>
      <c r="AQ43" s="6"/>
      <c r="CN43" s="10"/>
    </row>
    <row r="44" spans="1:122" x14ac:dyDescent="0.25">
      <c r="A44" s="8"/>
      <c r="AQ44" s="6"/>
      <c r="CN44" s="10"/>
    </row>
    <row r="45" spans="1:122" x14ac:dyDescent="0.25">
      <c r="A45" s="8"/>
      <c r="AQ45" s="7"/>
      <c r="CN45" s="10"/>
    </row>
    <row r="46" spans="1:122" x14ac:dyDescent="0.25">
      <c r="A46" s="8"/>
      <c r="AQ46" s="6"/>
      <c r="AR46" s="1"/>
      <c r="AT46" s="39">
        <v>45</v>
      </c>
      <c r="AU46" s="39"/>
      <c r="AV46" s="39"/>
      <c r="CN46" s="10"/>
      <c r="CY46" t="s">
        <v>1</v>
      </c>
      <c r="CZ46">
        <v>0</v>
      </c>
      <c r="DA46">
        <f>CZ46+5</f>
        <v>5</v>
      </c>
      <c r="DB46">
        <f t="shared" ref="DB46:DO46" si="0">DA46+5</f>
        <v>10</v>
      </c>
      <c r="DC46">
        <f t="shared" si="0"/>
        <v>15</v>
      </c>
      <c r="DD46">
        <f t="shared" si="0"/>
        <v>20</v>
      </c>
      <c r="DE46">
        <f t="shared" si="0"/>
        <v>25</v>
      </c>
      <c r="DF46">
        <f t="shared" si="0"/>
        <v>30</v>
      </c>
      <c r="DG46">
        <f t="shared" si="0"/>
        <v>35</v>
      </c>
      <c r="DH46">
        <f t="shared" si="0"/>
        <v>40</v>
      </c>
      <c r="DI46">
        <f t="shared" si="0"/>
        <v>45</v>
      </c>
      <c r="DJ46">
        <f t="shared" si="0"/>
        <v>50</v>
      </c>
      <c r="DK46">
        <f t="shared" si="0"/>
        <v>55</v>
      </c>
      <c r="DL46">
        <f t="shared" si="0"/>
        <v>60</v>
      </c>
      <c r="DM46">
        <f t="shared" si="0"/>
        <v>65</v>
      </c>
      <c r="DN46">
        <f t="shared" si="0"/>
        <v>70</v>
      </c>
      <c r="DO46">
        <f t="shared" si="0"/>
        <v>75</v>
      </c>
      <c r="DP46">
        <f t="shared" ref="DP46:DR46" si="1">DO46+5</f>
        <v>80</v>
      </c>
      <c r="DQ46">
        <f t="shared" si="1"/>
        <v>85</v>
      </c>
      <c r="DR46">
        <f t="shared" si="1"/>
        <v>90</v>
      </c>
    </row>
    <row r="47" spans="1:122" x14ac:dyDescent="0.25">
      <c r="A47" s="8"/>
      <c r="AQ47" s="5"/>
      <c r="AR47" s="4"/>
      <c r="AT47" s="39"/>
      <c r="AU47" s="39"/>
      <c r="AV47" s="39"/>
      <c r="CN47" s="10"/>
      <c r="CY47" t="s">
        <v>2</v>
      </c>
      <c r="CZ47">
        <f>15*COS(CZ$46 * PI()/180)</f>
        <v>15</v>
      </c>
      <c r="DA47">
        <f t="shared" ref="DA47:DR47" si="2">15*COS(DA$46 * PI()/180)</f>
        <v>14.942920471376183</v>
      </c>
      <c r="DB47">
        <f t="shared" si="2"/>
        <v>14.772116295183121</v>
      </c>
      <c r="DC47">
        <f t="shared" si="2"/>
        <v>14.488887394336025</v>
      </c>
      <c r="DD47">
        <f t="shared" si="2"/>
        <v>14.095389311788626</v>
      </c>
      <c r="DE47">
        <f t="shared" si="2"/>
        <v>13.59461680554975</v>
      </c>
      <c r="DF47">
        <f t="shared" si="2"/>
        <v>12.99038105676658</v>
      </c>
      <c r="DG47">
        <f t="shared" si="2"/>
        <v>12.287280664334878</v>
      </c>
      <c r="DH47">
        <f t="shared" si="2"/>
        <v>11.490666646784669</v>
      </c>
      <c r="DI47">
        <f t="shared" si="2"/>
        <v>10.606601717798213</v>
      </c>
      <c r="DJ47">
        <f t="shared" si="2"/>
        <v>9.6418141452980901</v>
      </c>
      <c r="DK47">
        <f t="shared" si="2"/>
        <v>8.6036465452656916</v>
      </c>
      <c r="DL47">
        <f t="shared" si="2"/>
        <v>7.5000000000000018</v>
      </c>
      <c r="DM47">
        <f t="shared" si="2"/>
        <v>6.3392739261104918</v>
      </c>
      <c r="DN47">
        <f t="shared" si="2"/>
        <v>5.1303021498850327</v>
      </c>
      <c r="DO47">
        <f t="shared" si="2"/>
        <v>3.8822856765378111</v>
      </c>
      <c r="DP47">
        <f t="shared" si="2"/>
        <v>2.6047226650039561</v>
      </c>
      <c r="DQ47">
        <f t="shared" si="2"/>
        <v>1.3073361412148721</v>
      </c>
      <c r="DR47">
        <f t="shared" si="2"/>
        <v>9.1886134118146501E-16</v>
      </c>
    </row>
    <row r="48" spans="1:122" x14ac:dyDescent="0.25">
      <c r="A48" s="8"/>
      <c r="AQ48" s="5"/>
      <c r="CN48" s="10"/>
      <c r="CY48" t="s">
        <v>2</v>
      </c>
      <c r="CZ48">
        <f>10*COS(CZ$46 * PI()/180)</f>
        <v>10</v>
      </c>
      <c r="DA48">
        <f t="shared" ref="DA48:DR48" si="3">10*COS(DA$46 * PI()/180)</f>
        <v>9.961946980917455</v>
      </c>
      <c r="DB48">
        <f t="shared" si="3"/>
        <v>9.8480775301220795</v>
      </c>
      <c r="DC48">
        <f t="shared" si="3"/>
        <v>9.6592582628906829</v>
      </c>
      <c r="DD48">
        <f t="shared" si="3"/>
        <v>9.3969262078590852</v>
      </c>
      <c r="DE48">
        <f t="shared" si="3"/>
        <v>9.0630778703664987</v>
      </c>
      <c r="DF48">
        <f t="shared" si="3"/>
        <v>8.6602540378443873</v>
      </c>
      <c r="DG48">
        <f t="shared" si="3"/>
        <v>8.1915204428899173</v>
      </c>
      <c r="DH48">
        <f t="shared" si="3"/>
        <v>7.6604444311897799</v>
      </c>
      <c r="DI48">
        <f t="shared" si="3"/>
        <v>7.0710678118654755</v>
      </c>
      <c r="DJ48">
        <f t="shared" si="3"/>
        <v>6.4278760968653934</v>
      </c>
      <c r="DK48">
        <f t="shared" si="3"/>
        <v>5.7357643635104614</v>
      </c>
      <c r="DL48">
        <f t="shared" si="3"/>
        <v>5.0000000000000009</v>
      </c>
      <c r="DM48">
        <f t="shared" si="3"/>
        <v>4.2261826174069945</v>
      </c>
      <c r="DN48">
        <f t="shared" si="3"/>
        <v>3.4202014332566884</v>
      </c>
      <c r="DO48">
        <f t="shared" si="3"/>
        <v>2.5881904510252074</v>
      </c>
      <c r="DP48">
        <f t="shared" si="3"/>
        <v>1.7364817766693041</v>
      </c>
      <c r="DQ48">
        <f t="shared" si="3"/>
        <v>0.87155742747658138</v>
      </c>
      <c r="DR48">
        <f t="shared" si="3"/>
        <v>6.1257422745431001E-16</v>
      </c>
    </row>
    <row r="49" spans="1:122" x14ac:dyDescent="0.25">
      <c r="A49" s="8"/>
      <c r="AQ49" s="6"/>
      <c r="CN49" s="10"/>
      <c r="CY49" t="s">
        <v>2</v>
      </c>
      <c r="CZ49">
        <f>5*COS(CZ$46 * PI()/180)</f>
        <v>5</v>
      </c>
      <c r="DA49">
        <f t="shared" ref="DA49:DR49" si="4">5*COS(DA$46 * PI()/180)</f>
        <v>4.9809734904587275</v>
      </c>
      <c r="DB49">
        <f t="shared" si="4"/>
        <v>4.9240387650610398</v>
      </c>
      <c r="DC49">
        <f t="shared" si="4"/>
        <v>4.8296291314453415</v>
      </c>
      <c r="DD49">
        <f t="shared" si="4"/>
        <v>4.6984631039295426</v>
      </c>
      <c r="DE49">
        <f t="shared" si="4"/>
        <v>4.5315389351832494</v>
      </c>
      <c r="DF49">
        <f t="shared" si="4"/>
        <v>4.3301270189221936</v>
      </c>
      <c r="DG49">
        <f t="shared" si="4"/>
        <v>4.0957602214449587</v>
      </c>
      <c r="DH49">
        <f t="shared" si="4"/>
        <v>3.83022221559489</v>
      </c>
      <c r="DI49">
        <f t="shared" si="4"/>
        <v>3.5355339059327378</v>
      </c>
      <c r="DJ49">
        <f t="shared" si="4"/>
        <v>3.2139380484326967</v>
      </c>
      <c r="DK49">
        <f t="shared" si="4"/>
        <v>2.8678821817552307</v>
      </c>
      <c r="DL49">
        <f t="shared" si="4"/>
        <v>2.5000000000000004</v>
      </c>
      <c r="DM49">
        <f t="shared" si="4"/>
        <v>2.1130913087034973</v>
      </c>
      <c r="DN49">
        <f t="shared" si="4"/>
        <v>1.7101007166283442</v>
      </c>
      <c r="DO49">
        <f t="shared" si="4"/>
        <v>1.2940952255126037</v>
      </c>
      <c r="DP49">
        <f t="shared" si="4"/>
        <v>0.86824088833465207</v>
      </c>
      <c r="DQ49">
        <f t="shared" si="4"/>
        <v>0.43577871373829069</v>
      </c>
      <c r="DR49">
        <f t="shared" si="4"/>
        <v>3.06287113727155E-16</v>
      </c>
    </row>
    <row r="50" spans="1:122" x14ac:dyDescent="0.25">
      <c r="A50" s="8"/>
      <c r="AQ50" s="6"/>
      <c r="CN50" s="10"/>
      <c r="CY50" t="s">
        <v>2</v>
      </c>
      <c r="CZ50">
        <f>4*COS(CZ$46 * PI()/180)</f>
        <v>4</v>
      </c>
      <c r="DA50">
        <f t="shared" ref="DA50:DR50" si="5">4*COS(DA$46 * PI()/180)</f>
        <v>3.9847787923669822</v>
      </c>
      <c r="DB50">
        <f t="shared" si="5"/>
        <v>3.9392310120488321</v>
      </c>
      <c r="DC50">
        <f t="shared" si="5"/>
        <v>3.8637033051562732</v>
      </c>
      <c r="DD50">
        <f t="shared" si="5"/>
        <v>3.7587704831436337</v>
      </c>
      <c r="DE50">
        <f t="shared" si="5"/>
        <v>3.6252311481465997</v>
      </c>
      <c r="DF50">
        <f t="shared" si="5"/>
        <v>3.4641016151377548</v>
      </c>
      <c r="DG50">
        <f t="shared" si="5"/>
        <v>3.2766081771559672</v>
      </c>
      <c r="DH50">
        <f t="shared" si="5"/>
        <v>3.0641777724759121</v>
      </c>
      <c r="DI50">
        <f t="shared" si="5"/>
        <v>2.8284271247461903</v>
      </c>
      <c r="DJ50">
        <f t="shared" si="5"/>
        <v>2.5711504387461575</v>
      </c>
      <c r="DK50">
        <f t="shared" si="5"/>
        <v>2.2943057454041846</v>
      </c>
      <c r="DL50">
        <f t="shared" si="5"/>
        <v>2.0000000000000004</v>
      </c>
      <c r="DM50">
        <f t="shared" si="5"/>
        <v>1.6904730469627978</v>
      </c>
      <c r="DN50">
        <f t="shared" si="5"/>
        <v>1.3680805733026753</v>
      </c>
      <c r="DO50">
        <f t="shared" si="5"/>
        <v>1.035276180410083</v>
      </c>
      <c r="DP50">
        <f t="shared" si="5"/>
        <v>0.69459271066772166</v>
      </c>
      <c r="DQ50">
        <f t="shared" si="5"/>
        <v>0.34862297099063255</v>
      </c>
      <c r="DR50">
        <f t="shared" si="5"/>
        <v>2.45029690981724E-16</v>
      </c>
    </row>
    <row r="51" spans="1:122" x14ac:dyDescent="0.25">
      <c r="A51" s="8"/>
      <c r="AQ51" s="5"/>
      <c r="AR51" s="1"/>
      <c r="AS51" s="4"/>
      <c r="AT51" s="39">
        <v>40</v>
      </c>
      <c r="AU51" s="39"/>
      <c r="AV51" s="39"/>
      <c r="CN51" s="10"/>
      <c r="CY51" t="s">
        <v>2</v>
      </c>
      <c r="CZ51">
        <f>3*COS(CZ$46 * PI()/180)</f>
        <v>3</v>
      </c>
      <c r="DA51">
        <f t="shared" ref="DA51:DR51" si="6">3*COS(DA$46 * PI()/180)</f>
        <v>2.9885840942752369</v>
      </c>
      <c r="DB51">
        <f t="shared" si="6"/>
        <v>2.9544232590366239</v>
      </c>
      <c r="DC51">
        <f t="shared" si="6"/>
        <v>2.897777478867205</v>
      </c>
      <c r="DD51">
        <f t="shared" si="6"/>
        <v>2.8190778623577253</v>
      </c>
      <c r="DE51">
        <f t="shared" si="6"/>
        <v>2.7189233611099497</v>
      </c>
      <c r="DF51">
        <f t="shared" si="6"/>
        <v>2.598076211353316</v>
      </c>
      <c r="DG51">
        <f t="shared" si="6"/>
        <v>2.4574561328669753</v>
      </c>
      <c r="DH51">
        <f t="shared" si="6"/>
        <v>2.2981333293569342</v>
      </c>
      <c r="DI51">
        <f t="shared" si="6"/>
        <v>2.1213203435596428</v>
      </c>
      <c r="DJ51">
        <f t="shared" si="6"/>
        <v>1.9283628290596182</v>
      </c>
      <c r="DK51">
        <f t="shared" si="6"/>
        <v>1.7207293090531386</v>
      </c>
      <c r="DL51">
        <f t="shared" si="6"/>
        <v>1.5000000000000004</v>
      </c>
      <c r="DM51">
        <f t="shared" si="6"/>
        <v>1.2678547852220983</v>
      </c>
      <c r="DN51">
        <f t="shared" si="6"/>
        <v>1.0260604299770064</v>
      </c>
      <c r="DO51">
        <f t="shared" si="6"/>
        <v>0.77645713530756222</v>
      </c>
      <c r="DP51">
        <f t="shared" si="6"/>
        <v>0.52094453300079124</v>
      </c>
      <c r="DQ51">
        <f t="shared" si="6"/>
        <v>0.26146722824297441</v>
      </c>
      <c r="DR51">
        <f t="shared" si="6"/>
        <v>1.83772268236293E-16</v>
      </c>
    </row>
    <row r="52" spans="1:122" x14ac:dyDescent="0.25">
      <c r="A52" s="8"/>
      <c r="AQ52" s="5"/>
      <c r="AR52" s="4"/>
      <c r="AS52" s="4"/>
      <c r="AT52" s="39"/>
      <c r="AU52" s="39"/>
      <c r="AV52" s="39"/>
      <c r="CN52" s="10"/>
      <c r="CY52" t="s">
        <v>2</v>
      </c>
      <c r="CZ52">
        <f>2*COS(CZ$46 * PI()/180)</f>
        <v>2</v>
      </c>
      <c r="DA52">
        <f t="shared" ref="DA52:DR52" si="7">2*COS(DA$46 * PI()/180)</f>
        <v>1.9923893961834911</v>
      </c>
      <c r="DB52">
        <f t="shared" si="7"/>
        <v>1.969615506024416</v>
      </c>
      <c r="DC52">
        <f t="shared" si="7"/>
        <v>1.9318516525781366</v>
      </c>
      <c r="DD52">
        <f t="shared" si="7"/>
        <v>1.8793852415718169</v>
      </c>
      <c r="DE52">
        <f t="shared" si="7"/>
        <v>1.8126155740732999</v>
      </c>
      <c r="DF52">
        <f t="shared" si="7"/>
        <v>1.7320508075688774</v>
      </c>
      <c r="DG52">
        <f t="shared" si="7"/>
        <v>1.6383040885779836</v>
      </c>
      <c r="DH52">
        <f t="shared" si="7"/>
        <v>1.532088886237956</v>
      </c>
      <c r="DI52">
        <f t="shared" si="7"/>
        <v>1.4142135623730951</v>
      </c>
      <c r="DJ52">
        <f t="shared" si="7"/>
        <v>1.2855752193730787</v>
      </c>
      <c r="DK52">
        <f t="shared" si="7"/>
        <v>1.1471528727020923</v>
      </c>
      <c r="DL52">
        <f t="shared" si="7"/>
        <v>1.0000000000000002</v>
      </c>
      <c r="DM52">
        <f t="shared" si="7"/>
        <v>0.84523652348139888</v>
      </c>
      <c r="DN52">
        <f t="shared" si="7"/>
        <v>0.68404028665133765</v>
      </c>
      <c r="DO52">
        <f t="shared" si="7"/>
        <v>0.51763809020504148</v>
      </c>
      <c r="DP52">
        <f t="shared" si="7"/>
        <v>0.34729635533386083</v>
      </c>
      <c r="DQ52">
        <f t="shared" si="7"/>
        <v>0.17431148549531628</v>
      </c>
      <c r="DR52">
        <f t="shared" si="7"/>
        <v>1.22514845490862E-16</v>
      </c>
    </row>
    <row r="53" spans="1:122" x14ac:dyDescent="0.25">
      <c r="A53" s="8"/>
      <c r="AQ53" s="6"/>
      <c r="CN53" s="10"/>
      <c r="CY53" t="s">
        <v>2</v>
      </c>
      <c r="CZ53">
        <f>1*COS(CZ$46 * PI()/180)</f>
        <v>1</v>
      </c>
      <c r="DA53">
        <f t="shared" ref="DA53:DR53" si="8">1*COS(DA$46 * PI()/180)</f>
        <v>0.99619469809174555</v>
      </c>
      <c r="DB53">
        <f t="shared" si="8"/>
        <v>0.98480775301220802</v>
      </c>
      <c r="DC53">
        <f t="shared" si="8"/>
        <v>0.96592582628906831</v>
      </c>
      <c r="DD53">
        <f t="shared" si="8"/>
        <v>0.93969262078590843</v>
      </c>
      <c r="DE53">
        <f t="shared" si="8"/>
        <v>0.90630778703664994</v>
      </c>
      <c r="DF53">
        <f t="shared" si="8"/>
        <v>0.86602540378443871</v>
      </c>
      <c r="DG53">
        <f t="shared" si="8"/>
        <v>0.8191520442889918</v>
      </c>
      <c r="DH53">
        <f t="shared" si="8"/>
        <v>0.76604444311897801</v>
      </c>
      <c r="DI53">
        <f t="shared" si="8"/>
        <v>0.70710678118654757</v>
      </c>
      <c r="DJ53">
        <f t="shared" si="8"/>
        <v>0.64278760968653936</v>
      </c>
      <c r="DK53">
        <f t="shared" si="8"/>
        <v>0.57357643635104616</v>
      </c>
      <c r="DL53">
        <f t="shared" si="8"/>
        <v>0.50000000000000011</v>
      </c>
      <c r="DM53">
        <f t="shared" si="8"/>
        <v>0.42261826174069944</v>
      </c>
      <c r="DN53">
        <f t="shared" si="8"/>
        <v>0.34202014332566882</v>
      </c>
      <c r="DO53">
        <f t="shared" si="8"/>
        <v>0.25881904510252074</v>
      </c>
      <c r="DP53">
        <f t="shared" si="8"/>
        <v>0.17364817766693041</v>
      </c>
      <c r="DQ53">
        <f t="shared" si="8"/>
        <v>8.7155742747658138E-2</v>
      </c>
      <c r="DR53">
        <f t="shared" si="8"/>
        <v>6.1257422745431001E-17</v>
      </c>
    </row>
    <row r="54" spans="1:122" x14ac:dyDescent="0.25">
      <c r="A54" s="8"/>
      <c r="AQ54" s="6"/>
      <c r="CN54" s="10"/>
      <c r="CY54" t="s">
        <v>2</v>
      </c>
      <c r="CZ54">
        <f>0*COS(CZ$46 * PI()/180)</f>
        <v>0</v>
      </c>
      <c r="DA54">
        <f t="shared" ref="DA54:DR54" si="9">0*COS(DA$46 * PI()/180)</f>
        <v>0</v>
      </c>
      <c r="DB54">
        <f t="shared" si="9"/>
        <v>0</v>
      </c>
      <c r="DC54">
        <f t="shared" si="9"/>
        <v>0</v>
      </c>
      <c r="DD54">
        <f t="shared" si="9"/>
        <v>0</v>
      </c>
      <c r="DE54">
        <f t="shared" si="9"/>
        <v>0</v>
      </c>
      <c r="DF54">
        <f t="shared" si="9"/>
        <v>0</v>
      </c>
      <c r="DG54">
        <f t="shared" si="9"/>
        <v>0</v>
      </c>
      <c r="DH54">
        <f t="shared" si="9"/>
        <v>0</v>
      </c>
      <c r="DI54">
        <f t="shared" si="9"/>
        <v>0</v>
      </c>
      <c r="DJ54">
        <f t="shared" si="9"/>
        <v>0</v>
      </c>
      <c r="DK54">
        <f t="shared" si="9"/>
        <v>0</v>
      </c>
      <c r="DL54">
        <f t="shared" si="9"/>
        <v>0</v>
      </c>
      <c r="DM54">
        <f t="shared" si="9"/>
        <v>0</v>
      </c>
      <c r="DN54">
        <f t="shared" si="9"/>
        <v>0</v>
      </c>
      <c r="DO54">
        <f t="shared" si="9"/>
        <v>0</v>
      </c>
      <c r="DP54">
        <f t="shared" si="9"/>
        <v>0</v>
      </c>
      <c r="DQ54">
        <f t="shared" si="9"/>
        <v>0</v>
      </c>
      <c r="DR54">
        <f t="shared" si="9"/>
        <v>0</v>
      </c>
    </row>
    <row r="55" spans="1:122" x14ac:dyDescent="0.25">
      <c r="A55" s="8"/>
      <c r="AQ55" s="6"/>
      <c r="CN55" s="10"/>
    </row>
    <row r="56" spans="1:122" x14ac:dyDescent="0.25">
      <c r="A56" s="8"/>
      <c r="AQ56" s="5"/>
      <c r="AR56" s="1"/>
      <c r="AS56" s="4"/>
      <c r="AT56" s="39">
        <v>35</v>
      </c>
      <c r="AU56" s="39"/>
      <c r="AV56" s="39"/>
      <c r="CN56" s="10"/>
    </row>
    <row r="57" spans="1:122" x14ac:dyDescent="0.25">
      <c r="A57" s="8"/>
      <c r="AQ57" s="5"/>
      <c r="AR57" s="4"/>
      <c r="AS57" s="4"/>
      <c r="AT57" s="39"/>
      <c r="AU57" s="39"/>
      <c r="AV57" s="39"/>
      <c r="CN57" s="10"/>
    </row>
    <row r="58" spans="1:122" x14ac:dyDescent="0.25">
      <c r="A58" s="8"/>
      <c r="AQ58" s="6"/>
      <c r="CN58" s="10"/>
    </row>
    <row r="59" spans="1:122" x14ac:dyDescent="0.25">
      <c r="A59" s="8"/>
      <c r="AQ59" s="6"/>
      <c r="CN59" s="10"/>
    </row>
    <row r="60" spans="1:122" x14ac:dyDescent="0.25">
      <c r="A60" s="8"/>
      <c r="AQ60" s="6"/>
      <c r="CN60" s="10"/>
    </row>
    <row r="61" spans="1:122" x14ac:dyDescent="0.25">
      <c r="A61" s="8"/>
      <c r="AQ61" s="6"/>
      <c r="AR61" s="1"/>
      <c r="AT61" s="39">
        <v>30</v>
      </c>
      <c r="AU61" s="39"/>
      <c r="AV61" s="39"/>
      <c r="CN61" s="10"/>
    </row>
    <row r="62" spans="1:122" x14ac:dyDescent="0.25">
      <c r="A62" s="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5"/>
      <c r="AR62" s="1"/>
      <c r="AS62" s="1"/>
      <c r="AT62" s="40"/>
      <c r="AU62" s="40"/>
      <c r="AV62" s="40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1"/>
    </row>
  </sheetData>
  <mergeCells count="12">
    <mergeCell ref="AT26:AV27"/>
    <mergeCell ref="AT1:AV2"/>
    <mergeCell ref="AT6:AV7"/>
    <mergeCell ref="AT11:AV12"/>
    <mergeCell ref="AT16:AV17"/>
    <mergeCell ref="AT21:AV22"/>
    <mergeCell ref="AT56:AV57"/>
    <mergeCell ref="AT61:AV62"/>
    <mergeCell ref="AT36:AV37"/>
    <mergeCell ref="AT41:AV42"/>
    <mergeCell ref="AT46:AV47"/>
    <mergeCell ref="AT51:AV52"/>
  </mergeCells>
  <printOptions horizontalCentered="1" verticalCentered="1"/>
  <pageMargins left="0" right="0" top="0" bottom="0" header="0" footer="0"/>
  <pageSetup paperSize="9" scale="5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Sud</vt:lpstr>
      <vt:lpstr>Nord</vt:lpstr>
      <vt:lpstr>Sheet1</vt:lpstr>
      <vt:lpstr>Nord!Print_Area</vt:lpstr>
      <vt:lpstr>Sheet1!Print_Area</vt:lpstr>
      <vt:lpstr>Sud!Print_Area</vt:lpstr>
    </vt:vector>
  </TitlesOfParts>
  <Company>DASSAULT SYSTEMES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FAGES Pierre</dc:creator>
  <cp:lastModifiedBy>FAGES Pierre</cp:lastModifiedBy>
  <cp:lastPrinted>2024-09-04T12:50:27Z</cp:lastPrinted>
  <dcterms:created xsi:type="dcterms:W3CDTF">2024-08-01T10:36:08Z</dcterms:created>
  <dcterms:modified xsi:type="dcterms:W3CDTF">2024-11-06T13:55:38Z</dcterms:modified>
</cp:coreProperties>
</file>