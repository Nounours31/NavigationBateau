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WorkSpaces\WS\GitHub\Navigation\NavigationBateau\ProjetXLS\"/>
    </mc:Choice>
  </mc:AlternateContent>
  <xr:revisionPtr revIDLastSave="0" documentId="13_ncr:1_{BE7F7811-F702-4EF4-8BE8-66B65DCD59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omSimSail" sheetId="1" r:id="rId1"/>
    <sheet name="Test" sheetId="2" r:id="rId2"/>
    <sheet name="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5" i="2" l="1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C39" i="2"/>
  <c r="S37" i="2"/>
  <c r="Q37" i="2"/>
  <c r="O37" i="2"/>
  <c r="M37" i="2"/>
  <c r="K37" i="2"/>
  <c r="I37" i="2"/>
  <c r="G37" i="2"/>
  <c r="E37" i="2"/>
  <c r="A75" i="2"/>
  <c r="A74" i="2"/>
  <c r="A73" i="2"/>
  <c r="A63" i="2"/>
  <c r="A64" i="2" s="1"/>
  <c r="A65" i="2" s="1"/>
  <c r="A66" i="2" s="1"/>
  <c r="A67" i="2" s="1"/>
  <c r="A68" i="2" s="1"/>
  <c r="A69" i="2" s="1"/>
  <c r="A70" i="2" s="1"/>
  <c r="A71" i="2" s="1"/>
  <c r="A72" i="2" s="1"/>
  <c r="A41" i="2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40" i="2"/>
  <c r="C3" i="2" a="1"/>
  <c r="C3" i="2" s="1"/>
  <c r="B4" i="2"/>
  <c r="E1" i="2"/>
  <c r="E3" i="2" s="1" a="1"/>
  <c r="E3" i="2" s="1"/>
  <c r="B3" i="3"/>
  <c r="A8" i="2" s="1"/>
  <c r="A14" i="2"/>
  <c r="A13" i="2"/>
  <c r="A12" i="2"/>
  <c r="A11" i="2"/>
  <c r="A10" i="2"/>
  <c r="A9" i="2"/>
  <c r="B5" i="2" l="1"/>
  <c r="G1" i="2"/>
  <c r="A25" i="2"/>
  <c r="A15" i="2"/>
  <c r="A16" i="2"/>
  <c r="A17" i="2"/>
  <c r="A18" i="2"/>
  <c r="A19" i="2"/>
  <c r="A20" i="2"/>
  <c r="A21" i="2"/>
  <c r="A22" i="2"/>
  <c r="A23" i="2"/>
  <c r="A24" i="2"/>
  <c r="A26" i="2"/>
  <c r="A27" i="2"/>
  <c r="A28" i="2"/>
  <c r="A29" i="2"/>
  <c r="A30" i="2"/>
  <c r="A31" i="2"/>
  <c r="A4" i="2"/>
  <c r="F4" i="2" s="1" a="1"/>
  <c r="F4" i="2" s="1"/>
  <c r="A32" i="2"/>
  <c r="A5" i="2"/>
  <c r="A33" i="2"/>
  <c r="A6" i="2"/>
  <c r="A34" i="2"/>
  <c r="A7" i="2"/>
  <c r="F5" i="2" l="1" a="1"/>
  <c r="F5" i="2" s="1"/>
  <c r="D5" i="2" a="1"/>
  <c r="D5" i="2" s="1"/>
  <c r="C5" i="2" a="1"/>
  <c r="C5" i="2" s="1"/>
  <c r="H5" i="2" a="1"/>
  <c r="H5" i="2" s="1"/>
  <c r="G5" i="2" a="1"/>
  <c r="G5" i="2" s="1"/>
  <c r="E5" i="2" a="1"/>
  <c r="E5" i="2" s="1"/>
  <c r="B6" i="2"/>
  <c r="C4" i="2" a="1"/>
  <c r="C4" i="2" s="1"/>
  <c r="D4" i="2" a="1"/>
  <c r="D4" i="2" s="1"/>
  <c r="E4" i="2" a="1"/>
  <c r="E4" i="2" s="1"/>
  <c r="I1" i="2"/>
  <c r="I5" i="2" s="1" a="1"/>
  <c r="I5" i="2" s="1"/>
  <c r="G3" i="2" a="1"/>
  <c r="G3" i="2" s="1"/>
  <c r="G4" i="2" a="1"/>
  <c r="G4" i="2" s="1"/>
  <c r="H4" i="2" a="1"/>
  <c r="H4" i="2" s="1"/>
  <c r="J5" i="2" l="1" a="1"/>
  <c r="J5" i="2" s="1"/>
  <c r="K1" i="2"/>
  <c r="K6" i="2" s="1" a="1"/>
  <c r="K6" i="2" s="1"/>
  <c r="I3" i="2" a="1"/>
  <c r="I3" i="2" s="1"/>
  <c r="I4" i="2" a="1"/>
  <c r="I4" i="2" s="1"/>
  <c r="J4" i="2" a="1"/>
  <c r="J4" i="2" s="1"/>
  <c r="L6" i="2" a="1"/>
  <c r="L6" i="2" s="1"/>
  <c r="J6" i="2" a="1"/>
  <c r="J6" i="2" s="1"/>
  <c r="H6" i="2" a="1"/>
  <c r="H6" i="2" s="1"/>
  <c r="I6" i="2" a="1"/>
  <c r="I6" i="2" s="1"/>
  <c r="F6" i="2" a="1"/>
  <c r="F6" i="2" s="1"/>
  <c r="G6" i="2" a="1"/>
  <c r="G6" i="2" s="1"/>
  <c r="E6" i="2" a="1"/>
  <c r="E6" i="2" s="1"/>
  <c r="B7" i="2"/>
  <c r="C6" i="2" a="1"/>
  <c r="C6" i="2" s="1"/>
  <c r="D6" i="2" a="1"/>
  <c r="D6" i="2" s="1"/>
  <c r="B8" i="2" l="1"/>
  <c r="J7" i="2" a="1"/>
  <c r="J7" i="2" s="1"/>
  <c r="I7" i="2" a="1"/>
  <c r="I7" i="2" s="1"/>
  <c r="G7" i="2" a="1"/>
  <c r="G7" i="2" s="1"/>
  <c r="F7" i="2" a="1"/>
  <c r="F7" i="2" s="1"/>
  <c r="E7" i="2" a="1"/>
  <c r="E7" i="2" s="1"/>
  <c r="L7" i="2" a="1"/>
  <c r="L7" i="2" s="1"/>
  <c r="K7" i="2" a="1"/>
  <c r="K7" i="2" s="1"/>
  <c r="H7" i="2" a="1"/>
  <c r="H7" i="2" s="1"/>
  <c r="D7" i="2" a="1"/>
  <c r="D7" i="2" s="1"/>
  <c r="C7" i="2" a="1"/>
  <c r="C7" i="2" s="1"/>
  <c r="M1" i="2"/>
  <c r="K3" i="2" a="1"/>
  <c r="K3" i="2" s="1"/>
  <c r="K4" i="2" a="1"/>
  <c r="K4" i="2" s="1"/>
  <c r="L4" i="2" a="1"/>
  <c r="L4" i="2" s="1"/>
  <c r="L5" i="2" a="1"/>
  <c r="L5" i="2" s="1"/>
  <c r="K5" i="2" a="1"/>
  <c r="K5" i="2" s="1"/>
  <c r="O1" i="2" l="1"/>
  <c r="O8" i="2" s="1" a="1"/>
  <c r="O8" i="2" s="1"/>
  <c r="M3" i="2" a="1"/>
  <c r="M3" i="2" s="1"/>
  <c r="N4" i="2" a="1"/>
  <c r="N4" i="2" s="1"/>
  <c r="M4" i="2" a="1"/>
  <c r="M4" i="2" s="1"/>
  <c r="N5" i="2" a="1"/>
  <c r="N5" i="2" s="1"/>
  <c r="M5" i="2" a="1"/>
  <c r="M5" i="2" s="1"/>
  <c r="N6" i="2" a="1"/>
  <c r="N6" i="2" s="1"/>
  <c r="M6" i="2" a="1"/>
  <c r="M6" i="2" s="1"/>
  <c r="M7" i="2" a="1"/>
  <c r="M7" i="2" s="1"/>
  <c r="N7" i="2" a="1"/>
  <c r="N7" i="2" s="1"/>
  <c r="B9" i="2"/>
  <c r="L8" i="2" a="1"/>
  <c r="L8" i="2" s="1"/>
  <c r="K8" i="2" a="1"/>
  <c r="K8" i="2" s="1"/>
  <c r="N8" i="2" a="1"/>
  <c r="N8" i="2" s="1"/>
  <c r="M8" i="2" a="1"/>
  <c r="M8" i="2" s="1"/>
  <c r="G8" i="2" a="1"/>
  <c r="G8" i="2" s="1"/>
  <c r="I8" i="2" a="1"/>
  <c r="I8" i="2" s="1"/>
  <c r="J8" i="2" a="1"/>
  <c r="J8" i="2" s="1"/>
  <c r="H8" i="2" a="1"/>
  <c r="H8" i="2" s="1"/>
  <c r="F8" i="2" a="1"/>
  <c r="F8" i="2" s="1"/>
  <c r="E8" i="2" a="1"/>
  <c r="E8" i="2" s="1"/>
  <c r="D8" i="2" a="1"/>
  <c r="D8" i="2" s="1"/>
  <c r="C8" i="2" a="1"/>
  <c r="C8" i="2" s="1"/>
  <c r="P8" i="2" l="1" a="1"/>
  <c r="P8" i="2" s="1"/>
  <c r="B10" i="2"/>
  <c r="M9" i="2" a="1"/>
  <c r="M9" i="2" s="1"/>
  <c r="P9" i="2" a="1"/>
  <c r="P9" i="2" s="1"/>
  <c r="O9" i="2" a="1"/>
  <c r="O9" i="2" s="1"/>
  <c r="N9" i="2" a="1"/>
  <c r="N9" i="2" s="1"/>
  <c r="K9" i="2" a="1"/>
  <c r="K9" i="2" s="1"/>
  <c r="J9" i="2" a="1"/>
  <c r="J9" i="2" s="1"/>
  <c r="G9" i="2" a="1"/>
  <c r="G9" i="2" s="1"/>
  <c r="L9" i="2" a="1"/>
  <c r="L9" i="2" s="1"/>
  <c r="I9" i="2" a="1"/>
  <c r="I9" i="2" s="1"/>
  <c r="H9" i="2" a="1"/>
  <c r="H9" i="2" s="1"/>
  <c r="F9" i="2" a="1"/>
  <c r="F9" i="2" s="1"/>
  <c r="E9" i="2" a="1"/>
  <c r="E9" i="2" s="1"/>
  <c r="D9" i="2" a="1"/>
  <c r="D9" i="2" s="1"/>
  <c r="C9" i="2" a="1"/>
  <c r="C9" i="2" s="1"/>
  <c r="Q1" i="2"/>
  <c r="O3" i="2" a="1"/>
  <c r="O3" i="2" s="1"/>
  <c r="O4" i="2" a="1"/>
  <c r="O4" i="2" s="1"/>
  <c r="P4" i="2" a="1"/>
  <c r="P4" i="2" s="1"/>
  <c r="O5" i="2" a="1"/>
  <c r="O5" i="2" s="1"/>
  <c r="P5" i="2" a="1"/>
  <c r="P5" i="2" s="1"/>
  <c r="O6" i="2" a="1"/>
  <c r="O6" i="2" s="1"/>
  <c r="P6" i="2" a="1"/>
  <c r="P6" i="2" s="1"/>
  <c r="P7" i="2" a="1"/>
  <c r="P7" i="2" s="1"/>
  <c r="O7" i="2" a="1"/>
  <c r="O7" i="2" s="1"/>
  <c r="S1" i="2" l="1"/>
  <c r="Q3" i="2" a="1"/>
  <c r="Q3" i="2" s="1"/>
  <c r="R4" i="2" a="1"/>
  <c r="R4" i="2" s="1"/>
  <c r="Q4" i="2" a="1"/>
  <c r="Q4" i="2" s="1"/>
  <c r="R5" i="2" a="1"/>
  <c r="R5" i="2" s="1"/>
  <c r="Q5" i="2" a="1"/>
  <c r="Q5" i="2" s="1"/>
  <c r="R6" i="2" a="1"/>
  <c r="R6" i="2" s="1"/>
  <c r="Q6" i="2" a="1"/>
  <c r="Q6" i="2" s="1"/>
  <c r="Q7" i="2" a="1"/>
  <c r="Q7" i="2" s="1"/>
  <c r="R7" i="2" a="1"/>
  <c r="R7" i="2" s="1"/>
  <c r="Q8" i="2" a="1"/>
  <c r="Q8" i="2" s="1"/>
  <c r="R8" i="2" a="1"/>
  <c r="R8" i="2" s="1"/>
  <c r="Q9" i="2" a="1"/>
  <c r="Q9" i="2" s="1"/>
  <c r="R9" i="2" a="1"/>
  <c r="R9" i="2" s="1"/>
  <c r="B11" i="2"/>
  <c r="I10" i="2" a="1"/>
  <c r="I10" i="2" s="1"/>
  <c r="H10" i="2" a="1"/>
  <c r="H10" i="2" s="1"/>
  <c r="G10" i="2" a="1"/>
  <c r="G10" i="2" s="1"/>
  <c r="E10" i="2" a="1"/>
  <c r="E10" i="2" s="1"/>
  <c r="F10" i="2" a="1"/>
  <c r="F10" i="2" s="1"/>
  <c r="T10" i="2" a="1"/>
  <c r="T10" i="2" s="1"/>
  <c r="S10" i="2" a="1"/>
  <c r="S10" i="2" s="1"/>
  <c r="P10" i="2" a="1"/>
  <c r="P10" i="2" s="1"/>
  <c r="O10" i="2" a="1"/>
  <c r="O10" i="2" s="1"/>
  <c r="N10" i="2" a="1"/>
  <c r="N10" i="2" s="1"/>
  <c r="M10" i="2" a="1"/>
  <c r="M10" i="2" s="1"/>
  <c r="L10" i="2" a="1"/>
  <c r="L10" i="2" s="1"/>
  <c r="K10" i="2" a="1"/>
  <c r="K10" i="2" s="1"/>
  <c r="R10" i="2" a="1"/>
  <c r="R10" i="2" s="1"/>
  <c r="D10" i="2" a="1"/>
  <c r="D10" i="2" s="1"/>
  <c r="J10" i="2" a="1"/>
  <c r="J10" i="2" s="1"/>
  <c r="C10" i="2" a="1"/>
  <c r="C10" i="2" s="1"/>
  <c r="Q10" i="2" a="1"/>
  <c r="Q10" i="2" s="1"/>
  <c r="B12" i="2" l="1"/>
  <c r="J11" i="2" a="1"/>
  <c r="J11" i="2" s="1"/>
  <c r="R11" i="2" a="1"/>
  <c r="R11" i="2" s="1"/>
  <c r="C11" i="2" a="1"/>
  <c r="C11" i="2" s="1"/>
  <c r="Q11" i="2" a="1"/>
  <c r="Q11" i="2" s="1"/>
  <c r="N11" i="2" a="1"/>
  <c r="N11" i="2" s="1"/>
  <c r="T11" i="2" a="1"/>
  <c r="T11" i="2" s="1"/>
  <c r="S11" i="2" a="1"/>
  <c r="S11" i="2" s="1"/>
  <c r="P11" i="2" a="1"/>
  <c r="P11" i="2" s="1"/>
  <c r="O11" i="2" a="1"/>
  <c r="O11" i="2" s="1"/>
  <c r="K11" i="2" a="1"/>
  <c r="K11" i="2" s="1"/>
  <c r="D11" i="2" a="1"/>
  <c r="D11" i="2" s="1"/>
  <c r="H11" i="2" a="1"/>
  <c r="H11" i="2" s="1"/>
  <c r="M11" i="2" a="1"/>
  <c r="M11" i="2" s="1"/>
  <c r="L11" i="2" a="1"/>
  <c r="L11" i="2" s="1"/>
  <c r="I11" i="2" a="1"/>
  <c r="I11" i="2" s="1"/>
  <c r="G11" i="2" a="1"/>
  <c r="G11" i="2" s="1"/>
  <c r="F11" i="2" a="1"/>
  <c r="F11" i="2" s="1"/>
  <c r="E11" i="2" a="1"/>
  <c r="E11" i="2" s="1"/>
  <c r="U1" i="2"/>
  <c r="V11" i="2" s="1" a="1"/>
  <c r="V11" i="2" s="1"/>
  <c r="S3" i="2" a="1"/>
  <c r="S3" i="2" s="1"/>
  <c r="T4" i="2" a="1"/>
  <c r="T4" i="2" s="1"/>
  <c r="S4" i="2" a="1"/>
  <c r="S4" i="2" s="1"/>
  <c r="T5" i="2" a="1"/>
  <c r="T5" i="2" s="1"/>
  <c r="S5" i="2" a="1"/>
  <c r="S5" i="2" s="1"/>
  <c r="T6" i="2" a="1"/>
  <c r="T6" i="2" s="1"/>
  <c r="S6" i="2" a="1"/>
  <c r="S6" i="2" s="1"/>
  <c r="S7" i="2" a="1"/>
  <c r="S7" i="2" s="1"/>
  <c r="T7" i="2" a="1"/>
  <c r="T7" i="2" s="1"/>
  <c r="T8" i="2" a="1"/>
  <c r="T8" i="2" s="1"/>
  <c r="S8" i="2" a="1"/>
  <c r="S8" i="2" s="1"/>
  <c r="T9" i="2" a="1"/>
  <c r="T9" i="2" s="1"/>
  <c r="S9" i="2" a="1"/>
  <c r="S9" i="2" s="1"/>
  <c r="U11" i="2" l="1" a="1"/>
  <c r="U11" i="2" s="1"/>
  <c r="W1" i="2"/>
  <c r="W12" i="2" s="1" a="1"/>
  <c r="W12" i="2" s="1"/>
  <c r="U3" i="2" a="1"/>
  <c r="U3" i="2" s="1"/>
  <c r="V4" i="2" a="1"/>
  <c r="V4" i="2" s="1"/>
  <c r="U4" i="2" a="1"/>
  <c r="U4" i="2" s="1"/>
  <c r="V5" i="2" a="1"/>
  <c r="V5" i="2" s="1"/>
  <c r="U5" i="2" a="1"/>
  <c r="U5" i="2" s="1"/>
  <c r="V6" i="2" a="1"/>
  <c r="V6" i="2" s="1"/>
  <c r="U6" i="2" a="1"/>
  <c r="U6" i="2" s="1"/>
  <c r="V7" i="2" a="1"/>
  <c r="V7" i="2" s="1"/>
  <c r="U7" i="2" a="1"/>
  <c r="U7" i="2" s="1"/>
  <c r="V8" i="2" a="1"/>
  <c r="V8" i="2" s="1"/>
  <c r="U8" i="2" a="1"/>
  <c r="U8" i="2" s="1"/>
  <c r="V9" i="2" a="1"/>
  <c r="V9" i="2" s="1"/>
  <c r="U9" i="2" a="1"/>
  <c r="U9" i="2" s="1"/>
  <c r="U10" i="2" a="1"/>
  <c r="U10" i="2" s="1"/>
  <c r="V10" i="2" a="1"/>
  <c r="V10" i="2" s="1"/>
  <c r="B13" i="2"/>
  <c r="I12" i="2" a="1"/>
  <c r="I12" i="2" s="1"/>
  <c r="H12" i="2" a="1"/>
  <c r="H12" i="2" s="1"/>
  <c r="U12" i="2" a="1"/>
  <c r="U12" i="2" s="1"/>
  <c r="T12" i="2" a="1"/>
  <c r="T12" i="2" s="1"/>
  <c r="S12" i="2" a="1"/>
  <c r="S12" i="2" s="1"/>
  <c r="N12" i="2" a="1"/>
  <c r="N12" i="2" s="1"/>
  <c r="R12" i="2" a="1"/>
  <c r="R12" i="2" s="1"/>
  <c r="O12" i="2" a="1"/>
  <c r="O12" i="2" s="1"/>
  <c r="Q12" i="2" a="1"/>
  <c r="Q12" i="2" s="1"/>
  <c r="P12" i="2" a="1"/>
  <c r="P12" i="2" s="1"/>
  <c r="M12" i="2" a="1"/>
  <c r="M12" i="2" s="1"/>
  <c r="G12" i="2" a="1"/>
  <c r="G12" i="2" s="1"/>
  <c r="L12" i="2" a="1"/>
  <c r="L12" i="2" s="1"/>
  <c r="K12" i="2" a="1"/>
  <c r="K12" i="2" s="1"/>
  <c r="J12" i="2" a="1"/>
  <c r="J12" i="2" s="1"/>
  <c r="C12" i="2" a="1"/>
  <c r="C12" i="2" s="1"/>
  <c r="F12" i="2" a="1"/>
  <c r="F12" i="2" s="1"/>
  <c r="E12" i="2" a="1"/>
  <c r="E12" i="2" s="1"/>
  <c r="V12" i="2" a="1"/>
  <c r="V12" i="2" s="1"/>
  <c r="D12" i="2" a="1"/>
  <c r="D12" i="2" s="1"/>
  <c r="X12" i="2" l="1" a="1"/>
  <c r="X12" i="2" s="1"/>
  <c r="B14" i="2"/>
  <c r="M13" i="2" a="1"/>
  <c r="M13" i="2" s="1"/>
  <c r="L13" i="2" a="1"/>
  <c r="L13" i="2" s="1"/>
  <c r="O13" i="2" a="1"/>
  <c r="O13" i="2" s="1"/>
  <c r="N13" i="2" a="1"/>
  <c r="N13" i="2" s="1"/>
  <c r="J13" i="2" a="1"/>
  <c r="J13" i="2" s="1"/>
  <c r="K13" i="2" a="1"/>
  <c r="K13" i="2" s="1"/>
  <c r="H13" i="2" a="1"/>
  <c r="H13" i="2" s="1"/>
  <c r="G13" i="2" a="1"/>
  <c r="G13" i="2" s="1"/>
  <c r="I13" i="2" a="1"/>
  <c r="I13" i="2" s="1"/>
  <c r="F13" i="2" a="1"/>
  <c r="F13" i="2" s="1"/>
  <c r="E13" i="2" a="1"/>
  <c r="E13" i="2" s="1"/>
  <c r="X13" i="2" a="1"/>
  <c r="X13" i="2" s="1"/>
  <c r="W13" i="2" a="1"/>
  <c r="W13" i="2" s="1"/>
  <c r="V13" i="2" a="1"/>
  <c r="V13" i="2" s="1"/>
  <c r="U13" i="2" a="1"/>
  <c r="U13" i="2" s="1"/>
  <c r="S13" i="2" a="1"/>
  <c r="S13" i="2" s="1"/>
  <c r="T13" i="2" a="1"/>
  <c r="T13" i="2" s="1"/>
  <c r="R13" i="2" a="1"/>
  <c r="R13" i="2" s="1"/>
  <c r="D13" i="2" a="1"/>
  <c r="D13" i="2" s="1"/>
  <c r="Q13" i="2" a="1"/>
  <c r="Q13" i="2" s="1"/>
  <c r="C13" i="2" a="1"/>
  <c r="C13" i="2" s="1"/>
  <c r="P13" i="2" a="1"/>
  <c r="P13" i="2" s="1"/>
  <c r="Y1" i="2"/>
  <c r="W3" i="2" a="1"/>
  <c r="W3" i="2" s="1"/>
  <c r="W4" i="2" a="1"/>
  <c r="W4" i="2" s="1"/>
  <c r="X4" i="2" a="1"/>
  <c r="X4" i="2" s="1"/>
  <c r="X5" i="2" a="1"/>
  <c r="X5" i="2" s="1"/>
  <c r="W5" i="2" a="1"/>
  <c r="W5" i="2" s="1"/>
  <c r="X6" i="2" a="1"/>
  <c r="X6" i="2" s="1"/>
  <c r="W6" i="2" a="1"/>
  <c r="W6" i="2" s="1"/>
  <c r="X7" i="2" a="1"/>
  <c r="X7" i="2" s="1"/>
  <c r="W7" i="2" a="1"/>
  <c r="W7" i="2" s="1"/>
  <c r="X8" i="2" a="1"/>
  <c r="X8" i="2" s="1"/>
  <c r="W8" i="2" a="1"/>
  <c r="W8" i="2" s="1"/>
  <c r="X9" i="2" a="1"/>
  <c r="X9" i="2" s="1"/>
  <c r="W9" i="2" a="1"/>
  <c r="W9" i="2" s="1"/>
  <c r="W10" i="2" a="1"/>
  <c r="W10" i="2" s="1"/>
  <c r="X10" i="2" a="1"/>
  <c r="X10" i="2" s="1"/>
  <c r="X11" i="2" a="1"/>
  <c r="X11" i="2" s="1"/>
  <c r="W11" i="2" a="1"/>
  <c r="W11" i="2" s="1"/>
  <c r="AA1" i="2" l="1"/>
  <c r="AB14" i="2" s="1" a="1"/>
  <c r="AB14" i="2" s="1"/>
  <c r="Y3" i="2" a="1"/>
  <c r="Y3" i="2" s="1"/>
  <c r="Z4" i="2" a="1"/>
  <c r="Z4" i="2" s="1"/>
  <c r="Y4" i="2" a="1"/>
  <c r="Y4" i="2" s="1"/>
  <c r="Y5" i="2" a="1"/>
  <c r="Y5" i="2" s="1"/>
  <c r="Z5" i="2" a="1"/>
  <c r="Z5" i="2" s="1"/>
  <c r="Z6" i="2" a="1"/>
  <c r="Z6" i="2" s="1"/>
  <c r="Y6" i="2" a="1"/>
  <c r="Y6" i="2" s="1"/>
  <c r="Z7" i="2" a="1"/>
  <c r="Z7" i="2" s="1"/>
  <c r="Y7" i="2" a="1"/>
  <c r="Y7" i="2" s="1"/>
  <c r="Z8" i="2" a="1"/>
  <c r="Z8" i="2" s="1"/>
  <c r="Y8" i="2" a="1"/>
  <c r="Y8" i="2" s="1"/>
  <c r="Z9" i="2" a="1"/>
  <c r="Z9" i="2" s="1"/>
  <c r="Y9" i="2" a="1"/>
  <c r="Y9" i="2" s="1"/>
  <c r="Z10" i="2" a="1"/>
  <c r="Z10" i="2" s="1"/>
  <c r="Y10" i="2" a="1"/>
  <c r="Y10" i="2" s="1"/>
  <c r="Z11" i="2" a="1"/>
  <c r="Z11" i="2" s="1"/>
  <c r="Y11" i="2" a="1"/>
  <c r="Y11" i="2" s="1"/>
  <c r="Y12" i="2" a="1"/>
  <c r="Y12" i="2" s="1"/>
  <c r="Z12" i="2" a="1"/>
  <c r="Z12" i="2" s="1"/>
  <c r="Y13" i="2" a="1"/>
  <c r="Y13" i="2" s="1"/>
  <c r="Z13" i="2" a="1"/>
  <c r="Z13" i="2" s="1"/>
  <c r="B15" i="2"/>
  <c r="Y14" i="2" a="1"/>
  <c r="Y14" i="2" s="1"/>
  <c r="D14" i="2" a="1"/>
  <c r="D14" i="2" s="1"/>
  <c r="X14" i="2" a="1"/>
  <c r="X14" i="2" s="1"/>
  <c r="O14" i="2" a="1"/>
  <c r="O14" i="2" s="1"/>
  <c r="N14" i="2" a="1"/>
  <c r="N14" i="2" s="1"/>
  <c r="E14" i="2" a="1"/>
  <c r="E14" i="2" s="1"/>
  <c r="U14" i="2" a="1"/>
  <c r="U14" i="2" s="1"/>
  <c r="Z14" i="2" a="1"/>
  <c r="Z14" i="2" s="1"/>
  <c r="W14" i="2" a="1"/>
  <c r="W14" i="2" s="1"/>
  <c r="V14" i="2" a="1"/>
  <c r="V14" i="2" s="1"/>
  <c r="C14" i="2" a="1"/>
  <c r="C14" i="2" s="1"/>
  <c r="R14" i="2" a="1"/>
  <c r="R14" i="2" s="1"/>
  <c r="Q14" i="2" a="1"/>
  <c r="Q14" i="2" s="1"/>
  <c r="H14" i="2" a="1"/>
  <c r="H14" i="2" s="1"/>
  <c r="G14" i="2" a="1"/>
  <c r="G14" i="2" s="1"/>
  <c r="F14" i="2" a="1"/>
  <c r="F14" i="2" s="1"/>
  <c r="K14" i="2" a="1"/>
  <c r="K14" i="2" s="1"/>
  <c r="M14" i="2" a="1"/>
  <c r="M14" i="2" s="1"/>
  <c r="L14" i="2" a="1"/>
  <c r="L14" i="2" s="1"/>
  <c r="J14" i="2" a="1"/>
  <c r="J14" i="2" s="1"/>
  <c r="P14" i="2" a="1"/>
  <c r="P14" i="2" s="1"/>
  <c r="I14" i="2" a="1"/>
  <c r="I14" i="2" s="1"/>
  <c r="T14" i="2" a="1"/>
  <c r="T14" i="2" s="1"/>
  <c r="S14" i="2" a="1"/>
  <c r="S14" i="2" s="1"/>
  <c r="AA14" i="2" l="1" a="1"/>
  <c r="AA14" i="2" s="1"/>
  <c r="B16" i="2"/>
  <c r="M15" i="2" a="1"/>
  <c r="M15" i="2" s="1"/>
  <c r="L15" i="2" a="1"/>
  <c r="L15" i="2" s="1"/>
  <c r="Y15" i="2" a="1"/>
  <c r="Y15" i="2" s="1"/>
  <c r="X15" i="2" a="1"/>
  <c r="X15" i="2" s="1"/>
  <c r="W15" i="2" a="1"/>
  <c r="W15" i="2" s="1"/>
  <c r="N15" i="2" a="1"/>
  <c r="N15" i="2" s="1"/>
  <c r="V15" i="2" a="1"/>
  <c r="V15" i="2" s="1"/>
  <c r="U15" i="2" a="1"/>
  <c r="U15" i="2" s="1"/>
  <c r="T15" i="2" a="1"/>
  <c r="T15" i="2" s="1"/>
  <c r="R15" i="2" a="1"/>
  <c r="R15" i="2" s="1"/>
  <c r="D15" i="2" a="1"/>
  <c r="D15" i="2" s="1"/>
  <c r="C15" i="2" a="1"/>
  <c r="C15" i="2" s="1"/>
  <c r="S15" i="2" a="1"/>
  <c r="S15" i="2" s="1"/>
  <c r="Q15" i="2" a="1"/>
  <c r="Q15" i="2" s="1"/>
  <c r="P15" i="2" a="1"/>
  <c r="P15" i="2" s="1"/>
  <c r="O15" i="2" a="1"/>
  <c r="O15" i="2" s="1"/>
  <c r="I15" i="2" a="1"/>
  <c r="I15" i="2" s="1"/>
  <c r="H15" i="2" a="1"/>
  <c r="H15" i="2" s="1"/>
  <c r="AD15" i="2" a="1"/>
  <c r="AD15" i="2" s="1"/>
  <c r="AC15" i="2" a="1"/>
  <c r="AC15" i="2" s="1"/>
  <c r="AB15" i="2" a="1"/>
  <c r="AB15" i="2" s="1"/>
  <c r="AA15" i="2" a="1"/>
  <c r="AA15" i="2" s="1"/>
  <c r="Z15" i="2" a="1"/>
  <c r="Z15" i="2" s="1"/>
  <c r="K15" i="2" a="1"/>
  <c r="K15" i="2" s="1"/>
  <c r="G15" i="2" a="1"/>
  <c r="G15" i="2" s="1"/>
  <c r="F15" i="2" a="1"/>
  <c r="F15" i="2" s="1"/>
  <c r="J15" i="2" a="1"/>
  <c r="J15" i="2" s="1"/>
  <c r="E15" i="2" a="1"/>
  <c r="E15" i="2" s="1"/>
  <c r="AC1" i="2"/>
  <c r="AA3" i="2" a="1"/>
  <c r="AA3" i="2" s="1"/>
  <c r="AB4" i="2" a="1"/>
  <c r="AB4" i="2" s="1"/>
  <c r="AA4" i="2" a="1"/>
  <c r="AA4" i="2" s="1"/>
  <c r="AA5" i="2" a="1"/>
  <c r="AA5" i="2" s="1"/>
  <c r="AB5" i="2" a="1"/>
  <c r="AB5" i="2" s="1"/>
  <c r="AA6" i="2" a="1"/>
  <c r="AA6" i="2" s="1"/>
  <c r="AB6" i="2" a="1"/>
  <c r="AB6" i="2" s="1"/>
  <c r="AA7" i="2" a="1"/>
  <c r="AA7" i="2" s="1"/>
  <c r="AB7" i="2" a="1"/>
  <c r="AB7" i="2" s="1"/>
  <c r="AB8" i="2" a="1"/>
  <c r="AB8" i="2" s="1"/>
  <c r="AA8" i="2" a="1"/>
  <c r="AA8" i="2" s="1"/>
  <c r="AA9" i="2" a="1"/>
  <c r="AA9" i="2" s="1"/>
  <c r="AB9" i="2" a="1"/>
  <c r="AB9" i="2" s="1"/>
  <c r="AA10" i="2" a="1"/>
  <c r="AA10" i="2" s="1"/>
  <c r="AB10" i="2" a="1"/>
  <c r="AB10" i="2" s="1"/>
  <c r="AA11" i="2" a="1"/>
  <c r="AA11" i="2" s="1"/>
  <c r="AB11" i="2" a="1"/>
  <c r="AB11" i="2" s="1"/>
  <c r="AB12" i="2" a="1"/>
  <c r="AB12" i="2" s="1"/>
  <c r="AA12" i="2" a="1"/>
  <c r="AA12" i="2" s="1"/>
  <c r="AA13" i="2" a="1"/>
  <c r="AA13" i="2" s="1"/>
  <c r="AB13" i="2" a="1"/>
  <c r="AB13" i="2" s="1"/>
  <c r="AE1" i="2" l="1"/>
  <c r="AC3" i="2" a="1"/>
  <c r="AC3" i="2" s="1"/>
  <c r="AD4" i="2" a="1"/>
  <c r="AD4" i="2" s="1"/>
  <c r="AC4" i="2" a="1"/>
  <c r="AC4" i="2" s="1"/>
  <c r="AC5" i="2" a="1"/>
  <c r="AC5" i="2" s="1"/>
  <c r="AD5" i="2" a="1"/>
  <c r="AD5" i="2" s="1"/>
  <c r="AD6" i="2" a="1"/>
  <c r="AD6" i="2" s="1"/>
  <c r="AC6" i="2" a="1"/>
  <c r="AC6" i="2" s="1"/>
  <c r="AD7" i="2" a="1"/>
  <c r="AD7" i="2" s="1"/>
  <c r="AC7" i="2" a="1"/>
  <c r="AC7" i="2" s="1"/>
  <c r="AD8" i="2" a="1"/>
  <c r="AD8" i="2" s="1"/>
  <c r="AC8" i="2" a="1"/>
  <c r="AC8" i="2" s="1"/>
  <c r="AC9" i="2" a="1"/>
  <c r="AC9" i="2" s="1"/>
  <c r="AD9" i="2" a="1"/>
  <c r="AD9" i="2" s="1"/>
  <c r="AD10" i="2" a="1"/>
  <c r="AD10" i="2" s="1"/>
  <c r="AC10" i="2" a="1"/>
  <c r="AC10" i="2" s="1"/>
  <c r="AD11" i="2" a="1"/>
  <c r="AD11" i="2" s="1"/>
  <c r="AC11" i="2" a="1"/>
  <c r="AC11" i="2" s="1"/>
  <c r="AD12" i="2" a="1"/>
  <c r="AD12" i="2" s="1"/>
  <c r="AC12" i="2" a="1"/>
  <c r="AC12" i="2" s="1"/>
  <c r="AD13" i="2" a="1"/>
  <c r="AD13" i="2" s="1"/>
  <c r="AC13" i="2" a="1"/>
  <c r="AC13" i="2" s="1"/>
  <c r="AD14" i="2" a="1"/>
  <c r="AD14" i="2" s="1"/>
  <c r="AC14" i="2" a="1"/>
  <c r="AC14" i="2" s="1"/>
  <c r="B17" i="2"/>
  <c r="Y16" i="2" a="1"/>
  <c r="Y16" i="2" s="1"/>
  <c r="X16" i="2" a="1"/>
  <c r="X16" i="2" s="1"/>
  <c r="T16" i="2" a="1"/>
  <c r="T16" i="2" s="1"/>
  <c r="S16" i="2" a="1"/>
  <c r="S16" i="2" s="1"/>
  <c r="O16" i="2" a="1"/>
  <c r="O16" i="2" s="1"/>
  <c r="N16" i="2" a="1"/>
  <c r="N16" i="2" s="1"/>
  <c r="D16" i="2" a="1"/>
  <c r="D16" i="2" s="1"/>
  <c r="M16" i="2" a="1"/>
  <c r="M16" i="2" s="1"/>
  <c r="K16" i="2" a="1"/>
  <c r="K16" i="2" s="1"/>
  <c r="L16" i="2" a="1"/>
  <c r="L16" i="2" s="1"/>
  <c r="E16" i="2" a="1"/>
  <c r="E16" i="2" s="1"/>
  <c r="J16" i="2" a="1"/>
  <c r="J16" i="2" s="1"/>
  <c r="I16" i="2" a="1"/>
  <c r="I16" i="2" s="1"/>
  <c r="C16" i="2" a="1"/>
  <c r="C16" i="2" s="1"/>
  <c r="H16" i="2" a="1"/>
  <c r="H16" i="2" s="1"/>
  <c r="G16" i="2" a="1"/>
  <c r="G16" i="2" s="1"/>
  <c r="F16" i="2" a="1"/>
  <c r="F16" i="2" s="1"/>
  <c r="AD16" i="2" a="1"/>
  <c r="AD16" i="2" s="1"/>
  <c r="Q16" i="2" a="1"/>
  <c r="Q16" i="2" s="1"/>
  <c r="P16" i="2" a="1"/>
  <c r="P16" i="2" s="1"/>
  <c r="AA16" i="2" a="1"/>
  <c r="AA16" i="2" s="1"/>
  <c r="AF16" i="2" a="1"/>
  <c r="AF16" i="2" s="1"/>
  <c r="AE16" i="2" a="1"/>
  <c r="AE16" i="2" s="1"/>
  <c r="AC16" i="2" a="1"/>
  <c r="AC16" i="2" s="1"/>
  <c r="AB16" i="2" a="1"/>
  <c r="AB16" i="2" s="1"/>
  <c r="Z16" i="2" a="1"/>
  <c r="Z16" i="2" s="1"/>
  <c r="W16" i="2" a="1"/>
  <c r="W16" i="2" s="1"/>
  <c r="V16" i="2" a="1"/>
  <c r="V16" i="2" s="1"/>
  <c r="U16" i="2" a="1"/>
  <c r="U16" i="2" s="1"/>
  <c r="R16" i="2" a="1"/>
  <c r="R16" i="2" s="1"/>
  <c r="B18" i="2" l="1"/>
  <c r="Q17" i="2" a="1"/>
  <c r="Q17" i="2" s="1"/>
  <c r="M17" i="2" a="1"/>
  <c r="M17" i="2" s="1"/>
  <c r="L17" i="2" a="1"/>
  <c r="L17" i="2" s="1"/>
  <c r="J17" i="2" a="1"/>
  <c r="J17" i="2" s="1"/>
  <c r="X17" i="2" a="1"/>
  <c r="X17" i="2" s="1"/>
  <c r="I17" i="2" a="1"/>
  <c r="I17" i="2" s="1"/>
  <c r="H17" i="2" a="1"/>
  <c r="H17" i="2" s="1"/>
  <c r="AG17" i="2" a="1"/>
  <c r="AG17" i="2" s="1"/>
  <c r="E17" i="2" a="1"/>
  <c r="E17" i="2" s="1"/>
  <c r="D17" i="2" a="1"/>
  <c r="D17" i="2" s="1"/>
  <c r="C17" i="2" a="1"/>
  <c r="C17" i="2" s="1"/>
  <c r="G17" i="2" a="1"/>
  <c r="G17" i="2" s="1"/>
  <c r="F17" i="2" a="1"/>
  <c r="F17" i="2" s="1"/>
  <c r="AF17" i="2" a="1"/>
  <c r="AF17" i="2" s="1"/>
  <c r="AE17" i="2" a="1"/>
  <c r="AE17" i="2" s="1"/>
  <c r="AD17" i="2" a="1"/>
  <c r="AD17" i="2" s="1"/>
  <c r="AC17" i="2" a="1"/>
  <c r="AC17" i="2" s="1"/>
  <c r="AB17" i="2" a="1"/>
  <c r="AB17" i="2" s="1"/>
  <c r="AA17" i="2" a="1"/>
  <c r="AA17" i="2" s="1"/>
  <c r="Y17" i="2" a="1"/>
  <c r="Y17" i="2" s="1"/>
  <c r="W17" i="2" a="1"/>
  <c r="W17" i="2" s="1"/>
  <c r="V17" i="2" a="1"/>
  <c r="V17" i="2" s="1"/>
  <c r="U17" i="2" a="1"/>
  <c r="U17" i="2" s="1"/>
  <c r="T17" i="2" a="1"/>
  <c r="T17" i="2" s="1"/>
  <c r="S17" i="2" a="1"/>
  <c r="S17" i="2" s="1"/>
  <c r="R17" i="2" a="1"/>
  <c r="R17" i="2" s="1"/>
  <c r="P17" i="2" a="1"/>
  <c r="P17" i="2" s="1"/>
  <c r="K17" i="2" a="1"/>
  <c r="K17" i="2" s="1"/>
  <c r="N17" i="2" a="1"/>
  <c r="N17" i="2" s="1"/>
  <c r="Z17" i="2" a="1"/>
  <c r="Z17" i="2" s="1"/>
  <c r="O17" i="2" a="1"/>
  <c r="O17" i="2" s="1"/>
  <c r="AG1" i="2"/>
  <c r="AH17" i="2" s="1" a="1"/>
  <c r="AH17" i="2" s="1"/>
  <c r="AE3" i="2" a="1"/>
  <c r="AE3" i="2" s="1"/>
  <c r="AF4" i="2" a="1"/>
  <c r="AF4" i="2" s="1"/>
  <c r="AE4" i="2" a="1"/>
  <c r="AE4" i="2" s="1"/>
  <c r="AF5" i="2" a="1"/>
  <c r="AF5" i="2" s="1"/>
  <c r="AE5" i="2" a="1"/>
  <c r="AE5" i="2" s="1"/>
  <c r="AE6" i="2" a="1"/>
  <c r="AE6" i="2" s="1"/>
  <c r="AF6" i="2" a="1"/>
  <c r="AF6" i="2" s="1"/>
  <c r="AF7" i="2" a="1"/>
  <c r="AF7" i="2" s="1"/>
  <c r="AE7" i="2" a="1"/>
  <c r="AE7" i="2" s="1"/>
  <c r="AF8" i="2" a="1"/>
  <c r="AF8" i="2" s="1"/>
  <c r="AE8" i="2" a="1"/>
  <c r="AE8" i="2" s="1"/>
  <c r="AF9" i="2" a="1"/>
  <c r="AF9" i="2" s="1"/>
  <c r="AE9" i="2" a="1"/>
  <c r="AE9" i="2" s="1"/>
  <c r="AE10" i="2" a="1"/>
  <c r="AE10" i="2" s="1"/>
  <c r="AF10" i="2" a="1"/>
  <c r="AF10" i="2" s="1"/>
  <c r="AF11" i="2" a="1"/>
  <c r="AF11" i="2" s="1"/>
  <c r="AE11" i="2" a="1"/>
  <c r="AE11" i="2" s="1"/>
  <c r="AE12" i="2" a="1"/>
  <c r="AE12" i="2" s="1"/>
  <c r="AF12" i="2" a="1"/>
  <c r="AF12" i="2" s="1"/>
  <c r="AF13" i="2" a="1"/>
  <c r="AF13" i="2" s="1"/>
  <c r="AE13" i="2" a="1"/>
  <c r="AE13" i="2" s="1"/>
  <c r="AF14" i="2" a="1"/>
  <c r="AF14" i="2" s="1"/>
  <c r="AE14" i="2" a="1"/>
  <c r="AE14" i="2" s="1"/>
  <c r="AE15" i="2" a="1"/>
  <c r="AE15" i="2" s="1"/>
  <c r="AF15" i="2" a="1"/>
  <c r="AF15" i="2" s="1"/>
  <c r="AI1" i="2" l="1"/>
  <c r="AG3" i="2" a="1"/>
  <c r="AG3" i="2" s="1"/>
  <c r="AH4" i="2" a="1"/>
  <c r="AH4" i="2" s="1"/>
  <c r="AG4" i="2" a="1"/>
  <c r="AG4" i="2" s="1"/>
  <c r="AH5" i="2" a="1"/>
  <c r="AH5" i="2" s="1"/>
  <c r="AG5" i="2" a="1"/>
  <c r="AG5" i="2" s="1"/>
  <c r="AG6" i="2" a="1"/>
  <c r="AG6" i="2" s="1"/>
  <c r="AH6" i="2" a="1"/>
  <c r="AH6" i="2" s="1"/>
  <c r="AH7" i="2" a="1"/>
  <c r="AH7" i="2" s="1"/>
  <c r="AG7" i="2" a="1"/>
  <c r="AG7" i="2" s="1"/>
  <c r="AG8" i="2" a="1"/>
  <c r="AG8" i="2" s="1"/>
  <c r="AH8" i="2" a="1"/>
  <c r="AH8" i="2" s="1"/>
  <c r="AH9" i="2" a="1"/>
  <c r="AH9" i="2" s="1"/>
  <c r="AG9" i="2" a="1"/>
  <c r="AG9" i="2" s="1"/>
  <c r="AG10" i="2" a="1"/>
  <c r="AG10" i="2" s="1"/>
  <c r="AH10" i="2" a="1"/>
  <c r="AH10" i="2" s="1"/>
  <c r="AH11" i="2" a="1"/>
  <c r="AH11" i="2" s="1"/>
  <c r="AG11" i="2" a="1"/>
  <c r="AG11" i="2" s="1"/>
  <c r="AH12" i="2" a="1"/>
  <c r="AH12" i="2" s="1"/>
  <c r="AG12" i="2" a="1"/>
  <c r="AG12" i="2" s="1"/>
  <c r="AG13" i="2" a="1"/>
  <c r="AG13" i="2" s="1"/>
  <c r="AH13" i="2" a="1"/>
  <c r="AH13" i="2" s="1"/>
  <c r="AH14" i="2" a="1"/>
  <c r="AH14" i="2" s="1"/>
  <c r="AG14" i="2" a="1"/>
  <c r="AG14" i="2" s="1"/>
  <c r="AG15" i="2" a="1"/>
  <c r="AG15" i="2" s="1"/>
  <c r="AH15" i="2" a="1"/>
  <c r="AH15" i="2" s="1"/>
  <c r="AG16" i="2" a="1"/>
  <c r="AG16" i="2" s="1"/>
  <c r="AH16" i="2" a="1"/>
  <c r="AH16" i="2" s="1"/>
  <c r="B19" i="2"/>
  <c r="AF18" i="2" a="1"/>
  <c r="AF18" i="2" s="1"/>
  <c r="E18" i="2" a="1"/>
  <c r="E18" i="2" s="1"/>
  <c r="AB18" i="2" a="1"/>
  <c r="AB18" i="2" s="1"/>
  <c r="AA18" i="2" a="1"/>
  <c r="AA18" i="2" s="1"/>
  <c r="AH18" i="2" a="1"/>
  <c r="AH18" i="2" s="1"/>
  <c r="AG18" i="2" a="1"/>
  <c r="AG18" i="2" s="1"/>
  <c r="P18" i="2" a="1"/>
  <c r="P18" i="2" s="1"/>
  <c r="G18" i="2" a="1"/>
  <c r="G18" i="2" s="1"/>
  <c r="F18" i="2" a="1"/>
  <c r="F18" i="2" s="1"/>
  <c r="AJ18" i="2" a="1"/>
  <c r="AJ18" i="2" s="1"/>
  <c r="D18" i="2" a="1"/>
  <c r="D18" i="2" s="1"/>
  <c r="C18" i="2" a="1"/>
  <c r="C18" i="2" s="1"/>
  <c r="AI18" i="2" a="1"/>
  <c r="AI18" i="2" s="1"/>
  <c r="V18" i="2" a="1"/>
  <c r="V18" i="2" s="1"/>
  <c r="AE18" i="2" a="1"/>
  <c r="AE18" i="2" s="1"/>
  <c r="AD18" i="2" a="1"/>
  <c r="AD18" i="2" s="1"/>
  <c r="AC18" i="2" a="1"/>
  <c r="AC18" i="2" s="1"/>
  <c r="Z18" i="2" a="1"/>
  <c r="Z18" i="2" s="1"/>
  <c r="Y18" i="2" a="1"/>
  <c r="Y18" i="2" s="1"/>
  <c r="X18" i="2" a="1"/>
  <c r="X18" i="2" s="1"/>
  <c r="W18" i="2" a="1"/>
  <c r="W18" i="2" s="1"/>
  <c r="T18" i="2" a="1"/>
  <c r="T18" i="2" s="1"/>
  <c r="S18" i="2" a="1"/>
  <c r="S18" i="2" s="1"/>
  <c r="I18" i="2" a="1"/>
  <c r="I18" i="2" s="1"/>
  <c r="H18" i="2" a="1"/>
  <c r="H18" i="2" s="1"/>
  <c r="K18" i="2" a="1"/>
  <c r="K18" i="2" s="1"/>
  <c r="J18" i="2" a="1"/>
  <c r="J18" i="2" s="1"/>
  <c r="M18" i="2" a="1"/>
  <c r="M18" i="2" s="1"/>
  <c r="L18" i="2" a="1"/>
  <c r="L18" i="2" s="1"/>
  <c r="U18" i="2" a="1"/>
  <c r="U18" i="2" s="1"/>
  <c r="R18" i="2" a="1"/>
  <c r="R18" i="2" s="1"/>
  <c r="Q18" i="2" a="1"/>
  <c r="Q18" i="2" s="1"/>
  <c r="O18" i="2" a="1"/>
  <c r="O18" i="2" s="1"/>
  <c r="N18" i="2" a="1"/>
  <c r="N18" i="2" s="1"/>
  <c r="B20" i="2" l="1"/>
  <c r="T19" i="2" a="1"/>
  <c r="T19" i="2" s="1"/>
  <c r="P19" i="2" a="1"/>
  <c r="P19" i="2" s="1"/>
  <c r="O19" i="2" a="1"/>
  <c r="O19" i="2" s="1"/>
  <c r="Y19" i="2" a="1"/>
  <c r="Y19" i="2" s="1"/>
  <c r="X19" i="2" a="1"/>
  <c r="X19" i="2" s="1"/>
  <c r="H19" i="2" a="1"/>
  <c r="H19" i="2" s="1"/>
  <c r="AF19" i="2" a="1"/>
  <c r="AF19" i="2" s="1"/>
  <c r="AE19" i="2" a="1"/>
  <c r="AE19" i="2" s="1"/>
  <c r="C19" i="2" a="1"/>
  <c r="C19" i="2" s="1"/>
  <c r="D19" i="2" a="1"/>
  <c r="D19" i="2" s="1"/>
  <c r="AD19" i="2" a="1"/>
  <c r="AD19" i="2" s="1"/>
  <c r="R19" i="2" a="1"/>
  <c r="R19" i="2" s="1"/>
  <c r="AA19" i="2" a="1"/>
  <c r="AA19" i="2" s="1"/>
  <c r="AC19" i="2" a="1"/>
  <c r="AC19" i="2" s="1"/>
  <c r="AB19" i="2" a="1"/>
  <c r="AB19" i="2" s="1"/>
  <c r="Z19" i="2" a="1"/>
  <c r="Z19" i="2" s="1"/>
  <c r="W19" i="2" a="1"/>
  <c r="W19" i="2" s="1"/>
  <c r="V19" i="2" a="1"/>
  <c r="V19" i="2" s="1"/>
  <c r="U19" i="2" a="1"/>
  <c r="U19" i="2" s="1"/>
  <c r="S19" i="2" a="1"/>
  <c r="S19" i="2" s="1"/>
  <c r="M19" i="2" a="1"/>
  <c r="M19" i="2" s="1"/>
  <c r="AI19" i="2" a="1"/>
  <c r="AI19" i="2" s="1"/>
  <c r="AH19" i="2" a="1"/>
  <c r="AH19" i="2" s="1"/>
  <c r="AG19" i="2" a="1"/>
  <c r="AG19" i="2" s="1"/>
  <c r="Q19" i="2" a="1"/>
  <c r="Q19" i="2" s="1"/>
  <c r="N19" i="2" a="1"/>
  <c r="N19" i="2" s="1"/>
  <c r="L19" i="2" a="1"/>
  <c r="L19" i="2" s="1"/>
  <c r="G19" i="2" a="1"/>
  <c r="G19" i="2" s="1"/>
  <c r="AJ19" i="2" a="1"/>
  <c r="AJ19" i="2" s="1"/>
  <c r="I19" i="2" a="1"/>
  <c r="I19" i="2" s="1"/>
  <c r="K19" i="2" a="1"/>
  <c r="K19" i="2" s="1"/>
  <c r="J19" i="2" a="1"/>
  <c r="J19" i="2" s="1"/>
  <c r="F19" i="2" a="1"/>
  <c r="F19" i="2" s="1"/>
  <c r="E19" i="2" a="1"/>
  <c r="E19" i="2" s="1"/>
  <c r="AK1" i="2"/>
  <c r="AI3" i="2" a="1"/>
  <c r="AI3" i="2" s="1"/>
  <c r="AJ4" i="2" a="1"/>
  <c r="AJ4" i="2" s="1"/>
  <c r="AI4" i="2" a="1"/>
  <c r="AI4" i="2" s="1"/>
  <c r="AJ5" i="2" a="1"/>
  <c r="AJ5" i="2" s="1"/>
  <c r="AI5" i="2" a="1"/>
  <c r="AI5" i="2" s="1"/>
  <c r="AJ6" i="2" a="1"/>
  <c r="AJ6" i="2" s="1"/>
  <c r="AI6" i="2" a="1"/>
  <c r="AI6" i="2" s="1"/>
  <c r="AJ7" i="2" a="1"/>
  <c r="AJ7" i="2" s="1"/>
  <c r="AI7" i="2" a="1"/>
  <c r="AI7" i="2" s="1"/>
  <c r="AI8" i="2" a="1"/>
  <c r="AI8" i="2" s="1"/>
  <c r="AJ8" i="2" a="1"/>
  <c r="AJ8" i="2" s="1"/>
  <c r="AI9" i="2" a="1"/>
  <c r="AI9" i="2" s="1"/>
  <c r="AJ9" i="2" a="1"/>
  <c r="AJ9" i="2" s="1"/>
  <c r="AJ10" i="2" a="1"/>
  <c r="AJ10" i="2" s="1"/>
  <c r="AI10" i="2" a="1"/>
  <c r="AI10" i="2" s="1"/>
  <c r="AI11" i="2" a="1"/>
  <c r="AI11" i="2" s="1"/>
  <c r="AJ11" i="2" a="1"/>
  <c r="AJ11" i="2" s="1"/>
  <c r="AJ12" i="2" a="1"/>
  <c r="AJ12" i="2" s="1"/>
  <c r="AI12" i="2" a="1"/>
  <c r="AI12" i="2" s="1"/>
  <c r="AJ13" i="2" a="1"/>
  <c r="AJ13" i="2" s="1"/>
  <c r="AI13" i="2" a="1"/>
  <c r="AI13" i="2" s="1"/>
  <c r="AI14" i="2" a="1"/>
  <c r="AI14" i="2" s="1"/>
  <c r="AJ14" i="2" a="1"/>
  <c r="AJ14" i="2" s="1"/>
  <c r="AI15" i="2" a="1"/>
  <c r="AI15" i="2" s="1"/>
  <c r="AJ15" i="2" a="1"/>
  <c r="AJ15" i="2" s="1"/>
  <c r="AJ16" i="2" a="1"/>
  <c r="AJ16" i="2" s="1"/>
  <c r="AI16" i="2" a="1"/>
  <c r="AI16" i="2" s="1"/>
  <c r="AJ17" i="2" a="1"/>
  <c r="AJ17" i="2" s="1"/>
  <c r="AI17" i="2" a="1"/>
  <c r="AI17" i="2" s="1"/>
  <c r="AM1" i="2" l="1"/>
  <c r="AK3" i="2" a="1"/>
  <c r="AK3" i="2" s="1"/>
  <c r="AL4" i="2" a="1"/>
  <c r="AL4" i="2" s="1"/>
  <c r="AK4" i="2" a="1"/>
  <c r="AK4" i="2" s="1"/>
  <c r="AL5" i="2" a="1"/>
  <c r="AL5" i="2" s="1"/>
  <c r="AK5" i="2" a="1"/>
  <c r="AK5" i="2" s="1"/>
  <c r="AK6" i="2" a="1"/>
  <c r="AK6" i="2" s="1"/>
  <c r="AL6" i="2" a="1"/>
  <c r="AL6" i="2" s="1"/>
  <c r="AL7" i="2" a="1"/>
  <c r="AL7" i="2" s="1"/>
  <c r="AK7" i="2" a="1"/>
  <c r="AK7" i="2" s="1"/>
  <c r="AL8" i="2" a="1"/>
  <c r="AL8" i="2" s="1"/>
  <c r="AK8" i="2" a="1"/>
  <c r="AK8" i="2" s="1"/>
  <c r="AL9" i="2" a="1"/>
  <c r="AL9" i="2" s="1"/>
  <c r="AK9" i="2" a="1"/>
  <c r="AK9" i="2" s="1"/>
  <c r="AL10" i="2" a="1"/>
  <c r="AL10" i="2" s="1"/>
  <c r="AK10" i="2" a="1"/>
  <c r="AK10" i="2" s="1"/>
  <c r="AK11" i="2" a="1"/>
  <c r="AK11" i="2" s="1"/>
  <c r="AL11" i="2" a="1"/>
  <c r="AL11" i="2" s="1"/>
  <c r="AL12" i="2" a="1"/>
  <c r="AL12" i="2" s="1"/>
  <c r="AK12" i="2" a="1"/>
  <c r="AK12" i="2" s="1"/>
  <c r="AK13" i="2" a="1"/>
  <c r="AK13" i="2" s="1"/>
  <c r="AL13" i="2" a="1"/>
  <c r="AL13" i="2" s="1"/>
  <c r="AK14" i="2" a="1"/>
  <c r="AK14" i="2" s="1"/>
  <c r="AL14" i="2" a="1"/>
  <c r="AL14" i="2" s="1"/>
  <c r="AK15" i="2" a="1"/>
  <c r="AK15" i="2" s="1"/>
  <c r="AL15" i="2" a="1"/>
  <c r="AL15" i="2" s="1"/>
  <c r="AL16" i="2" a="1"/>
  <c r="AL16" i="2" s="1"/>
  <c r="AK16" i="2" a="1"/>
  <c r="AK16" i="2" s="1"/>
  <c r="AK17" i="2" a="1"/>
  <c r="AK17" i="2" s="1"/>
  <c r="AL17" i="2" a="1"/>
  <c r="AL17" i="2" s="1"/>
  <c r="AL18" i="2" a="1"/>
  <c r="AL18" i="2" s="1"/>
  <c r="AK18" i="2" a="1"/>
  <c r="AK18" i="2" s="1"/>
  <c r="AK19" i="2" a="1"/>
  <c r="AK19" i="2" s="1"/>
  <c r="AL19" i="2" a="1"/>
  <c r="AL19" i="2" s="1"/>
  <c r="B21" i="2"/>
  <c r="AE20" i="2" a="1"/>
  <c r="AE20" i="2" s="1"/>
  <c r="AA20" i="2" a="1"/>
  <c r="AA20" i="2" s="1"/>
  <c r="N20" i="2" a="1"/>
  <c r="N20" i="2" s="1"/>
  <c r="AN20" i="2" a="1"/>
  <c r="AN20" i="2" s="1"/>
  <c r="M20" i="2" a="1"/>
  <c r="M20" i="2" s="1"/>
  <c r="Y20" i="2" a="1"/>
  <c r="Y20" i="2" s="1"/>
  <c r="D20" i="2" a="1"/>
  <c r="D20" i="2" s="1"/>
  <c r="X20" i="2" a="1"/>
  <c r="X20" i="2" s="1"/>
  <c r="C20" i="2" a="1"/>
  <c r="C20" i="2" s="1"/>
  <c r="W20" i="2" a="1"/>
  <c r="W20" i="2" s="1"/>
  <c r="V20" i="2" a="1"/>
  <c r="V20" i="2" s="1"/>
  <c r="U20" i="2" a="1"/>
  <c r="U20" i="2" s="1"/>
  <c r="T20" i="2" a="1"/>
  <c r="T20" i="2" s="1"/>
  <c r="S20" i="2" a="1"/>
  <c r="S20" i="2" s="1"/>
  <c r="R20" i="2" a="1"/>
  <c r="R20" i="2" s="1"/>
  <c r="Q20" i="2" a="1"/>
  <c r="Q20" i="2" s="1"/>
  <c r="P20" i="2" a="1"/>
  <c r="P20" i="2" s="1"/>
  <c r="O20" i="2" a="1"/>
  <c r="O20" i="2" s="1"/>
  <c r="L20" i="2" a="1"/>
  <c r="L20" i="2" s="1"/>
  <c r="K20" i="2" a="1"/>
  <c r="K20" i="2" s="1"/>
  <c r="AM20" i="2" a="1"/>
  <c r="AM20" i="2" s="1"/>
  <c r="AL20" i="2" a="1"/>
  <c r="AL20" i="2" s="1"/>
  <c r="H20" i="2" a="1"/>
  <c r="H20" i="2" s="1"/>
  <c r="AK20" i="2" a="1"/>
  <c r="AK20" i="2" s="1"/>
  <c r="AD20" i="2" a="1"/>
  <c r="AD20" i="2" s="1"/>
  <c r="E20" i="2" a="1"/>
  <c r="E20" i="2" s="1"/>
  <c r="AJ20" i="2" a="1"/>
  <c r="AJ20" i="2" s="1"/>
  <c r="F20" i="2" a="1"/>
  <c r="F20" i="2" s="1"/>
  <c r="AI20" i="2" a="1"/>
  <c r="AI20" i="2" s="1"/>
  <c r="AH20" i="2" a="1"/>
  <c r="AH20" i="2" s="1"/>
  <c r="AG20" i="2" a="1"/>
  <c r="AG20" i="2" s="1"/>
  <c r="AF20" i="2" a="1"/>
  <c r="AF20" i="2" s="1"/>
  <c r="AC20" i="2" a="1"/>
  <c r="AC20" i="2" s="1"/>
  <c r="AB20" i="2" a="1"/>
  <c r="AB20" i="2" s="1"/>
  <c r="Z20" i="2" a="1"/>
  <c r="Z20" i="2" s="1"/>
  <c r="J20" i="2" a="1"/>
  <c r="J20" i="2" s="1"/>
  <c r="I20" i="2" a="1"/>
  <c r="I20" i="2" s="1"/>
  <c r="G20" i="2" a="1"/>
  <c r="G20" i="2" s="1"/>
  <c r="B22" i="2" l="1"/>
  <c r="T21" i="2" a="1"/>
  <c r="T21" i="2" s="1"/>
  <c r="AL21" i="2" a="1"/>
  <c r="AL21" i="2" s="1"/>
  <c r="P21" i="2" a="1"/>
  <c r="P21" i="2" s="1"/>
  <c r="O21" i="2" a="1"/>
  <c r="O21" i="2" s="1"/>
  <c r="AE21" i="2" a="1"/>
  <c r="AE21" i="2" s="1"/>
  <c r="AD21" i="2" a="1"/>
  <c r="AD21" i="2" s="1"/>
  <c r="Q21" i="2" a="1"/>
  <c r="Q21" i="2" s="1"/>
  <c r="U21" i="2" a="1"/>
  <c r="U21" i="2" s="1"/>
  <c r="S21" i="2" a="1"/>
  <c r="S21" i="2" s="1"/>
  <c r="R21" i="2" a="1"/>
  <c r="R21" i="2" s="1"/>
  <c r="N21" i="2" a="1"/>
  <c r="N21" i="2" s="1"/>
  <c r="M21" i="2" a="1"/>
  <c r="M21" i="2" s="1"/>
  <c r="L21" i="2" a="1"/>
  <c r="L21" i="2" s="1"/>
  <c r="K21" i="2" a="1"/>
  <c r="K21" i="2" s="1"/>
  <c r="AN21" i="2" a="1"/>
  <c r="AN21" i="2" s="1"/>
  <c r="J21" i="2" a="1"/>
  <c r="J21" i="2" s="1"/>
  <c r="AM21" i="2" a="1"/>
  <c r="AM21" i="2" s="1"/>
  <c r="AK21" i="2" a="1"/>
  <c r="AK21" i="2" s="1"/>
  <c r="I21" i="2" a="1"/>
  <c r="I21" i="2" s="1"/>
  <c r="AJ21" i="2" a="1"/>
  <c r="AJ21" i="2" s="1"/>
  <c r="H21" i="2" a="1"/>
  <c r="H21" i="2" s="1"/>
  <c r="G21" i="2" a="1"/>
  <c r="G21" i="2" s="1"/>
  <c r="AI21" i="2" a="1"/>
  <c r="AI21" i="2" s="1"/>
  <c r="F21" i="2" a="1"/>
  <c r="F21" i="2" s="1"/>
  <c r="AG21" i="2" a="1"/>
  <c r="AG21" i="2" s="1"/>
  <c r="AF21" i="2" a="1"/>
  <c r="AF21" i="2" s="1"/>
  <c r="AA21" i="2" a="1"/>
  <c r="AA21" i="2" s="1"/>
  <c r="Z21" i="2" a="1"/>
  <c r="Z21" i="2" s="1"/>
  <c r="Y21" i="2" a="1"/>
  <c r="Y21" i="2" s="1"/>
  <c r="X21" i="2" a="1"/>
  <c r="X21" i="2" s="1"/>
  <c r="W21" i="2" a="1"/>
  <c r="W21" i="2" s="1"/>
  <c r="V21" i="2" a="1"/>
  <c r="V21" i="2" s="1"/>
  <c r="E21" i="2" a="1"/>
  <c r="E21" i="2" s="1"/>
  <c r="D21" i="2" a="1"/>
  <c r="D21" i="2" s="1"/>
  <c r="AB21" i="2" a="1"/>
  <c r="AB21" i="2" s="1"/>
  <c r="C21" i="2" a="1"/>
  <c r="C21" i="2" s="1"/>
  <c r="AC21" i="2" a="1"/>
  <c r="AC21" i="2" s="1"/>
  <c r="AH21" i="2" a="1"/>
  <c r="AH21" i="2" s="1"/>
  <c r="AM3" i="2" a="1"/>
  <c r="AM3" i="2" s="1"/>
  <c r="AM4" i="2" a="1"/>
  <c r="AM4" i="2" s="1"/>
  <c r="AN4" i="2" a="1"/>
  <c r="AN4" i="2" s="1"/>
  <c r="AM5" i="2" a="1"/>
  <c r="AM5" i="2" s="1"/>
  <c r="AN5" i="2" a="1"/>
  <c r="AN5" i="2" s="1"/>
  <c r="AN6" i="2" a="1"/>
  <c r="AN6" i="2" s="1"/>
  <c r="AM6" i="2" a="1"/>
  <c r="AM6" i="2" s="1"/>
  <c r="AM7" i="2" a="1"/>
  <c r="AM7" i="2" s="1"/>
  <c r="AN7" i="2" a="1"/>
  <c r="AN7" i="2" s="1"/>
  <c r="AM8" i="2" a="1"/>
  <c r="AM8" i="2" s="1"/>
  <c r="AN8" i="2" a="1"/>
  <c r="AN8" i="2" s="1"/>
  <c r="AN9" i="2" a="1"/>
  <c r="AN9" i="2" s="1"/>
  <c r="AM9" i="2" a="1"/>
  <c r="AM9" i="2" s="1"/>
  <c r="AM10" i="2" a="1"/>
  <c r="AM10" i="2" s="1"/>
  <c r="AN10" i="2" a="1"/>
  <c r="AN10" i="2" s="1"/>
  <c r="AN11" i="2" a="1"/>
  <c r="AN11" i="2" s="1"/>
  <c r="AM11" i="2" a="1"/>
  <c r="AM11" i="2" s="1"/>
  <c r="AN12" i="2" a="1"/>
  <c r="AN12" i="2" s="1"/>
  <c r="AM12" i="2" a="1"/>
  <c r="AM12" i="2" s="1"/>
  <c r="AN13" i="2" a="1"/>
  <c r="AN13" i="2" s="1"/>
  <c r="AM13" i="2" a="1"/>
  <c r="AM13" i="2" s="1"/>
  <c r="AM14" i="2" a="1"/>
  <c r="AM14" i="2" s="1"/>
  <c r="AN14" i="2" a="1"/>
  <c r="AN14" i="2" s="1"/>
  <c r="AN15" i="2" a="1"/>
  <c r="AN15" i="2" s="1"/>
  <c r="AM15" i="2" a="1"/>
  <c r="AM15" i="2" s="1"/>
  <c r="AN16" i="2" a="1"/>
  <c r="AN16" i="2" s="1"/>
  <c r="AM16" i="2" a="1"/>
  <c r="AM16" i="2" s="1"/>
  <c r="AM17" i="2" a="1"/>
  <c r="AM17" i="2" s="1"/>
  <c r="AN17" i="2" a="1"/>
  <c r="AN17" i="2" s="1"/>
  <c r="AN18" i="2" a="1"/>
  <c r="AN18" i="2" s="1"/>
  <c r="AM18" i="2" a="1"/>
  <c r="AM18" i="2" s="1"/>
  <c r="AM19" i="2" a="1"/>
  <c r="AM19" i="2" s="1"/>
  <c r="AN19" i="2" a="1"/>
  <c r="AN19" i="2" s="1"/>
  <c r="B23" i="2" l="1"/>
  <c r="F22" i="2" a="1"/>
  <c r="F22" i="2" s="1"/>
  <c r="AB22" i="2" a="1"/>
  <c r="AB22" i="2" s="1"/>
  <c r="AA22" i="2" a="1"/>
  <c r="AA22" i="2" s="1"/>
  <c r="U22" i="2" a="1"/>
  <c r="U22" i="2" s="1"/>
  <c r="AH22" i="2" a="1"/>
  <c r="AH22" i="2" s="1"/>
  <c r="G22" i="2" a="1"/>
  <c r="G22" i="2" s="1"/>
  <c r="N22" i="2" a="1"/>
  <c r="N22" i="2" s="1"/>
  <c r="M22" i="2" a="1"/>
  <c r="M22" i="2" s="1"/>
  <c r="L22" i="2" a="1"/>
  <c r="L22" i="2" s="1"/>
  <c r="H22" i="2" a="1"/>
  <c r="H22" i="2" s="1"/>
  <c r="AL22" i="2" a="1"/>
  <c r="AL22" i="2" s="1"/>
  <c r="K22" i="2" a="1"/>
  <c r="K22" i="2" s="1"/>
  <c r="AN22" i="2" a="1"/>
  <c r="AN22" i="2" s="1"/>
  <c r="J22" i="2" a="1"/>
  <c r="J22" i="2" s="1"/>
  <c r="AM22" i="2" a="1"/>
  <c r="AM22" i="2" s="1"/>
  <c r="I22" i="2" a="1"/>
  <c r="I22" i="2" s="1"/>
  <c r="AK22" i="2" a="1"/>
  <c r="AK22" i="2" s="1"/>
  <c r="E22" i="2" a="1"/>
  <c r="E22" i="2" s="1"/>
  <c r="AJ22" i="2" a="1"/>
  <c r="AJ22" i="2" s="1"/>
  <c r="AI22" i="2" a="1"/>
  <c r="AI22" i="2" s="1"/>
  <c r="AG22" i="2" a="1"/>
  <c r="AG22" i="2" s="1"/>
  <c r="AF22" i="2" a="1"/>
  <c r="AF22" i="2" s="1"/>
  <c r="AE22" i="2" a="1"/>
  <c r="AE22" i="2" s="1"/>
  <c r="Z22" i="2" a="1"/>
  <c r="Z22" i="2" s="1"/>
  <c r="Y22" i="2" a="1"/>
  <c r="Y22" i="2" s="1"/>
  <c r="D22" i="2" a="1"/>
  <c r="D22" i="2" s="1"/>
  <c r="C22" i="2" a="1"/>
  <c r="C22" i="2" s="1"/>
  <c r="O22" i="2" a="1"/>
  <c r="O22" i="2" s="1"/>
  <c r="V22" i="2" a="1"/>
  <c r="V22" i="2" s="1"/>
  <c r="AD22" i="2" a="1"/>
  <c r="AD22" i="2" s="1"/>
  <c r="AC22" i="2" a="1"/>
  <c r="AC22" i="2" s="1"/>
  <c r="X22" i="2" a="1"/>
  <c r="X22" i="2" s="1"/>
  <c r="W22" i="2" a="1"/>
  <c r="W22" i="2" s="1"/>
  <c r="T22" i="2" a="1"/>
  <c r="T22" i="2" s="1"/>
  <c r="S22" i="2" a="1"/>
  <c r="S22" i="2" s="1"/>
  <c r="R22" i="2" a="1"/>
  <c r="R22" i="2" s="1"/>
  <c r="Q22" i="2" a="1"/>
  <c r="Q22" i="2" s="1"/>
  <c r="P22" i="2" a="1"/>
  <c r="P22" i="2" s="1"/>
  <c r="B24" i="2" l="1"/>
  <c r="T23" i="2" a="1"/>
  <c r="T23" i="2" s="1"/>
  <c r="P23" i="2" a="1"/>
  <c r="P23" i="2" s="1"/>
  <c r="O23" i="2" a="1"/>
  <c r="O23" i="2" s="1"/>
  <c r="L23" i="2" a="1"/>
  <c r="L23" i="2" s="1"/>
  <c r="AN23" i="2" a="1"/>
  <c r="AN23" i="2" s="1"/>
  <c r="K23" i="2" a="1"/>
  <c r="K23" i="2" s="1"/>
  <c r="W23" i="2" a="1"/>
  <c r="W23" i="2" s="1"/>
  <c r="AM23" i="2" a="1"/>
  <c r="AM23" i="2" s="1"/>
  <c r="H23" i="2" a="1"/>
  <c r="H23" i="2" s="1"/>
  <c r="AL23" i="2" a="1"/>
  <c r="AL23" i="2" s="1"/>
  <c r="G23" i="2" a="1"/>
  <c r="G23" i="2" s="1"/>
  <c r="AK23" i="2" a="1"/>
  <c r="AK23" i="2" s="1"/>
  <c r="F23" i="2" a="1"/>
  <c r="F23" i="2" s="1"/>
  <c r="AJ23" i="2" a="1"/>
  <c r="AJ23" i="2" s="1"/>
  <c r="E23" i="2" a="1"/>
  <c r="E23" i="2" s="1"/>
  <c r="AI23" i="2" a="1"/>
  <c r="AI23" i="2" s="1"/>
  <c r="AH23" i="2" a="1"/>
  <c r="AH23" i="2" s="1"/>
  <c r="AG23" i="2" a="1"/>
  <c r="AG23" i="2" s="1"/>
  <c r="AF23" i="2" a="1"/>
  <c r="AF23" i="2" s="1"/>
  <c r="AE23" i="2" a="1"/>
  <c r="AE23" i="2" s="1"/>
  <c r="AD23" i="2" a="1"/>
  <c r="AD23" i="2" s="1"/>
  <c r="AC23" i="2" a="1"/>
  <c r="AC23" i="2" s="1"/>
  <c r="AB23" i="2" a="1"/>
  <c r="AB23" i="2" s="1"/>
  <c r="AA23" i="2" a="1"/>
  <c r="AA23" i="2" s="1"/>
  <c r="X23" i="2" a="1"/>
  <c r="X23" i="2" s="1"/>
  <c r="V23" i="2" a="1"/>
  <c r="V23" i="2" s="1"/>
  <c r="Y23" i="2" a="1"/>
  <c r="Y23" i="2" s="1"/>
  <c r="U23" i="2" a="1"/>
  <c r="U23" i="2" s="1"/>
  <c r="S23" i="2" a="1"/>
  <c r="S23" i="2" s="1"/>
  <c r="R23" i="2" a="1"/>
  <c r="R23" i="2" s="1"/>
  <c r="Q23" i="2" a="1"/>
  <c r="Q23" i="2" s="1"/>
  <c r="N23" i="2" a="1"/>
  <c r="N23" i="2" s="1"/>
  <c r="M23" i="2" a="1"/>
  <c r="M23" i="2" s="1"/>
  <c r="D23" i="2" a="1"/>
  <c r="D23" i="2" s="1"/>
  <c r="C23" i="2" a="1"/>
  <c r="C23" i="2" s="1"/>
  <c r="Z23" i="2" a="1"/>
  <c r="Z23" i="2" s="1"/>
  <c r="I23" i="2" a="1"/>
  <c r="I23" i="2" s="1"/>
  <c r="J23" i="2" a="1"/>
  <c r="J23" i="2" s="1"/>
  <c r="B25" i="2" l="1"/>
  <c r="AI24" i="2" a="1"/>
  <c r="AI24" i="2" s="1"/>
  <c r="I24" i="2" a="1"/>
  <c r="I24" i="2" s="1"/>
  <c r="AE24" i="2" a="1"/>
  <c r="AE24" i="2" s="1"/>
  <c r="E24" i="2" a="1"/>
  <c r="E24" i="2" s="1"/>
  <c r="AD24" i="2" a="1"/>
  <c r="AD24" i="2" s="1"/>
  <c r="AJ24" i="2" a="1"/>
  <c r="AJ24" i="2" s="1"/>
  <c r="F24" i="2" a="1"/>
  <c r="F24" i="2" s="1"/>
  <c r="AH24" i="2" a="1"/>
  <c r="AH24" i="2" s="1"/>
  <c r="S24" i="2" a="1"/>
  <c r="S24" i="2" s="1"/>
  <c r="O24" i="2" a="1"/>
  <c r="O24" i="2" s="1"/>
  <c r="AL24" i="2" a="1"/>
  <c r="AL24" i="2" s="1"/>
  <c r="AK24" i="2" a="1"/>
  <c r="AK24" i="2" s="1"/>
  <c r="AC24" i="2" a="1"/>
  <c r="AC24" i="2" s="1"/>
  <c r="AG24" i="2" a="1"/>
  <c r="AG24" i="2" s="1"/>
  <c r="AF24" i="2" a="1"/>
  <c r="AF24" i="2" s="1"/>
  <c r="AB24" i="2" a="1"/>
  <c r="AB24" i="2" s="1"/>
  <c r="AA24" i="2" a="1"/>
  <c r="AA24" i="2" s="1"/>
  <c r="Z24" i="2" a="1"/>
  <c r="Z24" i="2" s="1"/>
  <c r="Y24" i="2" a="1"/>
  <c r="Y24" i="2" s="1"/>
  <c r="X24" i="2" a="1"/>
  <c r="X24" i="2" s="1"/>
  <c r="W24" i="2" a="1"/>
  <c r="W24" i="2" s="1"/>
  <c r="U24" i="2" a="1"/>
  <c r="U24" i="2" s="1"/>
  <c r="T24" i="2" a="1"/>
  <c r="T24" i="2" s="1"/>
  <c r="D24" i="2" a="1"/>
  <c r="D24" i="2" s="1"/>
  <c r="C24" i="2" a="1"/>
  <c r="C24" i="2" s="1"/>
  <c r="J24" i="2" a="1"/>
  <c r="J24" i="2" s="1"/>
  <c r="K24" i="2" a="1"/>
  <c r="K24" i="2" s="1"/>
  <c r="L24" i="2" a="1"/>
  <c r="L24" i="2" s="1"/>
  <c r="G24" i="2" a="1"/>
  <c r="G24" i="2" s="1"/>
  <c r="H24" i="2" a="1"/>
  <c r="H24" i="2" s="1"/>
  <c r="AN24" i="2" a="1"/>
  <c r="AN24" i="2" s="1"/>
  <c r="AM24" i="2" a="1"/>
  <c r="AM24" i="2" s="1"/>
  <c r="V24" i="2" a="1"/>
  <c r="V24" i="2" s="1"/>
  <c r="R24" i="2" a="1"/>
  <c r="R24" i="2" s="1"/>
  <c r="Q24" i="2" a="1"/>
  <c r="Q24" i="2" s="1"/>
  <c r="P24" i="2" a="1"/>
  <c r="P24" i="2" s="1"/>
  <c r="N24" i="2" a="1"/>
  <c r="N24" i="2" s="1"/>
  <c r="M24" i="2" a="1"/>
  <c r="M24" i="2" s="1"/>
  <c r="B26" i="2" l="1"/>
  <c r="W25" i="2" a="1"/>
  <c r="W25" i="2" s="1"/>
  <c r="T25" i="2" a="1"/>
  <c r="T25" i="2" s="1"/>
  <c r="S25" i="2" a="1"/>
  <c r="S25" i="2" s="1"/>
  <c r="AA25" i="2" a="1"/>
  <c r="AA25" i="2" s="1"/>
  <c r="D25" i="2" a="1"/>
  <c r="D25" i="2" s="1"/>
  <c r="Z25" i="2" a="1"/>
  <c r="Z25" i="2" s="1"/>
  <c r="AJ25" i="2" a="1"/>
  <c r="AJ25" i="2" s="1"/>
  <c r="J25" i="2" a="1"/>
  <c r="J25" i="2" s="1"/>
  <c r="F25" i="2" a="1"/>
  <c r="F25" i="2" s="1"/>
  <c r="AH25" i="2" a="1"/>
  <c r="AH25" i="2" s="1"/>
  <c r="AG25" i="2" a="1"/>
  <c r="AG25" i="2" s="1"/>
  <c r="AF25" i="2" a="1"/>
  <c r="AF25" i="2" s="1"/>
  <c r="AE25" i="2" a="1"/>
  <c r="AE25" i="2" s="1"/>
  <c r="AD25" i="2" a="1"/>
  <c r="AD25" i="2" s="1"/>
  <c r="AC25" i="2" a="1"/>
  <c r="AC25" i="2" s="1"/>
  <c r="AB25" i="2" a="1"/>
  <c r="AB25" i="2" s="1"/>
  <c r="Y25" i="2" a="1"/>
  <c r="Y25" i="2" s="1"/>
  <c r="X25" i="2" a="1"/>
  <c r="X25" i="2" s="1"/>
  <c r="V25" i="2" a="1"/>
  <c r="V25" i="2" s="1"/>
  <c r="U25" i="2" a="1"/>
  <c r="U25" i="2" s="1"/>
  <c r="R25" i="2" a="1"/>
  <c r="R25" i="2" s="1"/>
  <c r="P25" i="2" a="1"/>
  <c r="P25" i="2" s="1"/>
  <c r="O25" i="2" a="1"/>
  <c r="O25" i="2" s="1"/>
  <c r="AK25" i="2" a="1"/>
  <c r="AK25" i="2" s="1"/>
  <c r="AI25" i="2" a="1"/>
  <c r="AI25" i="2" s="1"/>
  <c r="C25" i="2" a="1"/>
  <c r="C25" i="2" s="1"/>
  <c r="Q25" i="2" a="1"/>
  <c r="Q25" i="2" s="1"/>
  <c r="N25" i="2" a="1"/>
  <c r="N25" i="2" s="1"/>
  <c r="M25" i="2" a="1"/>
  <c r="M25" i="2" s="1"/>
  <c r="I25" i="2" a="1"/>
  <c r="I25" i="2" s="1"/>
  <c r="AM25" i="2" a="1"/>
  <c r="AM25" i="2" s="1"/>
  <c r="L25" i="2" a="1"/>
  <c r="L25" i="2" s="1"/>
  <c r="K25" i="2" a="1"/>
  <c r="K25" i="2" s="1"/>
  <c r="H25" i="2" a="1"/>
  <c r="H25" i="2" s="1"/>
  <c r="AL25" i="2" a="1"/>
  <c r="AL25" i="2" s="1"/>
  <c r="G25" i="2" a="1"/>
  <c r="G25" i="2" s="1"/>
  <c r="AN25" i="2" a="1"/>
  <c r="AN25" i="2" s="1"/>
  <c r="E25" i="2" a="1"/>
  <c r="E25" i="2" s="1"/>
  <c r="B27" i="2" l="1"/>
  <c r="AH26" i="2" a="1"/>
  <c r="AH26" i="2" s="1"/>
  <c r="AD26" i="2" a="1"/>
  <c r="AD26" i="2" s="1"/>
  <c r="H26" i="2" a="1"/>
  <c r="H26" i="2" s="1"/>
  <c r="G26" i="2" a="1"/>
  <c r="G26" i="2" s="1"/>
  <c r="O26" i="2" a="1"/>
  <c r="O26" i="2" s="1"/>
  <c r="AA26" i="2" a="1"/>
  <c r="AA26" i="2" s="1"/>
  <c r="W26" i="2" a="1"/>
  <c r="W26" i="2" s="1"/>
  <c r="AB26" i="2" a="1"/>
  <c r="AB26" i="2" s="1"/>
  <c r="Z26" i="2" a="1"/>
  <c r="Z26" i="2" s="1"/>
  <c r="Y26" i="2" a="1"/>
  <c r="Y26" i="2" s="1"/>
  <c r="X26" i="2" a="1"/>
  <c r="X26" i="2" s="1"/>
  <c r="V26" i="2" a="1"/>
  <c r="V26" i="2" s="1"/>
  <c r="U26" i="2" a="1"/>
  <c r="U26" i="2" s="1"/>
  <c r="T26" i="2" a="1"/>
  <c r="T26" i="2" s="1"/>
  <c r="S26" i="2" a="1"/>
  <c r="S26" i="2" s="1"/>
  <c r="R26" i="2" a="1"/>
  <c r="R26" i="2" s="1"/>
  <c r="Q26" i="2" a="1"/>
  <c r="Q26" i="2" s="1"/>
  <c r="P26" i="2" a="1"/>
  <c r="P26" i="2" s="1"/>
  <c r="N26" i="2" a="1"/>
  <c r="N26" i="2" s="1"/>
  <c r="L26" i="2" a="1"/>
  <c r="L26" i="2" s="1"/>
  <c r="K26" i="2" a="1"/>
  <c r="K26" i="2" s="1"/>
  <c r="D26" i="2" a="1"/>
  <c r="D26" i="2" s="1"/>
  <c r="C26" i="2" a="1"/>
  <c r="C26" i="2" s="1"/>
  <c r="AM26" i="2" a="1"/>
  <c r="AM26" i="2" s="1"/>
  <c r="I26" i="2" a="1"/>
  <c r="I26" i="2" s="1"/>
  <c r="E26" i="2" a="1"/>
  <c r="E26" i="2" s="1"/>
  <c r="AN26" i="2" a="1"/>
  <c r="AN26" i="2" s="1"/>
  <c r="AL26" i="2" a="1"/>
  <c r="AL26" i="2" s="1"/>
  <c r="F26" i="2" a="1"/>
  <c r="F26" i="2" s="1"/>
  <c r="AK26" i="2" a="1"/>
  <c r="AK26" i="2" s="1"/>
  <c r="AJ26" i="2" a="1"/>
  <c r="AJ26" i="2" s="1"/>
  <c r="AI26" i="2" a="1"/>
  <c r="AI26" i="2" s="1"/>
  <c r="AG26" i="2" a="1"/>
  <c r="AG26" i="2" s="1"/>
  <c r="AF26" i="2" a="1"/>
  <c r="AF26" i="2" s="1"/>
  <c r="AE26" i="2" a="1"/>
  <c r="AE26" i="2" s="1"/>
  <c r="AC26" i="2" a="1"/>
  <c r="AC26" i="2" s="1"/>
  <c r="M26" i="2" a="1"/>
  <c r="M26" i="2" s="1"/>
  <c r="J26" i="2" a="1"/>
  <c r="J26" i="2" s="1"/>
  <c r="B28" i="2" l="1"/>
  <c r="X27" i="2" a="1"/>
  <c r="X27" i="2" s="1"/>
  <c r="T27" i="2" a="1"/>
  <c r="T27" i="2" s="1"/>
  <c r="S27" i="2" a="1"/>
  <c r="S27" i="2" s="1"/>
  <c r="AJ27" i="2" a="1"/>
  <c r="AJ27" i="2" s="1"/>
  <c r="G27" i="2" a="1"/>
  <c r="G27" i="2" s="1"/>
  <c r="AI27" i="2" a="1"/>
  <c r="AI27" i="2" s="1"/>
  <c r="R27" i="2" a="1"/>
  <c r="R27" i="2" s="1"/>
  <c r="N27" i="2" a="1"/>
  <c r="N27" i="2" s="1"/>
  <c r="AA27" i="2" a="1"/>
  <c r="AA27" i="2" s="1"/>
  <c r="Z27" i="2" a="1"/>
  <c r="Z27" i="2" s="1"/>
  <c r="Y27" i="2" a="1"/>
  <c r="Y27" i="2" s="1"/>
  <c r="W27" i="2" a="1"/>
  <c r="W27" i="2" s="1"/>
  <c r="V27" i="2" a="1"/>
  <c r="V27" i="2" s="1"/>
  <c r="U27" i="2" a="1"/>
  <c r="U27" i="2" s="1"/>
  <c r="Q27" i="2" a="1"/>
  <c r="Q27" i="2" s="1"/>
  <c r="P27" i="2" a="1"/>
  <c r="P27" i="2" s="1"/>
  <c r="O27" i="2" a="1"/>
  <c r="O27" i="2" s="1"/>
  <c r="M27" i="2" a="1"/>
  <c r="M27" i="2" s="1"/>
  <c r="L27" i="2" a="1"/>
  <c r="L27" i="2" s="1"/>
  <c r="K27" i="2" a="1"/>
  <c r="K27" i="2" s="1"/>
  <c r="J27" i="2" a="1"/>
  <c r="J27" i="2" s="1"/>
  <c r="I27" i="2" a="1"/>
  <c r="I27" i="2" s="1"/>
  <c r="F27" i="2" a="1"/>
  <c r="F27" i="2" s="1"/>
  <c r="C27" i="2" a="1"/>
  <c r="C27" i="2" s="1"/>
  <c r="AM27" i="2" a="1"/>
  <c r="AM27" i="2" s="1"/>
  <c r="E27" i="2" a="1"/>
  <c r="E27" i="2" s="1"/>
  <c r="AG27" i="2" a="1"/>
  <c r="AG27" i="2" s="1"/>
  <c r="AF27" i="2" a="1"/>
  <c r="AF27" i="2" s="1"/>
  <c r="D27" i="2" a="1"/>
  <c r="D27" i="2" s="1"/>
  <c r="AE27" i="2" a="1"/>
  <c r="AE27" i="2" s="1"/>
  <c r="AD27" i="2" a="1"/>
  <c r="AD27" i="2" s="1"/>
  <c r="AC27" i="2" a="1"/>
  <c r="AC27" i="2" s="1"/>
  <c r="AB27" i="2" a="1"/>
  <c r="AB27" i="2" s="1"/>
  <c r="AH27" i="2" a="1"/>
  <c r="AH27" i="2" s="1"/>
  <c r="AN27" i="2" a="1"/>
  <c r="AN27" i="2" s="1"/>
  <c r="AL27" i="2" a="1"/>
  <c r="AL27" i="2" s="1"/>
  <c r="AK27" i="2" a="1"/>
  <c r="AK27" i="2" s="1"/>
  <c r="H27" i="2" a="1"/>
  <c r="H27" i="2" s="1"/>
  <c r="B29" i="2" l="1"/>
  <c r="AK28" i="2" a="1"/>
  <c r="AK28" i="2" s="1"/>
  <c r="L28" i="2" a="1"/>
  <c r="L28" i="2" s="1"/>
  <c r="AH28" i="2" a="1"/>
  <c r="AH28" i="2" s="1"/>
  <c r="I28" i="2" a="1"/>
  <c r="I28" i="2" s="1"/>
  <c r="D28" i="2" a="1"/>
  <c r="D28" i="2" s="1"/>
  <c r="AG28" i="2" a="1"/>
  <c r="AG28" i="2" s="1"/>
  <c r="H28" i="2" a="1"/>
  <c r="H28" i="2" s="1"/>
  <c r="Z28" i="2" a="1"/>
  <c r="Z28" i="2" s="1"/>
  <c r="Y28" i="2" a="1"/>
  <c r="Y28" i="2" s="1"/>
  <c r="F28" i="2" a="1"/>
  <c r="F28" i="2" s="1"/>
  <c r="T28" i="2" a="1"/>
  <c r="T28" i="2" s="1"/>
  <c r="S28" i="2" a="1"/>
  <c r="S28" i="2" s="1"/>
  <c r="R28" i="2" a="1"/>
  <c r="R28" i="2" s="1"/>
  <c r="Q28" i="2" a="1"/>
  <c r="Q28" i="2" s="1"/>
  <c r="P28" i="2" a="1"/>
  <c r="P28" i="2" s="1"/>
  <c r="O28" i="2" a="1"/>
  <c r="O28" i="2" s="1"/>
  <c r="N28" i="2" a="1"/>
  <c r="N28" i="2" s="1"/>
  <c r="M28" i="2" a="1"/>
  <c r="M28" i="2" s="1"/>
  <c r="K28" i="2" a="1"/>
  <c r="K28" i="2" s="1"/>
  <c r="J28" i="2" a="1"/>
  <c r="J28" i="2" s="1"/>
  <c r="AN28" i="2" a="1"/>
  <c r="AN28" i="2" s="1"/>
  <c r="G28" i="2" a="1"/>
  <c r="G28" i="2" s="1"/>
  <c r="AM28" i="2" a="1"/>
  <c r="AM28" i="2" s="1"/>
  <c r="E28" i="2" a="1"/>
  <c r="E28" i="2" s="1"/>
  <c r="AJ28" i="2" a="1"/>
  <c r="AJ28" i="2" s="1"/>
  <c r="AI28" i="2" a="1"/>
  <c r="AI28" i="2" s="1"/>
  <c r="C28" i="2" a="1"/>
  <c r="C28" i="2" s="1"/>
  <c r="U28" i="2" a="1"/>
  <c r="U28" i="2" s="1"/>
  <c r="AL28" i="2" a="1"/>
  <c r="AL28" i="2" s="1"/>
  <c r="AF28" i="2" a="1"/>
  <c r="AF28" i="2" s="1"/>
  <c r="AE28" i="2" a="1"/>
  <c r="AE28" i="2" s="1"/>
  <c r="AD28" i="2" a="1"/>
  <c r="AD28" i="2" s="1"/>
  <c r="AC28" i="2" a="1"/>
  <c r="AC28" i="2" s="1"/>
  <c r="AB28" i="2" a="1"/>
  <c r="AB28" i="2" s="1"/>
  <c r="AA28" i="2" a="1"/>
  <c r="AA28" i="2" s="1"/>
  <c r="X28" i="2" a="1"/>
  <c r="X28" i="2" s="1"/>
  <c r="W28" i="2" a="1"/>
  <c r="W28" i="2" s="1"/>
  <c r="V28" i="2" a="1"/>
  <c r="V28" i="2" s="1"/>
  <c r="B30" i="2" l="1"/>
  <c r="Y29" i="2" a="1"/>
  <c r="Y29" i="2" s="1"/>
  <c r="U29" i="2" a="1"/>
  <c r="U29" i="2" s="1"/>
  <c r="T29" i="2" a="1"/>
  <c r="T29" i="2" s="1"/>
  <c r="Q29" i="2" a="1"/>
  <c r="Q29" i="2" s="1"/>
  <c r="AD29" i="2" a="1"/>
  <c r="AD29" i="2" s="1"/>
  <c r="Z29" i="2" a="1"/>
  <c r="Z29" i="2" s="1"/>
  <c r="P29" i="2" a="1"/>
  <c r="P29" i="2" s="1"/>
  <c r="O29" i="2" a="1"/>
  <c r="O29" i="2" s="1"/>
  <c r="N29" i="2" a="1"/>
  <c r="N29" i="2" s="1"/>
  <c r="M29" i="2" a="1"/>
  <c r="M29" i="2" s="1"/>
  <c r="L29" i="2" a="1"/>
  <c r="L29" i="2" s="1"/>
  <c r="K29" i="2" a="1"/>
  <c r="K29" i="2" s="1"/>
  <c r="AN29" i="2" a="1"/>
  <c r="AN29" i="2" s="1"/>
  <c r="J29" i="2" a="1"/>
  <c r="J29" i="2" s="1"/>
  <c r="AM29" i="2" a="1"/>
  <c r="AM29" i="2" s="1"/>
  <c r="I29" i="2" a="1"/>
  <c r="I29" i="2" s="1"/>
  <c r="AL29" i="2" a="1"/>
  <c r="AL29" i="2" s="1"/>
  <c r="H29" i="2" a="1"/>
  <c r="H29" i="2" s="1"/>
  <c r="G29" i="2" a="1"/>
  <c r="G29" i="2" s="1"/>
  <c r="AK29" i="2" a="1"/>
  <c r="AK29" i="2" s="1"/>
  <c r="F29" i="2" a="1"/>
  <c r="F29" i="2" s="1"/>
  <c r="AJ29" i="2" a="1"/>
  <c r="AJ29" i="2" s="1"/>
  <c r="E29" i="2" a="1"/>
  <c r="E29" i="2" s="1"/>
  <c r="AI29" i="2" a="1"/>
  <c r="AI29" i="2" s="1"/>
  <c r="D29" i="2" a="1"/>
  <c r="D29" i="2" s="1"/>
  <c r="AH29" i="2" a="1"/>
  <c r="AH29" i="2" s="1"/>
  <c r="AF29" i="2" a="1"/>
  <c r="AF29" i="2" s="1"/>
  <c r="AE29" i="2" a="1"/>
  <c r="AE29" i="2" s="1"/>
  <c r="AG29" i="2" a="1"/>
  <c r="AG29" i="2" s="1"/>
  <c r="AC29" i="2" a="1"/>
  <c r="AC29" i="2" s="1"/>
  <c r="AB29" i="2" a="1"/>
  <c r="AB29" i="2" s="1"/>
  <c r="AA29" i="2" a="1"/>
  <c r="AA29" i="2" s="1"/>
  <c r="X29" i="2" a="1"/>
  <c r="X29" i="2" s="1"/>
  <c r="C29" i="2" a="1"/>
  <c r="C29" i="2" s="1"/>
  <c r="W29" i="2" a="1"/>
  <c r="W29" i="2" s="1"/>
  <c r="V29" i="2" a="1"/>
  <c r="V29" i="2" s="1"/>
  <c r="S29" i="2" a="1"/>
  <c r="S29" i="2" s="1"/>
  <c r="R29" i="2" a="1"/>
  <c r="R29" i="2" s="1"/>
  <c r="B31" i="2" l="1"/>
  <c r="AN30" i="2" a="1"/>
  <c r="AN30" i="2" s="1"/>
  <c r="N30" i="2" a="1"/>
  <c r="N30" i="2" s="1"/>
  <c r="AJ30" i="2" a="1"/>
  <c r="AJ30" i="2" s="1"/>
  <c r="J30" i="2" a="1"/>
  <c r="J30" i="2" s="1"/>
  <c r="AI30" i="2" a="1"/>
  <c r="AI30" i="2" s="1"/>
  <c r="I30" i="2" a="1"/>
  <c r="I30" i="2" s="1"/>
  <c r="AM30" i="2" a="1"/>
  <c r="AM30" i="2" s="1"/>
  <c r="H30" i="2" a="1"/>
  <c r="H30" i="2" s="1"/>
  <c r="AL30" i="2" a="1"/>
  <c r="AL30" i="2" s="1"/>
  <c r="G30" i="2" a="1"/>
  <c r="G30" i="2" s="1"/>
  <c r="W30" i="2" a="1"/>
  <c r="W30" i="2" s="1"/>
  <c r="S30" i="2" a="1"/>
  <c r="S30" i="2" s="1"/>
  <c r="O30" i="2" a="1"/>
  <c r="O30" i="2" s="1"/>
  <c r="M30" i="2" a="1"/>
  <c r="M30" i="2" s="1"/>
  <c r="L30" i="2" a="1"/>
  <c r="L30" i="2" s="1"/>
  <c r="C30" i="2" a="1"/>
  <c r="C30" i="2" s="1"/>
  <c r="K30" i="2" a="1"/>
  <c r="K30" i="2" s="1"/>
  <c r="D30" i="2" a="1"/>
  <c r="D30" i="2" s="1"/>
  <c r="F30" i="2" a="1"/>
  <c r="F30" i="2" s="1"/>
  <c r="E30" i="2" a="1"/>
  <c r="E30" i="2" s="1"/>
  <c r="AK30" i="2" a="1"/>
  <c r="AK30" i="2" s="1"/>
  <c r="AH30" i="2" a="1"/>
  <c r="AH30" i="2" s="1"/>
  <c r="AG30" i="2" a="1"/>
  <c r="AG30" i="2" s="1"/>
  <c r="AF30" i="2" a="1"/>
  <c r="AF30" i="2" s="1"/>
  <c r="AE30" i="2" a="1"/>
  <c r="AE30" i="2" s="1"/>
  <c r="AC30" i="2" a="1"/>
  <c r="AC30" i="2" s="1"/>
  <c r="AB30" i="2" a="1"/>
  <c r="AB30" i="2" s="1"/>
  <c r="AA30" i="2" a="1"/>
  <c r="AA30" i="2" s="1"/>
  <c r="U30" i="2" a="1"/>
  <c r="U30" i="2" s="1"/>
  <c r="R30" i="2" a="1"/>
  <c r="R30" i="2" s="1"/>
  <c r="P30" i="2" a="1"/>
  <c r="P30" i="2" s="1"/>
  <c r="AD30" i="2" a="1"/>
  <c r="AD30" i="2" s="1"/>
  <c r="Z30" i="2" a="1"/>
  <c r="Z30" i="2" s="1"/>
  <c r="Y30" i="2" a="1"/>
  <c r="Y30" i="2" s="1"/>
  <c r="X30" i="2" a="1"/>
  <c r="X30" i="2" s="1"/>
  <c r="V30" i="2" a="1"/>
  <c r="V30" i="2" s="1"/>
  <c r="T30" i="2" a="1"/>
  <c r="T30" i="2" s="1"/>
  <c r="Q30" i="2" a="1"/>
  <c r="Q30" i="2" s="1"/>
  <c r="B32" i="2" l="1"/>
  <c r="AA31" i="2" a="1"/>
  <c r="AA31" i="2" s="1"/>
  <c r="X31" i="2" a="1"/>
  <c r="X31" i="2" s="1"/>
  <c r="W31" i="2" a="1"/>
  <c r="W31" i="2" s="1"/>
  <c r="AB31" i="2" a="1"/>
  <c r="AB31" i="2" s="1"/>
  <c r="AM31" i="2" a="1"/>
  <c r="AM31" i="2" s="1"/>
  <c r="N31" i="2" a="1"/>
  <c r="N31" i="2" s="1"/>
  <c r="AI31" i="2" a="1"/>
  <c r="AI31" i="2" s="1"/>
  <c r="K31" i="2" a="1"/>
  <c r="K31" i="2" s="1"/>
  <c r="AN31" i="2" a="1"/>
  <c r="AN31" i="2" s="1"/>
  <c r="J31" i="2" a="1"/>
  <c r="J31" i="2" s="1"/>
  <c r="AL31" i="2" a="1"/>
  <c r="AL31" i="2" s="1"/>
  <c r="AK31" i="2" a="1"/>
  <c r="AK31" i="2" s="1"/>
  <c r="I31" i="2" a="1"/>
  <c r="I31" i="2" s="1"/>
  <c r="AJ31" i="2" a="1"/>
  <c r="AJ31" i="2" s="1"/>
  <c r="H31" i="2" a="1"/>
  <c r="H31" i="2" s="1"/>
  <c r="AH31" i="2" a="1"/>
  <c r="AH31" i="2" s="1"/>
  <c r="G31" i="2" a="1"/>
  <c r="G31" i="2" s="1"/>
  <c r="D31" i="2" a="1"/>
  <c r="D31" i="2" s="1"/>
  <c r="AG31" i="2" a="1"/>
  <c r="AG31" i="2" s="1"/>
  <c r="F31" i="2" a="1"/>
  <c r="F31" i="2" s="1"/>
  <c r="E31" i="2" a="1"/>
  <c r="E31" i="2" s="1"/>
  <c r="AF31" i="2" a="1"/>
  <c r="AF31" i="2" s="1"/>
  <c r="AE31" i="2" a="1"/>
  <c r="AE31" i="2" s="1"/>
  <c r="C31" i="2" a="1"/>
  <c r="C31" i="2" s="1"/>
  <c r="AD31" i="2" a="1"/>
  <c r="AD31" i="2" s="1"/>
  <c r="AC31" i="2" a="1"/>
  <c r="AC31" i="2" s="1"/>
  <c r="Z31" i="2" a="1"/>
  <c r="Z31" i="2" s="1"/>
  <c r="V31" i="2" a="1"/>
  <c r="V31" i="2" s="1"/>
  <c r="U31" i="2" a="1"/>
  <c r="U31" i="2" s="1"/>
  <c r="T31" i="2" a="1"/>
  <c r="T31" i="2" s="1"/>
  <c r="Y31" i="2" a="1"/>
  <c r="Y31" i="2" s="1"/>
  <c r="Q31" i="2" a="1"/>
  <c r="Q31" i="2" s="1"/>
  <c r="S31" i="2" a="1"/>
  <c r="S31" i="2" s="1"/>
  <c r="P31" i="2" a="1"/>
  <c r="P31" i="2" s="1"/>
  <c r="R31" i="2" a="1"/>
  <c r="R31" i="2" s="1"/>
  <c r="O31" i="2" a="1"/>
  <c r="O31" i="2" s="1"/>
  <c r="M31" i="2" a="1"/>
  <c r="M31" i="2" s="1"/>
  <c r="L31" i="2" a="1"/>
  <c r="L31" i="2" s="1"/>
  <c r="B33" i="2" l="1"/>
  <c r="AN32" i="2" a="1"/>
  <c r="AN32" i="2" s="1"/>
  <c r="N32" i="2" a="1"/>
  <c r="N32" i="2" s="1"/>
  <c r="AJ32" i="2" a="1"/>
  <c r="AJ32" i="2" s="1"/>
  <c r="J32" i="2" a="1"/>
  <c r="J32" i="2" s="1"/>
  <c r="AI32" i="2" a="1"/>
  <c r="AI32" i="2" s="1"/>
  <c r="I32" i="2" a="1"/>
  <c r="I32" i="2" s="1"/>
  <c r="T32" i="2" a="1"/>
  <c r="T32" i="2" s="1"/>
  <c r="S32" i="2" a="1"/>
  <c r="S32" i="2" s="1"/>
  <c r="AD32" i="2" a="1"/>
  <c r="AD32" i="2" s="1"/>
  <c r="Z32" i="2" a="1"/>
  <c r="Z32" i="2" s="1"/>
  <c r="AL32" i="2" a="1"/>
  <c r="AL32" i="2" s="1"/>
  <c r="E32" i="2" a="1"/>
  <c r="E32" i="2" s="1"/>
  <c r="AK32" i="2" a="1"/>
  <c r="AK32" i="2" s="1"/>
  <c r="AH32" i="2" a="1"/>
  <c r="AH32" i="2" s="1"/>
  <c r="D32" i="2" a="1"/>
  <c r="D32" i="2" s="1"/>
  <c r="C32" i="2" a="1"/>
  <c r="C32" i="2" s="1"/>
  <c r="AG32" i="2" a="1"/>
  <c r="AG32" i="2" s="1"/>
  <c r="AF32" i="2" a="1"/>
  <c r="AF32" i="2" s="1"/>
  <c r="AE32" i="2" a="1"/>
  <c r="AE32" i="2" s="1"/>
  <c r="AC32" i="2" a="1"/>
  <c r="AC32" i="2" s="1"/>
  <c r="AB32" i="2" a="1"/>
  <c r="AB32" i="2" s="1"/>
  <c r="AA32" i="2" a="1"/>
  <c r="AA32" i="2" s="1"/>
  <c r="Y32" i="2" a="1"/>
  <c r="Y32" i="2" s="1"/>
  <c r="X32" i="2" a="1"/>
  <c r="X32" i="2" s="1"/>
  <c r="W32" i="2" a="1"/>
  <c r="W32" i="2" s="1"/>
  <c r="V32" i="2" a="1"/>
  <c r="V32" i="2" s="1"/>
  <c r="R32" i="2" a="1"/>
  <c r="R32" i="2" s="1"/>
  <c r="Q32" i="2" a="1"/>
  <c r="Q32" i="2" s="1"/>
  <c r="P32" i="2" a="1"/>
  <c r="P32" i="2" s="1"/>
  <c r="H32" i="2" a="1"/>
  <c r="H32" i="2" s="1"/>
  <c r="G32" i="2" a="1"/>
  <c r="G32" i="2" s="1"/>
  <c r="F32" i="2" a="1"/>
  <c r="F32" i="2" s="1"/>
  <c r="O32" i="2" a="1"/>
  <c r="O32" i="2" s="1"/>
  <c r="L32" i="2" a="1"/>
  <c r="L32" i="2" s="1"/>
  <c r="M32" i="2" a="1"/>
  <c r="M32" i="2" s="1"/>
  <c r="U32" i="2" a="1"/>
  <c r="U32" i="2" s="1"/>
  <c r="K32" i="2" a="1"/>
  <c r="K32" i="2" s="1"/>
  <c r="AM32" i="2" a="1"/>
  <c r="AM32" i="2" s="1"/>
  <c r="B34" i="2" l="1"/>
  <c r="AF33" i="2" a="1"/>
  <c r="AF33" i="2" s="1"/>
  <c r="AB33" i="2" a="1"/>
  <c r="AB33" i="2" s="1"/>
  <c r="AA33" i="2" a="1"/>
  <c r="AA33" i="2" s="1"/>
  <c r="M33" i="2" a="1"/>
  <c r="M33" i="2" s="1"/>
  <c r="L33" i="2" a="1"/>
  <c r="L33" i="2" s="1"/>
  <c r="Y33" i="2" a="1"/>
  <c r="Y33" i="2" s="1"/>
  <c r="U33" i="2" a="1"/>
  <c r="U33" i="2" s="1"/>
  <c r="AL33" i="2" a="1"/>
  <c r="AL33" i="2" s="1"/>
  <c r="AK33" i="2" a="1"/>
  <c r="AK33" i="2" s="1"/>
  <c r="D33" i="2" a="1"/>
  <c r="D33" i="2" s="1"/>
  <c r="C33" i="2" a="1"/>
  <c r="C33" i="2" s="1"/>
  <c r="AJ33" i="2" a="1"/>
  <c r="AJ33" i="2" s="1"/>
  <c r="AI33" i="2" a="1"/>
  <c r="AI33" i="2" s="1"/>
  <c r="AH33" i="2" a="1"/>
  <c r="AH33" i="2" s="1"/>
  <c r="AG33" i="2" a="1"/>
  <c r="AG33" i="2" s="1"/>
  <c r="AE33" i="2" a="1"/>
  <c r="AE33" i="2" s="1"/>
  <c r="AD33" i="2" a="1"/>
  <c r="AD33" i="2" s="1"/>
  <c r="AC33" i="2" a="1"/>
  <c r="AC33" i="2" s="1"/>
  <c r="Z33" i="2" a="1"/>
  <c r="Z33" i="2" s="1"/>
  <c r="X33" i="2" a="1"/>
  <c r="X33" i="2" s="1"/>
  <c r="W33" i="2" a="1"/>
  <c r="W33" i="2" s="1"/>
  <c r="V33" i="2" a="1"/>
  <c r="V33" i="2" s="1"/>
  <c r="T33" i="2" a="1"/>
  <c r="T33" i="2" s="1"/>
  <c r="Q33" i="2" a="1"/>
  <c r="Q33" i="2" s="1"/>
  <c r="P33" i="2" a="1"/>
  <c r="P33" i="2" s="1"/>
  <c r="O33" i="2" a="1"/>
  <c r="O33" i="2" s="1"/>
  <c r="AN33" i="2" a="1"/>
  <c r="AN33" i="2" s="1"/>
  <c r="AM33" i="2" a="1"/>
  <c r="AM33" i="2" s="1"/>
  <c r="S33" i="2" a="1"/>
  <c r="S33" i="2" s="1"/>
  <c r="R33" i="2" a="1"/>
  <c r="R33" i="2" s="1"/>
  <c r="N33" i="2" a="1"/>
  <c r="N33" i="2" s="1"/>
  <c r="K33" i="2" a="1"/>
  <c r="K33" i="2" s="1"/>
  <c r="J33" i="2" a="1"/>
  <c r="J33" i="2" s="1"/>
  <c r="I33" i="2" a="1"/>
  <c r="I33" i="2" s="1"/>
  <c r="H33" i="2" a="1"/>
  <c r="H33" i="2" s="1"/>
  <c r="G33" i="2" a="1"/>
  <c r="G33" i="2" s="1"/>
  <c r="F33" i="2" a="1"/>
  <c r="F33" i="2" s="1"/>
  <c r="E33" i="2" a="1"/>
  <c r="E33" i="2" s="1"/>
  <c r="AE34" i="2" l="1" a="1"/>
  <c r="AE34" i="2" s="1"/>
  <c r="X34" i="2" a="1"/>
  <c r="X34" i="2" s="1"/>
  <c r="T34" i="2" a="1"/>
  <c r="T34" i="2" s="1"/>
  <c r="S34" i="2" a="1"/>
  <c r="S34" i="2" s="1"/>
  <c r="AN34" i="2" a="1"/>
  <c r="AN34" i="2" s="1"/>
  <c r="H34" i="2" a="1"/>
  <c r="H34" i="2" s="1"/>
  <c r="AM34" i="2" a="1"/>
  <c r="AM34" i="2" s="1"/>
  <c r="G34" i="2" a="1"/>
  <c r="G34" i="2" s="1"/>
  <c r="V34" i="2" a="1"/>
  <c r="V34" i="2" s="1"/>
  <c r="P34" i="2" a="1"/>
  <c r="P34" i="2" s="1"/>
  <c r="AL34" i="2" a="1"/>
  <c r="AL34" i="2" s="1"/>
  <c r="AK34" i="2" a="1"/>
  <c r="AK34" i="2" s="1"/>
  <c r="AJ34" i="2" a="1"/>
  <c r="AJ34" i="2" s="1"/>
  <c r="D34" i="2" a="1"/>
  <c r="D34" i="2" s="1"/>
  <c r="C34" i="2" a="1"/>
  <c r="C34" i="2" s="1"/>
  <c r="AI34" i="2" a="1"/>
  <c r="AI34" i="2" s="1"/>
  <c r="AH34" i="2" a="1"/>
  <c r="AH34" i="2" s="1"/>
  <c r="AG34" i="2" a="1"/>
  <c r="AG34" i="2" s="1"/>
  <c r="AF34" i="2" a="1"/>
  <c r="AF34" i="2" s="1"/>
  <c r="AD34" i="2" a="1"/>
  <c r="AD34" i="2" s="1"/>
  <c r="AC34" i="2" a="1"/>
  <c r="AC34" i="2" s="1"/>
  <c r="AB34" i="2" a="1"/>
  <c r="AB34" i="2" s="1"/>
  <c r="AA34" i="2" a="1"/>
  <c r="AA34" i="2" s="1"/>
  <c r="Z34" i="2" a="1"/>
  <c r="Z34" i="2" s="1"/>
  <c r="Y34" i="2" a="1"/>
  <c r="Y34" i="2" s="1"/>
  <c r="W34" i="2" a="1"/>
  <c r="W34" i="2" s="1"/>
  <c r="Q34" i="2" a="1"/>
  <c r="Q34" i="2" s="1"/>
  <c r="O34" i="2" a="1"/>
  <c r="O34" i="2" s="1"/>
  <c r="N34" i="2" a="1"/>
  <c r="N34" i="2" s="1"/>
  <c r="U34" i="2" a="1"/>
  <c r="U34" i="2" s="1"/>
  <c r="R34" i="2" a="1"/>
  <c r="R34" i="2" s="1"/>
  <c r="M34" i="2" a="1"/>
  <c r="M34" i="2" s="1"/>
  <c r="L34" i="2" a="1"/>
  <c r="L34" i="2" s="1"/>
  <c r="K34" i="2" a="1"/>
  <c r="K34" i="2" s="1"/>
  <c r="J34" i="2" a="1"/>
  <c r="J34" i="2" s="1"/>
  <c r="I34" i="2" a="1"/>
  <c r="I34" i="2" s="1"/>
  <c r="F34" i="2" a="1"/>
  <c r="F34" i="2" s="1"/>
  <c r="E34" i="2" a="1"/>
  <c r="E3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<sst xmlns="http://schemas.openxmlformats.org/spreadsheetml/2006/main" count="56" uniqueCount="38">
  <si>
    <t>TWA/TWS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</si>
  <si>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</si>
  <si>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</si>
  <si>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</si>
  <si>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</si>
  <si>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</si>
  <si>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</si>
  <si>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</si>
  <si>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</si>
  <si>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</si>
  <si>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</si>
  <si>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</si>
  <si>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</si>
  <si>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</si>
  <si>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</si>
  <si>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</si>
  <si>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</si>
  <si>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</si>
  <si>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</si>
  <si>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</si>
  <si>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</si>
  <si>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</si>
  <si>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</si>
  <si>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</si>
  <si>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</si>
  <si>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</si>
  <si>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</si>
  <si>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</si>
  <si>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</si>
  <si>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</si>
  <si>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</si>
  <si>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</si>
  <si>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Degre -&gt; rad</t>
  </si>
  <si>
    <t>TWS - Rad</t>
  </si>
  <si>
    <t>x</t>
  </si>
  <si>
    <t>y</t>
  </si>
  <si>
    <t>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</si>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</sst>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 kt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Test!$C$4:$C$34</c:f>
              <c:numCache>
                <c:formatCode>General</c:formatCode>
                <c:ptCount val="31"/>
                <c:pt idx="0">
                  <c:v>0.40999999999999992</c:v>
                </c:pt>
                <c:pt idx="1">
                  <c:v>0.54489761453349372</c:v>
                </c:pt>
                <c:pt idx="2">
                  <c:v>0.70706637065519329</c:v>
                </c:pt>
                <c:pt idx="3">
                  <c:v>0.87681240867131882</c:v>
                </c:pt>
                <c:pt idx="4">
                  <c:v>1.0494808870729999</c:v>
                </c:pt>
                <c:pt idx="5">
                  <c:v>1.204153505104818</c:v>
                </c:pt>
                <c:pt idx="6">
                  <c:v>1.3423393758658799</c:v>
                </c:pt>
                <c:pt idx="7">
                  <c:v>1.4591555371290066</c:v>
                </c:pt>
                <c:pt idx="8">
                  <c:v>1.5504928242967486</c:v>
                </c:pt>
                <c:pt idx="9">
                  <c:v>1.613096129902744</c:v>
                </c:pt>
                <c:pt idx="10">
                  <c:v>1.6643251025906316</c:v>
                </c:pt>
                <c:pt idx="11">
                  <c:v>1.6736070927941324</c:v>
                </c:pt>
                <c:pt idx="12">
                  <c:v>1.66</c:v>
                </c:pt>
                <c:pt idx="13">
                  <c:v>1.6138354109086279</c:v>
                </c:pt>
                <c:pt idx="14">
                  <c:v>1.5461481722291666</c:v>
                </c:pt>
                <c:pt idx="15">
                  <c:v>1.4488887394336025</c:v>
                </c:pt>
                <c:pt idx="16">
                  <c:v>1.3437604477238489</c:v>
                </c:pt>
                <c:pt idx="17">
                  <c:v>1.2144524346291112</c:v>
                </c:pt>
                <c:pt idx="18">
                  <c:v>1.0911920087683928</c:v>
                </c:pt>
                <c:pt idx="19">
                  <c:v>0.96659941226101009</c:v>
                </c:pt>
                <c:pt idx="20">
                  <c:v>0.8503093318620657</c:v>
                </c:pt>
                <c:pt idx="21">
                  <c:v>0.74246212024587499</c:v>
                </c:pt>
                <c:pt idx="22">
                  <c:v>0.64921548578340482</c:v>
                </c:pt>
                <c:pt idx="23">
                  <c:v>0.56210490762402499</c:v>
                </c:pt>
                <c:pt idx="24">
                  <c:v>0.47999999999999993</c:v>
                </c:pt>
                <c:pt idx="25">
                  <c:v>0.39303498341885057</c:v>
                </c:pt>
                <c:pt idx="26">
                  <c:v>0.3146585318596154</c:v>
                </c:pt>
                <c:pt idx="27">
                  <c:v>0.23293714059226892</c:v>
                </c:pt>
                <c:pt idx="28">
                  <c:v>0.15454687812356796</c:v>
                </c:pt>
                <c:pt idx="29">
                  <c:v>7.7568611045415792E-2</c:v>
                </c:pt>
                <c:pt idx="30">
                  <c:v>1.0781306403195856E-16</c:v>
                </c:pt>
              </c:numCache>
            </c:numRef>
          </c:xVal>
          <c:yVal>
            <c:numRef>
              <c:f>Test!$D$4:$D$34</c:f>
              <c:numCache>
                <c:formatCode>General</c:formatCode>
                <c:ptCount val="31"/>
                <c:pt idx="0">
                  <c:v>0.71014083110323967</c:v>
                </c:pt>
                <c:pt idx="1">
                  <c:v>0.77819444207454214</c:v>
                </c:pt>
                <c:pt idx="2">
                  <c:v>0.84264888743087585</c:v>
                </c:pt>
                <c:pt idx="3">
                  <c:v>0.87681240867131893</c:v>
                </c:pt>
                <c:pt idx="4">
                  <c:v>0.88061902527055902</c:v>
                </c:pt>
                <c:pt idx="5">
                  <c:v>0.84315736143603781</c:v>
                </c:pt>
                <c:pt idx="6">
                  <c:v>0.77500000000000024</c:v>
                </c:pt>
                <c:pt idx="7">
                  <c:v>0.6804154014025261</c:v>
                </c:pt>
                <c:pt idx="8">
                  <c:v>0.56433323648735356</c:v>
                </c:pt>
                <c:pt idx="9">
                  <c:v>0.43222780532120963</c:v>
                </c:pt>
                <c:pt idx="10">
                  <c:v>0.29346542025711236</c:v>
                </c:pt>
                <c:pt idx="11">
                  <c:v>0.14642164781606568</c:v>
                </c:pt>
                <c:pt idx="12">
                  <c:v>1.0168732175741546E-16</c:v>
                </c:pt>
                <c:pt idx="13">
                  <c:v>-0.14119230325120635</c:v>
                </c:pt>
                <c:pt idx="14">
                  <c:v>-0.27262763893708059</c:v>
                </c:pt>
                <c:pt idx="15">
                  <c:v>-0.38822856765378128</c:v>
                </c:pt>
                <c:pt idx="16">
                  <c:v>-0.48908880495570622</c:v>
                </c:pt>
                <c:pt idx="17">
                  <c:v>-0.56630847073253709</c:v>
                </c:pt>
                <c:pt idx="18">
                  <c:v>-0.62999999999999967</c:v>
                </c:pt>
                <c:pt idx="19">
                  <c:v>-0.67682019489423439</c:v>
                </c:pt>
                <c:pt idx="20">
                  <c:v>-0.71349424675205875</c:v>
                </c:pt>
                <c:pt idx="21">
                  <c:v>-0.74246212024587488</c:v>
                </c:pt>
                <c:pt idx="22">
                  <c:v>-0.77370488755016764</c:v>
                </c:pt>
                <c:pt idx="23">
                  <c:v>-0.80276900340321211</c:v>
                </c:pt>
                <c:pt idx="24">
                  <c:v>-0.83138438763306111</c:v>
                </c:pt>
                <c:pt idx="25">
                  <c:v>-0.84286624194408444</c:v>
                </c:pt>
                <c:pt idx="26">
                  <c:v>-0.8645172111230357</c:v>
                </c:pt>
                <c:pt idx="27">
                  <c:v>-0.8693332436601614</c:v>
                </c:pt>
                <c:pt idx="28">
                  <c:v>-0.87647890018086516</c:v>
                </c:pt>
                <c:pt idx="29">
                  <c:v>-0.88661328130165351</c:v>
                </c:pt>
                <c:pt idx="30">
                  <c:v>-0.88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D5-4AFB-8B13-70479B74C49E}"/>
            </c:ext>
          </c:extLst>
        </c:ser>
        <c:ser>
          <c:idx val="1"/>
          <c:order val="1"/>
          <c:tx>
            <c:v>4 kt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Test!$E$4:$E$34</c:f>
              <c:numCache>
                <c:formatCode>General</c:formatCode>
                <c:ptCount val="31"/>
                <c:pt idx="0">
                  <c:v>0.82999999999999985</c:v>
                </c:pt>
                <c:pt idx="1">
                  <c:v>1.1070025221575188</c:v>
                </c:pt>
                <c:pt idx="2">
                  <c:v>1.4205606174072518</c:v>
                </c:pt>
                <c:pt idx="3">
                  <c:v>1.7677669529663687</c:v>
                </c:pt>
                <c:pt idx="4">
                  <c:v>2.1142826630083791</c:v>
                </c:pt>
                <c:pt idx="5">
                  <c:v>2.4410730919811954</c:v>
                </c:pt>
                <c:pt idx="6">
                  <c:v>2.7106595138452927</c:v>
                </c:pt>
                <c:pt idx="7">
                  <c:v>2.936437229998746</c:v>
                </c:pt>
                <c:pt idx="8">
                  <c:v>3.1291764272170748</c:v>
                </c:pt>
                <c:pt idx="9">
                  <c:v>3.2551700345941601</c:v>
                </c:pt>
                <c:pt idx="10">
                  <c:v>3.3483463602415071</c:v>
                </c:pt>
                <c:pt idx="11">
                  <c:v>3.3771000265310174</c:v>
                </c:pt>
                <c:pt idx="12">
                  <c:v>3.34</c:v>
                </c:pt>
                <c:pt idx="13">
                  <c:v>3.2475947157790901</c:v>
                </c:pt>
                <c:pt idx="14">
                  <c:v>3.1119924995185775</c:v>
                </c:pt>
                <c:pt idx="15">
                  <c:v>2.9170959953929865</c:v>
                </c:pt>
                <c:pt idx="16">
                  <c:v>2.706314747863416</c:v>
                </c:pt>
                <c:pt idx="17">
                  <c:v>2.4651571807396881</c:v>
                </c:pt>
                <c:pt idx="18">
                  <c:v>2.2083647796503185</c:v>
                </c:pt>
                <c:pt idx="19">
                  <c:v>1.9577733858506903</c:v>
                </c:pt>
                <c:pt idx="20">
                  <c:v>1.7235999970177005</c:v>
                </c:pt>
                <c:pt idx="21">
                  <c:v>1.5061374439273463</c:v>
                </c:pt>
                <c:pt idx="22">
                  <c:v>1.3177145998574058</c:v>
                </c:pt>
                <c:pt idx="23">
                  <c:v>1.135681343975071</c:v>
                </c:pt>
                <c:pt idx="24">
                  <c:v>0.96499999999999986</c:v>
                </c:pt>
                <c:pt idx="25">
                  <c:v>0.79874851468992203</c:v>
                </c:pt>
                <c:pt idx="26">
                  <c:v>0.6327372651524874</c:v>
                </c:pt>
                <c:pt idx="27">
                  <c:v>0.47363885253761345</c:v>
                </c:pt>
                <c:pt idx="28">
                  <c:v>0.31430320157714381</c:v>
                </c:pt>
                <c:pt idx="29">
                  <c:v>0.15600877951830816</c:v>
                </c:pt>
                <c:pt idx="30">
                  <c:v>2.1807642497373437E-16</c:v>
                </c:pt>
              </c:numCache>
            </c:numRef>
          </c:xVal>
          <c:yVal>
            <c:numRef>
              <c:f>Test!$F$4:$F$34</c:f>
              <c:numCache>
                <c:formatCode>General</c:formatCode>
                <c:ptCount val="31"/>
                <c:pt idx="0">
                  <c:v>1.4376021702821682</c:v>
                </c:pt>
                <c:pt idx="1">
                  <c:v>1.5809634454777541</c:v>
                </c:pt>
                <c:pt idx="2">
                  <c:v>1.6929582192929413</c:v>
                </c:pt>
                <c:pt idx="3">
                  <c:v>1.7677669529663689</c:v>
                </c:pt>
                <c:pt idx="4">
                  <c:v>1.7740938027348485</c:v>
                </c:pt>
                <c:pt idx="5">
                  <c:v>1.7092577803261175</c:v>
                </c:pt>
                <c:pt idx="6">
                  <c:v>1.5650000000000004</c:v>
                </c:pt>
                <c:pt idx="7">
                  <c:v>1.3692831680398663</c:v>
                </c:pt>
                <c:pt idx="8">
                  <c:v>1.1389270772744773</c:v>
                </c:pt>
                <c:pt idx="9">
                  <c:v>0.87222018199549489</c:v>
                </c:pt>
                <c:pt idx="10">
                  <c:v>0.59040380406756343</c:v>
                </c:pt>
                <c:pt idx="11">
                  <c:v>0.29545796791456108</c:v>
                </c:pt>
                <c:pt idx="12">
                  <c:v>2.0459979196973953E-16</c:v>
                </c:pt>
                <c:pt idx="13">
                  <c:v>-0.2841277213573658</c:v>
                </c:pt>
                <c:pt idx="14">
                  <c:v>-0.54872824142749976</c:v>
                </c:pt>
                <c:pt idx="15">
                  <c:v>-0.78163351620961297</c:v>
                </c:pt>
                <c:pt idx="16">
                  <c:v>-0.98501801277792589</c:v>
                </c:pt>
                <c:pt idx="17">
                  <c:v>-1.1495216719347023</c:v>
                </c:pt>
                <c:pt idx="18">
                  <c:v>-1.2749999999999992</c:v>
                </c:pt>
                <c:pt idx="19">
                  <c:v>-1.3708476828790004</c:v>
                </c:pt>
                <c:pt idx="20">
                  <c:v>-1.4462721217947136</c:v>
                </c:pt>
                <c:pt idx="21">
                  <c:v>-1.5061374439273461</c:v>
                </c:pt>
                <c:pt idx="22">
                  <c:v>-1.5703911083939046</c:v>
                </c:pt>
                <c:pt idx="23">
                  <c:v>-1.6219210476922039</c:v>
                </c:pt>
                <c:pt idx="24">
                  <c:v>-1.6714290293039666</c:v>
                </c:pt>
                <c:pt idx="25">
                  <c:v>-1.7129217174992684</c:v>
                </c:pt>
                <c:pt idx="26">
                  <c:v>-1.7384313484539304</c:v>
                </c:pt>
                <c:pt idx="27">
                  <c:v>-1.7676442621089949</c:v>
                </c:pt>
                <c:pt idx="28">
                  <c:v>-1.7825020329520966</c:v>
                </c:pt>
                <c:pt idx="29">
                  <c:v>-1.7831885095842246</c:v>
                </c:pt>
                <c:pt idx="30">
                  <c:v>-1.78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D5-4AFB-8B13-70479B74C49E}"/>
            </c:ext>
          </c:extLst>
        </c:ser>
        <c:ser>
          <c:idx val="3"/>
          <c:order val="2"/>
          <c:tx>
            <c:v>5 kt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Test!$G$4:$G$34</c:f>
              <c:numCache>
                <c:formatCode>General</c:formatCode>
                <c:ptCount val="31"/>
                <c:pt idx="0">
                  <c:v>1.0299999999999998</c:v>
                </c:pt>
                <c:pt idx="1">
                  <c:v>1.3765834472425105</c:v>
                </c:pt>
                <c:pt idx="2">
                  <c:v>1.7740938027348483</c:v>
                </c:pt>
                <c:pt idx="3">
                  <c:v>2.1991020894901627</c:v>
                </c:pt>
                <c:pt idx="4">
                  <c:v>2.6198719954669047</c:v>
                </c:pt>
                <c:pt idx="5">
                  <c:v>3.01447952298349</c:v>
                </c:pt>
                <c:pt idx="6">
                  <c:v>3.3515183126457773</c:v>
                </c:pt>
                <c:pt idx="7">
                  <c:v>3.6342942260169662</c:v>
                </c:pt>
                <c:pt idx="8">
                  <c:v>3.8621366714300835</c:v>
                </c:pt>
                <c:pt idx="9">
                  <c:v>4.0182514373625242</c:v>
                </c:pt>
                <c:pt idx="10">
                  <c:v>4.1263444851211517</c:v>
                </c:pt>
                <c:pt idx="11">
                  <c:v>4.1541318910425789</c:v>
                </c:pt>
                <c:pt idx="12">
                  <c:v>4.12</c:v>
                </c:pt>
                <c:pt idx="13">
                  <c:v>4.0146646333097351</c:v>
                </c:pt>
                <c:pt idx="14">
                  <c:v>3.8407502367476112</c:v>
                </c:pt>
                <c:pt idx="15">
                  <c:v>3.6125625903211156</c:v>
                </c:pt>
                <c:pt idx="16">
                  <c:v>3.354702656205693</c:v>
                </c:pt>
                <c:pt idx="17">
                  <c:v>3.0542572423135108</c:v>
                </c:pt>
                <c:pt idx="18">
                  <c:v>2.7366402759588264</c:v>
                </c:pt>
                <c:pt idx="19">
                  <c:v>2.4328815715383056</c:v>
                </c:pt>
                <c:pt idx="20">
                  <c:v>2.1525848851643281</c:v>
                </c:pt>
                <c:pt idx="21">
                  <c:v>1.8809040379562167</c:v>
                </c:pt>
                <c:pt idx="22">
                  <c:v>1.6455362807975411</c:v>
                </c:pt>
                <c:pt idx="23">
                  <c:v>1.4224695621505938</c:v>
                </c:pt>
                <c:pt idx="24">
                  <c:v>1.2099999999999997</c:v>
                </c:pt>
                <c:pt idx="25">
                  <c:v>0.99737909770805078</c:v>
                </c:pt>
                <c:pt idx="26">
                  <c:v>0.7934867325155518</c:v>
                </c:pt>
                <c:pt idx="27">
                  <c:v>0.59269561328477316</c:v>
                </c:pt>
                <c:pt idx="28">
                  <c:v>0.39244488152726237</c:v>
                </c:pt>
                <c:pt idx="29">
                  <c:v>0.19522886375475437</c:v>
                </c:pt>
                <c:pt idx="30">
                  <c:v>2.7320810544462227E-16</c:v>
                </c:pt>
              </c:numCache>
            </c:numRef>
          </c:xVal>
          <c:yVal>
            <c:numRef>
              <c:f>Test!$H$4:$H$35</c:f>
              <c:numCache>
                <c:formatCode>General</c:formatCode>
                <c:ptCount val="32"/>
                <c:pt idx="0">
                  <c:v>1.7840123317959438</c:v>
                </c:pt>
                <c:pt idx="1">
                  <c:v>1.9659649062935802</c:v>
                </c:pt>
                <c:pt idx="2">
                  <c:v>2.1142826630083791</c:v>
                </c:pt>
                <c:pt idx="3">
                  <c:v>2.1991020894901627</c:v>
                </c:pt>
                <c:pt idx="4">
                  <c:v>2.1983336251279644</c:v>
                </c:pt>
                <c:pt idx="5">
                  <c:v>2.1107612857718498</c:v>
                </c:pt>
                <c:pt idx="6">
                  <c:v>1.9350000000000005</c:v>
                </c:pt>
                <c:pt idx="7">
                  <c:v>1.6946992295802046</c:v>
                </c:pt>
                <c:pt idx="8">
                  <c:v>1.405702789068499</c:v>
                </c:pt>
                <c:pt idx="9">
                  <c:v>1.0766872276264863</c:v>
                </c:pt>
                <c:pt idx="10">
                  <c:v>0.72758586442443851</c:v>
                </c:pt>
                <c:pt idx="11">
                  <c:v>0.36343944725773442</c:v>
                </c:pt>
                <c:pt idx="12">
                  <c:v>2.5238058171117574E-16</c:v>
                </c:pt>
                <c:pt idx="13">
                  <c:v>-0.35123764327306273</c:v>
                </c:pt>
                <c:pt idx="14">
                  <c:v>-0.67722789290102814</c:v>
                </c:pt>
                <c:pt idx="15">
                  <c:v>-0.96798322868342801</c:v>
                </c:pt>
                <c:pt idx="16">
                  <c:v>-1.2210119116726372</c:v>
                </c:pt>
                <c:pt idx="17">
                  <c:v>-1.4242235420661569</c:v>
                </c:pt>
                <c:pt idx="18">
                  <c:v>-1.5799999999999994</c:v>
                </c:pt>
                <c:pt idx="19">
                  <c:v>-1.7035220159626072</c:v>
                </c:pt>
                <c:pt idx="20">
                  <c:v>-1.8062331832191756</c:v>
                </c:pt>
                <c:pt idx="21">
                  <c:v>-1.8809040379562163</c:v>
                </c:pt>
                <c:pt idx="22">
                  <c:v>-1.9610737743845834</c:v>
                </c:pt>
                <c:pt idx="23">
                  <c:v>-2.0314970698366999</c:v>
                </c:pt>
                <c:pt idx="24">
                  <c:v>-2.0957814771583414</c:v>
                </c:pt>
                <c:pt idx="25">
                  <c:v>-2.1388863774064939</c:v>
                </c:pt>
                <c:pt idx="26">
                  <c:v>-2.1800868802233073</c:v>
                </c:pt>
                <c:pt idx="27">
                  <c:v>-2.2119701422019662</c:v>
                </c:pt>
                <c:pt idx="28">
                  <c:v>-2.2256655218075898</c:v>
                </c:pt>
                <c:pt idx="29">
                  <c:v>-2.2314761237255101</c:v>
                </c:pt>
                <c:pt idx="30">
                  <c:v>-2.23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CD5-4AFB-8B13-70479B74C49E}"/>
            </c:ext>
          </c:extLst>
        </c:ser>
        <c:ser>
          <c:idx val="4"/>
          <c:order val="3"/>
          <c:tx>
            <c:v>6 kt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Test!$I$4:$I$34</c:f>
              <c:numCache>
                <c:formatCode>General</c:formatCode>
                <c:ptCount val="31"/>
                <c:pt idx="0">
                  <c:v>1.2149999999999999</c:v>
                </c:pt>
                <c:pt idx="1">
                  <c:v>1.6289570792369708</c:v>
                </c:pt>
                <c:pt idx="2">
                  <c:v>2.0954876075781179</c:v>
                </c:pt>
                <c:pt idx="3">
                  <c:v>2.5950818869546293</c:v>
                </c:pt>
                <c:pt idx="4">
                  <c:v>3.0794986613382913</c:v>
                </c:pt>
                <c:pt idx="5">
                  <c:v>3.5387368313284449</c:v>
                </c:pt>
                <c:pt idx="6">
                  <c:v>3.9230950791435069</c:v>
                </c:pt>
                <c:pt idx="7">
                  <c:v>4.2415204433315212</c:v>
                </c:pt>
                <c:pt idx="8">
                  <c:v>4.5011276535645006</c:v>
                </c:pt>
                <c:pt idx="9">
                  <c:v>4.6847402575019812</c:v>
                </c:pt>
                <c:pt idx="10">
                  <c:v>4.8058618346995754</c:v>
                </c:pt>
                <c:pt idx="11">
                  <c:v>4.8514681797068011</c:v>
                </c:pt>
                <c:pt idx="12">
                  <c:v>4.8099999999999996</c:v>
                </c:pt>
                <c:pt idx="13">
                  <c:v>4.6920770280121218</c:v>
                </c:pt>
                <c:pt idx="14">
                  <c:v>4.4907233537356683</c:v>
                </c:pt>
                <c:pt idx="15">
                  <c:v>4.2404143774090093</c:v>
                </c:pt>
                <c:pt idx="16">
                  <c:v>3.9373120810929567</c:v>
                </c:pt>
                <c:pt idx="17">
                  <c:v>3.5980419145355009</c:v>
                </c:pt>
                <c:pt idx="18">
                  <c:v>3.247595264191645</c:v>
                </c:pt>
                <c:pt idx="19">
                  <c:v>2.8916067163401404</c:v>
                </c:pt>
                <c:pt idx="20">
                  <c:v>2.5662488844485765</c:v>
                </c:pt>
                <c:pt idx="21">
                  <c:v>2.2485995641732215</c:v>
                </c:pt>
                <c:pt idx="22">
                  <c:v>1.9669300856408107</c:v>
                </c:pt>
                <c:pt idx="23">
                  <c:v>1.7035220159626066</c:v>
                </c:pt>
                <c:pt idx="24">
                  <c:v>1.4499999999999997</c:v>
                </c:pt>
                <c:pt idx="25">
                  <c:v>1.1960096807261795</c:v>
                </c:pt>
                <c:pt idx="26">
                  <c:v>0.95081599844535947</c:v>
                </c:pt>
                <c:pt idx="27">
                  <c:v>0.7091641835809076</c:v>
                </c:pt>
                <c:pt idx="28">
                  <c:v>0.47232304325405039</c:v>
                </c:pt>
                <c:pt idx="29">
                  <c:v>0.23444894799120053</c:v>
                </c:pt>
                <c:pt idx="30">
                  <c:v>3.2711463746060153E-16</c:v>
                </c:pt>
              </c:numCache>
            </c:numRef>
          </c:xVal>
          <c:yVal>
            <c:numRef>
              <c:f>Test!$J$4:$J$34</c:f>
              <c:numCache>
                <c:formatCode>General</c:formatCode>
                <c:ptCount val="31"/>
                <c:pt idx="0">
                  <c:v>2.1044417311961863</c:v>
                </c:pt>
                <c:pt idx="1">
                  <c:v>2.3263918057807365</c:v>
                </c:pt>
                <c:pt idx="2">
                  <c:v>2.497304884567868</c:v>
                </c:pt>
                <c:pt idx="3">
                  <c:v>2.5950818869546297</c:v>
                </c:pt>
                <c:pt idx="4">
                  <c:v>2.5840061909398879</c:v>
                </c:pt>
                <c:pt idx="5">
                  <c:v>2.4778502050365194</c:v>
                </c:pt>
                <c:pt idx="6">
                  <c:v>2.2650000000000006</c:v>
                </c:pt>
                <c:pt idx="7">
                  <c:v>1.9778534649464732</c:v>
                </c:pt>
                <c:pt idx="8">
                  <c:v>1.6382764865299537</c:v>
                </c:pt>
                <c:pt idx="9">
                  <c:v>1.2552723687472256</c:v>
                </c:pt>
                <c:pt idx="10">
                  <c:v>0.8474031070146204</c:v>
                </c:pt>
                <c:pt idx="11">
                  <c:v>0.42444846718109513</c:v>
                </c:pt>
                <c:pt idx="12">
                  <c:v>2.9464820340552307E-16</c:v>
                </c:pt>
                <c:pt idx="13">
                  <c:v>-0.41050354834147029</c:v>
                </c:pt>
                <c:pt idx="14">
                  <c:v>-0.79183569016120214</c:v>
                </c:pt>
                <c:pt idx="15">
                  <c:v>-1.1362156080000665</c:v>
                </c:pt>
                <c:pt idx="16">
                  <c:v>-1.4330644005345521</c:v>
                </c:pt>
                <c:pt idx="17">
                  <c:v>-1.6777944991105764</c:v>
                </c:pt>
                <c:pt idx="18">
                  <c:v>-1.8749999999999991</c:v>
                </c:pt>
                <c:pt idx="19">
                  <c:v>-2.024724820319193</c:v>
                </c:pt>
                <c:pt idx="20">
                  <c:v>-2.1533384924499068</c:v>
                </c:pt>
                <c:pt idx="21">
                  <c:v>-2.248599564173221</c:v>
                </c:pt>
                <c:pt idx="22">
                  <c:v>-2.3440959959440724</c:v>
                </c:pt>
                <c:pt idx="23">
                  <c:v>-2.4328815715383061</c:v>
                </c:pt>
                <c:pt idx="24">
                  <c:v>-2.5114736709748722</c:v>
                </c:pt>
                <c:pt idx="25">
                  <c:v>-2.5648510373137192</c:v>
                </c:pt>
                <c:pt idx="26">
                  <c:v>-2.6123454857848247</c:v>
                </c:pt>
                <c:pt idx="27">
                  <c:v>-2.646636764032047</c:v>
                </c:pt>
                <c:pt idx="28">
                  <c:v>-2.678677088193206</c:v>
                </c:pt>
                <c:pt idx="29">
                  <c:v>-2.6797637378667956</c:v>
                </c:pt>
                <c:pt idx="30">
                  <c:v>-2.67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CD5-4AFB-8B13-70479B74C49E}"/>
            </c:ext>
          </c:extLst>
        </c:ser>
        <c:ser>
          <c:idx val="5"/>
          <c:order val="4"/>
          <c:tx>
            <c:v>7 kt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Test!$K$4:$K$34</c:f>
              <c:numCache>
                <c:formatCode>General</c:formatCode>
                <c:ptCount val="31"/>
                <c:pt idx="0">
                  <c:v>1.3699999999999999</c:v>
                </c:pt>
                <c:pt idx="1">
                  <c:v>1.8469161250503683</c:v>
                </c:pt>
                <c:pt idx="2">
                  <c:v>2.3783141558401955</c:v>
                </c:pt>
                <c:pt idx="3">
                  <c:v>2.9344931419241722</c:v>
                </c:pt>
                <c:pt idx="4">
                  <c:v>3.4701813273289708</c:v>
                </c:pt>
                <c:pt idx="5">
                  <c:v>3.9646958943587203</c:v>
                </c:pt>
                <c:pt idx="6">
                  <c:v>4.3734282891114145</c:v>
                </c:pt>
                <c:pt idx="7">
                  <c:v>4.721863570460946</c:v>
                </c:pt>
                <c:pt idx="8">
                  <c:v>4.9897678163731731</c:v>
                </c:pt>
                <c:pt idx="9">
                  <c:v>5.1966809454351877</c:v>
                </c:pt>
                <c:pt idx="10">
                  <c:v>5.3179618662659234</c:v>
                </c:pt>
                <c:pt idx="11">
                  <c:v>5.3694894227145085</c:v>
                </c:pt>
                <c:pt idx="12">
                  <c:v>5.34</c:v>
                </c:pt>
                <c:pt idx="13">
                  <c:v>5.21009827101983</c:v>
                </c:pt>
                <c:pt idx="14">
                  <c:v>5.0126714628321389</c:v>
                </c:pt>
                <c:pt idx="15">
                  <c:v>4.7426958070793255</c:v>
                </c:pt>
                <c:pt idx="16">
                  <c:v>4.4353491701094878</c:v>
                </c:pt>
                <c:pt idx="17">
                  <c:v>4.0693219637945592</c:v>
                </c:pt>
                <c:pt idx="18">
                  <c:v>3.6979284741595531</c:v>
                </c:pt>
                <c:pt idx="19">
                  <c:v>3.3175657793704163</c:v>
                </c:pt>
                <c:pt idx="20">
                  <c:v>2.9492711060080654</c:v>
                </c:pt>
                <c:pt idx="21">
                  <c:v>2.602152954766495</c:v>
                </c:pt>
                <c:pt idx="22">
                  <c:v>2.2883238904840804</c:v>
                </c:pt>
                <c:pt idx="23">
                  <c:v>1.9845744697746188</c:v>
                </c:pt>
                <c:pt idx="24">
                  <c:v>1.6849999999999998</c:v>
                </c:pt>
                <c:pt idx="25">
                  <c:v>1.3946402637443083</c:v>
                </c:pt>
                <c:pt idx="26">
                  <c:v>1.1081452643751672</c:v>
                </c:pt>
                <c:pt idx="27">
                  <c:v>0.82822094432806725</c:v>
                </c:pt>
                <c:pt idx="28">
                  <c:v>0.54872824142749965</c:v>
                </c:pt>
                <c:pt idx="29">
                  <c:v>0.27279747480017014</c:v>
                </c:pt>
                <c:pt idx="30">
                  <c:v>3.8102116947658079E-16</c:v>
                </c:pt>
              </c:numCache>
            </c:numRef>
          </c:xVal>
          <c:yVal>
            <c:numRef>
              <c:f>Test!$L$4:$L$34</c:f>
              <c:numCache>
                <c:formatCode>General</c:formatCode>
                <c:ptCount val="31"/>
                <c:pt idx="0">
                  <c:v>2.3729096063693622</c:v>
                </c:pt>
                <c:pt idx="1">
                  <c:v>2.6376695826105538</c:v>
                </c:pt>
                <c:pt idx="2">
                  <c:v>2.8343644395402188</c:v>
                </c:pt>
                <c:pt idx="3">
                  <c:v>2.9344931419241727</c:v>
                </c:pt>
                <c:pt idx="4">
                  <c:v>2.9118278718800235</c:v>
                </c:pt>
                <c:pt idx="5">
                  <c:v>2.7761099519390635</c:v>
                </c:pt>
                <c:pt idx="6">
                  <c:v>2.5250000000000004</c:v>
                </c:pt>
                <c:pt idx="7">
                  <c:v>2.2018411436690442</c:v>
                </c:pt>
                <c:pt idx="8">
                  <c:v>1.8161269610593014</c:v>
                </c:pt>
                <c:pt idx="9">
                  <c:v>1.3924464626515616</c:v>
                </c:pt>
                <c:pt idx="10">
                  <c:v>0.93770015940142426</c:v>
                </c:pt>
                <c:pt idx="11">
                  <c:v>0.46976945340987736</c:v>
                </c:pt>
                <c:pt idx="12">
                  <c:v>3.2711463746060153E-16</c:v>
                </c:pt>
                <c:pt idx="13">
                  <c:v>-0.45582453457025263</c:v>
                </c:pt>
                <c:pt idx="14">
                  <c:v>-0.88386922432467518</c:v>
                </c:pt>
                <c:pt idx="15">
                  <c:v>-1.2708015114533775</c:v>
                </c:pt>
                <c:pt idx="16">
                  <c:v>-1.6143350764971562</c:v>
                </c:pt>
                <c:pt idx="17">
                  <c:v>-1.8975559952157401</c:v>
                </c:pt>
                <c:pt idx="18">
                  <c:v>-2.1349999999999989</c:v>
                </c:pt>
                <c:pt idx="19">
                  <c:v>-2.3229845672217366</c:v>
                </c:pt>
                <c:pt idx="20">
                  <c:v>-2.4747322972931767</c:v>
                </c:pt>
                <c:pt idx="21">
                  <c:v>-2.6021529547664946</c:v>
                </c:pt>
                <c:pt idx="22">
                  <c:v>-2.7271182175035613</c:v>
                </c:pt>
                <c:pt idx="23">
                  <c:v>-2.8342660732399119</c:v>
                </c:pt>
                <c:pt idx="24">
                  <c:v>-2.9185056107535585</c:v>
                </c:pt>
                <c:pt idx="25">
                  <c:v>-2.9908156972209445</c:v>
                </c:pt>
                <c:pt idx="26">
                  <c:v>-3.044604091346343</c:v>
                </c:pt>
                <c:pt idx="27">
                  <c:v>-3.0909626441250184</c:v>
                </c:pt>
                <c:pt idx="28">
                  <c:v>-3.1119924995185775</c:v>
                </c:pt>
                <c:pt idx="29">
                  <c:v>-3.1180894050271633</c:v>
                </c:pt>
                <c:pt idx="30">
                  <c:v>-3.11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CD5-4AFB-8B13-70479B74C49E}"/>
            </c:ext>
          </c:extLst>
        </c:ser>
        <c:ser>
          <c:idx val="6"/>
          <c:order val="5"/>
          <c:tx>
            <c:v>8 kt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Test!$M$4:$M$34</c:f>
              <c:numCache>
                <c:formatCode>General</c:formatCode>
                <c:ptCount val="31"/>
                <c:pt idx="0">
                  <c:v>1.5149999999999997</c:v>
                </c:pt>
                <c:pt idx="1">
                  <c:v>2.0419321134097239</c:v>
                </c:pt>
                <c:pt idx="2">
                  <c:v>2.6354291997148107</c:v>
                </c:pt>
                <c:pt idx="3">
                  <c:v>3.2385490578343874</c:v>
                </c:pt>
                <c:pt idx="4">
                  <c:v>3.799580437870131</c:v>
                </c:pt>
                <c:pt idx="5">
                  <c:v>4.3251227938458765</c:v>
                </c:pt>
                <c:pt idx="6">
                  <c:v>4.7544794667765684</c:v>
                </c:pt>
                <c:pt idx="7">
                  <c:v>5.1206389967570729</c:v>
                </c:pt>
                <c:pt idx="8">
                  <c:v>5.4032325695189725</c:v>
                </c:pt>
                <c:pt idx="9">
                  <c:v>5.6216883090023781</c:v>
                </c:pt>
                <c:pt idx="10">
                  <c:v>5.7512772775912948</c:v>
                </c:pt>
                <c:pt idx="11">
                  <c:v>5.7978531428939597</c:v>
                </c:pt>
                <c:pt idx="12">
                  <c:v>5.78</c:v>
                </c:pt>
                <c:pt idx="13">
                  <c:v>5.6484239381801968</c:v>
                </c:pt>
                <c:pt idx="14">
                  <c:v>5.4459868741575104</c:v>
                </c:pt>
                <c:pt idx="15">
                  <c:v>5.1773624289094062</c:v>
                </c:pt>
                <c:pt idx="16">
                  <c:v>4.8582108494631466</c:v>
                </c:pt>
                <c:pt idx="17">
                  <c:v>4.4952866237017846</c:v>
                </c:pt>
                <c:pt idx="18">
                  <c:v>4.1049604139382394</c:v>
                </c:pt>
                <c:pt idx="19">
                  <c:v>3.7107587606291323</c:v>
                </c:pt>
                <c:pt idx="20">
                  <c:v>3.3169724387051747</c:v>
                </c:pt>
                <c:pt idx="21">
                  <c:v>2.9344931419241727</c:v>
                </c:pt>
                <c:pt idx="22">
                  <c:v>2.5840061909398884</c:v>
                </c:pt>
                <c:pt idx="23">
                  <c:v>2.2484196304960999</c:v>
                </c:pt>
                <c:pt idx="24">
                  <c:v>1.9149999999999998</c:v>
                </c:pt>
                <c:pt idx="25">
                  <c:v>1.5848184815276232</c:v>
                </c:pt>
                <c:pt idx="26">
                  <c:v>1.2620543288717181</c:v>
                </c:pt>
                <c:pt idx="27">
                  <c:v>0.94210132417317649</c:v>
                </c:pt>
                <c:pt idx="28">
                  <c:v>0.62513343960094903</c:v>
                </c:pt>
                <c:pt idx="29">
                  <c:v>0.31114600160913974</c:v>
                </c:pt>
                <c:pt idx="30">
                  <c:v>4.3370255303765146E-16</c:v>
                </c:pt>
              </c:numCache>
            </c:numRef>
          </c:xVal>
          <c:yVal>
            <c:numRef>
              <c:f>Test!$N$4:$N$34</c:f>
              <c:numCache>
                <c:formatCode>General</c:formatCode>
                <c:ptCount val="31"/>
                <c:pt idx="0">
                  <c:v>2.6240569734668493</c:v>
                </c:pt>
                <c:pt idx="1">
                  <c:v>2.916181277668811</c:v>
                </c:pt>
                <c:pt idx="2">
                  <c:v>3.1407822167878097</c:v>
                </c:pt>
                <c:pt idx="3">
                  <c:v>3.2385490578343878</c:v>
                </c:pt>
                <c:pt idx="4">
                  <c:v>3.1882265440452353</c:v>
                </c:pt>
                <c:pt idx="5">
                  <c:v>3.0284835839335238</c:v>
                </c:pt>
                <c:pt idx="6">
                  <c:v>2.7450000000000006</c:v>
                </c:pt>
                <c:pt idx="7">
                  <c:v>2.387793178834952</c:v>
                </c:pt>
                <c:pt idx="8">
                  <c:v>1.9666158241225957</c:v>
                </c:pt>
                <c:pt idx="9">
                  <c:v>1.5063268424966707</c:v>
                </c:pt>
                <c:pt idx="10">
                  <c:v>1.0141053575748735</c:v>
                </c:pt>
                <c:pt idx="11">
                  <c:v>0.50724642279137044</c:v>
                </c:pt>
                <c:pt idx="12">
                  <c:v>3.5406790346859121E-16</c:v>
                </c:pt>
                <c:pt idx="13">
                  <c:v>-0.49417306137922218</c:v>
                </c:pt>
                <c:pt idx="14">
                  <c:v>-0.96027442249812467</c:v>
                </c:pt>
                <c:pt idx="15">
                  <c:v>-1.3872700817495118</c:v>
                </c:pt>
                <c:pt idx="16">
                  <c:v>-1.7682441409937073</c:v>
                </c:pt>
                <c:pt idx="17">
                  <c:v>-2.0961865782338687</c:v>
                </c:pt>
                <c:pt idx="18">
                  <c:v>-2.3699999999999992</c:v>
                </c:pt>
                <c:pt idx="19">
                  <c:v>-2.598301256670239</c:v>
                </c:pt>
                <c:pt idx="20">
                  <c:v>-2.7832703499427156</c:v>
                </c:pt>
                <c:pt idx="21">
                  <c:v>-2.9344931419241722</c:v>
                </c:pt>
                <c:pt idx="22">
                  <c:v>-3.0794986613382909</c:v>
                </c:pt>
                <c:pt idx="23">
                  <c:v>-3.2110760136128484</c:v>
                </c:pt>
                <c:pt idx="24">
                  <c:v>-3.3168772964944004</c:v>
                </c:pt>
                <c:pt idx="25">
                  <c:v>-3.3986542013874375</c:v>
                </c:pt>
                <c:pt idx="26">
                  <c:v>-3.4674657707000018</c:v>
                </c:pt>
                <c:pt idx="27">
                  <c:v>-3.5159700076922085</c:v>
                </c:pt>
                <c:pt idx="28">
                  <c:v>-3.5453079108439489</c:v>
                </c:pt>
                <c:pt idx="29">
                  <c:v>-3.5564150721875314</c:v>
                </c:pt>
                <c:pt idx="30">
                  <c:v>-3.54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CD5-4AFB-8B13-70479B74C49E}"/>
            </c:ext>
          </c:extLst>
        </c:ser>
        <c:ser>
          <c:idx val="16"/>
          <c:order val="6"/>
          <c:tx>
            <c:v>9 kt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Test!$O$4:$O$34</c:f>
              <c:numCache>
                <c:formatCode>General</c:formatCode>
                <c:ptCount val="31"/>
                <c:pt idx="0">
                  <c:v>1.6449999999999998</c:v>
                </c:pt>
                <c:pt idx="1">
                  <c:v>2.2254765730420587</c:v>
                </c:pt>
                <c:pt idx="2">
                  <c:v>2.8604048631050998</c:v>
                </c:pt>
                <c:pt idx="3">
                  <c:v>3.50017856687341</c:v>
                </c:pt>
                <c:pt idx="4">
                  <c:v>4.0983377706865323</c:v>
                </c:pt>
                <c:pt idx="5">
                  <c:v>4.6364005706756934</c:v>
                </c:pt>
                <c:pt idx="6">
                  <c:v>5.0922293742524989</c:v>
                </c:pt>
                <c:pt idx="7">
                  <c:v>5.474099033701366</c:v>
                </c:pt>
                <c:pt idx="8">
                  <c:v>5.7791096178333365</c:v>
                </c:pt>
                <c:pt idx="9">
                  <c:v>6.0080586395180049</c:v>
                </c:pt>
                <c:pt idx="10">
                  <c:v>6.1452003787961784</c:v>
                </c:pt>
                <c:pt idx="11">
                  <c:v>6.2062929691115754</c:v>
                </c:pt>
                <c:pt idx="12">
                  <c:v>6.17</c:v>
                </c:pt>
                <c:pt idx="13">
                  <c:v>6.046901817416896</c:v>
                </c:pt>
                <c:pt idx="14">
                  <c:v>5.8300618978322714</c:v>
                </c:pt>
                <c:pt idx="15">
                  <c:v>5.563732759425033</c:v>
                </c:pt>
                <c:pt idx="16">
                  <c:v>5.2340878977775098</c:v>
                </c:pt>
                <c:pt idx="17">
                  <c:v>4.8668728163868105</c:v>
                </c:pt>
                <c:pt idx="18">
                  <c:v>4.4686910835277036</c:v>
                </c:pt>
                <c:pt idx="19">
                  <c:v>4.0548026192305091</c:v>
                </c:pt>
                <c:pt idx="20">
                  <c:v>3.6463715492463353</c:v>
                </c:pt>
                <c:pt idx="21">
                  <c:v>3.2456201256462531</c:v>
                </c:pt>
                <c:pt idx="22">
                  <c:v>2.8668327392019659</c:v>
                </c:pt>
                <c:pt idx="23">
                  <c:v>2.4950574981270495</c:v>
                </c:pt>
                <c:pt idx="24">
                  <c:v>2.1299999999999994</c:v>
                </c:pt>
                <c:pt idx="25">
                  <c:v>1.7665443340761238</c:v>
                </c:pt>
                <c:pt idx="26">
                  <c:v>1.4091229905017557</c:v>
                </c:pt>
                <c:pt idx="27">
                  <c:v>1.0533935135672605</c:v>
                </c:pt>
                <c:pt idx="28">
                  <c:v>0.69806567422105958</c:v>
                </c:pt>
                <c:pt idx="29">
                  <c:v>0.3477514135631562</c:v>
                </c:pt>
                <c:pt idx="30">
                  <c:v>4.8515878814381354E-16</c:v>
                </c:pt>
              </c:numCache>
            </c:numRef>
          </c:xVal>
          <c:yVal>
            <c:numRef>
              <c:f>Test!$P$4:$P$34</c:f>
              <c:numCache>
                <c:formatCode>General</c:formatCode>
                <c:ptCount val="31"/>
                <c:pt idx="0">
                  <c:v>2.8492235784508035</c:v>
                </c:pt>
                <c:pt idx="1">
                  <c:v>3.1783099318412882</c:v>
                </c:pt>
                <c:pt idx="2">
                  <c:v>3.4088977718794524</c:v>
                </c:pt>
                <c:pt idx="3">
                  <c:v>3.5001785668734104</c:v>
                </c:pt>
                <c:pt idx="4">
                  <c:v>3.4389137118229853</c:v>
                </c:pt>
                <c:pt idx="5">
                  <c:v>3.2464426297469213</c:v>
                </c:pt>
                <c:pt idx="6">
                  <c:v>2.9400000000000004</c:v>
                </c:pt>
                <c:pt idx="7">
                  <c:v>2.5526143009138247</c:v>
                </c:pt>
                <c:pt idx="8">
                  <c:v>2.1034238814528634</c:v>
                </c:pt>
                <c:pt idx="9">
                  <c:v>1.609854460537679</c:v>
                </c:pt>
                <c:pt idx="10">
                  <c:v>1.0835646286416458</c:v>
                </c:pt>
                <c:pt idx="11">
                  <c:v>0.54298027731791021</c:v>
                </c:pt>
                <c:pt idx="12">
                  <c:v>3.7795829833930929E-16</c:v>
                </c:pt>
                <c:pt idx="13">
                  <c:v>-0.52903535847828553</c:v>
                </c:pt>
                <c:pt idx="14">
                  <c:v>-1.0279972117882274</c:v>
                </c:pt>
                <c:pt idx="15">
                  <c:v>-1.4907976997905201</c:v>
                </c:pt>
                <c:pt idx="16">
                  <c:v>-1.9050521983239748</c:v>
                </c:pt>
                <c:pt idx="17">
                  <c:v>-2.2694600655475554</c:v>
                </c:pt>
                <c:pt idx="18">
                  <c:v>-2.5799999999999987</c:v>
                </c:pt>
                <c:pt idx="19">
                  <c:v>-2.8392033599376787</c:v>
                </c:pt>
                <c:pt idx="20">
                  <c:v>-3.059669022107927</c:v>
                </c:pt>
                <c:pt idx="21">
                  <c:v>-3.2456201256462527</c:v>
                </c:pt>
                <c:pt idx="22">
                  <c:v>-3.4165582163106416</c:v>
                </c:pt>
                <c:pt idx="23">
                  <c:v>-3.5633113926571145</c:v>
                </c:pt>
                <c:pt idx="24">
                  <c:v>-3.6892682201217086</c:v>
                </c:pt>
                <c:pt idx="25">
                  <c:v>-3.7883665498131966</c:v>
                </c:pt>
                <c:pt idx="26">
                  <c:v>-3.8715335976379426</c:v>
                </c:pt>
                <c:pt idx="27">
                  <c:v>-3.9313181129965078</c:v>
                </c:pt>
                <c:pt idx="28">
                  <c:v>-3.958927167109076</c:v>
                </c:pt>
                <c:pt idx="29">
                  <c:v>-3.9748168453860648</c:v>
                </c:pt>
                <c:pt idx="30">
                  <c:v>-3.96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7CD5-4AFB-8B13-70479B74C49E}"/>
            </c:ext>
          </c:extLst>
        </c:ser>
        <c:ser>
          <c:idx val="17"/>
          <c:order val="7"/>
          <c:tx>
            <c:v>10 kt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Test!$Q$4:$Q$34</c:f>
              <c:numCache>
                <c:formatCode>General</c:formatCode>
                <c:ptCount val="31"/>
                <c:pt idx="0">
                  <c:v>1.7699999999999998</c:v>
                </c:pt>
                <c:pt idx="1">
                  <c:v>2.3803422108568415</c:v>
                </c:pt>
                <c:pt idx="2">
                  <c:v>3.0532411460110613</c:v>
                </c:pt>
                <c:pt idx="3">
                  <c:v>3.7335238046649706</c:v>
                </c:pt>
                <c:pt idx="4">
                  <c:v>4.3511324369157949</c:v>
                </c:pt>
                <c:pt idx="5">
                  <c:v>4.9231037861768403</c:v>
                </c:pt>
                <c:pt idx="6">
                  <c:v>5.3953382655770525</c:v>
                </c:pt>
                <c:pt idx="7">
                  <c:v>5.7913067591641925</c:v>
                </c:pt>
                <c:pt idx="8">
                  <c:v>6.1173989613162627</c:v>
                </c:pt>
                <c:pt idx="9">
                  <c:v>6.3557919369820697</c:v>
                </c:pt>
                <c:pt idx="10">
                  <c:v>6.4997311698805724</c:v>
                </c:pt>
                <c:pt idx="11">
                  <c:v>6.554961113443686</c:v>
                </c:pt>
                <c:pt idx="12">
                  <c:v>6.53</c:v>
                </c:pt>
                <c:pt idx="13">
                  <c:v>6.3955699617490067</c:v>
                </c:pt>
                <c:pt idx="14">
                  <c:v>6.1845926889166662</c:v>
                </c:pt>
                <c:pt idx="15">
                  <c:v>5.9114660568890978</c:v>
                </c:pt>
                <c:pt idx="16">
                  <c:v>5.5723772412604369</c:v>
                </c:pt>
                <c:pt idx="17">
                  <c:v>5.2022066975903716</c:v>
                </c:pt>
                <c:pt idx="18">
                  <c:v>4.7891204829279461</c:v>
                </c:pt>
                <c:pt idx="19">
                  <c:v>4.3742719165032158</c:v>
                </c:pt>
                <c:pt idx="20">
                  <c:v>3.9527893264939267</c:v>
                </c:pt>
                <c:pt idx="21">
                  <c:v>3.5284628381208725</c:v>
                </c:pt>
                <c:pt idx="22">
                  <c:v>3.1303756591734473</c:v>
                </c:pt>
                <c:pt idx="23">
                  <c:v>2.7302238370309784</c:v>
                </c:pt>
                <c:pt idx="24">
                  <c:v>2.3349999999999995</c:v>
                </c:pt>
                <c:pt idx="25">
                  <c:v>1.9398178213898107</c:v>
                </c:pt>
                <c:pt idx="26">
                  <c:v>1.5459310478320232</c:v>
                </c:pt>
                <c:pt idx="27">
                  <c:v>1.1569211316082688</c:v>
                </c:pt>
                <c:pt idx="28">
                  <c:v>0.76926142706450107</c:v>
                </c:pt>
                <c:pt idx="29">
                  <c:v>0.38174215323474286</c:v>
                </c:pt>
                <c:pt idx="30">
                  <c:v>5.3416472634015834E-16</c:v>
                </c:pt>
              </c:numCache>
            </c:numRef>
          </c:xVal>
          <c:yVal>
            <c:numRef>
              <c:f>Test!$R$4:$R$34</c:f>
              <c:numCache>
                <c:formatCode>General</c:formatCode>
                <c:ptCount val="31"/>
                <c:pt idx="0">
                  <c:v>3.0657299293969129</c:v>
                </c:pt>
                <c:pt idx="1">
                  <c:v>3.3994809837993163</c:v>
                </c:pt>
                <c:pt idx="2">
                  <c:v>3.6387111048151457</c:v>
                </c:pt>
                <c:pt idx="3">
                  <c:v>3.7335238046649715</c:v>
                </c:pt>
                <c:pt idx="4">
                  <c:v>3.6510336230195435</c:v>
                </c:pt>
                <c:pt idx="5">
                  <c:v>3.4471943824697875</c:v>
                </c:pt>
                <c:pt idx="6">
                  <c:v>3.1150000000000011</c:v>
                </c:pt>
                <c:pt idx="7">
                  <c:v>2.7005306925230692</c:v>
                </c:pt>
                <c:pt idx="8">
                  <c:v>2.226551133050104</c:v>
                </c:pt>
                <c:pt idx="9">
                  <c:v>1.7030293167745865</c:v>
                </c:pt>
                <c:pt idx="10">
                  <c:v>1.1460779726017407</c:v>
                </c:pt>
                <c:pt idx="11">
                  <c:v>0.57348478727959051</c:v>
                </c:pt>
                <c:pt idx="12">
                  <c:v>4.0001097052766446E-16</c:v>
                </c:pt>
                <c:pt idx="13">
                  <c:v>-0.55953986843996584</c:v>
                </c:pt>
                <c:pt idx="14">
                  <c:v>-1.0905105557483223</c:v>
                </c:pt>
                <c:pt idx="15">
                  <c:v>-1.5839725560274276</c:v>
                </c:pt>
                <c:pt idx="16">
                  <c:v>-2.0281794499212156</c:v>
                </c:pt>
                <c:pt idx="17">
                  <c:v>-2.4258288223916145</c:v>
                </c:pt>
                <c:pt idx="18">
                  <c:v>-2.7649999999999988</c:v>
                </c:pt>
                <c:pt idx="19">
                  <c:v>-3.0628981701145865</c:v>
                </c:pt>
                <c:pt idx="20">
                  <c:v>-3.3167840659825432</c:v>
                </c:pt>
                <c:pt idx="21">
                  <c:v>-3.528462838120872</c:v>
                </c:pt>
                <c:pt idx="22">
                  <c:v>-3.7306364379894226</c:v>
                </c:pt>
                <c:pt idx="23">
                  <c:v>-3.8991637308156015</c:v>
                </c:pt>
                <c:pt idx="24">
                  <c:v>-4.0443386356733289</c:v>
                </c:pt>
                <c:pt idx="25">
                  <c:v>-4.1599527424982234</c:v>
                </c:pt>
                <c:pt idx="26">
                  <c:v>-4.2474106459523053</c:v>
                </c:pt>
                <c:pt idx="27">
                  <c:v>-4.317688443512135</c:v>
                </c:pt>
                <c:pt idx="28">
                  <c:v>-4.3626983458440813</c:v>
                </c:pt>
                <c:pt idx="29">
                  <c:v>-4.3633327776418458</c:v>
                </c:pt>
                <c:pt idx="30">
                  <c:v>-4.3600000000000003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7CD5-4AFB-8B13-70479B74C49E}"/>
            </c:ext>
          </c:extLst>
        </c:ser>
        <c:ser>
          <c:idx val="18"/>
          <c:order val="8"/>
          <c:tx>
            <c:v>12 kt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Test!$S$4:$S$34</c:f>
              <c:numCache>
                <c:formatCode>General</c:formatCode>
                <c:ptCount val="31"/>
                <c:pt idx="0">
                  <c:v>1.9599999999999997</c:v>
                </c:pt>
                <c:pt idx="1">
                  <c:v>2.6327158428513013</c:v>
                </c:pt>
                <c:pt idx="2">
                  <c:v>3.3810628269511964</c:v>
                </c:pt>
                <c:pt idx="3">
                  <c:v>4.1295036021294367</c:v>
                </c:pt>
                <c:pt idx="4">
                  <c:v>4.8107591027871823</c:v>
                </c:pt>
                <c:pt idx="5">
                  <c:v>5.439169574078905</c:v>
                </c:pt>
                <c:pt idx="6">
                  <c:v>5.9495945239990933</c:v>
                </c:pt>
                <c:pt idx="7">
                  <c:v>6.3622806649972823</c:v>
                </c:pt>
                <c:pt idx="8">
                  <c:v>6.690611459995667</c:v>
                </c:pt>
                <c:pt idx="9">
                  <c:v>6.9353474327555098</c:v>
                </c:pt>
                <c:pt idx="10">
                  <c:v>7.0906158216878978</c:v>
                </c:pt>
                <c:pt idx="11">
                  <c:v>7.1526779322987331</c:v>
                </c:pt>
                <c:pt idx="12">
                  <c:v>7.13</c:v>
                </c:pt>
                <c:pt idx="13">
                  <c:v>7.0032487275849711</c:v>
                </c:pt>
                <c:pt idx="14">
                  <c:v>6.795173495784236</c:v>
                </c:pt>
                <c:pt idx="15">
                  <c:v>6.5199993274512114</c:v>
                </c:pt>
                <c:pt idx="16">
                  <c:v>6.1831774447712773</c:v>
                </c:pt>
                <c:pt idx="17">
                  <c:v>5.7913067591641934</c:v>
                </c:pt>
                <c:pt idx="18">
                  <c:v>5.3693575034635197</c:v>
                </c:pt>
                <c:pt idx="19">
                  <c:v>4.93129530661973</c:v>
                </c:pt>
                <c:pt idx="20">
                  <c:v>4.4813599922460208</c:v>
                </c:pt>
                <c:pt idx="21">
                  <c:v>4.0305086527633209</c:v>
                </c:pt>
                <c:pt idx="22">
                  <c:v>3.5931827381477555</c:v>
                </c:pt>
                <c:pt idx="23">
                  <c:v>3.1489346355672425</c:v>
                </c:pt>
                <c:pt idx="24">
                  <c:v>2.6999999999999997</c:v>
                </c:pt>
                <c:pt idx="25">
                  <c:v>2.2525553350779282</c:v>
                </c:pt>
                <c:pt idx="26">
                  <c:v>1.7990259538930182</c:v>
                </c:pt>
                <c:pt idx="27">
                  <c:v>1.3458590345331094</c:v>
                </c:pt>
                <c:pt idx="28">
                  <c:v>0.89602459676136026</c:v>
                </c:pt>
                <c:pt idx="29">
                  <c:v>0.44710896029548652</c:v>
                </c:pt>
                <c:pt idx="30">
                  <c:v>6.2482571200339621E-16</c:v>
                </c:pt>
              </c:numCache>
            </c:numRef>
          </c:xVal>
          <c:yVal>
            <c:numRef>
              <c:f>Test!$T$4:$T$34</c:f>
              <c:numCache>
                <c:formatCode>General</c:formatCode>
                <c:ptCount val="31"/>
                <c:pt idx="0">
                  <c:v>3.3948195828349998</c:v>
                </c:pt>
                <c:pt idx="1">
                  <c:v>3.7599078832864721</c:v>
                </c:pt>
                <c:pt idx="2">
                  <c:v>4.0293937708058243</c:v>
                </c:pt>
                <c:pt idx="3">
                  <c:v>4.1295036021294376</c:v>
                </c:pt>
                <c:pt idx="4">
                  <c:v>4.0367061888314675</c:v>
                </c:pt>
                <c:pt idx="5">
                  <c:v>3.8085475373709463</c:v>
                </c:pt>
                <c:pt idx="6">
                  <c:v>3.4350000000000009</c:v>
                </c:pt>
                <c:pt idx="7">
                  <c:v>2.9667801974197099</c:v>
                </c:pt>
                <c:pt idx="8">
                  <c:v>2.4351834204787619</c:v>
                </c:pt>
                <c:pt idx="9">
                  <c:v>1.8583207438360989</c:v>
                </c:pt>
                <c:pt idx="10">
                  <c:v>1.2502668792018989</c:v>
                </c:pt>
                <c:pt idx="11">
                  <c:v>0.62577823292818535</c:v>
                </c:pt>
                <c:pt idx="12">
                  <c:v>4.3676542417492301E-16</c:v>
                </c:pt>
                <c:pt idx="13">
                  <c:v>-0.61270487151603736</c:v>
                </c:pt>
                <c:pt idx="14">
                  <c:v>-1.1981724259018192</c:v>
                </c:pt>
                <c:pt idx="15">
                  <c:v>-1.7470285544420157</c:v>
                </c:pt>
                <c:pt idx="16">
                  <c:v>-2.2504925430829004</c:v>
                </c:pt>
                <c:pt idx="17">
                  <c:v>-2.7005306925230688</c:v>
                </c:pt>
                <c:pt idx="18">
                  <c:v>-3.0999999999999988</c:v>
                </c:pt>
                <c:pt idx="19">
                  <c:v>-3.4529301468332978</c:v>
                </c:pt>
                <c:pt idx="20">
                  <c:v>-3.7603075166662552</c:v>
                </c:pt>
                <c:pt idx="21">
                  <c:v>-4.0305086527633209</c:v>
                </c:pt>
                <c:pt idx="22">
                  <c:v>-4.282188437035086</c:v>
                </c:pt>
                <c:pt idx="23">
                  <c:v>-4.4971447231465653</c:v>
                </c:pt>
                <c:pt idx="24">
                  <c:v>-4.676537180435969</c:v>
                </c:pt>
                <c:pt idx="25">
                  <c:v>-4.8306205049053439</c:v>
                </c:pt>
                <c:pt idx="26">
                  <c:v>-4.9427831853338775</c:v>
                </c:pt>
                <c:pt idx="27">
                  <c:v>-5.0228142967031548</c:v>
                </c:pt>
                <c:pt idx="28">
                  <c:v>-5.0816080055429937</c:v>
                </c:pt>
                <c:pt idx="29">
                  <c:v>-5.1104788012106548</c:v>
                </c:pt>
                <c:pt idx="30">
                  <c:v>-5.0999999999999996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7CD5-4AFB-8B13-70479B74C49E}"/>
            </c:ext>
          </c:extLst>
        </c:ser>
        <c:ser>
          <c:idx val="19"/>
          <c:order val="9"/>
          <c:tx>
            <c:v>14 kt</c:v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Test!$U$4:$U$34</c:f>
              <c:numCache>
                <c:formatCode>General</c:formatCode>
                <c:ptCount val="31"/>
                <c:pt idx="0">
                  <c:v>2.1599999999999997</c:v>
                </c:pt>
                <c:pt idx="1">
                  <c:v>2.8850894748457616</c:v>
                </c:pt>
                <c:pt idx="2">
                  <c:v>3.6767451274070044</c:v>
                </c:pt>
                <c:pt idx="3">
                  <c:v>4.4759859249108453</c:v>
                </c:pt>
                <c:pt idx="4">
                  <c:v>5.2014417687778609</c:v>
                </c:pt>
                <c:pt idx="5">
                  <c:v>5.8405540757805117</c:v>
                </c:pt>
                <c:pt idx="6">
                  <c:v>6.3393059557020912</c:v>
                </c:pt>
                <c:pt idx="7">
                  <c:v>6.7519930134230419</c:v>
                </c:pt>
                <c:pt idx="8">
                  <c:v>7.0664885083100302</c:v>
                </c:pt>
                <c:pt idx="9">
                  <c:v>7.302399246745356</c:v>
                </c:pt>
                <c:pt idx="10">
                  <c:v>7.4549946903024153</c:v>
                </c:pt>
                <c:pt idx="11">
                  <c:v>7.5312319175735958</c:v>
                </c:pt>
                <c:pt idx="12">
                  <c:v>7.53</c:v>
                </c:pt>
                <c:pt idx="13">
                  <c:v>7.4316124477644214</c:v>
                </c:pt>
                <c:pt idx="14">
                  <c:v>7.2580331396999735</c:v>
                </c:pt>
                <c:pt idx="15">
                  <c:v>7.0126214988586355</c:v>
                </c:pt>
                <c:pt idx="16">
                  <c:v>6.6906114599956679</c:v>
                </c:pt>
                <c:pt idx="17">
                  <c:v>6.3079021977750847</c:v>
                </c:pt>
                <c:pt idx="18">
                  <c:v>5.8803124916963387</c:v>
                </c:pt>
                <c:pt idx="19">
                  <c:v>5.4227865331931246</c:v>
                </c:pt>
                <c:pt idx="20">
                  <c:v>4.9563075469797875</c:v>
                </c:pt>
                <c:pt idx="21">
                  <c:v>4.4759859249108462</c:v>
                </c:pt>
                <c:pt idx="22">
                  <c:v>3.9981389322502752</c:v>
                </c:pt>
                <c:pt idx="23">
                  <c:v>3.5160235548319116</c:v>
                </c:pt>
                <c:pt idx="24">
                  <c:v>3.0249999999999995</c:v>
                </c:pt>
                <c:pt idx="25">
                  <c:v>2.5272572052093834</c:v>
                </c:pt>
                <c:pt idx="26">
                  <c:v>2.021339047054703</c:v>
                </c:pt>
                <c:pt idx="27">
                  <c:v>1.5166796043007733</c:v>
                </c:pt>
                <c:pt idx="28">
                  <c:v>1.0106323940215343</c:v>
                </c:pt>
                <c:pt idx="29">
                  <c:v>0.50376019308146436</c:v>
                </c:pt>
                <c:pt idx="30">
                  <c:v>7.0446036157245651E-16</c:v>
                </c:pt>
              </c:numCache>
            </c:numRef>
          </c:xVal>
          <c:yVal>
            <c:numRef>
              <c:f>Test!$V$4:$V$34</c:f>
              <c:numCache>
                <c:formatCode>General</c:formatCode>
                <c:ptCount val="31"/>
                <c:pt idx="0">
                  <c:v>3.7412297443487756</c:v>
                </c:pt>
                <c:pt idx="1">
                  <c:v>4.1203347827736287</c:v>
                </c:pt>
                <c:pt idx="2">
                  <c:v>4.3817742146405543</c:v>
                </c:pt>
                <c:pt idx="3">
                  <c:v>4.4759859249108462</c:v>
                </c:pt>
                <c:pt idx="4">
                  <c:v>4.3645278697716021</c:v>
                </c:pt>
                <c:pt idx="5">
                  <c:v>4.0895999911829595</c:v>
                </c:pt>
                <c:pt idx="6">
                  <c:v>3.660000000000001</c:v>
                </c:pt>
                <c:pt idx="7">
                  <c:v>3.1485060499682107</c:v>
                </c:pt>
                <c:pt idx="8">
                  <c:v>2.5719914778090294</c:v>
                </c:pt>
                <c:pt idx="9">
                  <c:v>1.9566719809750568</c:v>
                </c:pt>
                <c:pt idx="10">
                  <c:v>1.3145167049386632</c:v>
                </c:pt>
                <c:pt idx="11">
                  <c:v>0.6588974151722955</c:v>
                </c:pt>
                <c:pt idx="12">
                  <c:v>4.6126839327309541E-16</c:v>
                </c:pt>
                <c:pt idx="13">
                  <c:v>-0.65018184089753039</c:v>
                </c:pt>
                <c:pt idx="14">
                  <c:v>-1.2797870694052764</c:v>
                </c:pt>
                <c:pt idx="15">
                  <c:v>-1.8790262674443012</c:v>
                </c:pt>
                <c:pt idx="16">
                  <c:v>-2.4351834204787615</c:v>
                </c:pt>
                <c:pt idx="17">
                  <c:v>-2.9414231017152672</c:v>
                </c:pt>
                <c:pt idx="18">
                  <c:v>-3.3949999999999987</c:v>
                </c:pt>
                <c:pt idx="19">
                  <c:v>-3.7970760086439257</c:v>
                </c:pt>
                <c:pt idx="20">
                  <c:v>-4.1588358346719092</c:v>
                </c:pt>
                <c:pt idx="21">
                  <c:v>-4.4759859249108453</c:v>
                </c:pt>
                <c:pt idx="22">
                  <c:v>-4.7647964362000428</c:v>
                </c:pt>
                <c:pt idx="23">
                  <c:v>-5.0214020314915206</c:v>
                </c:pt>
                <c:pt idx="24">
                  <c:v>-5.2394536928958537</c:v>
                </c:pt>
                <c:pt idx="25">
                  <c:v>-5.4197205664791674</c:v>
                </c:pt>
                <c:pt idx="26">
                  <c:v>-5.5535833888447179</c:v>
                </c:pt>
                <c:pt idx="27">
                  <c:v>-5.6603253420539401</c:v>
                </c:pt>
                <c:pt idx="28">
                  <c:v>-5.7315811225310513</c:v>
                </c:pt>
                <c:pt idx="29">
                  <c:v>-5.7580053549702894</c:v>
                </c:pt>
                <c:pt idx="30">
                  <c:v>-5.75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7CD5-4AFB-8B13-70479B74C49E}"/>
            </c:ext>
          </c:extLst>
        </c:ser>
        <c:ser>
          <c:idx val="20"/>
          <c:order val="10"/>
          <c:tx>
            <c:v>16 kt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Test!$W$4:$W$34</c:f>
              <c:numCache>
                <c:formatCode>General</c:formatCode>
                <c:ptCount val="31"/>
                <c:pt idx="0">
                  <c:v>2.2149999999999994</c:v>
                </c:pt>
                <c:pt idx="1">
                  <c:v>2.9653901759349082</c:v>
                </c:pt>
                <c:pt idx="2">
                  <c:v>3.843869905925505</c:v>
                </c:pt>
                <c:pt idx="3">
                  <c:v>4.7164022305142712</c:v>
                </c:pt>
                <c:pt idx="4">
                  <c:v>5.4312551017135542</c:v>
                </c:pt>
                <c:pt idx="5">
                  <c:v>6.0944912095100996</c:v>
                </c:pt>
                <c:pt idx="6">
                  <c:v>6.5731328147238886</c:v>
                </c:pt>
                <c:pt idx="7">
                  <c:v>6.9876330380525706</c:v>
                </c:pt>
                <c:pt idx="8">
                  <c:v>7.3014116635065074</c:v>
                </c:pt>
                <c:pt idx="9">
                  <c:v>7.5438807033176234</c:v>
                </c:pt>
                <c:pt idx="10">
                  <c:v>7.7110447060855885</c:v>
                </c:pt>
                <c:pt idx="11">
                  <c:v>7.7902425390774503</c:v>
                </c:pt>
                <c:pt idx="12">
                  <c:v>7.79</c:v>
                </c:pt>
                <c:pt idx="13">
                  <c:v>7.7105469632301107</c:v>
                </c:pt>
                <c:pt idx="14">
                  <c:v>7.5534754656036354</c:v>
                </c:pt>
                <c:pt idx="15">
                  <c:v>7.3313770215340286</c:v>
                </c:pt>
                <c:pt idx="16">
                  <c:v>7.0382977296864544</c:v>
                </c:pt>
                <c:pt idx="17">
                  <c:v>6.688551468330477</c:v>
                </c:pt>
                <c:pt idx="18">
                  <c:v>6.2786841774371807</c:v>
                </c:pt>
                <c:pt idx="19">
                  <c:v>5.8405540757805108</c:v>
                </c:pt>
                <c:pt idx="20">
                  <c:v>5.3699715462640354</c:v>
                </c:pt>
                <c:pt idx="21">
                  <c:v>4.8719657223753128</c:v>
                </c:pt>
                <c:pt idx="22">
                  <c:v>4.3709557458684687</c:v>
                </c:pt>
                <c:pt idx="23">
                  <c:v>3.848697887915518</c:v>
                </c:pt>
                <c:pt idx="24">
                  <c:v>3.3149999999999995</c:v>
                </c:pt>
                <c:pt idx="25">
                  <c:v>2.7766019796363959</c:v>
                </c:pt>
                <c:pt idx="26">
                  <c:v>2.2231309316168479</c:v>
                </c:pt>
                <c:pt idx="27">
                  <c:v>1.6719710313622858</c:v>
                </c:pt>
                <c:pt idx="28">
                  <c:v>1.1148213006216923</c:v>
                </c:pt>
                <c:pt idx="29">
                  <c:v>0.55605363873005931</c:v>
                </c:pt>
                <c:pt idx="30">
                  <c:v>7.7796926886697371E-16</c:v>
                </c:pt>
              </c:numCache>
            </c:numRef>
          </c:xVal>
          <c:yVal>
            <c:numRef>
              <c:f>Test!$X$4:$X$34</c:f>
              <c:numCache>
                <c:formatCode>General</c:formatCode>
                <c:ptCount val="31"/>
                <c:pt idx="0">
                  <c:v>3.836492538765063</c:v>
                </c:pt>
                <c:pt idx="1">
                  <c:v>4.2350160689740877</c:v>
                </c:pt>
                <c:pt idx="2">
                  <c:v>4.580945769851489</c:v>
                </c:pt>
                <c:pt idx="3">
                  <c:v>4.7164022305142721</c:v>
                </c:pt>
                <c:pt idx="4">
                  <c:v>4.5573641526775637</c:v>
                </c:pt>
                <c:pt idx="5">
                  <c:v>4.267408686451784</c:v>
                </c:pt>
                <c:pt idx="6">
                  <c:v>3.7950000000000008</c:v>
                </c:pt>
                <c:pt idx="7">
                  <c:v>3.2583867980207928</c:v>
                </c:pt>
                <c:pt idx="8">
                  <c:v>2.6574965136404467</c:v>
                </c:pt>
                <c:pt idx="9">
                  <c:v>2.0213767422506868</c:v>
                </c:pt>
                <c:pt idx="10">
                  <c:v>1.3596652311320652</c:v>
                </c:pt>
                <c:pt idx="11">
                  <c:v>0.68155790828668672</c:v>
                </c:pt>
                <c:pt idx="12">
                  <c:v>4.7719532318690753E-16</c:v>
                </c:pt>
                <c:pt idx="13">
                  <c:v>-0.67458544886687477</c:v>
                </c:pt>
                <c:pt idx="14">
                  <c:v>-1.3318815227053553</c:v>
                </c:pt>
                <c:pt idx="15">
                  <c:v>-1.9644365523281333</c:v>
                </c:pt>
                <c:pt idx="16">
                  <c:v>-2.5617308735092585</c:v>
                </c:pt>
                <c:pt idx="17">
                  <c:v>-3.118922771646361</c:v>
                </c:pt>
                <c:pt idx="18">
                  <c:v>-3.6249999999999982</c:v>
                </c:pt>
                <c:pt idx="19">
                  <c:v>-4.0895999911829595</c:v>
                </c:pt>
                <c:pt idx="20">
                  <c:v>-4.5059411439026409</c:v>
                </c:pt>
                <c:pt idx="21">
                  <c:v>-4.8719657223753119</c:v>
                </c:pt>
                <c:pt idx="22">
                  <c:v>-5.2091022132090492</c:v>
                </c:pt>
                <c:pt idx="23">
                  <c:v>-5.4965102171791358</c:v>
                </c:pt>
                <c:pt idx="24">
                  <c:v>-5.7417484270908288</c:v>
                </c:pt>
                <c:pt idx="25">
                  <c:v>-5.9544421608307907</c:v>
                </c:pt>
                <c:pt idx="26">
                  <c:v>-6.1080020351084041</c:v>
                </c:pt>
                <c:pt idx="27">
                  <c:v>-6.2398808378273802</c:v>
                </c:pt>
                <c:pt idx="28">
                  <c:v>-6.322465774338375</c:v>
                </c:pt>
                <c:pt idx="29">
                  <c:v>-6.3557221738253364</c:v>
                </c:pt>
                <c:pt idx="30">
                  <c:v>-6.35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7CD5-4AFB-8B13-70479B74C49E}"/>
            </c:ext>
          </c:extLst>
        </c:ser>
        <c:ser>
          <c:idx val="21"/>
          <c:order val="11"/>
          <c:tx>
            <c:v>20 kt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Test!$AA$4:$AA$34</c:f>
              <c:numCache>
                <c:formatCode>General</c:formatCode>
                <c:ptCount val="31"/>
                <c:pt idx="0">
                  <c:v>2.3649999999999998</c:v>
                </c:pt>
                <c:pt idx="1">
                  <c:v>3.1776134573847949</c:v>
                </c:pt>
                <c:pt idx="2">
                  <c:v>4.0881291976063903</c:v>
                </c:pt>
                <c:pt idx="3">
                  <c:v>4.9285342648702359</c:v>
                </c:pt>
                <c:pt idx="4">
                  <c:v>5.6304266569244881</c:v>
                </c:pt>
                <c:pt idx="5">
                  <c:v>6.2665131388107875</c:v>
                </c:pt>
                <c:pt idx="6">
                  <c:v>6.7549981495186211</c:v>
                </c:pt>
                <c:pt idx="7">
                  <c:v>7.196083829071001</c:v>
                </c:pt>
                <c:pt idx="8">
                  <c:v>7.564525597326563</c:v>
                </c:pt>
                <c:pt idx="9">
                  <c:v>7.8529769677301262</c:v>
                </c:pt>
                <c:pt idx="10">
                  <c:v>8.0557274196398616</c:v>
                </c:pt>
                <c:pt idx="11">
                  <c:v>8.1588345773713957</c:v>
                </c:pt>
                <c:pt idx="12">
                  <c:v>8.18</c:v>
                </c:pt>
                <c:pt idx="13">
                  <c:v>8.1189867894477263</c:v>
                </c:pt>
                <c:pt idx="14">
                  <c:v>7.9769427993988842</c:v>
                </c:pt>
                <c:pt idx="15">
                  <c:v>7.7660436433641085</c:v>
                </c:pt>
                <c:pt idx="16">
                  <c:v>7.4893501876636899</c:v>
                </c:pt>
                <c:pt idx="17">
                  <c:v>7.1598315175895353</c:v>
                </c:pt>
                <c:pt idx="18">
                  <c:v>6.7809789116321548</c:v>
                </c:pt>
                <c:pt idx="19">
                  <c:v>6.3648113841254652</c:v>
                </c:pt>
                <c:pt idx="20">
                  <c:v>5.9062026564473209</c:v>
                </c:pt>
                <c:pt idx="21">
                  <c:v>5.4093668760770894</c:v>
                </c:pt>
                <c:pt idx="22">
                  <c:v>4.8916137097145658</c:v>
                </c:pt>
                <c:pt idx="23">
                  <c:v>4.3362378588139068</c:v>
                </c:pt>
                <c:pt idx="24">
                  <c:v>3.7599999999999993</c:v>
                </c:pt>
                <c:pt idx="25">
                  <c:v>3.1611845978204323</c:v>
                </c:pt>
                <c:pt idx="26">
                  <c:v>2.548050067776233</c:v>
                </c:pt>
                <c:pt idx="27">
                  <c:v>1.9178491242096807</c:v>
                </c:pt>
                <c:pt idx="28">
                  <c:v>1.2815235511819454</c:v>
                </c:pt>
                <c:pt idx="29">
                  <c:v>0.64059470919528771</c:v>
                </c:pt>
                <c:pt idx="30">
                  <c:v>8.9803381744801843E-16</c:v>
                </c:pt>
              </c:numCache>
            </c:numRef>
          </c:xVal>
          <c:yVal>
            <c:numRef>
              <c:f>Test!$AB$4:$AB$34</c:f>
              <c:numCache>
                <c:formatCode>General</c:formatCode>
                <c:ptCount val="31"/>
                <c:pt idx="0">
                  <c:v>4.0963001599003954</c:v>
                </c:pt>
                <c:pt idx="1">
                  <c:v>4.5381023253610149</c:v>
                </c:pt>
                <c:pt idx="2">
                  <c:v>4.8720426582367002</c:v>
                </c:pt>
                <c:pt idx="3">
                  <c:v>4.9285342648702368</c:v>
                </c:pt>
                <c:pt idx="4">
                  <c:v>4.7244889311960643</c:v>
                </c:pt>
                <c:pt idx="5">
                  <c:v>4.3878597380855036</c:v>
                </c:pt>
                <c:pt idx="6">
                  <c:v>3.9000000000000008</c:v>
                </c:pt>
                <c:pt idx="7">
                  <c:v>3.3555889982211538</c:v>
                </c:pt>
                <c:pt idx="8">
                  <c:v>2.7532621537716344</c:v>
                </c:pt>
                <c:pt idx="9">
                  <c:v>2.1041988366834938</c:v>
                </c:pt>
                <c:pt idx="10">
                  <c:v>1.4204420933154907</c:v>
                </c:pt>
                <c:pt idx="11">
                  <c:v>0.71380553310332007</c:v>
                </c:pt>
                <c:pt idx="12">
                  <c:v>5.0108571805762556E-16</c:v>
                </c:pt>
                <c:pt idx="13">
                  <c:v>-0.71031930339341465</c:v>
                </c:pt>
                <c:pt idx="14">
                  <c:v>-1.4065502391021354</c:v>
                </c:pt>
                <c:pt idx="15">
                  <c:v>-2.0809051226242676</c:v>
                </c:pt>
                <c:pt idx="16">
                  <c:v>-2.7259005423055798</c:v>
                </c:pt>
                <c:pt idx="17">
                  <c:v>-3.3386842677515247</c:v>
                </c:pt>
                <c:pt idx="18">
                  <c:v>-3.9149999999999983</c:v>
                </c:pt>
                <c:pt idx="19">
                  <c:v>-4.4566889104476282</c:v>
                </c:pt>
                <c:pt idx="20">
                  <c:v>-4.9558924706832181</c:v>
                </c:pt>
                <c:pt idx="21">
                  <c:v>-5.4093668760770885</c:v>
                </c:pt>
                <c:pt idx="22">
                  <c:v>-5.829598212135422</c:v>
                </c:pt>
                <c:pt idx="23">
                  <c:v>-6.1927894548247782</c:v>
                </c:pt>
                <c:pt idx="24">
                  <c:v>-6.5125110364589789</c:v>
                </c:pt>
                <c:pt idx="25">
                  <c:v>-6.7791822470341421</c:v>
                </c:pt>
                <c:pt idx="26">
                  <c:v>-7.0007100248550174</c:v>
                </c:pt>
                <c:pt idx="27">
                  <c:v>-7.1575103728019958</c:v>
                </c:pt>
                <c:pt idx="28">
                  <c:v>-7.2678812172300953</c:v>
                </c:pt>
                <c:pt idx="29">
                  <c:v>-7.3220310309743297</c:v>
                </c:pt>
                <c:pt idx="30">
                  <c:v>-7.33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7CD5-4AFB-8B13-70479B74C49E}"/>
            </c:ext>
          </c:extLst>
        </c:ser>
        <c:ser>
          <c:idx val="2"/>
          <c:order val="12"/>
          <c:tx>
            <c:v>30 kt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Test!$AM$4:$AM$34</c:f>
              <c:numCache>
                <c:formatCode>General</c:formatCode>
                <c:ptCount val="31"/>
                <c:pt idx="0">
                  <c:v>2.2099999999999995</c:v>
                </c:pt>
                <c:pt idx="1">
                  <c:v>2.9825974690254395</c:v>
                </c:pt>
                <c:pt idx="2">
                  <c:v>3.8567256581192355</c:v>
                </c:pt>
                <c:pt idx="3">
                  <c:v>4.6810468914549439</c:v>
                </c:pt>
                <c:pt idx="4">
                  <c:v>5.3776319906952255</c:v>
                </c:pt>
                <c:pt idx="5">
                  <c:v>6.0207675255240893</c:v>
                </c:pt>
                <c:pt idx="6">
                  <c:v>6.5298315445346669</c:v>
                </c:pt>
                <c:pt idx="7">
                  <c:v>6.9966961159229371</c:v>
                </c:pt>
                <c:pt idx="8">
                  <c:v>7.38598399937724</c:v>
                </c:pt>
                <c:pt idx="9">
                  <c:v>7.7177473520496562</c:v>
                </c:pt>
                <c:pt idx="10">
                  <c:v>7.9670947218687624</c:v>
                </c:pt>
                <c:pt idx="11">
                  <c:v>8.1189867894477263</c:v>
                </c:pt>
                <c:pt idx="12">
                  <c:v>8.18</c:v>
                </c:pt>
                <c:pt idx="13">
                  <c:v>8.1687965243523131</c:v>
                </c:pt>
                <c:pt idx="14">
                  <c:v>8.0655754971699825</c:v>
                </c:pt>
                <c:pt idx="15">
                  <c:v>7.9012732590445784</c:v>
                </c:pt>
                <c:pt idx="16">
                  <c:v>7.6584948594051543</c:v>
                </c:pt>
                <c:pt idx="17">
                  <c:v>7.3592192307375974</c:v>
                </c:pt>
                <c:pt idx="18">
                  <c:v>7.0061455166161091</c:v>
                </c:pt>
                <c:pt idx="19">
                  <c:v>6.6105569974121634</c:v>
                </c:pt>
                <c:pt idx="20">
                  <c:v>6.1666577671077736</c:v>
                </c:pt>
                <c:pt idx="21">
                  <c:v>5.6780674529279764</c:v>
                </c:pt>
                <c:pt idx="22">
                  <c:v>5.1615845057829119</c:v>
                </c:pt>
                <c:pt idx="23">
                  <c:v>4.6058187838988989</c:v>
                </c:pt>
                <c:pt idx="24">
                  <c:v>4.0099999999999989</c:v>
                </c:pt>
                <c:pt idx="25">
                  <c:v>3.3893984591604096</c:v>
                </c:pt>
                <c:pt idx="26">
                  <c:v>2.746421750905121</c:v>
                </c:pt>
                <c:pt idx="27">
                  <c:v>2.0783169321732435</c:v>
                </c:pt>
                <c:pt idx="28">
                  <c:v>1.39439486666545</c:v>
                </c:pt>
                <c:pt idx="29">
                  <c:v>0.70160372911864854</c:v>
                </c:pt>
                <c:pt idx="30">
                  <c:v>9.8746965465634785E-16</c:v>
                </c:pt>
              </c:numCache>
            </c:numRef>
          </c:xVal>
          <c:yVal>
            <c:numRef>
              <c:f>Test!$AN$4:$AN$34</c:f>
              <c:numCache>
                <c:formatCode>General</c:formatCode>
                <c:ptCount val="31"/>
                <c:pt idx="0">
                  <c:v>3.827832284727219</c:v>
                </c:pt>
                <c:pt idx="1">
                  <c:v>4.2595906303027578</c:v>
                </c:pt>
                <c:pt idx="2">
                  <c:v>4.5962666587138683</c:v>
                </c:pt>
                <c:pt idx="3">
                  <c:v>4.6810468914549448</c:v>
                </c:pt>
                <c:pt idx="4">
                  <c:v>4.5123690199995057</c:v>
                </c:pt>
                <c:pt idx="5">
                  <c:v>4.2157868071801889</c:v>
                </c:pt>
                <c:pt idx="6">
                  <c:v>3.7700000000000009</c:v>
                </c:pt>
                <c:pt idx="7">
                  <c:v>3.2626129806381994</c:v>
                </c:pt>
                <c:pt idx="8">
                  <c:v>2.688278326539757</c:v>
                </c:pt>
                <c:pt idx="9">
                  <c:v>2.0679641703691409</c:v>
                </c:pt>
                <c:pt idx="10">
                  <c:v>1.4048137573254671</c:v>
                </c:pt>
                <c:pt idx="11">
                  <c:v>0.71031930339341387</c:v>
                </c:pt>
                <c:pt idx="12">
                  <c:v>5.0108571805762556E-16</c:v>
                </c:pt>
                <c:pt idx="13">
                  <c:v>-0.71467709053079742</c:v>
                </c:pt>
                <c:pt idx="14">
                  <c:v>-1.4221785750921592</c:v>
                </c:pt>
                <c:pt idx="15">
                  <c:v>-2.1171397889386205</c:v>
                </c:pt>
                <c:pt idx="16">
                  <c:v>-2.7874641681042003</c:v>
                </c:pt>
                <c:pt idx="17">
                  <c:v>-3.4316602853344782</c:v>
                </c:pt>
                <c:pt idx="18">
                  <c:v>-4.0449999999999982</c:v>
                </c:pt>
                <c:pt idx="19">
                  <c:v>-4.6287618413529428</c:v>
                </c:pt>
                <c:pt idx="20">
                  <c:v>-5.1744402579766424</c:v>
                </c:pt>
                <c:pt idx="21">
                  <c:v>-5.6780674529279755</c:v>
                </c:pt>
                <c:pt idx="22">
                  <c:v>-6.1513368782453917</c:v>
                </c:pt>
                <c:pt idx="23">
                  <c:v>-6.5777909156406045</c:v>
                </c:pt>
                <c:pt idx="24">
                  <c:v>-6.9455237383511976</c:v>
                </c:pt>
                <c:pt idx="25">
                  <c:v>-7.2685884520339323</c:v>
                </c:pt>
                <c:pt idx="26">
                  <c:v>-7.5457317449108432</c:v>
                </c:pt>
                <c:pt idx="27">
                  <c:v>-7.7563843851012173</c:v>
                </c:pt>
                <c:pt idx="28">
                  <c:v>-7.9080062566880294</c:v>
                </c:pt>
                <c:pt idx="29">
                  <c:v>-8.0193673196385529</c:v>
                </c:pt>
                <c:pt idx="30">
                  <c:v>-8.06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CD5-4AFB-8B13-70479B74C49E}"/>
            </c:ext>
          </c:extLst>
        </c:ser>
        <c:ser>
          <c:idx val="7"/>
          <c:order val="13"/>
          <c:tx>
            <c:v>1</c:v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Test!$C$39:$C$75</c:f>
              <c:numCache>
                <c:formatCode>General</c:formatCode>
                <c:ptCount val="37"/>
                <c:pt idx="0">
                  <c:v>0</c:v>
                </c:pt>
                <c:pt idx="1">
                  <c:v>8.7155742747658166E-2</c:v>
                </c:pt>
                <c:pt idx="2">
                  <c:v>0.17364817766693033</c:v>
                </c:pt>
                <c:pt idx="3">
                  <c:v>0.25881904510252074</c:v>
                </c:pt>
                <c:pt idx="4">
                  <c:v>0.34202014332566871</c:v>
                </c:pt>
                <c:pt idx="5">
                  <c:v>0.42261826174069944</c:v>
                </c:pt>
                <c:pt idx="6">
                  <c:v>0.49999999999999994</c:v>
                </c:pt>
                <c:pt idx="7">
                  <c:v>0.57357643635104605</c:v>
                </c:pt>
                <c:pt idx="8">
                  <c:v>0.64278760968653925</c:v>
                </c:pt>
                <c:pt idx="9">
                  <c:v>0.70710678118654746</c:v>
                </c:pt>
                <c:pt idx="10">
                  <c:v>0.76604444311897801</c:v>
                </c:pt>
                <c:pt idx="11">
                  <c:v>0.8191520442889918</c:v>
                </c:pt>
                <c:pt idx="12">
                  <c:v>0.8660254037844386</c:v>
                </c:pt>
                <c:pt idx="13">
                  <c:v>0.90630778703664994</c:v>
                </c:pt>
                <c:pt idx="14">
                  <c:v>0.93969262078590832</c:v>
                </c:pt>
                <c:pt idx="15">
                  <c:v>0.96592582628906831</c:v>
                </c:pt>
                <c:pt idx="16">
                  <c:v>0.98480775301220802</c:v>
                </c:pt>
                <c:pt idx="17">
                  <c:v>0.99619469809174555</c:v>
                </c:pt>
                <c:pt idx="18">
                  <c:v>1</c:v>
                </c:pt>
                <c:pt idx="19">
                  <c:v>0.99619469809174555</c:v>
                </c:pt>
                <c:pt idx="20">
                  <c:v>0.98480775301220802</c:v>
                </c:pt>
                <c:pt idx="21">
                  <c:v>0.96592582628906831</c:v>
                </c:pt>
                <c:pt idx="22">
                  <c:v>0.93969262078590843</c:v>
                </c:pt>
                <c:pt idx="23">
                  <c:v>0.90630778703665005</c:v>
                </c:pt>
                <c:pt idx="24">
                  <c:v>0.86602540378443871</c:v>
                </c:pt>
                <c:pt idx="25">
                  <c:v>0.81915204428899169</c:v>
                </c:pt>
                <c:pt idx="26">
                  <c:v>0.76604444311897801</c:v>
                </c:pt>
                <c:pt idx="27">
                  <c:v>0.70710678118654757</c:v>
                </c:pt>
                <c:pt idx="28">
                  <c:v>0.64278760968653947</c:v>
                </c:pt>
                <c:pt idx="29">
                  <c:v>0.57357643635104594</c:v>
                </c:pt>
                <c:pt idx="30">
                  <c:v>0.49999999999999994</c:v>
                </c:pt>
                <c:pt idx="31">
                  <c:v>0.4226182617406995</c:v>
                </c:pt>
                <c:pt idx="32">
                  <c:v>0.34202014332566888</c:v>
                </c:pt>
                <c:pt idx="33">
                  <c:v>0.25881904510252102</c:v>
                </c:pt>
                <c:pt idx="34">
                  <c:v>0.17364817766693028</c:v>
                </c:pt>
                <c:pt idx="35">
                  <c:v>8.7155742747658194E-2</c:v>
                </c:pt>
                <c:pt idx="36">
                  <c:v>1.22514845490862E-16</c:v>
                </c:pt>
              </c:numCache>
            </c:numRef>
          </c:xVal>
          <c:yVal>
            <c:numRef>
              <c:f>Test!$D$39:$D$75</c:f>
              <c:numCache>
                <c:formatCode>General</c:formatCode>
                <c:ptCount val="37"/>
                <c:pt idx="0">
                  <c:v>1</c:v>
                </c:pt>
                <c:pt idx="1">
                  <c:v>0.99619469809174555</c:v>
                </c:pt>
                <c:pt idx="2">
                  <c:v>0.98480775301220802</c:v>
                </c:pt>
                <c:pt idx="3">
                  <c:v>0.96592582628906831</c:v>
                </c:pt>
                <c:pt idx="4">
                  <c:v>0.93969262078590843</c:v>
                </c:pt>
                <c:pt idx="5">
                  <c:v>0.90630778703664994</c:v>
                </c:pt>
                <c:pt idx="6">
                  <c:v>0.86602540378443871</c:v>
                </c:pt>
                <c:pt idx="7">
                  <c:v>0.8191520442889918</c:v>
                </c:pt>
                <c:pt idx="8">
                  <c:v>0.76604444311897801</c:v>
                </c:pt>
                <c:pt idx="9">
                  <c:v>0.70710678118654757</c:v>
                </c:pt>
                <c:pt idx="10">
                  <c:v>0.64278760968653936</c:v>
                </c:pt>
                <c:pt idx="11">
                  <c:v>0.57357643635104616</c:v>
                </c:pt>
                <c:pt idx="12">
                  <c:v>0.50000000000000011</c:v>
                </c:pt>
                <c:pt idx="13">
                  <c:v>0.42261826174069944</c:v>
                </c:pt>
                <c:pt idx="14">
                  <c:v>0.34202014332566882</c:v>
                </c:pt>
                <c:pt idx="15">
                  <c:v>0.25881904510252074</c:v>
                </c:pt>
                <c:pt idx="16">
                  <c:v>0.17364817766693041</c:v>
                </c:pt>
                <c:pt idx="17">
                  <c:v>8.7155742747658138E-2</c:v>
                </c:pt>
                <c:pt idx="18">
                  <c:v>6.1257422745431001E-17</c:v>
                </c:pt>
                <c:pt idx="19">
                  <c:v>-8.7155742747658235E-2</c:v>
                </c:pt>
                <c:pt idx="20">
                  <c:v>-0.1736481776669303</c:v>
                </c:pt>
                <c:pt idx="21">
                  <c:v>-0.25881904510252085</c:v>
                </c:pt>
                <c:pt idx="22">
                  <c:v>-0.34202014332566871</c:v>
                </c:pt>
                <c:pt idx="23">
                  <c:v>-0.42261826174069933</c:v>
                </c:pt>
                <c:pt idx="24">
                  <c:v>-0.49999999999999978</c:v>
                </c:pt>
                <c:pt idx="25">
                  <c:v>-0.57357643635104616</c:v>
                </c:pt>
                <c:pt idx="26">
                  <c:v>-0.64278760968653936</c:v>
                </c:pt>
                <c:pt idx="27">
                  <c:v>-0.70710678118654746</c:v>
                </c:pt>
                <c:pt idx="28">
                  <c:v>-0.7660444431189779</c:v>
                </c:pt>
                <c:pt idx="29">
                  <c:v>-0.81915204428899191</c:v>
                </c:pt>
                <c:pt idx="30">
                  <c:v>-0.86602540378443871</c:v>
                </c:pt>
                <c:pt idx="31">
                  <c:v>-0.90630778703664994</c:v>
                </c:pt>
                <c:pt idx="32">
                  <c:v>-0.93969262078590832</c:v>
                </c:pt>
                <c:pt idx="33">
                  <c:v>-0.9659258262890682</c:v>
                </c:pt>
                <c:pt idx="34">
                  <c:v>-0.98480775301220802</c:v>
                </c:pt>
                <c:pt idx="35">
                  <c:v>-0.99619469809174555</c:v>
                </c:pt>
                <c:pt idx="36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CD5-4AFB-8B13-70479B74C49E}"/>
            </c:ext>
          </c:extLst>
        </c:ser>
        <c:ser>
          <c:idx val="8"/>
          <c:order val="14"/>
          <c:tx>
            <c:v>2</c:v>
          </c:tx>
          <c:spPr>
            <a:ln w="1905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Test!$E$39:$E$75</c:f>
              <c:numCache>
                <c:formatCode>General</c:formatCode>
                <c:ptCount val="37"/>
                <c:pt idx="0">
                  <c:v>0</c:v>
                </c:pt>
                <c:pt idx="1">
                  <c:v>0.17431148549531633</c:v>
                </c:pt>
                <c:pt idx="2">
                  <c:v>0.34729635533386066</c:v>
                </c:pt>
                <c:pt idx="3">
                  <c:v>0.51763809020504148</c:v>
                </c:pt>
                <c:pt idx="4">
                  <c:v>0.68404028665133743</c:v>
                </c:pt>
                <c:pt idx="5">
                  <c:v>0.84523652348139888</c:v>
                </c:pt>
                <c:pt idx="6">
                  <c:v>0.99999999999999989</c:v>
                </c:pt>
                <c:pt idx="7">
                  <c:v>1.1471528727020921</c:v>
                </c:pt>
                <c:pt idx="8">
                  <c:v>1.2855752193730785</c:v>
                </c:pt>
                <c:pt idx="9">
                  <c:v>1.4142135623730949</c:v>
                </c:pt>
                <c:pt idx="10">
                  <c:v>1.532088886237956</c:v>
                </c:pt>
                <c:pt idx="11">
                  <c:v>1.6383040885779836</c:v>
                </c:pt>
                <c:pt idx="12">
                  <c:v>1.7320508075688772</c:v>
                </c:pt>
                <c:pt idx="13">
                  <c:v>1.8126155740732999</c:v>
                </c:pt>
                <c:pt idx="14">
                  <c:v>1.8793852415718166</c:v>
                </c:pt>
                <c:pt idx="15">
                  <c:v>1.9318516525781366</c:v>
                </c:pt>
                <c:pt idx="16">
                  <c:v>1.969615506024416</c:v>
                </c:pt>
                <c:pt idx="17">
                  <c:v>1.9923893961834911</c:v>
                </c:pt>
                <c:pt idx="18">
                  <c:v>2</c:v>
                </c:pt>
                <c:pt idx="19">
                  <c:v>1.9923893961834911</c:v>
                </c:pt>
                <c:pt idx="20">
                  <c:v>1.969615506024416</c:v>
                </c:pt>
                <c:pt idx="21">
                  <c:v>1.9318516525781366</c:v>
                </c:pt>
                <c:pt idx="22">
                  <c:v>1.8793852415718169</c:v>
                </c:pt>
                <c:pt idx="23">
                  <c:v>1.8126155740733001</c:v>
                </c:pt>
                <c:pt idx="24">
                  <c:v>1.7320508075688774</c:v>
                </c:pt>
                <c:pt idx="25">
                  <c:v>1.6383040885779834</c:v>
                </c:pt>
                <c:pt idx="26">
                  <c:v>1.532088886237956</c:v>
                </c:pt>
                <c:pt idx="27">
                  <c:v>1.4142135623730951</c:v>
                </c:pt>
                <c:pt idx="28">
                  <c:v>1.2855752193730789</c:v>
                </c:pt>
                <c:pt idx="29">
                  <c:v>1.1471528727020919</c:v>
                </c:pt>
                <c:pt idx="30">
                  <c:v>0.99999999999999989</c:v>
                </c:pt>
                <c:pt idx="31">
                  <c:v>0.84523652348139899</c:v>
                </c:pt>
                <c:pt idx="32">
                  <c:v>0.68404028665133776</c:v>
                </c:pt>
                <c:pt idx="33">
                  <c:v>0.51763809020504203</c:v>
                </c:pt>
                <c:pt idx="34">
                  <c:v>0.34729635533386055</c:v>
                </c:pt>
                <c:pt idx="35">
                  <c:v>0.17431148549531639</c:v>
                </c:pt>
                <c:pt idx="36">
                  <c:v>2.45029690981724E-16</c:v>
                </c:pt>
              </c:numCache>
            </c:numRef>
          </c:xVal>
          <c:yVal>
            <c:numRef>
              <c:f>Test!$F$39:$F$75</c:f>
              <c:numCache>
                <c:formatCode>General</c:formatCode>
                <c:ptCount val="37"/>
                <c:pt idx="0">
                  <c:v>2</c:v>
                </c:pt>
                <c:pt idx="1">
                  <c:v>1.9923893961834911</c:v>
                </c:pt>
                <c:pt idx="2">
                  <c:v>1.969615506024416</c:v>
                </c:pt>
                <c:pt idx="3">
                  <c:v>1.9318516525781366</c:v>
                </c:pt>
                <c:pt idx="4">
                  <c:v>1.8793852415718169</c:v>
                </c:pt>
                <c:pt idx="5">
                  <c:v>1.8126155740732999</c:v>
                </c:pt>
                <c:pt idx="6">
                  <c:v>1.7320508075688774</c:v>
                </c:pt>
                <c:pt idx="7">
                  <c:v>1.6383040885779836</c:v>
                </c:pt>
                <c:pt idx="8">
                  <c:v>1.532088886237956</c:v>
                </c:pt>
                <c:pt idx="9">
                  <c:v>1.4142135623730951</c:v>
                </c:pt>
                <c:pt idx="10">
                  <c:v>1.2855752193730787</c:v>
                </c:pt>
                <c:pt idx="11">
                  <c:v>1.1471528727020923</c:v>
                </c:pt>
                <c:pt idx="12">
                  <c:v>1.0000000000000002</c:v>
                </c:pt>
                <c:pt idx="13">
                  <c:v>0.84523652348139888</c:v>
                </c:pt>
                <c:pt idx="14">
                  <c:v>0.68404028665133765</c:v>
                </c:pt>
                <c:pt idx="15">
                  <c:v>0.51763809020504148</c:v>
                </c:pt>
                <c:pt idx="16">
                  <c:v>0.34729635533386083</c:v>
                </c:pt>
                <c:pt idx="17">
                  <c:v>0.17431148549531628</c:v>
                </c:pt>
                <c:pt idx="18">
                  <c:v>1.22514845490862E-16</c:v>
                </c:pt>
                <c:pt idx="19">
                  <c:v>-0.17431148549531647</c:v>
                </c:pt>
                <c:pt idx="20">
                  <c:v>-0.34729635533386061</c:v>
                </c:pt>
                <c:pt idx="21">
                  <c:v>-0.5176380902050417</c:v>
                </c:pt>
                <c:pt idx="22">
                  <c:v>-0.68404028665133743</c:v>
                </c:pt>
                <c:pt idx="23">
                  <c:v>-0.84523652348139866</c:v>
                </c:pt>
                <c:pt idx="24">
                  <c:v>-0.99999999999999956</c:v>
                </c:pt>
                <c:pt idx="25">
                  <c:v>-1.1471528727020923</c:v>
                </c:pt>
                <c:pt idx="26">
                  <c:v>-1.2855752193730787</c:v>
                </c:pt>
                <c:pt idx="27">
                  <c:v>-1.4142135623730949</c:v>
                </c:pt>
                <c:pt idx="28">
                  <c:v>-1.5320888862379558</c:v>
                </c:pt>
                <c:pt idx="29">
                  <c:v>-1.6383040885779838</c:v>
                </c:pt>
                <c:pt idx="30">
                  <c:v>-1.7320508075688774</c:v>
                </c:pt>
                <c:pt idx="31">
                  <c:v>-1.8126155740732999</c:v>
                </c:pt>
                <c:pt idx="32">
                  <c:v>-1.8793852415718166</c:v>
                </c:pt>
                <c:pt idx="33">
                  <c:v>-1.9318516525781364</c:v>
                </c:pt>
                <c:pt idx="34">
                  <c:v>-1.969615506024416</c:v>
                </c:pt>
                <c:pt idx="35">
                  <c:v>-1.9923893961834911</c:v>
                </c:pt>
                <c:pt idx="36">
                  <c:v>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CD5-4AFB-8B13-70479B74C49E}"/>
            </c:ext>
          </c:extLst>
        </c:ser>
        <c:ser>
          <c:idx val="9"/>
          <c:order val="15"/>
          <c:tx>
            <c:v>3</c:v>
          </c:tx>
          <c:spPr>
            <a:ln w="1905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7CD5-4AFB-8B13-70479B74C49E}"/>
              </c:ext>
            </c:extLst>
          </c:dPt>
          <c:xVal>
            <c:numRef>
              <c:f>Test!$G$39:$G$75</c:f>
              <c:numCache>
                <c:formatCode>General</c:formatCode>
                <c:ptCount val="37"/>
                <c:pt idx="0">
                  <c:v>0</c:v>
                </c:pt>
                <c:pt idx="1">
                  <c:v>0.26146722824297453</c:v>
                </c:pt>
                <c:pt idx="2">
                  <c:v>0.52094453300079102</c:v>
                </c:pt>
                <c:pt idx="3">
                  <c:v>0.77645713530756222</c:v>
                </c:pt>
                <c:pt idx="4">
                  <c:v>1.0260604299770062</c:v>
                </c:pt>
                <c:pt idx="5">
                  <c:v>1.2678547852220983</c:v>
                </c:pt>
                <c:pt idx="6">
                  <c:v>1.4999999999999998</c:v>
                </c:pt>
                <c:pt idx="7">
                  <c:v>1.7207293090531381</c:v>
                </c:pt>
                <c:pt idx="8">
                  <c:v>1.9283628290596178</c:v>
                </c:pt>
                <c:pt idx="9">
                  <c:v>2.1213203435596424</c:v>
                </c:pt>
                <c:pt idx="10">
                  <c:v>2.2981333293569342</c:v>
                </c:pt>
                <c:pt idx="11">
                  <c:v>2.4574561328669753</c:v>
                </c:pt>
                <c:pt idx="12">
                  <c:v>2.598076211353316</c:v>
                </c:pt>
                <c:pt idx="13">
                  <c:v>2.7189233611099497</c:v>
                </c:pt>
                <c:pt idx="14">
                  <c:v>2.8190778623577248</c:v>
                </c:pt>
                <c:pt idx="15">
                  <c:v>2.897777478867205</c:v>
                </c:pt>
                <c:pt idx="16">
                  <c:v>2.9544232590366239</c:v>
                </c:pt>
                <c:pt idx="17">
                  <c:v>2.9885840942752369</c:v>
                </c:pt>
                <c:pt idx="18">
                  <c:v>3</c:v>
                </c:pt>
                <c:pt idx="19">
                  <c:v>2.9885840942752369</c:v>
                </c:pt>
                <c:pt idx="20">
                  <c:v>2.9544232590366239</c:v>
                </c:pt>
                <c:pt idx="21">
                  <c:v>2.897777478867205</c:v>
                </c:pt>
                <c:pt idx="22">
                  <c:v>2.8190778623577253</c:v>
                </c:pt>
                <c:pt idx="23">
                  <c:v>2.7189233611099501</c:v>
                </c:pt>
                <c:pt idx="24">
                  <c:v>2.598076211353316</c:v>
                </c:pt>
                <c:pt idx="25">
                  <c:v>2.4574561328669748</c:v>
                </c:pt>
                <c:pt idx="26">
                  <c:v>2.2981333293569342</c:v>
                </c:pt>
                <c:pt idx="27">
                  <c:v>2.1213203435596428</c:v>
                </c:pt>
                <c:pt idx="28">
                  <c:v>1.9283628290596184</c:v>
                </c:pt>
                <c:pt idx="29">
                  <c:v>1.7207293090531377</c:v>
                </c:pt>
                <c:pt idx="30">
                  <c:v>1.4999999999999998</c:v>
                </c:pt>
                <c:pt idx="31">
                  <c:v>1.2678547852220985</c:v>
                </c:pt>
                <c:pt idx="32">
                  <c:v>1.0260604299770066</c:v>
                </c:pt>
                <c:pt idx="33">
                  <c:v>0.77645713530756311</c:v>
                </c:pt>
                <c:pt idx="34">
                  <c:v>0.5209445330007908</c:v>
                </c:pt>
                <c:pt idx="35">
                  <c:v>0.26146722824297458</c:v>
                </c:pt>
                <c:pt idx="36">
                  <c:v>3.67544536472586E-16</c:v>
                </c:pt>
              </c:numCache>
            </c:numRef>
          </c:xVal>
          <c:yVal>
            <c:numRef>
              <c:f>Test!$H$39:$H$75</c:f>
              <c:numCache>
                <c:formatCode>General</c:formatCode>
                <c:ptCount val="37"/>
                <c:pt idx="0">
                  <c:v>3</c:v>
                </c:pt>
                <c:pt idx="1">
                  <c:v>2.9885840942752369</c:v>
                </c:pt>
                <c:pt idx="2">
                  <c:v>2.9544232590366239</c:v>
                </c:pt>
                <c:pt idx="3">
                  <c:v>2.897777478867205</c:v>
                </c:pt>
                <c:pt idx="4">
                  <c:v>2.8190778623577253</c:v>
                </c:pt>
                <c:pt idx="5">
                  <c:v>2.7189233611099497</c:v>
                </c:pt>
                <c:pt idx="6">
                  <c:v>2.598076211353316</c:v>
                </c:pt>
                <c:pt idx="7">
                  <c:v>2.4574561328669753</c:v>
                </c:pt>
                <c:pt idx="8">
                  <c:v>2.2981333293569342</c:v>
                </c:pt>
                <c:pt idx="9">
                  <c:v>2.1213203435596428</c:v>
                </c:pt>
                <c:pt idx="10">
                  <c:v>1.9283628290596182</c:v>
                </c:pt>
                <c:pt idx="11">
                  <c:v>1.7207293090531386</c:v>
                </c:pt>
                <c:pt idx="12">
                  <c:v>1.5000000000000004</c:v>
                </c:pt>
                <c:pt idx="13">
                  <c:v>1.2678547852220983</c:v>
                </c:pt>
                <c:pt idx="14">
                  <c:v>1.0260604299770064</c:v>
                </c:pt>
                <c:pt idx="15">
                  <c:v>0.77645713530756222</c:v>
                </c:pt>
                <c:pt idx="16">
                  <c:v>0.52094453300079124</c:v>
                </c:pt>
                <c:pt idx="17">
                  <c:v>0.26146722824297441</c:v>
                </c:pt>
                <c:pt idx="18">
                  <c:v>1.83772268236293E-16</c:v>
                </c:pt>
                <c:pt idx="19">
                  <c:v>-0.26146722824297469</c:v>
                </c:pt>
                <c:pt idx="20">
                  <c:v>-0.52094453300079091</c:v>
                </c:pt>
                <c:pt idx="21">
                  <c:v>-0.77645713530756255</c:v>
                </c:pt>
                <c:pt idx="22">
                  <c:v>-1.0260604299770062</c:v>
                </c:pt>
                <c:pt idx="23">
                  <c:v>-1.267854785222098</c:v>
                </c:pt>
                <c:pt idx="24">
                  <c:v>-1.4999999999999993</c:v>
                </c:pt>
                <c:pt idx="25">
                  <c:v>-1.7207293090531386</c:v>
                </c:pt>
                <c:pt idx="26">
                  <c:v>-1.9283628290596182</c:v>
                </c:pt>
                <c:pt idx="27">
                  <c:v>-2.1213203435596424</c:v>
                </c:pt>
                <c:pt idx="28">
                  <c:v>-2.2981333293569337</c:v>
                </c:pt>
                <c:pt idx="29">
                  <c:v>-2.4574561328669757</c:v>
                </c:pt>
                <c:pt idx="30">
                  <c:v>-2.598076211353316</c:v>
                </c:pt>
                <c:pt idx="31">
                  <c:v>-2.7189233611099497</c:v>
                </c:pt>
                <c:pt idx="32">
                  <c:v>-2.8190778623577248</c:v>
                </c:pt>
                <c:pt idx="33">
                  <c:v>-2.8977774788672046</c:v>
                </c:pt>
                <c:pt idx="34">
                  <c:v>-2.9544232590366239</c:v>
                </c:pt>
                <c:pt idx="35">
                  <c:v>-2.9885840942752369</c:v>
                </c:pt>
                <c:pt idx="36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CD5-4AFB-8B13-70479B74C49E}"/>
            </c:ext>
          </c:extLst>
        </c:ser>
        <c:ser>
          <c:idx val="10"/>
          <c:order val="16"/>
          <c:tx>
            <c:v>4</c:v>
          </c:tx>
          <c:spPr>
            <a:ln w="1905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Test!$I$39:$I$75</c:f>
              <c:numCache>
                <c:formatCode>General</c:formatCode>
                <c:ptCount val="37"/>
                <c:pt idx="0">
                  <c:v>0</c:v>
                </c:pt>
                <c:pt idx="1">
                  <c:v>0.34862297099063266</c:v>
                </c:pt>
                <c:pt idx="2">
                  <c:v>0.69459271066772132</c:v>
                </c:pt>
                <c:pt idx="3">
                  <c:v>1.035276180410083</c:v>
                </c:pt>
                <c:pt idx="4">
                  <c:v>1.3680805733026749</c:v>
                </c:pt>
                <c:pt idx="5">
                  <c:v>1.6904730469627978</c:v>
                </c:pt>
                <c:pt idx="6">
                  <c:v>1.9999999999999998</c:v>
                </c:pt>
                <c:pt idx="7">
                  <c:v>2.2943057454041842</c:v>
                </c:pt>
                <c:pt idx="8">
                  <c:v>2.571150438746157</c:v>
                </c:pt>
                <c:pt idx="9">
                  <c:v>2.8284271247461898</c:v>
                </c:pt>
                <c:pt idx="10">
                  <c:v>3.0641777724759121</c:v>
                </c:pt>
                <c:pt idx="11">
                  <c:v>3.2766081771559672</c:v>
                </c:pt>
                <c:pt idx="12">
                  <c:v>3.4641016151377544</c:v>
                </c:pt>
                <c:pt idx="13">
                  <c:v>3.6252311481465997</c:v>
                </c:pt>
                <c:pt idx="14">
                  <c:v>3.7587704831436333</c:v>
                </c:pt>
                <c:pt idx="15">
                  <c:v>3.8637033051562732</c:v>
                </c:pt>
                <c:pt idx="16">
                  <c:v>3.9392310120488321</c:v>
                </c:pt>
                <c:pt idx="17">
                  <c:v>3.9847787923669822</c:v>
                </c:pt>
                <c:pt idx="18">
                  <c:v>4</c:v>
                </c:pt>
                <c:pt idx="19">
                  <c:v>3.9847787923669822</c:v>
                </c:pt>
                <c:pt idx="20">
                  <c:v>3.9392310120488321</c:v>
                </c:pt>
                <c:pt idx="21">
                  <c:v>3.8637033051562732</c:v>
                </c:pt>
                <c:pt idx="22">
                  <c:v>3.7587704831436337</c:v>
                </c:pt>
                <c:pt idx="23">
                  <c:v>3.6252311481466002</c:v>
                </c:pt>
                <c:pt idx="24">
                  <c:v>3.4641016151377548</c:v>
                </c:pt>
                <c:pt idx="25">
                  <c:v>3.2766081771559668</c:v>
                </c:pt>
                <c:pt idx="26">
                  <c:v>3.0641777724759121</c:v>
                </c:pt>
                <c:pt idx="27">
                  <c:v>2.8284271247461903</c:v>
                </c:pt>
                <c:pt idx="28">
                  <c:v>2.5711504387461579</c:v>
                </c:pt>
                <c:pt idx="29">
                  <c:v>2.2943057454041837</c:v>
                </c:pt>
                <c:pt idx="30">
                  <c:v>1.9999999999999998</c:v>
                </c:pt>
                <c:pt idx="31">
                  <c:v>1.690473046962798</c:v>
                </c:pt>
                <c:pt idx="32">
                  <c:v>1.3680805733026755</c:v>
                </c:pt>
                <c:pt idx="33">
                  <c:v>1.0352761804100841</c:v>
                </c:pt>
                <c:pt idx="34">
                  <c:v>0.6945927106677211</c:v>
                </c:pt>
                <c:pt idx="35">
                  <c:v>0.34862297099063277</c:v>
                </c:pt>
                <c:pt idx="36">
                  <c:v>4.90059381963448E-16</c:v>
                </c:pt>
              </c:numCache>
            </c:numRef>
          </c:xVal>
          <c:yVal>
            <c:numRef>
              <c:f>Test!$J$39:$J$75</c:f>
              <c:numCache>
                <c:formatCode>General</c:formatCode>
                <c:ptCount val="37"/>
                <c:pt idx="0">
                  <c:v>4</c:v>
                </c:pt>
                <c:pt idx="1">
                  <c:v>3.9847787923669822</c:v>
                </c:pt>
                <c:pt idx="2">
                  <c:v>3.9392310120488321</c:v>
                </c:pt>
                <c:pt idx="3">
                  <c:v>3.8637033051562732</c:v>
                </c:pt>
                <c:pt idx="4">
                  <c:v>3.7587704831436337</c:v>
                </c:pt>
                <c:pt idx="5">
                  <c:v>3.6252311481465997</c:v>
                </c:pt>
                <c:pt idx="6">
                  <c:v>3.4641016151377548</c:v>
                </c:pt>
                <c:pt idx="7">
                  <c:v>3.2766081771559672</c:v>
                </c:pt>
                <c:pt idx="8">
                  <c:v>3.0641777724759121</c:v>
                </c:pt>
                <c:pt idx="9">
                  <c:v>2.8284271247461903</c:v>
                </c:pt>
                <c:pt idx="10">
                  <c:v>2.5711504387461575</c:v>
                </c:pt>
                <c:pt idx="11">
                  <c:v>2.2943057454041846</c:v>
                </c:pt>
                <c:pt idx="12">
                  <c:v>2.0000000000000004</c:v>
                </c:pt>
                <c:pt idx="13">
                  <c:v>1.6904730469627978</c:v>
                </c:pt>
                <c:pt idx="14">
                  <c:v>1.3680805733026753</c:v>
                </c:pt>
                <c:pt idx="15">
                  <c:v>1.035276180410083</c:v>
                </c:pt>
                <c:pt idx="16">
                  <c:v>0.69459271066772166</c:v>
                </c:pt>
                <c:pt idx="17">
                  <c:v>0.34862297099063255</c:v>
                </c:pt>
                <c:pt idx="18">
                  <c:v>2.45029690981724E-16</c:v>
                </c:pt>
                <c:pt idx="19">
                  <c:v>-0.34862297099063294</c:v>
                </c:pt>
                <c:pt idx="20">
                  <c:v>-0.69459271066772121</c:v>
                </c:pt>
                <c:pt idx="21">
                  <c:v>-1.0352761804100834</c:v>
                </c:pt>
                <c:pt idx="22">
                  <c:v>-1.3680805733026749</c:v>
                </c:pt>
                <c:pt idx="23">
                  <c:v>-1.6904730469627973</c:v>
                </c:pt>
                <c:pt idx="24">
                  <c:v>-1.9999999999999991</c:v>
                </c:pt>
                <c:pt idx="25">
                  <c:v>-2.2943057454041846</c:v>
                </c:pt>
                <c:pt idx="26">
                  <c:v>-2.5711504387461575</c:v>
                </c:pt>
                <c:pt idx="27">
                  <c:v>-2.8284271247461898</c:v>
                </c:pt>
                <c:pt idx="28">
                  <c:v>-3.0641777724759116</c:v>
                </c:pt>
                <c:pt idx="29">
                  <c:v>-3.2766081771559676</c:v>
                </c:pt>
                <c:pt idx="30">
                  <c:v>-3.4641016151377548</c:v>
                </c:pt>
                <c:pt idx="31">
                  <c:v>-3.6252311481465997</c:v>
                </c:pt>
                <c:pt idx="32">
                  <c:v>-3.7587704831436333</c:v>
                </c:pt>
                <c:pt idx="33">
                  <c:v>-3.8637033051562728</c:v>
                </c:pt>
                <c:pt idx="34">
                  <c:v>-3.9392310120488321</c:v>
                </c:pt>
                <c:pt idx="35">
                  <c:v>-3.9847787923669822</c:v>
                </c:pt>
                <c:pt idx="36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7CD5-4AFB-8B13-70479B74C49E}"/>
            </c:ext>
          </c:extLst>
        </c:ser>
        <c:ser>
          <c:idx val="11"/>
          <c:order val="17"/>
          <c:tx>
            <c:v>5</c:v>
          </c:tx>
          <c:spPr>
            <a:ln w="1905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Test!$K$39:$K$75</c:f>
              <c:numCache>
                <c:formatCode>General</c:formatCode>
                <c:ptCount val="37"/>
                <c:pt idx="0">
                  <c:v>0</c:v>
                </c:pt>
                <c:pt idx="1">
                  <c:v>0.4357787137382908</c:v>
                </c:pt>
                <c:pt idx="2">
                  <c:v>0.86824088833465163</c:v>
                </c:pt>
                <c:pt idx="3">
                  <c:v>1.2940952255126037</c:v>
                </c:pt>
                <c:pt idx="4">
                  <c:v>1.7101007166283435</c:v>
                </c:pt>
                <c:pt idx="5">
                  <c:v>2.1130913087034973</c:v>
                </c:pt>
                <c:pt idx="6">
                  <c:v>2.4999999999999996</c:v>
                </c:pt>
                <c:pt idx="7">
                  <c:v>2.8678821817552302</c:v>
                </c:pt>
                <c:pt idx="8">
                  <c:v>3.2139380484326963</c:v>
                </c:pt>
                <c:pt idx="9">
                  <c:v>3.5355339059327373</c:v>
                </c:pt>
                <c:pt idx="10">
                  <c:v>3.83022221559489</c:v>
                </c:pt>
                <c:pt idx="11">
                  <c:v>4.0957602214449587</c:v>
                </c:pt>
                <c:pt idx="12">
                  <c:v>4.3301270189221928</c:v>
                </c:pt>
                <c:pt idx="13">
                  <c:v>4.5315389351832494</c:v>
                </c:pt>
                <c:pt idx="14">
                  <c:v>4.6984631039295417</c:v>
                </c:pt>
                <c:pt idx="15">
                  <c:v>4.8296291314453415</c:v>
                </c:pt>
                <c:pt idx="16">
                  <c:v>4.9240387650610398</c:v>
                </c:pt>
                <c:pt idx="17">
                  <c:v>4.9809734904587275</c:v>
                </c:pt>
                <c:pt idx="18">
                  <c:v>5</c:v>
                </c:pt>
                <c:pt idx="19">
                  <c:v>4.9809734904587275</c:v>
                </c:pt>
                <c:pt idx="20">
                  <c:v>4.9240387650610398</c:v>
                </c:pt>
                <c:pt idx="21">
                  <c:v>4.8296291314453415</c:v>
                </c:pt>
                <c:pt idx="22">
                  <c:v>4.6984631039295426</c:v>
                </c:pt>
                <c:pt idx="23">
                  <c:v>4.5315389351832502</c:v>
                </c:pt>
                <c:pt idx="24">
                  <c:v>4.3301270189221936</c:v>
                </c:pt>
                <c:pt idx="25">
                  <c:v>4.0957602214449587</c:v>
                </c:pt>
                <c:pt idx="26">
                  <c:v>3.83022221559489</c:v>
                </c:pt>
                <c:pt idx="27">
                  <c:v>3.5355339059327378</c:v>
                </c:pt>
                <c:pt idx="28">
                  <c:v>3.2139380484326976</c:v>
                </c:pt>
                <c:pt idx="29">
                  <c:v>2.8678821817552298</c:v>
                </c:pt>
                <c:pt idx="30">
                  <c:v>2.4999999999999996</c:v>
                </c:pt>
                <c:pt idx="31">
                  <c:v>2.1130913087034973</c:v>
                </c:pt>
                <c:pt idx="32">
                  <c:v>1.7101007166283444</c:v>
                </c:pt>
                <c:pt idx="33">
                  <c:v>1.294095225512605</c:v>
                </c:pt>
                <c:pt idx="34">
                  <c:v>0.86824088833465141</c:v>
                </c:pt>
                <c:pt idx="35">
                  <c:v>0.43577871373829097</c:v>
                </c:pt>
                <c:pt idx="36">
                  <c:v>6.1257422745431001E-16</c:v>
                </c:pt>
              </c:numCache>
            </c:numRef>
          </c:xVal>
          <c:yVal>
            <c:numRef>
              <c:f>Test!$L$39:$L$75</c:f>
              <c:numCache>
                <c:formatCode>General</c:formatCode>
                <c:ptCount val="37"/>
                <c:pt idx="0">
                  <c:v>5</c:v>
                </c:pt>
                <c:pt idx="1">
                  <c:v>4.9809734904587275</c:v>
                </c:pt>
                <c:pt idx="2">
                  <c:v>4.9240387650610398</c:v>
                </c:pt>
                <c:pt idx="3">
                  <c:v>4.8296291314453415</c:v>
                </c:pt>
                <c:pt idx="4">
                  <c:v>4.6984631039295426</c:v>
                </c:pt>
                <c:pt idx="5">
                  <c:v>4.5315389351832494</c:v>
                </c:pt>
                <c:pt idx="6">
                  <c:v>4.3301270189221936</c:v>
                </c:pt>
                <c:pt idx="7">
                  <c:v>4.0957602214449587</c:v>
                </c:pt>
                <c:pt idx="8">
                  <c:v>3.83022221559489</c:v>
                </c:pt>
                <c:pt idx="9">
                  <c:v>3.5355339059327378</c:v>
                </c:pt>
                <c:pt idx="10">
                  <c:v>3.2139380484326967</c:v>
                </c:pt>
                <c:pt idx="11">
                  <c:v>2.8678821817552307</c:v>
                </c:pt>
                <c:pt idx="12">
                  <c:v>2.5000000000000004</c:v>
                </c:pt>
                <c:pt idx="13">
                  <c:v>2.1130913087034973</c:v>
                </c:pt>
                <c:pt idx="14">
                  <c:v>1.7101007166283442</c:v>
                </c:pt>
                <c:pt idx="15">
                  <c:v>1.2940952255126037</c:v>
                </c:pt>
                <c:pt idx="16">
                  <c:v>0.86824088833465207</c:v>
                </c:pt>
                <c:pt idx="17">
                  <c:v>0.43577871373829069</c:v>
                </c:pt>
                <c:pt idx="18">
                  <c:v>3.06287113727155E-16</c:v>
                </c:pt>
                <c:pt idx="19">
                  <c:v>-0.43577871373829119</c:v>
                </c:pt>
                <c:pt idx="20">
                  <c:v>-0.86824088833465152</c:v>
                </c:pt>
                <c:pt idx="21">
                  <c:v>-1.2940952255126041</c:v>
                </c:pt>
                <c:pt idx="22">
                  <c:v>-1.7101007166283435</c:v>
                </c:pt>
                <c:pt idx="23">
                  <c:v>-2.1130913087034968</c:v>
                </c:pt>
                <c:pt idx="24">
                  <c:v>-2.4999999999999991</c:v>
                </c:pt>
                <c:pt idx="25">
                  <c:v>-2.8678821817552307</c:v>
                </c:pt>
                <c:pt idx="26">
                  <c:v>-3.2139380484326967</c:v>
                </c:pt>
                <c:pt idx="27">
                  <c:v>-3.5355339059327373</c:v>
                </c:pt>
                <c:pt idx="28">
                  <c:v>-3.8302222155948895</c:v>
                </c:pt>
                <c:pt idx="29">
                  <c:v>-4.0957602214449595</c:v>
                </c:pt>
                <c:pt idx="30">
                  <c:v>-4.3301270189221936</c:v>
                </c:pt>
                <c:pt idx="31">
                  <c:v>-4.5315389351832494</c:v>
                </c:pt>
                <c:pt idx="32">
                  <c:v>-4.6984631039295417</c:v>
                </c:pt>
                <c:pt idx="33">
                  <c:v>-4.8296291314453406</c:v>
                </c:pt>
                <c:pt idx="34">
                  <c:v>-4.9240387650610398</c:v>
                </c:pt>
                <c:pt idx="35">
                  <c:v>-4.9809734904587275</c:v>
                </c:pt>
                <c:pt idx="36">
                  <c:v>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7CD5-4AFB-8B13-70479B74C49E}"/>
            </c:ext>
          </c:extLst>
        </c:ser>
        <c:ser>
          <c:idx val="12"/>
          <c:order val="18"/>
          <c:tx>
            <c:v>6</c:v>
          </c:tx>
          <c:spPr>
            <a:ln w="1905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Test!$M$39:$M$75</c:f>
              <c:numCache>
                <c:formatCode>General</c:formatCode>
                <c:ptCount val="37"/>
                <c:pt idx="0">
                  <c:v>0</c:v>
                </c:pt>
                <c:pt idx="1">
                  <c:v>0.52293445648594905</c:v>
                </c:pt>
                <c:pt idx="2">
                  <c:v>1.041889066001582</c:v>
                </c:pt>
                <c:pt idx="3">
                  <c:v>1.5529142706151244</c:v>
                </c:pt>
                <c:pt idx="4">
                  <c:v>2.0521208599540124</c:v>
                </c:pt>
                <c:pt idx="5">
                  <c:v>2.5357095704441965</c:v>
                </c:pt>
                <c:pt idx="6">
                  <c:v>2.9999999999999996</c:v>
                </c:pt>
                <c:pt idx="7">
                  <c:v>3.4414586181062763</c:v>
                </c:pt>
                <c:pt idx="8">
                  <c:v>3.8567256581192355</c:v>
                </c:pt>
                <c:pt idx="9">
                  <c:v>4.2426406871192848</c:v>
                </c:pt>
                <c:pt idx="10">
                  <c:v>4.5962666587138683</c:v>
                </c:pt>
                <c:pt idx="11">
                  <c:v>4.9149122657339506</c:v>
                </c:pt>
                <c:pt idx="12">
                  <c:v>5.196152422706632</c:v>
                </c:pt>
                <c:pt idx="13">
                  <c:v>5.4378467222198994</c:v>
                </c:pt>
                <c:pt idx="14">
                  <c:v>5.6381557247154497</c:v>
                </c:pt>
                <c:pt idx="15">
                  <c:v>5.7955549577344101</c:v>
                </c:pt>
                <c:pt idx="16">
                  <c:v>5.9088465180732479</c:v>
                </c:pt>
                <c:pt idx="17">
                  <c:v>5.9771681885504737</c:v>
                </c:pt>
                <c:pt idx="18">
                  <c:v>6</c:v>
                </c:pt>
                <c:pt idx="19">
                  <c:v>5.9771681885504737</c:v>
                </c:pt>
                <c:pt idx="20">
                  <c:v>5.9088465180732479</c:v>
                </c:pt>
                <c:pt idx="21">
                  <c:v>5.7955549577344101</c:v>
                </c:pt>
                <c:pt idx="22">
                  <c:v>5.6381557247154506</c:v>
                </c:pt>
                <c:pt idx="23">
                  <c:v>5.4378467222199003</c:v>
                </c:pt>
                <c:pt idx="24">
                  <c:v>5.196152422706632</c:v>
                </c:pt>
                <c:pt idx="25">
                  <c:v>4.9149122657339497</c:v>
                </c:pt>
                <c:pt idx="26">
                  <c:v>4.5962666587138683</c:v>
                </c:pt>
                <c:pt idx="27">
                  <c:v>4.2426406871192857</c:v>
                </c:pt>
                <c:pt idx="28">
                  <c:v>3.8567256581192368</c:v>
                </c:pt>
                <c:pt idx="29">
                  <c:v>3.4414586181062754</c:v>
                </c:pt>
                <c:pt idx="30">
                  <c:v>2.9999999999999996</c:v>
                </c:pt>
                <c:pt idx="31">
                  <c:v>2.535709570444197</c:v>
                </c:pt>
                <c:pt idx="32">
                  <c:v>2.0521208599540133</c:v>
                </c:pt>
                <c:pt idx="33">
                  <c:v>1.5529142706151262</c:v>
                </c:pt>
                <c:pt idx="34">
                  <c:v>1.0418890660015816</c:v>
                </c:pt>
                <c:pt idx="35">
                  <c:v>0.52293445648594916</c:v>
                </c:pt>
                <c:pt idx="36">
                  <c:v>7.3508907294517201E-16</c:v>
                </c:pt>
              </c:numCache>
            </c:numRef>
          </c:xVal>
          <c:yVal>
            <c:numRef>
              <c:f>Test!$N$39:$N$75</c:f>
              <c:numCache>
                <c:formatCode>General</c:formatCode>
                <c:ptCount val="37"/>
                <c:pt idx="0">
                  <c:v>6</c:v>
                </c:pt>
                <c:pt idx="1">
                  <c:v>5.9771681885504737</c:v>
                </c:pt>
                <c:pt idx="2">
                  <c:v>5.9088465180732479</c:v>
                </c:pt>
                <c:pt idx="3">
                  <c:v>5.7955549577344101</c:v>
                </c:pt>
                <c:pt idx="4">
                  <c:v>5.6381557247154506</c:v>
                </c:pt>
                <c:pt idx="5">
                  <c:v>5.4378467222198994</c:v>
                </c:pt>
                <c:pt idx="6">
                  <c:v>5.196152422706632</c:v>
                </c:pt>
                <c:pt idx="7">
                  <c:v>4.9149122657339506</c:v>
                </c:pt>
                <c:pt idx="8">
                  <c:v>4.5962666587138683</c:v>
                </c:pt>
                <c:pt idx="9">
                  <c:v>4.2426406871192857</c:v>
                </c:pt>
                <c:pt idx="10">
                  <c:v>3.8567256581192364</c:v>
                </c:pt>
                <c:pt idx="11">
                  <c:v>3.4414586181062772</c:v>
                </c:pt>
                <c:pt idx="12">
                  <c:v>3.0000000000000009</c:v>
                </c:pt>
                <c:pt idx="13">
                  <c:v>2.5357095704441965</c:v>
                </c:pt>
                <c:pt idx="14">
                  <c:v>2.0521208599540128</c:v>
                </c:pt>
                <c:pt idx="15">
                  <c:v>1.5529142706151244</c:v>
                </c:pt>
                <c:pt idx="16">
                  <c:v>1.0418890660015825</c:v>
                </c:pt>
                <c:pt idx="17">
                  <c:v>0.52293445648594883</c:v>
                </c:pt>
                <c:pt idx="18">
                  <c:v>3.67544536472586E-16</c:v>
                </c:pt>
                <c:pt idx="19">
                  <c:v>-0.52293445648594938</c:v>
                </c:pt>
                <c:pt idx="20">
                  <c:v>-1.0418890660015818</c:v>
                </c:pt>
                <c:pt idx="21">
                  <c:v>-1.5529142706151251</c:v>
                </c:pt>
                <c:pt idx="22">
                  <c:v>-2.0521208599540124</c:v>
                </c:pt>
                <c:pt idx="23">
                  <c:v>-2.5357095704441961</c:v>
                </c:pt>
                <c:pt idx="24">
                  <c:v>-2.9999999999999987</c:v>
                </c:pt>
                <c:pt idx="25">
                  <c:v>-3.4414586181062772</c:v>
                </c:pt>
                <c:pt idx="26">
                  <c:v>-3.8567256581192364</c:v>
                </c:pt>
                <c:pt idx="27">
                  <c:v>-4.2426406871192848</c:v>
                </c:pt>
                <c:pt idx="28">
                  <c:v>-4.5962666587138674</c:v>
                </c:pt>
                <c:pt idx="29">
                  <c:v>-4.9149122657339515</c:v>
                </c:pt>
                <c:pt idx="30">
                  <c:v>-5.196152422706632</c:v>
                </c:pt>
                <c:pt idx="31">
                  <c:v>-5.4378467222198994</c:v>
                </c:pt>
                <c:pt idx="32">
                  <c:v>-5.6381557247154497</c:v>
                </c:pt>
                <c:pt idx="33">
                  <c:v>-5.7955549577344092</c:v>
                </c:pt>
                <c:pt idx="34">
                  <c:v>-5.9088465180732479</c:v>
                </c:pt>
                <c:pt idx="35">
                  <c:v>-5.9771681885504737</c:v>
                </c:pt>
                <c:pt idx="36">
                  <c:v>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7CD5-4AFB-8B13-70479B74C49E}"/>
            </c:ext>
          </c:extLst>
        </c:ser>
        <c:ser>
          <c:idx val="13"/>
          <c:order val="19"/>
          <c:tx>
            <c:v>7</c:v>
          </c:tx>
          <c:spPr>
            <a:ln w="1905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Test!$O$39:$O$75</c:f>
              <c:numCache>
                <c:formatCode>General</c:formatCode>
                <c:ptCount val="37"/>
                <c:pt idx="0">
                  <c:v>0</c:v>
                </c:pt>
                <c:pt idx="1">
                  <c:v>0.61009019923360719</c:v>
                </c:pt>
                <c:pt idx="2">
                  <c:v>1.2155372436685123</c:v>
                </c:pt>
                <c:pt idx="3">
                  <c:v>1.8117333157176452</c:v>
                </c:pt>
                <c:pt idx="4">
                  <c:v>2.3941410032796808</c:v>
                </c:pt>
                <c:pt idx="5">
                  <c:v>2.9583278321848963</c:v>
                </c:pt>
                <c:pt idx="6">
                  <c:v>3.4999999999999996</c:v>
                </c:pt>
                <c:pt idx="7">
                  <c:v>4.0150350544573223</c:v>
                </c:pt>
                <c:pt idx="8">
                  <c:v>4.4995132678057743</c:v>
                </c:pt>
                <c:pt idx="9">
                  <c:v>4.9497474683058318</c:v>
                </c:pt>
                <c:pt idx="10">
                  <c:v>5.3623111018328462</c:v>
                </c:pt>
                <c:pt idx="11">
                  <c:v>5.7340643100229425</c:v>
                </c:pt>
                <c:pt idx="12">
                  <c:v>6.0621778264910704</c:v>
                </c:pt>
                <c:pt idx="13">
                  <c:v>6.3441545092565494</c:v>
                </c:pt>
                <c:pt idx="14">
                  <c:v>6.5778483455013586</c:v>
                </c:pt>
                <c:pt idx="15">
                  <c:v>6.7614807840234779</c:v>
                </c:pt>
                <c:pt idx="16">
                  <c:v>6.893654271085456</c:v>
                </c:pt>
                <c:pt idx="17">
                  <c:v>6.973362886642219</c:v>
                </c:pt>
                <c:pt idx="18">
                  <c:v>7</c:v>
                </c:pt>
                <c:pt idx="19">
                  <c:v>6.973362886642219</c:v>
                </c:pt>
                <c:pt idx="20">
                  <c:v>6.893654271085456</c:v>
                </c:pt>
                <c:pt idx="21">
                  <c:v>6.7614807840234779</c:v>
                </c:pt>
                <c:pt idx="22">
                  <c:v>6.5778483455013586</c:v>
                </c:pt>
                <c:pt idx="23">
                  <c:v>6.3441545092565503</c:v>
                </c:pt>
                <c:pt idx="24">
                  <c:v>6.0621778264910713</c:v>
                </c:pt>
                <c:pt idx="25">
                  <c:v>5.7340643100229416</c:v>
                </c:pt>
                <c:pt idx="26">
                  <c:v>5.3623111018328462</c:v>
                </c:pt>
                <c:pt idx="27">
                  <c:v>4.9497474683058327</c:v>
                </c:pt>
                <c:pt idx="28">
                  <c:v>4.4995132678057761</c:v>
                </c:pt>
                <c:pt idx="29">
                  <c:v>4.0150350544573215</c:v>
                </c:pt>
                <c:pt idx="30">
                  <c:v>3.4999999999999996</c:v>
                </c:pt>
                <c:pt idx="31">
                  <c:v>2.9583278321848967</c:v>
                </c:pt>
                <c:pt idx="32">
                  <c:v>2.3941410032796822</c:v>
                </c:pt>
                <c:pt idx="33">
                  <c:v>1.8117333157176472</c:v>
                </c:pt>
                <c:pt idx="34">
                  <c:v>1.2155372436685119</c:v>
                </c:pt>
                <c:pt idx="35">
                  <c:v>0.61009019923360741</c:v>
                </c:pt>
                <c:pt idx="36">
                  <c:v>8.5760391843603401E-16</c:v>
                </c:pt>
              </c:numCache>
            </c:numRef>
          </c:xVal>
          <c:yVal>
            <c:numRef>
              <c:f>Test!$P$39:$P$75</c:f>
              <c:numCache>
                <c:formatCode>General</c:formatCode>
                <c:ptCount val="37"/>
                <c:pt idx="0">
                  <c:v>7</c:v>
                </c:pt>
                <c:pt idx="1">
                  <c:v>6.973362886642219</c:v>
                </c:pt>
                <c:pt idx="2">
                  <c:v>6.893654271085456</c:v>
                </c:pt>
                <c:pt idx="3">
                  <c:v>6.7614807840234779</c:v>
                </c:pt>
                <c:pt idx="4">
                  <c:v>6.5778483455013586</c:v>
                </c:pt>
                <c:pt idx="5">
                  <c:v>6.3441545092565494</c:v>
                </c:pt>
                <c:pt idx="6">
                  <c:v>6.0621778264910713</c:v>
                </c:pt>
                <c:pt idx="7">
                  <c:v>5.7340643100229425</c:v>
                </c:pt>
                <c:pt idx="8">
                  <c:v>5.3623111018328462</c:v>
                </c:pt>
                <c:pt idx="9">
                  <c:v>4.9497474683058327</c:v>
                </c:pt>
                <c:pt idx="10">
                  <c:v>4.4995132678057752</c:v>
                </c:pt>
                <c:pt idx="11">
                  <c:v>4.0150350544573232</c:v>
                </c:pt>
                <c:pt idx="12">
                  <c:v>3.5000000000000009</c:v>
                </c:pt>
                <c:pt idx="13">
                  <c:v>2.9583278321848963</c:v>
                </c:pt>
                <c:pt idx="14">
                  <c:v>2.3941410032796817</c:v>
                </c:pt>
                <c:pt idx="15">
                  <c:v>1.8117333157176452</c:v>
                </c:pt>
                <c:pt idx="16">
                  <c:v>1.2155372436685128</c:v>
                </c:pt>
                <c:pt idx="17">
                  <c:v>0.61009019923360697</c:v>
                </c:pt>
                <c:pt idx="18">
                  <c:v>4.28801959218017E-16</c:v>
                </c:pt>
                <c:pt idx="19">
                  <c:v>-0.61009019923360763</c:v>
                </c:pt>
                <c:pt idx="20">
                  <c:v>-1.2155372436685121</c:v>
                </c:pt>
                <c:pt idx="21">
                  <c:v>-1.8117333157176461</c:v>
                </c:pt>
                <c:pt idx="22">
                  <c:v>-2.3941410032796808</c:v>
                </c:pt>
                <c:pt idx="23">
                  <c:v>-2.9583278321848954</c:v>
                </c:pt>
                <c:pt idx="24">
                  <c:v>-3.4999999999999982</c:v>
                </c:pt>
                <c:pt idx="25">
                  <c:v>-4.0150350544573232</c:v>
                </c:pt>
                <c:pt idx="26">
                  <c:v>-4.4995132678057752</c:v>
                </c:pt>
                <c:pt idx="27">
                  <c:v>-4.9497474683058318</c:v>
                </c:pt>
                <c:pt idx="28">
                  <c:v>-5.3623111018328453</c:v>
                </c:pt>
                <c:pt idx="29">
                  <c:v>-5.7340643100229434</c:v>
                </c:pt>
                <c:pt idx="30">
                  <c:v>-6.0621778264910713</c:v>
                </c:pt>
                <c:pt idx="31">
                  <c:v>-6.3441545092565494</c:v>
                </c:pt>
                <c:pt idx="32">
                  <c:v>-6.5778483455013586</c:v>
                </c:pt>
                <c:pt idx="33">
                  <c:v>-6.7614807840234779</c:v>
                </c:pt>
                <c:pt idx="34">
                  <c:v>-6.893654271085456</c:v>
                </c:pt>
                <c:pt idx="35">
                  <c:v>-6.973362886642219</c:v>
                </c:pt>
                <c:pt idx="36">
                  <c:v>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7CD5-4AFB-8B13-70479B74C49E}"/>
            </c:ext>
          </c:extLst>
        </c:ser>
        <c:ser>
          <c:idx val="14"/>
          <c:order val="20"/>
          <c:tx>
            <c:v>8</c:v>
          </c:tx>
          <c:spPr>
            <a:ln w="1905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Test!$Q$39:$Q$75</c:f>
              <c:numCache>
                <c:formatCode>General</c:formatCode>
                <c:ptCount val="37"/>
                <c:pt idx="0">
                  <c:v>0</c:v>
                </c:pt>
                <c:pt idx="1">
                  <c:v>0.69724594198126533</c:v>
                </c:pt>
                <c:pt idx="2">
                  <c:v>1.3891854213354426</c:v>
                </c:pt>
                <c:pt idx="3">
                  <c:v>2.0705523608201659</c:v>
                </c:pt>
                <c:pt idx="4">
                  <c:v>2.7361611466053497</c:v>
                </c:pt>
                <c:pt idx="5">
                  <c:v>3.3809460939255955</c:v>
                </c:pt>
                <c:pt idx="6">
                  <c:v>3.9999999999999996</c:v>
                </c:pt>
                <c:pt idx="7">
                  <c:v>4.5886114908083684</c:v>
                </c:pt>
                <c:pt idx="8">
                  <c:v>5.142300877492314</c:v>
                </c:pt>
                <c:pt idx="9">
                  <c:v>5.6568542494923797</c:v>
                </c:pt>
                <c:pt idx="10">
                  <c:v>6.1283555449518241</c:v>
                </c:pt>
                <c:pt idx="11">
                  <c:v>6.5532163543119344</c:v>
                </c:pt>
                <c:pt idx="12">
                  <c:v>6.9282032302755088</c:v>
                </c:pt>
                <c:pt idx="13">
                  <c:v>7.2504622962931995</c:v>
                </c:pt>
                <c:pt idx="14">
                  <c:v>7.5175409662872665</c:v>
                </c:pt>
                <c:pt idx="15">
                  <c:v>7.7274066103125465</c:v>
                </c:pt>
                <c:pt idx="16">
                  <c:v>7.8784620240976642</c:v>
                </c:pt>
                <c:pt idx="17">
                  <c:v>7.9695575847339644</c:v>
                </c:pt>
                <c:pt idx="18">
                  <c:v>8</c:v>
                </c:pt>
                <c:pt idx="19">
                  <c:v>7.9695575847339644</c:v>
                </c:pt>
                <c:pt idx="20">
                  <c:v>7.8784620240976642</c:v>
                </c:pt>
                <c:pt idx="21">
                  <c:v>7.7274066103125465</c:v>
                </c:pt>
                <c:pt idx="22">
                  <c:v>7.5175409662872674</c:v>
                </c:pt>
                <c:pt idx="23">
                  <c:v>7.2504622962932004</c:v>
                </c:pt>
                <c:pt idx="24">
                  <c:v>6.9282032302755097</c:v>
                </c:pt>
                <c:pt idx="25">
                  <c:v>6.5532163543119335</c:v>
                </c:pt>
                <c:pt idx="26">
                  <c:v>6.1283555449518241</c:v>
                </c:pt>
                <c:pt idx="27">
                  <c:v>5.6568542494923806</c:v>
                </c:pt>
                <c:pt idx="28">
                  <c:v>5.1423008774923158</c:v>
                </c:pt>
                <c:pt idx="29">
                  <c:v>4.5886114908083675</c:v>
                </c:pt>
                <c:pt idx="30">
                  <c:v>3.9999999999999996</c:v>
                </c:pt>
                <c:pt idx="31">
                  <c:v>3.380946093925596</c:v>
                </c:pt>
                <c:pt idx="32">
                  <c:v>2.736161146605351</c:v>
                </c:pt>
                <c:pt idx="33">
                  <c:v>2.0705523608201681</c:v>
                </c:pt>
                <c:pt idx="34">
                  <c:v>1.3891854213354422</c:v>
                </c:pt>
                <c:pt idx="35">
                  <c:v>0.69724594198126555</c:v>
                </c:pt>
                <c:pt idx="36">
                  <c:v>9.8011876392689601E-16</c:v>
                </c:pt>
              </c:numCache>
            </c:numRef>
          </c:xVal>
          <c:yVal>
            <c:numRef>
              <c:f>Test!$R$39:$R$75</c:f>
              <c:numCache>
                <c:formatCode>General</c:formatCode>
                <c:ptCount val="37"/>
                <c:pt idx="0">
                  <c:v>8</c:v>
                </c:pt>
                <c:pt idx="1">
                  <c:v>7.9695575847339644</c:v>
                </c:pt>
                <c:pt idx="2">
                  <c:v>7.8784620240976642</c:v>
                </c:pt>
                <c:pt idx="3">
                  <c:v>7.7274066103125465</c:v>
                </c:pt>
                <c:pt idx="4">
                  <c:v>7.5175409662872674</c:v>
                </c:pt>
                <c:pt idx="5">
                  <c:v>7.2504622962931995</c:v>
                </c:pt>
                <c:pt idx="6">
                  <c:v>6.9282032302755097</c:v>
                </c:pt>
                <c:pt idx="7">
                  <c:v>6.5532163543119344</c:v>
                </c:pt>
                <c:pt idx="8">
                  <c:v>6.1283555449518241</c:v>
                </c:pt>
                <c:pt idx="9">
                  <c:v>5.6568542494923806</c:v>
                </c:pt>
                <c:pt idx="10">
                  <c:v>5.1423008774923149</c:v>
                </c:pt>
                <c:pt idx="11">
                  <c:v>4.5886114908083693</c:v>
                </c:pt>
                <c:pt idx="12">
                  <c:v>4.0000000000000009</c:v>
                </c:pt>
                <c:pt idx="13">
                  <c:v>3.3809460939255955</c:v>
                </c:pt>
                <c:pt idx="14">
                  <c:v>2.7361611466053506</c:v>
                </c:pt>
                <c:pt idx="15">
                  <c:v>2.0705523608201659</c:v>
                </c:pt>
                <c:pt idx="16">
                  <c:v>1.3891854213354433</c:v>
                </c:pt>
                <c:pt idx="17">
                  <c:v>0.6972459419812651</c:v>
                </c:pt>
                <c:pt idx="18">
                  <c:v>4.90059381963448E-16</c:v>
                </c:pt>
                <c:pt idx="19">
                  <c:v>-0.69724594198126588</c:v>
                </c:pt>
                <c:pt idx="20">
                  <c:v>-1.3891854213354424</c:v>
                </c:pt>
                <c:pt idx="21">
                  <c:v>-2.0705523608201668</c:v>
                </c:pt>
                <c:pt idx="22">
                  <c:v>-2.7361611466053497</c:v>
                </c:pt>
                <c:pt idx="23">
                  <c:v>-3.3809460939255946</c:v>
                </c:pt>
                <c:pt idx="24">
                  <c:v>-3.9999999999999982</c:v>
                </c:pt>
                <c:pt idx="25">
                  <c:v>-4.5886114908083693</c:v>
                </c:pt>
                <c:pt idx="26">
                  <c:v>-5.1423008774923149</c:v>
                </c:pt>
                <c:pt idx="27">
                  <c:v>-5.6568542494923797</c:v>
                </c:pt>
                <c:pt idx="28">
                  <c:v>-6.1283555449518232</c:v>
                </c:pt>
                <c:pt idx="29">
                  <c:v>-6.5532163543119353</c:v>
                </c:pt>
                <c:pt idx="30">
                  <c:v>-6.9282032302755097</c:v>
                </c:pt>
                <c:pt idx="31">
                  <c:v>-7.2504622962931995</c:v>
                </c:pt>
                <c:pt idx="32">
                  <c:v>-7.5175409662872665</c:v>
                </c:pt>
                <c:pt idx="33">
                  <c:v>-7.7274066103125456</c:v>
                </c:pt>
                <c:pt idx="34">
                  <c:v>-7.8784620240976642</c:v>
                </c:pt>
                <c:pt idx="35">
                  <c:v>-7.9695575847339644</c:v>
                </c:pt>
                <c:pt idx="36">
                  <c:v>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7CD5-4AFB-8B13-70479B74C49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167502591"/>
        <c:axId val="1167504255"/>
        <c:extLst>
          <c:ext xmlns:c15="http://schemas.microsoft.com/office/drawing/2012/chart" uri="{02D57815-91ED-43cb-92C2-25804820EDAC}">
            <c15:filteredScatterSeries>
              <c15:ser>
                <c:idx val="15"/>
                <c:order val="21"/>
                <c:tx>
                  <c:v>8 kt</c:v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Test!$M$4:$M$34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1.5149999999999997</c:v>
                      </c:pt>
                      <c:pt idx="1">
                        <c:v>2.0419321134097239</c:v>
                      </c:pt>
                      <c:pt idx="2">
                        <c:v>2.6354291997148107</c:v>
                      </c:pt>
                      <c:pt idx="3">
                        <c:v>3.2385490578343874</c:v>
                      </c:pt>
                      <c:pt idx="4">
                        <c:v>3.799580437870131</c:v>
                      </c:pt>
                      <c:pt idx="5">
                        <c:v>4.3251227938458765</c:v>
                      </c:pt>
                      <c:pt idx="6">
                        <c:v>4.7544794667765684</c:v>
                      </c:pt>
                      <c:pt idx="7">
                        <c:v>5.1206389967570729</c:v>
                      </c:pt>
                      <c:pt idx="8">
                        <c:v>5.4032325695189725</c:v>
                      </c:pt>
                      <c:pt idx="9">
                        <c:v>5.6216883090023781</c:v>
                      </c:pt>
                      <c:pt idx="10">
                        <c:v>5.7512772775912948</c:v>
                      </c:pt>
                      <c:pt idx="11">
                        <c:v>5.7978531428939597</c:v>
                      </c:pt>
                      <c:pt idx="12">
                        <c:v>5.78</c:v>
                      </c:pt>
                      <c:pt idx="13">
                        <c:v>5.6484239381801968</c:v>
                      </c:pt>
                      <c:pt idx="14">
                        <c:v>5.4459868741575104</c:v>
                      </c:pt>
                      <c:pt idx="15">
                        <c:v>5.1773624289094062</c:v>
                      </c:pt>
                      <c:pt idx="16">
                        <c:v>4.8582108494631466</c:v>
                      </c:pt>
                      <c:pt idx="17">
                        <c:v>4.4952866237017846</c:v>
                      </c:pt>
                      <c:pt idx="18">
                        <c:v>4.1049604139382394</c:v>
                      </c:pt>
                      <c:pt idx="19">
                        <c:v>3.7107587606291323</c:v>
                      </c:pt>
                      <c:pt idx="20">
                        <c:v>3.3169724387051747</c:v>
                      </c:pt>
                      <c:pt idx="21">
                        <c:v>2.9344931419241727</c:v>
                      </c:pt>
                      <c:pt idx="22">
                        <c:v>2.5840061909398884</c:v>
                      </c:pt>
                      <c:pt idx="23">
                        <c:v>2.2484196304960999</c:v>
                      </c:pt>
                      <c:pt idx="24">
                        <c:v>1.9149999999999998</c:v>
                      </c:pt>
                      <c:pt idx="25">
                        <c:v>1.5848184815276232</c:v>
                      </c:pt>
                      <c:pt idx="26">
                        <c:v>1.2620543288717181</c:v>
                      </c:pt>
                      <c:pt idx="27">
                        <c:v>0.94210132417317649</c:v>
                      </c:pt>
                      <c:pt idx="28">
                        <c:v>0.62513343960094903</c:v>
                      </c:pt>
                      <c:pt idx="29">
                        <c:v>0.31114600160913974</c:v>
                      </c:pt>
                      <c:pt idx="30">
                        <c:v>4.3370255303765146E-16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Test!$N$4:$N$34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2.6240569734668493</c:v>
                      </c:pt>
                      <c:pt idx="1">
                        <c:v>2.916181277668811</c:v>
                      </c:pt>
                      <c:pt idx="2">
                        <c:v>3.1407822167878097</c:v>
                      </c:pt>
                      <c:pt idx="3">
                        <c:v>3.2385490578343878</c:v>
                      </c:pt>
                      <c:pt idx="4">
                        <c:v>3.1882265440452353</c:v>
                      </c:pt>
                      <c:pt idx="5">
                        <c:v>3.0284835839335238</c:v>
                      </c:pt>
                      <c:pt idx="6">
                        <c:v>2.7450000000000006</c:v>
                      </c:pt>
                      <c:pt idx="7">
                        <c:v>2.387793178834952</c:v>
                      </c:pt>
                      <c:pt idx="8">
                        <c:v>1.9666158241225957</c:v>
                      </c:pt>
                      <c:pt idx="9">
                        <c:v>1.5063268424966707</c:v>
                      </c:pt>
                      <c:pt idx="10">
                        <c:v>1.0141053575748735</c:v>
                      </c:pt>
                      <c:pt idx="11">
                        <c:v>0.50724642279137044</c:v>
                      </c:pt>
                      <c:pt idx="12">
                        <c:v>3.5406790346859121E-16</c:v>
                      </c:pt>
                      <c:pt idx="13">
                        <c:v>-0.49417306137922218</c:v>
                      </c:pt>
                      <c:pt idx="14">
                        <c:v>-0.96027442249812467</c:v>
                      </c:pt>
                      <c:pt idx="15">
                        <c:v>-1.3872700817495118</c:v>
                      </c:pt>
                      <c:pt idx="16">
                        <c:v>-1.7682441409937073</c:v>
                      </c:pt>
                      <c:pt idx="17">
                        <c:v>-2.0961865782338687</c:v>
                      </c:pt>
                      <c:pt idx="18">
                        <c:v>-2.3699999999999992</c:v>
                      </c:pt>
                      <c:pt idx="19">
                        <c:v>-2.598301256670239</c:v>
                      </c:pt>
                      <c:pt idx="20">
                        <c:v>-2.7832703499427156</c:v>
                      </c:pt>
                      <c:pt idx="21">
                        <c:v>-2.9344931419241722</c:v>
                      </c:pt>
                      <c:pt idx="22">
                        <c:v>-3.0794986613382909</c:v>
                      </c:pt>
                      <c:pt idx="23">
                        <c:v>-3.2110760136128484</c:v>
                      </c:pt>
                      <c:pt idx="24">
                        <c:v>-3.3168772964944004</c:v>
                      </c:pt>
                      <c:pt idx="25">
                        <c:v>-3.3986542013874375</c:v>
                      </c:pt>
                      <c:pt idx="26">
                        <c:v>-3.4674657707000018</c:v>
                      </c:pt>
                      <c:pt idx="27">
                        <c:v>-3.5159700076922085</c:v>
                      </c:pt>
                      <c:pt idx="28">
                        <c:v>-3.5453079108439489</c:v>
                      </c:pt>
                      <c:pt idx="29">
                        <c:v>-3.5564150721875314</c:v>
                      </c:pt>
                      <c:pt idx="30">
                        <c:v>-3.54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4-7CD5-4AFB-8B13-70479B74C49E}"/>
                  </c:ext>
                </c:extLst>
              </c15:ser>
            </c15:filteredScatterSeries>
          </c:ext>
        </c:extLst>
      </c:scatterChart>
      <c:valAx>
        <c:axId val="116750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04255"/>
        <c:crosses val="autoZero"/>
        <c:crossBetween val="midCat"/>
      </c:valAx>
      <c:valAx>
        <c:axId val="1167504255"/>
        <c:scaling>
          <c:orientation val="minMax"/>
          <c:max val="5"/>
          <c:min val="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02591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419101</xdr:colOff>
      <xdr:row>0</xdr:row>
      <xdr:rowOff>95250</xdr:rowOff>
    </xdr:from>
    <xdr:to>
      <xdr:col>21</xdr:col>
      <xdr:colOff>304800</xdr:colOff>
      <xdr:row>35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096BBC-6C3F-4DD2-9354-840844B37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selection activeCell="V3" sqref="V3"/>
    </sheetView>
  </sheetViews>
  <sheetFormatPr defaultRowHeight="15" x14ac:dyDescent="0.25"/>
  <sheetData>
    <row r="1" spans="1:20" x14ac:dyDescent="0.25">
      <c r="A1" s="5" t="s">
        <v>0</v>
      </c>
      <c r="B1" s="4">
        <v>2</v>
      </c>
      <c r="C1" s="4">
        <v>4</v>
      </c>
      <c r="D1" s="4">
        <v>5</v>
      </c>
      <c r="E1" s="4">
        <v>6</v>
      </c>
      <c r="F1" s="4">
        <v>7</v>
      </c>
      <c r="G1" s="4">
        <v>8</v>
      </c>
      <c r="H1" s="4">
        <v>9</v>
      </c>
      <c r="I1" s="4">
        <v>10</v>
      </c>
      <c r="J1" s="4">
        <v>12</v>
      </c>
      <c r="K1" s="4">
        <v>14</v>
      </c>
      <c r="L1" s="4">
        <v>16</v>
      </c>
      <c r="M1" s="4">
        <v>18</v>
      </c>
      <c r="N1" s="4">
        <v>20</v>
      </c>
      <c r="O1" s="4">
        <v>22</v>
      </c>
      <c r="P1" s="4">
        <v>24</v>
      </c>
      <c r="Q1" s="4">
        <v>25</v>
      </c>
      <c r="R1" s="4">
        <v>26</v>
      </c>
      <c r="S1" s="4">
        <v>28</v>
      </c>
      <c r="T1" s="4">
        <v>30</v>
      </c>
    </row>
    <row r="2" spans="1:20" x14ac:dyDescent="0.25">
      <c r="A2" s="5" t="s">
        <v>1</v>
      </c>
      <c r="B2" s="4">
        <v>0.82</v>
      </c>
      <c r="C2" s="4">
        <v>1.66</v>
      </c>
      <c r="D2" s="4">
        <v>2.06</v>
      </c>
      <c r="E2" s="4">
        <v>2.4300000000000002</v>
      </c>
      <c r="F2" s="4">
        <v>2.74</v>
      </c>
      <c r="G2" s="4">
        <v>3.03</v>
      </c>
      <c r="H2" s="4">
        <v>3.29</v>
      </c>
      <c r="I2" s="4">
        <v>3.54</v>
      </c>
      <c r="J2" s="4">
        <v>3.92</v>
      </c>
      <c r="K2" s="4">
        <v>4.32</v>
      </c>
      <c r="L2" s="4">
        <v>4.43</v>
      </c>
      <c r="M2" s="4">
        <v>4.5599999999999996</v>
      </c>
      <c r="N2" s="4">
        <v>4.7300000000000004</v>
      </c>
      <c r="O2" s="4">
        <v>4.67</v>
      </c>
      <c r="P2" s="4">
        <v>4.6100000000000003</v>
      </c>
      <c r="Q2" s="4">
        <v>4.58</v>
      </c>
      <c r="R2" s="4">
        <v>4.55</v>
      </c>
      <c r="S2" s="4">
        <v>4.4800000000000004</v>
      </c>
      <c r="T2" s="4">
        <v>4.42</v>
      </c>
    </row>
    <row r="3" spans="1:20" x14ac:dyDescent="0.25">
      <c r="A3" s="5" t="s">
        <v>2</v>
      </c>
      <c r="B3" s="4">
        <v>0.95</v>
      </c>
      <c r="C3" s="4">
        <v>1.93</v>
      </c>
      <c r="D3" s="4">
        <v>2.4</v>
      </c>
      <c r="E3" s="4">
        <v>2.84</v>
      </c>
      <c r="F3" s="4">
        <v>3.22</v>
      </c>
      <c r="G3" s="4">
        <v>3.56</v>
      </c>
      <c r="H3" s="4">
        <v>3.88</v>
      </c>
      <c r="I3" s="4">
        <v>4.1500000000000004</v>
      </c>
      <c r="J3" s="4">
        <v>4.59</v>
      </c>
      <c r="K3" s="4">
        <v>5.03</v>
      </c>
      <c r="L3" s="4">
        <v>5.17</v>
      </c>
      <c r="M3" s="4">
        <v>5.33</v>
      </c>
      <c r="N3" s="4">
        <v>5.54</v>
      </c>
      <c r="O3" s="4">
        <v>5.48</v>
      </c>
      <c r="P3" s="4">
        <v>5.41</v>
      </c>
      <c r="Q3" s="4">
        <v>5.38</v>
      </c>
      <c r="R3" s="4">
        <v>5.34</v>
      </c>
      <c r="S3" s="4">
        <v>5.27</v>
      </c>
      <c r="T3" s="4">
        <v>5.2</v>
      </c>
    </row>
    <row r="4" spans="1:20" x14ac:dyDescent="0.25">
      <c r="A4" s="5" t="s">
        <v>3</v>
      </c>
      <c r="B4" s="4">
        <v>1.1000000000000001</v>
      </c>
      <c r="C4" s="4">
        <v>2.21</v>
      </c>
      <c r="D4" s="4">
        <v>2.76</v>
      </c>
      <c r="E4" s="4">
        <v>3.26</v>
      </c>
      <c r="F4" s="4">
        <v>3.7</v>
      </c>
      <c r="G4" s="4">
        <v>4.0999999999999996</v>
      </c>
      <c r="H4" s="4">
        <v>4.45</v>
      </c>
      <c r="I4" s="4">
        <v>4.75</v>
      </c>
      <c r="J4" s="4">
        <v>5.26</v>
      </c>
      <c r="K4" s="4">
        <v>5.72</v>
      </c>
      <c r="L4" s="4">
        <v>5.98</v>
      </c>
      <c r="M4" s="4">
        <v>6.15</v>
      </c>
      <c r="N4" s="4">
        <v>6.36</v>
      </c>
      <c r="O4" s="4">
        <v>6.29</v>
      </c>
      <c r="P4" s="4">
        <v>6.21</v>
      </c>
      <c r="Q4" s="4">
        <v>6.18</v>
      </c>
      <c r="R4" s="4">
        <v>6.14</v>
      </c>
      <c r="S4" s="4">
        <v>6.08</v>
      </c>
      <c r="T4" s="4">
        <v>6</v>
      </c>
    </row>
    <row r="5" spans="1:20" x14ac:dyDescent="0.25">
      <c r="A5" s="5" t="s">
        <v>4</v>
      </c>
      <c r="B5" s="4">
        <v>1.24</v>
      </c>
      <c r="C5" s="4">
        <v>2.5</v>
      </c>
      <c r="D5" s="4">
        <v>3.11</v>
      </c>
      <c r="E5" s="4">
        <v>3.67</v>
      </c>
      <c r="F5" s="4">
        <v>4.1500000000000004</v>
      </c>
      <c r="G5" s="4">
        <v>4.58</v>
      </c>
      <c r="H5" s="4">
        <v>4.95</v>
      </c>
      <c r="I5" s="4">
        <v>5.28</v>
      </c>
      <c r="J5" s="4">
        <v>5.84</v>
      </c>
      <c r="K5" s="4">
        <v>6.33</v>
      </c>
      <c r="L5" s="4">
        <v>6.67</v>
      </c>
      <c r="M5" s="4">
        <v>6.82</v>
      </c>
      <c r="N5" s="4">
        <v>6.97</v>
      </c>
      <c r="O5" s="4">
        <v>6.9</v>
      </c>
      <c r="P5" s="4">
        <v>6.83</v>
      </c>
      <c r="Q5" s="4">
        <v>6.8</v>
      </c>
      <c r="R5" s="4">
        <v>6.76</v>
      </c>
      <c r="S5" s="4">
        <v>6.69</v>
      </c>
      <c r="T5" s="4">
        <v>6.62</v>
      </c>
    </row>
    <row r="6" spans="1:20" x14ac:dyDescent="0.25">
      <c r="A6" s="5" t="s">
        <v>5</v>
      </c>
      <c r="B6" s="4">
        <v>1.37</v>
      </c>
      <c r="C6" s="4">
        <v>2.76</v>
      </c>
      <c r="D6" s="4">
        <v>3.42</v>
      </c>
      <c r="E6" s="4">
        <v>4.0199999999999996</v>
      </c>
      <c r="F6" s="4">
        <v>4.53</v>
      </c>
      <c r="G6" s="4">
        <v>4.96</v>
      </c>
      <c r="H6" s="4">
        <v>5.35</v>
      </c>
      <c r="I6" s="4">
        <v>5.68</v>
      </c>
      <c r="J6" s="4">
        <v>6.28</v>
      </c>
      <c r="K6" s="4">
        <v>6.79</v>
      </c>
      <c r="L6" s="4">
        <v>7.09</v>
      </c>
      <c r="M6" s="4">
        <v>7.22</v>
      </c>
      <c r="N6" s="4">
        <v>7.35</v>
      </c>
      <c r="O6" s="4">
        <v>7.28</v>
      </c>
      <c r="P6" s="4">
        <v>7.22</v>
      </c>
      <c r="Q6" s="4">
        <v>7.19</v>
      </c>
      <c r="R6" s="4">
        <v>7.15</v>
      </c>
      <c r="S6" s="4">
        <v>7.09</v>
      </c>
      <c r="T6" s="4">
        <v>7.02</v>
      </c>
    </row>
    <row r="7" spans="1:20" x14ac:dyDescent="0.25">
      <c r="A7" s="5" t="s">
        <v>6</v>
      </c>
      <c r="B7" s="4">
        <v>1.47</v>
      </c>
      <c r="C7" s="4">
        <v>2.98</v>
      </c>
      <c r="D7" s="4">
        <v>3.68</v>
      </c>
      <c r="E7" s="4">
        <v>4.32</v>
      </c>
      <c r="F7" s="4">
        <v>4.84</v>
      </c>
      <c r="G7" s="4">
        <v>5.28</v>
      </c>
      <c r="H7" s="4">
        <v>5.66</v>
      </c>
      <c r="I7" s="4">
        <v>6.01</v>
      </c>
      <c r="J7" s="4">
        <v>6.64</v>
      </c>
      <c r="K7" s="4">
        <v>7.13</v>
      </c>
      <c r="L7" s="4">
        <v>7.44</v>
      </c>
      <c r="M7" s="4">
        <v>7.54</v>
      </c>
      <c r="N7" s="4">
        <v>7.65</v>
      </c>
      <c r="O7" s="4">
        <v>7.59</v>
      </c>
      <c r="P7" s="4">
        <v>7.53</v>
      </c>
      <c r="Q7" s="4">
        <v>7.5</v>
      </c>
      <c r="R7" s="4">
        <v>7.47</v>
      </c>
      <c r="S7" s="4">
        <v>7.41</v>
      </c>
      <c r="T7" s="4">
        <v>7.35</v>
      </c>
    </row>
    <row r="8" spans="1:20" x14ac:dyDescent="0.25">
      <c r="A8" s="5" t="s">
        <v>7</v>
      </c>
      <c r="B8" s="4">
        <v>1.55</v>
      </c>
      <c r="C8" s="4">
        <v>3.13</v>
      </c>
      <c r="D8" s="4">
        <v>3.87</v>
      </c>
      <c r="E8" s="4">
        <v>4.53</v>
      </c>
      <c r="F8" s="4">
        <v>5.05</v>
      </c>
      <c r="G8" s="4">
        <v>5.49</v>
      </c>
      <c r="H8" s="4">
        <v>5.88</v>
      </c>
      <c r="I8" s="4">
        <v>6.23</v>
      </c>
      <c r="J8" s="4">
        <v>6.87</v>
      </c>
      <c r="K8" s="4">
        <v>7.32</v>
      </c>
      <c r="L8" s="4">
        <v>7.59</v>
      </c>
      <c r="M8" s="4">
        <v>7.69</v>
      </c>
      <c r="N8" s="4">
        <v>7.8</v>
      </c>
      <c r="O8" s="4">
        <v>7.75</v>
      </c>
      <c r="P8" s="4">
        <v>7.7</v>
      </c>
      <c r="Q8" s="4">
        <v>7.67</v>
      </c>
      <c r="R8" s="4">
        <v>7.65</v>
      </c>
      <c r="S8" s="4">
        <v>7.59</v>
      </c>
      <c r="T8" s="4">
        <v>7.54</v>
      </c>
    </row>
    <row r="9" spans="1:20" x14ac:dyDescent="0.25">
      <c r="A9" s="5" t="s">
        <v>8</v>
      </c>
      <c r="B9" s="4">
        <v>1.61</v>
      </c>
      <c r="C9" s="4">
        <v>3.24</v>
      </c>
      <c r="D9" s="4">
        <v>4.01</v>
      </c>
      <c r="E9" s="4">
        <v>4.68</v>
      </c>
      <c r="F9" s="4">
        <v>5.21</v>
      </c>
      <c r="G9" s="4">
        <v>5.65</v>
      </c>
      <c r="H9" s="4">
        <v>6.04</v>
      </c>
      <c r="I9" s="4">
        <v>6.39</v>
      </c>
      <c r="J9" s="4">
        <v>7.02</v>
      </c>
      <c r="K9" s="4">
        <v>7.45</v>
      </c>
      <c r="L9" s="4">
        <v>7.71</v>
      </c>
      <c r="M9" s="4">
        <v>7.81</v>
      </c>
      <c r="N9" s="4">
        <v>7.94</v>
      </c>
      <c r="O9" s="4">
        <v>7.89</v>
      </c>
      <c r="P9" s="4">
        <v>7.85</v>
      </c>
      <c r="Q9" s="4">
        <v>7.83</v>
      </c>
      <c r="R9" s="4">
        <v>7.81</v>
      </c>
      <c r="S9" s="4">
        <v>7.77</v>
      </c>
      <c r="T9" s="4">
        <v>7.72</v>
      </c>
    </row>
    <row r="10" spans="1:20" x14ac:dyDescent="0.25">
      <c r="A10" s="5" t="s">
        <v>9</v>
      </c>
      <c r="B10" s="4">
        <v>1.65</v>
      </c>
      <c r="C10" s="4">
        <v>3.33</v>
      </c>
      <c r="D10" s="4">
        <v>4.1100000000000003</v>
      </c>
      <c r="E10" s="4">
        <v>4.79</v>
      </c>
      <c r="F10" s="4">
        <v>5.31</v>
      </c>
      <c r="G10" s="4">
        <v>5.75</v>
      </c>
      <c r="H10" s="4">
        <v>6.15</v>
      </c>
      <c r="I10" s="4">
        <v>6.51</v>
      </c>
      <c r="J10" s="4">
        <v>7.12</v>
      </c>
      <c r="K10" s="4">
        <v>7.52</v>
      </c>
      <c r="L10" s="4">
        <v>7.77</v>
      </c>
      <c r="M10" s="4">
        <v>7.89</v>
      </c>
      <c r="N10" s="4">
        <v>8.0500000000000007</v>
      </c>
      <c r="O10" s="4">
        <v>8.01</v>
      </c>
      <c r="P10" s="4">
        <v>7.98</v>
      </c>
      <c r="Q10" s="4">
        <v>7.96</v>
      </c>
      <c r="R10" s="4">
        <v>7.94</v>
      </c>
      <c r="S10" s="4">
        <v>7.9</v>
      </c>
      <c r="T10" s="4">
        <v>7.86</v>
      </c>
    </row>
    <row r="11" spans="1:20" x14ac:dyDescent="0.25">
      <c r="A11" s="5" t="s">
        <v>10</v>
      </c>
      <c r="B11" s="4">
        <v>1.67</v>
      </c>
      <c r="C11" s="4">
        <v>3.37</v>
      </c>
      <c r="D11" s="4">
        <v>4.16</v>
      </c>
      <c r="E11" s="4">
        <v>4.8499999999999996</v>
      </c>
      <c r="F11" s="4">
        <v>5.38</v>
      </c>
      <c r="G11" s="4">
        <v>5.82</v>
      </c>
      <c r="H11" s="4">
        <v>6.22</v>
      </c>
      <c r="I11" s="4">
        <v>6.58</v>
      </c>
      <c r="J11" s="4">
        <v>7.18</v>
      </c>
      <c r="K11" s="4">
        <v>7.56</v>
      </c>
      <c r="L11" s="4">
        <v>7.81</v>
      </c>
      <c r="M11" s="4">
        <v>7.95</v>
      </c>
      <c r="N11" s="4">
        <v>8.1300000000000008</v>
      </c>
      <c r="O11" s="4">
        <v>8.1</v>
      </c>
      <c r="P11" s="4">
        <v>8.07</v>
      </c>
      <c r="Q11" s="4">
        <v>8.06</v>
      </c>
      <c r="R11" s="4">
        <v>8.0500000000000007</v>
      </c>
      <c r="S11" s="4">
        <v>8.02</v>
      </c>
      <c r="T11" s="4">
        <v>7.99</v>
      </c>
    </row>
    <row r="12" spans="1:20" x14ac:dyDescent="0.25">
      <c r="A12" s="5" t="s">
        <v>11</v>
      </c>
      <c r="B12" s="4">
        <v>1.69</v>
      </c>
      <c r="C12" s="4">
        <v>3.4</v>
      </c>
      <c r="D12" s="4">
        <v>4.1900000000000004</v>
      </c>
      <c r="E12" s="4">
        <v>4.88</v>
      </c>
      <c r="F12" s="4">
        <v>5.4</v>
      </c>
      <c r="G12" s="4">
        <v>5.84</v>
      </c>
      <c r="H12" s="4">
        <v>6.24</v>
      </c>
      <c r="I12" s="4">
        <v>6.6</v>
      </c>
      <c r="J12" s="4">
        <v>7.2</v>
      </c>
      <c r="K12" s="4">
        <v>7.57</v>
      </c>
      <c r="L12" s="4">
        <v>7.83</v>
      </c>
      <c r="M12" s="4">
        <v>7.98</v>
      </c>
      <c r="N12" s="4">
        <v>8.18</v>
      </c>
      <c r="O12" s="4">
        <v>8.16</v>
      </c>
      <c r="P12" s="4">
        <v>8.14</v>
      </c>
      <c r="Q12" s="4">
        <v>8.1300000000000008</v>
      </c>
      <c r="R12" s="4">
        <v>8.1199999999999992</v>
      </c>
      <c r="S12" s="4">
        <v>8.11</v>
      </c>
      <c r="T12" s="4">
        <v>8.09</v>
      </c>
    </row>
    <row r="13" spans="1:20" x14ac:dyDescent="0.25">
      <c r="A13" s="5" t="s">
        <v>12</v>
      </c>
      <c r="B13" s="4">
        <v>1.68</v>
      </c>
      <c r="C13" s="4">
        <v>3.39</v>
      </c>
      <c r="D13" s="4">
        <v>4.17</v>
      </c>
      <c r="E13" s="4">
        <v>4.87</v>
      </c>
      <c r="F13" s="4">
        <v>5.39</v>
      </c>
      <c r="G13" s="4">
        <v>5.82</v>
      </c>
      <c r="H13" s="4">
        <v>6.23</v>
      </c>
      <c r="I13" s="4">
        <v>6.58</v>
      </c>
      <c r="J13" s="4">
        <v>7.18</v>
      </c>
      <c r="K13" s="4">
        <v>7.56</v>
      </c>
      <c r="L13" s="4">
        <v>7.82</v>
      </c>
      <c r="M13" s="4">
        <v>7.99</v>
      </c>
      <c r="N13" s="4">
        <v>8.19</v>
      </c>
      <c r="O13" s="4">
        <v>8.18</v>
      </c>
      <c r="P13" s="4">
        <v>8.17</v>
      </c>
      <c r="Q13" s="4">
        <v>8.17</v>
      </c>
      <c r="R13" s="4">
        <v>8.16</v>
      </c>
      <c r="S13" s="4">
        <v>8.16</v>
      </c>
      <c r="T13" s="4">
        <v>8.15</v>
      </c>
    </row>
    <row r="14" spans="1:20" x14ac:dyDescent="0.25">
      <c r="A14" s="5" t="s">
        <v>13</v>
      </c>
      <c r="B14" s="4">
        <v>1.66</v>
      </c>
      <c r="C14" s="4">
        <v>3.34</v>
      </c>
      <c r="D14" s="4">
        <v>4.12</v>
      </c>
      <c r="E14" s="4">
        <v>4.8099999999999996</v>
      </c>
      <c r="F14" s="4">
        <v>5.34</v>
      </c>
      <c r="G14" s="4">
        <v>5.78</v>
      </c>
      <c r="H14" s="4">
        <v>6.17</v>
      </c>
      <c r="I14" s="4">
        <v>6.53</v>
      </c>
      <c r="J14" s="4">
        <v>7.13</v>
      </c>
      <c r="K14" s="4">
        <v>7.53</v>
      </c>
      <c r="L14" s="4">
        <v>7.79</v>
      </c>
      <c r="M14" s="4">
        <v>7.97</v>
      </c>
      <c r="N14" s="4">
        <v>8.18</v>
      </c>
      <c r="O14" s="4">
        <v>8.18</v>
      </c>
      <c r="P14" s="4">
        <v>8.18</v>
      </c>
      <c r="Q14" s="4">
        <v>8.18</v>
      </c>
      <c r="R14" s="4">
        <v>8.18</v>
      </c>
      <c r="S14" s="4">
        <v>8.18</v>
      </c>
      <c r="T14" s="4">
        <v>8.18</v>
      </c>
    </row>
    <row r="15" spans="1:20" x14ac:dyDescent="0.25">
      <c r="A15" s="5" t="s">
        <v>14</v>
      </c>
      <c r="B15" s="4">
        <v>1.62</v>
      </c>
      <c r="C15" s="4">
        <v>3.26</v>
      </c>
      <c r="D15" s="4">
        <v>4.03</v>
      </c>
      <c r="E15" s="4">
        <v>4.71</v>
      </c>
      <c r="F15" s="4">
        <v>5.23</v>
      </c>
      <c r="G15" s="4">
        <v>5.67</v>
      </c>
      <c r="H15" s="4">
        <v>6.07</v>
      </c>
      <c r="I15" s="4">
        <v>6.42</v>
      </c>
      <c r="J15" s="4">
        <v>7.03</v>
      </c>
      <c r="K15" s="4">
        <v>7.46</v>
      </c>
      <c r="L15" s="4">
        <v>7.74</v>
      </c>
      <c r="M15" s="4">
        <v>7.93</v>
      </c>
      <c r="N15" s="4">
        <v>8.15</v>
      </c>
      <c r="O15" s="4">
        <v>8.16</v>
      </c>
      <c r="P15" s="4">
        <v>8.17</v>
      </c>
      <c r="Q15" s="4">
        <v>8.17</v>
      </c>
      <c r="R15" s="4">
        <v>8.18</v>
      </c>
      <c r="S15" s="4">
        <v>8.19</v>
      </c>
      <c r="T15" s="4">
        <v>8.1999999999999993</v>
      </c>
    </row>
    <row r="16" spans="1:20" x14ac:dyDescent="0.25">
      <c r="A16" s="5" t="s">
        <v>15</v>
      </c>
      <c r="B16" s="4">
        <v>1.57</v>
      </c>
      <c r="C16" s="4">
        <v>3.16</v>
      </c>
      <c r="D16" s="4">
        <v>3.9</v>
      </c>
      <c r="E16" s="4">
        <v>4.5599999999999996</v>
      </c>
      <c r="F16" s="4">
        <v>5.09</v>
      </c>
      <c r="G16" s="4">
        <v>5.53</v>
      </c>
      <c r="H16" s="4">
        <v>5.92</v>
      </c>
      <c r="I16" s="4">
        <v>6.28</v>
      </c>
      <c r="J16" s="4">
        <v>6.9</v>
      </c>
      <c r="K16" s="4">
        <v>7.37</v>
      </c>
      <c r="L16" s="4">
        <v>7.67</v>
      </c>
      <c r="M16" s="4">
        <v>7.87</v>
      </c>
      <c r="N16" s="4">
        <v>8.1</v>
      </c>
      <c r="O16" s="4">
        <v>8.1199999999999992</v>
      </c>
      <c r="P16" s="4">
        <v>8.14</v>
      </c>
      <c r="Q16" s="4">
        <v>8.15</v>
      </c>
      <c r="R16" s="4">
        <v>8.16</v>
      </c>
      <c r="S16" s="4">
        <v>8.18</v>
      </c>
      <c r="T16" s="4">
        <v>8.19</v>
      </c>
    </row>
    <row r="17" spans="1:20" x14ac:dyDescent="0.25">
      <c r="A17" s="5" t="s">
        <v>16</v>
      </c>
      <c r="B17" s="4">
        <v>1.5</v>
      </c>
      <c r="C17" s="4">
        <v>3.02</v>
      </c>
      <c r="D17" s="4">
        <v>3.74</v>
      </c>
      <c r="E17" s="4">
        <v>4.3899999999999997</v>
      </c>
      <c r="F17" s="4">
        <v>4.91</v>
      </c>
      <c r="G17" s="4">
        <v>5.36</v>
      </c>
      <c r="H17" s="4">
        <v>5.76</v>
      </c>
      <c r="I17" s="4">
        <v>6.12</v>
      </c>
      <c r="J17" s="4">
        <v>6.75</v>
      </c>
      <c r="K17" s="4">
        <v>7.26</v>
      </c>
      <c r="L17" s="4">
        <v>7.59</v>
      </c>
      <c r="M17" s="4">
        <v>7.81</v>
      </c>
      <c r="N17" s="4">
        <v>8.0399999999999991</v>
      </c>
      <c r="O17" s="4">
        <v>8.07</v>
      </c>
      <c r="P17" s="4">
        <v>8.09</v>
      </c>
      <c r="Q17" s="4">
        <v>8.11</v>
      </c>
      <c r="R17" s="4">
        <v>8.1199999999999992</v>
      </c>
      <c r="S17" s="4">
        <v>8.15</v>
      </c>
      <c r="T17" s="4">
        <v>8.18</v>
      </c>
    </row>
    <row r="18" spans="1:20" x14ac:dyDescent="0.25">
      <c r="A18" s="5" t="s">
        <v>17</v>
      </c>
      <c r="B18" s="4">
        <v>1.43</v>
      </c>
      <c r="C18" s="4">
        <v>2.88</v>
      </c>
      <c r="D18" s="4">
        <v>3.57</v>
      </c>
      <c r="E18" s="4">
        <v>4.1900000000000004</v>
      </c>
      <c r="F18" s="4">
        <v>4.72</v>
      </c>
      <c r="G18" s="4">
        <v>5.17</v>
      </c>
      <c r="H18" s="4">
        <v>5.57</v>
      </c>
      <c r="I18" s="4">
        <v>5.93</v>
      </c>
      <c r="J18" s="4">
        <v>6.58</v>
      </c>
      <c r="K18" s="4">
        <v>7.12</v>
      </c>
      <c r="L18" s="4">
        <v>7.49</v>
      </c>
      <c r="M18" s="4">
        <v>7.73</v>
      </c>
      <c r="N18" s="4">
        <v>7.97</v>
      </c>
      <c r="O18" s="4">
        <v>8.01</v>
      </c>
      <c r="P18" s="4">
        <v>8.0399999999999991</v>
      </c>
      <c r="Q18" s="4">
        <v>8.06</v>
      </c>
      <c r="R18" s="4">
        <v>8.08</v>
      </c>
      <c r="S18" s="4">
        <v>8.1199999999999992</v>
      </c>
      <c r="T18" s="4">
        <v>8.15</v>
      </c>
    </row>
    <row r="19" spans="1:20" x14ac:dyDescent="0.25">
      <c r="A19" s="5" t="s">
        <v>18</v>
      </c>
      <c r="B19" s="4">
        <v>1.34</v>
      </c>
      <c r="C19" s="4">
        <v>2.72</v>
      </c>
      <c r="D19" s="4">
        <v>3.37</v>
      </c>
      <c r="E19" s="4">
        <v>3.97</v>
      </c>
      <c r="F19" s="4">
        <v>4.49</v>
      </c>
      <c r="G19" s="4">
        <v>4.96</v>
      </c>
      <c r="H19" s="4">
        <v>5.37</v>
      </c>
      <c r="I19" s="4">
        <v>5.74</v>
      </c>
      <c r="J19" s="4">
        <v>6.39</v>
      </c>
      <c r="K19" s="4">
        <v>6.96</v>
      </c>
      <c r="L19" s="4">
        <v>7.38</v>
      </c>
      <c r="M19" s="4">
        <v>7.64</v>
      </c>
      <c r="N19" s="4">
        <v>7.9</v>
      </c>
      <c r="O19" s="4">
        <v>7.95</v>
      </c>
      <c r="P19" s="4">
        <v>7.99</v>
      </c>
      <c r="Q19" s="4">
        <v>8.01</v>
      </c>
      <c r="R19" s="4">
        <v>8.0399999999999991</v>
      </c>
      <c r="S19" s="4">
        <v>8.08</v>
      </c>
      <c r="T19" s="4">
        <v>8.1199999999999992</v>
      </c>
    </row>
    <row r="20" spans="1:20" x14ac:dyDescent="0.25">
      <c r="A20" s="5" t="s">
        <v>19</v>
      </c>
      <c r="B20" s="4">
        <v>1.26</v>
      </c>
      <c r="C20" s="4">
        <v>2.5499999999999998</v>
      </c>
      <c r="D20" s="4">
        <v>3.16</v>
      </c>
      <c r="E20" s="4">
        <v>3.75</v>
      </c>
      <c r="F20" s="4">
        <v>4.2699999999999996</v>
      </c>
      <c r="G20" s="4">
        <v>4.74</v>
      </c>
      <c r="H20" s="4">
        <v>5.16</v>
      </c>
      <c r="I20" s="4">
        <v>5.53</v>
      </c>
      <c r="J20" s="4">
        <v>6.2</v>
      </c>
      <c r="K20" s="4">
        <v>6.79</v>
      </c>
      <c r="L20" s="4">
        <v>7.25</v>
      </c>
      <c r="M20" s="4">
        <v>7.55</v>
      </c>
      <c r="N20" s="4">
        <v>7.83</v>
      </c>
      <c r="O20" s="4">
        <v>7.88</v>
      </c>
      <c r="P20" s="4">
        <v>7.94</v>
      </c>
      <c r="Q20" s="4">
        <v>7.96</v>
      </c>
      <c r="R20" s="4">
        <v>7.99</v>
      </c>
      <c r="S20" s="4">
        <v>8.0399999999999991</v>
      </c>
      <c r="T20" s="4">
        <v>8.09</v>
      </c>
    </row>
    <row r="21" spans="1:20" x14ac:dyDescent="0.25">
      <c r="A21" s="5" t="s">
        <v>20</v>
      </c>
      <c r="B21" s="4">
        <v>1.18</v>
      </c>
      <c r="C21" s="4">
        <v>2.39</v>
      </c>
      <c r="D21" s="4">
        <v>2.97</v>
      </c>
      <c r="E21" s="4">
        <v>3.53</v>
      </c>
      <c r="F21" s="4">
        <v>4.05</v>
      </c>
      <c r="G21" s="4">
        <v>4.53</v>
      </c>
      <c r="H21" s="4">
        <v>4.95</v>
      </c>
      <c r="I21" s="4">
        <v>5.34</v>
      </c>
      <c r="J21" s="4">
        <v>6.02</v>
      </c>
      <c r="K21" s="4">
        <v>6.62</v>
      </c>
      <c r="L21" s="4">
        <v>7.13</v>
      </c>
      <c r="M21" s="4">
        <v>7.46</v>
      </c>
      <c r="N21" s="4">
        <v>7.77</v>
      </c>
      <c r="O21" s="4">
        <v>7.83</v>
      </c>
      <c r="P21" s="4">
        <v>7.89</v>
      </c>
      <c r="Q21" s="4">
        <v>7.92</v>
      </c>
      <c r="R21" s="4">
        <v>7.95</v>
      </c>
      <c r="S21" s="4">
        <v>8.01</v>
      </c>
      <c r="T21" s="4">
        <v>8.07</v>
      </c>
    </row>
    <row r="22" spans="1:20" x14ac:dyDescent="0.25">
      <c r="A22" s="5" t="s">
        <v>21</v>
      </c>
      <c r="B22" s="4">
        <v>1.1100000000000001</v>
      </c>
      <c r="C22" s="4">
        <v>2.25</v>
      </c>
      <c r="D22" s="4">
        <v>2.81</v>
      </c>
      <c r="E22" s="4">
        <v>3.35</v>
      </c>
      <c r="F22" s="4">
        <v>3.85</v>
      </c>
      <c r="G22" s="4">
        <v>4.33</v>
      </c>
      <c r="H22" s="4">
        <v>4.76</v>
      </c>
      <c r="I22" s="4">
        <v>5.16</v>
      </c>
      <c r="J22" s="4">
        <v>5.85</v>
      </c>
      <c r="K22" s="4">
        <v>6.47</v>
      </c>
      <c r="L22" s="4">
        <v>7.01</v>
      </c>
      <c r="M22" s="4">
        <v>7.36</v>
      </c>
      <c r="N22" s="4">
        <v>7.71</v>
      </c>
      <c r="O22" s="4">
        <v>7.77</v>
      </c>
      <c r="P22" s="4">
        <v>7.84</v>
      </c>
      <c r="Q22" s="4">
        <v>7.88</v>
      </c>
      <c r="R22" s="4">
        <v>7.91</v>
      </c>
      <c r="S22" s="4">
        <v>7.98</v>
      </c>
      <c r="T22" s="4">
        <v>8.0500000000000007</v>
      </c>
    </row>
    <row r="23" spans="1:20" x14ac:dyDescent="0.25">
      <c r="A23" s="5" t="s">
        <v>22</v>
      </c>
      <c r="B23" s="4">
        <v>1.05</v>
      </c>
      <c r="C23" s="4">
        <v>2.13</v>
      </c>
      <c r="D23" s="4">
        <v>2.66</v>
      </c>
      <c r="E23" s="4">
        <v>3.18</v>
      </c>
      <c r="F23" s="4">
        <v>3.68</v>
      </c>
      <c r="G23" s="4">
        <v>4.1500000000000004</v>
      </c>
      <c r="H23" s="4">
        <v>4.59</v>
      </c>
      <c r="I23" s="4">
        <v>4.99</v>
      </c>
      <c r="J23" s="4">
        <v>5.7</v>
      </c>
      <c r="K23" s="4">
        <v>6.33</v>
      </c>
      <c r="L23" s="4">
        <v>6.89</v>
      </c>
      <c r="M23" s="4">
        <v>7.28</v>
      </c>
      <c r="N23" s="4">
        <v>7.65</v>
      </c>
      <c r="O23" s="4">
        <v>7.73</v>
      </c>
      <c r="P23" s="4">
        <v>7.81</v>
      </c>
      <c r="Q23" s="4">
        <v>7.85</v>
      </c>
      <c r="R23" s="4">
        <v>7.88</v>
      </c>
      <c r="S23" s="4">
        <v>7.96</v>
      </c>
      <c r="T23" s="4">
        <v>8.0299999999999994</v>
      </c>
    </row>
    <row r="24" spans="1:20" x14ac:dyDescent="0.25">
      <c r="A24" s="5" t="s">
        <v>23</v>
      </c>
      <c r="B24" s="4">
        <v>1.01</v>
      </c>
      <c r="C24" s="4">
        <v>2.0499999999999998</v>
      </c>
      <c r="D24" s="4">
        <v>2.56</v>
      </c>
      <c r="E24" s="4">
        <v>3.06</v>
      </c>
      <c r="F24" s="4">
        <v>3.56</v>
      </c>
      <c r="G24" s="4">
        <v>4.0199999999999996</v>
      </c>
      <c r="H24" s="4">
        <v>4.46</v>
      </c>
      <c r="I24" s="4">
        <v>4.87</v>
      </c>
      <c r="J24" s="4">
        <v>5.59</v>
      </c>
      <c r="K24" s="4">
        <v>6.22</v>
      </c>
      <c r="L24" s="4">
        <v>6.8</v>
      </c>
      <c r="M24" s="4">
        <v>7.21</v>
      </c>
      <c r="N24" s="4">
        <v>7.61</v>
      </c>
      <c r="O24" s="4">
        <v>7.69</v>
      </c>
      <c r="P24" s="4">
        <v>7.77</v>
      </c>
      <c r="Q24" s="4">
        <v>7.82</v>
      </c>
      <c r="R24" s="4">
        <v>7.86</v>
      </c>
      <c r="S24" s="4">
        <v>7.95</v>
      </c>
      <c r="T24" s="4">
        <v>8.0299999999999994</v>
      </c>
    </row>
    <row r="25" spans="1:20" x14ac:dyDescent="0.25">
      <c r="A25" s="5" t="s">
        <v>24</v>
      </c>
      <c r="B25" s="4">
        <v>0.98</v>
      </c>
      <c r="C25" s="4">
        <v>1.98</v>
      </c>
      <c r="D25" s="4">
        <v>2.48</v>
      </c>
      <c r="E25" s="4">
        <v>2.97</v>
      </c>
      <c r="F25" s="4">
        <v>3.46</v>
      </c>
      <c r="G25" s="4">
        <v>3.92</v>
      </c>
      <c r="H25" s="4">
        <v>4.3499999999999996</v>
      </c>
      <c r="I25" s="4">
        <v>4.76</v>
      </c>
      <c r="J25" s="4">
        <v>5.49</v>
      </c>
      <c r="K25" s="4">
        <v>6.13</v>
      </c>
      <c r="L25" s="4">
        <v>6.71</v>
      </c>
      <c r="M25" s="4">
        <v>7.15</v>
      </c>
      <c r="N25" s="4">
        <v>7.56</v>
      </c>
      <c r="O25" s="4">
        <v>7.65</v>
      </c>
      <c r="P25" s="4">
        <v>7.75</v>
      </c>
      <c r="Q25" s="4">
        <v>7.8</v>
      </c>
      <c r="R25" s="4">
        <v>7.84</v>
      </c>
      <c r="S25" s="4">
        <v>7.94</v>
      </c>
      <c r="T25" s="4">
        <v>8.0299999999999994</v>
      </c>
    </row>
    <row r="26" spans="1:20" x14ac:dyDescent="0.25">
      <c r="A26" s="5" t="s">
        <v>25</v>
      </c>
      <c r="B26" s="4">
        <v>0.96</v>
      </c>
      <c r="C26" s="4">
        <v>1.93</v>
      </c>
      <c r="D26" s="4">
        <v>2.42</v>
      </c>
      <c r="E26" s="4">
        <v>2.9</v>
      </c>
      <c r="F26" s="4">
        <v>3.37</v>
      </c>
      <c r="G26" s="4">
        <v>3.83</v>
      </c>
      <c r="H26" s="4">
        <v>4.26</v>
      </c>
      <c r="I26" s="4">
        <v>4.67</v>
      </c>
      <c r="J26" s="4">
        <v>5.4</v>
      </c>
      <c r="K26" s="4">
        <v>6.05</v>
      </c>
      <c r="L26" s="4">
        <v>6.63</v>
      </c>
      <c r="M26" s="4">
        <v>7.08</v>
      </c>
      <c r="N26" s="4">
        <v>7.52</v>
      </c>
      <c r="O26" s="4">
        <v>7.62</v>
      </c>
      <c r="P26" s="4">
        <v>7.72</v>
      </c>
      <c r="Q26" s="4">
        <v>7.77</v>
      </c>
      <c r="R26" s="4">
        <v>7.82</v>
      </c>
      <c r="S26" s="4">
        <v>7.92</v>
      </c>
      <c r="T26" s="4">
        <v>8.02</v>
      </c>
    </row>
    <row r="27" spans="1:20" x14ac:dyDescent="0.25">
      <c r="A27" s="5" t="s">
        <v>26</v>
      </c>
      <c r="B27" s="4">
        <v>0.93</v>
      </c>
      <c r="C27" s="4">
        <v>1.89</v>
      </c>
      <c r="D27" s="4">
        <v>2.36</v>
      </c>
      <c r="E27" s="4">
        <v>2.83</v>
      </c>
      <c r="F27" s="4">
        <v>3.3</v>
      </c>
      <c r="G27" s="4">
        <v>3.75</v>
      </c>
      <c r="H27" s="4">
        <v>4.18</v>
      </c>
      <c r="I27" s="4">
        <v>4.59</v>
      </c>
      <c r="J27" s="4">
        <v>5.33</v>
      </c>
      <c r="K27" s="4">
        <v>5.98</v>
      </c>
      <c r="L27" s="4">
        <v>6.57</v>
      </c>
      <c r="M27" s="4">
        <v>7.03</v>
      </c>
      <c r="N27" s="4">
        <v>7.48</v>
      </c>
      <c r="O27" s="4">
        <v>7.59</v>
      </c>
      <c r="P27" s="4">
        <v>7.7</v>
      </c>
      <c r="Q27" s="4">
        <v>7.75</v>
      </c>
      <c r="R27" s="4">
        <v>7.8</v>
      </c>
      <c r="S27" s="4">
        <v>7.91</v>
      </c>
      <c r="T27" s="4">
        <v>8.02</v>
      </c>
    </row>
    <row r="28" spans="1:20" x14ac:dyDescent="0.25">
      <c r="A28" s="5" t="s">
        <v>27</v>
      </c>
      <c r="B28" s="4">
        <v>0.92</v>
      </c>
      <c r="C28" s="4">
        <v>1.85</v>
      </c>
      <c r="D28" s="4">
        <v>2.3199999999999998</v>
      </c>
      <c r="E28" s="4">
        <v>2.78</v>
      </c>
      <c r="F28" s="4">
        <v>3.24</v>
      </c>
      <c r="G28" s="4">
        <v>3.69</v>
      </c>
      <c r="H28" s="4">
        <v>4.12</v>
      </c>
      <c r="I28" s="4">
        <v>4.5199999999999996</v>
      </c>
      <c r="J28" s="4">
        <v>5.26</v>
      </c>
      <c r="K28" s="4">
        <v>5.91</v>
      </c>
      <c r="L28" s="4">
        <v>6.5</v>
      </c>
      <c r="M28" s="4">
        <v>6.98</v>
      </c>
      <c r="N28" s="4">
        <v>7.45</v>
      </c>
      <c r="O28" s="4">
        <v>7.56</v>
      </c>
      <c r="P28" s="4">
        <v>7.68</v>
      </c>
      <c r="Q28" s="4">
        <v>7.73</v>
      </c>
      <c r="R28" s="4">
        <v>7.79</v>
      </c>
      <c r="S28" s="4">
        <v>7.91</v>
      </c>
      <c r="T28" s="4">
        <v>8.0299999999999994</v>
      </c>
    </row>
    <row r="29" spans="1:20" x14ac:dyDescent="0.25">
      <c r="A29" s="5" t="s">
        <v>28</v>
      </c>
      <c r="B29" s="4">
        <v>0.9</v>
      </c>
      <c r="C29" s="4">
        <v>1.83</v>
      </c>
      <c r="D29" s="4">
        <v>2.29</v>
      </c>
      <c r="E29" s="4">
        <v>2.74</v>
      </c>
      <c r="F29" s="4">
        <v>3.2</v>
      </c>
      <c r="G29" s="4">
        <v>3.64</v>
      </c>
      <c r="H29" s="4">
        <v>4.07</v>
      </c>
      <c r="I29" s="4">
        <v>4.47</v>
      </c>
      <c r="J29" s="4">
        <v>5.2</v>
      </c>
      <c r="K29" s="4">
        <v>5.86</v>
      </c>
      <c r="L29" s="4">
        <v>6.46</v>
      </c>
      <c r="M29" s="4">
        <v>6.94</v>
      </c>
      <c r="N29" s="4">
        <v>7.41</v>
      </c>
      <c r="O29" s="4">
        <v>7.54</v>
      </c>
      <c r="P29" s="4">
        <v>7.66</v>
      </c>
      <c r="Q29" s="4">
        <v>7.72</v>
      </c>
      <c r="R29" s="4">
        <v>7.78</v>
      </c>
      <c r="S29" s="4">
        <v>7.9</v>
      </c>
      <c r="T29" s="4">
        <v>8.0299999999999994</v>
      </c>
    </row>
    <row r="30" spans="1:20" x14ac:dyDescent="0.25">
      <c r="A30" s="5" t="s">
        <v>29</v>
      </c>
      <c r="B30" s="4">
        <v>0.89</v>
      </c>
      <c r="C30" s="4">
        <v>1.81</v>
      </c>
      <c r="D30" s="4">
        <v>2.2599999999999998</v>
      </c>
      <c r="E30" s="4">
        <v>2.72</v>
      </c>
      <c r="F30" s="4">
        <v>3.16</v>
      </c>
      <c r="G30" s="4">
        <v>3.6</v>
      </c>
      <c r="H30" s="4">
        <v>4.0199999999999996</v>
      </c>
      <c r="I30" s="4">
        <v>4.43</v>
      </c>
      <c r="J30" s="4">
        <v>5.16</v>
      </c>
      <c r="K30" s="4">
        <v>5.82</v>
      </c>
      <c r="L30" s="4">
        <v>6.42</v>
      </c>
      <c r="M30" s="4">
        <v>6.9</v>
      </c>
      <c r="N30" s="4">
        <v>7.38</v>
      </c>
      <c r="O30" s="4">
        <v>7.5</v>
      </c>
      <c r="P30" s="4">
        <v>7.64</v>
      </c>
      <c r="Q30" s="4">
        <v>7.7</v>
      </c>
      <c r="R30" s="4">
        <v>7.77</v>
      </c>
      <c r="S30" s="4">
        <v>7.9</v>
      </c>
      <c r="T30" s="4">
        <v>8.0299999999999994</v>
      </c>
    </row>
    <row r="31" spans="1:20" x14ac:dyDescent="0.25">
      <c r="A31" s="5" t="s">
        <v>30</v>
      </c>
      <c r="B31" s="4">
        <v>0.89</v>
      </c>
      <c r="C31" s="4">
        <v>1.79</v>
      </c>
      <c r="D31" s="4">
        <v>2.2400000000000002</v>
      </c>
      <c r="E31" s="4">
        <v>2.69</v>
      </c>
      <c r="F31" s="4">
        <v>3.13</v>
      </c>
      <c r="G31" s="4">
        <v>3.57</v>
      </c>
      <c r="H31" s="4">
        <v>3.99</v>
      </c>
      <c r="I31" s="4">
        <v>4.38</v>
      </c>
      <c r="J31" s="4">
        <v>5.13</v>
      </c>
      <c r="K31" s="4">
        <v>5.78</v>
      </c>
      <c r="L31" s="4">
        <v>6.38</v>
      </c>
      <c r="M31" s="4">
        <v>6.87</v>
      </c>
      <c r="N31" s="4">
        <v>7.35</v>
      </c>
      <c r="O31" s="4">
        <v>7.49</v>
      </c>
      <c r="P31" s="4">
        <v>7.63</v>
      </c>
      <c r="Q31" s="4">
        <v>7.7</v>
      </c>
      <c r="R31" s="4">
        <v>7.77</v>
      </c>
      <c r="S31" s="4">
        <v>7.91</v>
      </c>
      <c r="T31" s="4">
        <v>8.0500000000000007</v>
      </c>
    </row>
    <row r="32" spans="1:20" x14ac:dyDescent="0.25">
      <c r="A32" s="5" t="s">
        <v>31</v>
      </c>
      <c r="B32" s="4">
        <v>0.88</v>
      </c>
      <c r="C32" s="4">
        <v>1.78</v>
      </c>
      <c r="D32" s="4">
        <v>2.23</v>
      </c>
      <c r="E32" s="4">
        <v>2.67</v>
      </c>
      <c r="F32" s="4">
        <v>3.11</v>
      </c>
      <c r="G32" s="4">
        <v>3.54</v>
      </c>
      <c r="H32" s="4">
        <v>3.96</v>
      </c>
      <c r="I32" s="4">
        <v>4.3600000000000003</v>
      </c>
      <c r="J32" s="4">
        <v>5.0999999999999996</v>
      </c>
      <c r="K32" s="4">
        <v>5.75</v>
      </c>
      <c r="L32" s="4">
        <v>6.35</v>
      </c>
      <c r="M32" s="4">
        <v>6.84</v>
      </c>
      <c r="N32" s="4">
        <v>7.33</v>
      </c>
      <c r="O32" s="4">
        <v>7.48</v>
      </c>
      <c r="P32" s="4">
        <v>7.62</v>
      </c>
      <c r="Q32" s="4">
        <v>7.7</v>
      </c>
      <c r="R32" s="4">
        <v>7.77</v>
      </c>
      <c r="S32" s="4">
        <v>7.92</v>
      </c>
      <c r="T32" s="4">
        <v>8.06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A4AA-ED69-43D1-B80F-8BE328AE821F}">
  <dimension ref="A1:AT75"/>
  <sheetViews>
    <sheetView topLeftCell="F1" workbookViewId="0">
      <selection activeCell="C40" sqref="C40:D75"/>
    </sheetView>
  </sheetViews>
  <sheetFormatPr defaultRowHeight="15" x14ac:dyDescent="0.25"/>
  <cols>
    <col min="2" max="2" width="9.140625" style="4"/>
  </cols>
  <sheetData>
    <row r="1" spans="1:46" s="4" customFormat="1" x14ac:dyDescent="0.25">
      <c r="C1" s="3">
        <v>1</v>
      </c>
      <c r="D1" s="2"/>
      <c r="E1" s="3">
        <f>C1+1</f>
        <v>2</v>
      </c>
      <c r="F1" s="2"/>
      <c r="G1" s="3">
        <f t="shared" ref="G1" si="0">E1+1</f>
        <v>3</v>
      </c>
      <c r="H1" s="2"/>
      <c r="I1" s="3">
        <f t="shared" ref="I1" si="1">G1+1</f>
        <v>4</v>
      </c>
      <c r="J1" s="2"/>
      <c r="K1" s="3">
        <f t="shared" ref="K1" si="2">I1+1</f>
        <v>5</v>
      </c>
      <c r="L1" s="2"/>
      <c r="M1" s="3">
        <f t="shared" ref="M1" si="3">K1+1</f>
        <v>6</v>
      </c>
      <c r="N1" s="2"/>
      <c r="O1" s="3">
        <f t="shared" ref="O1" si="4">M1+1</f>
        <v>7</v>
      </c>
      <c r="P1" s="2"/>
      <c r="Q1" s="3">
        <f t="shared" ref="Q1" si="5">O1+1</f>
        <v>8</v>
      </c>
      <c r="R1" s="2"/>
      <c r="S1" s="3">
        <f t="shared" ref="S1" si="6">Q1+1</f>
        <v>9</v>
      </c>
      <c r="T1" s="2"/>
      <c r="U1" s="3">
        <f t="shared" ref="U1" si="7">S1+1</f>
        <v>10</v>
      </c>
      <c r="V1" s="2"/>
      <c r="W1" s="3">
        <f t="shared" ref="W1" si="8">U1+1</f>
        <v>11</v>
      </c>
      <c r="X1" s="2"/>
      <c r="Y1" s="3">
        <f t="shared" ref="Y1" si="9">W1+1</f>
        <v>12</v>
      </c>
      <c r="Z1" s="2"/>
      <c r="AA1" s="3">
        <f t="shared" ref="AA1" si="10">Y1+1</f>
        <v>13</v>
      </c>
      <c r="AB1" s="2"/>
      <c r="AC1" s="3">
        <f t="shared" ref="AC1" si="11">AA1+1</f>
        <v>14</v>
      </c>
      <c r="AD1" s="2"/>
      <c r="AE1" s="3">
        <f t="shared" ref="AE1" si="12">AC1+1</f>
        <v>15</v>
      </c>
      <c r="AF1" s="2"/>
      <c r="AG1" s="3">
        <f t="shared" ref="AG1" si="13">AE1+1</f>
        <v>16</v>
      </c>
      <c r="AH1" s="2"/>
      <c r="AI1" s="3">
        <f t="shared" ref="AI1" si="14">AG1+1</f>
        <v>17</v>
      </c>
      <c r="AJ1" s="2"/>
      <c r="AK1" s="3">
        <f t="shared" ref="AK1" si="15">AI1+1</f>
        <v>18</v>
      </c>
      <c r="AL1" s="2"/>
      <c r="AM1" s="3">
        <f t="shared" ref="AM1" si="16">AK1+1</f>
        <v>19</v>
      </c>
      <c r="AN1" s="2"/>
      <c r="AO1" s="3"/>
      <c r="AP1" s="2"/>
      <c r="AQ1" s="3"/>
      <c r="AR1" s="2"/>
      <c r="AS1" s="3"/>
      <c r="AT1" s="2"/>
    </row>
    <row r="2" spans="1:46" s="4" customFormat="1" x14ac:dyDescent="0.25">
      <c r="A2" s="2" t="s">
        <v>33</v>
      </c>
      <c r="B2" s="1"/>
      <c r="C2" t="s">
        <v>34</v>
      </c>
      <c r="D2" t="s">
        <v>35</v>
      </c>
      <c r="E2" s="4" t="s">
        <v>34</v>
      </c>
      <c r="F2" s="4" t="s">
        <v>35</v>
      </c>
    </row>
    <row r="3" spans="1:46" x14ac:dyDescent="0.25">
      <c r="A3" s="2"/>
      <c r="B3" s="1">
        <v>1</v>
      </c>
      <c r="C3" s="2" cm="1">
        <f t="array" ref="C3">INDEX(FromSimSail!$B$1:$T$32,$B3,C$1)</f>
        <v>2</v>
      </c>
      <c r="D3" s="2"/>
      <c r="E3" s="2" cm="1">
        <f t="array" ref="E3">INDEX(FromSimSail!$B$1:$T$32,$B3,E$1)</f>
        <v>4</v>
      </c>
      <c r="F3" s="2"/>
      <c r="G3" s="2" cm="1">
        <f t="array" ref="G3">INDEX(FromSimSail!$B$1:$T$32,$B3,G$1)</f>
        <v>5</v>
      </c>
      <c r="H3" s="2"/>
      <c r="I3" s="2" cm="1">
        <f t="array" ref="I3">INDEX(FromSimSail!$B$1:$T$32,$B3,I$1)</f>
        <v>6</v>
      </c>
      <c r="J3" s="2"/>
      <c r="K3" s="2" cm="1">
        <f t="array" ref="K3">INDEX(FromSimSail!$B$1:$T$32,$B3,K$1)</f>
        <v>7</v>
      </c>
      <c r="L3" s="2"/>
      <c r="M3" s="2" cm="1">
        <f t="array" ref="M3">INDEX(FromSimSail!$B$1:$T$32,$B3,M$1)</f>
        <v>8</v>
      </c>
      <c r="N3" s="2"/>
      <c r="O3" s="2" cm="1">
        <f t="array" ref="O3">INDEX(FromSimSail!$B$1:$T$32,$B3,O$1)</f>
        <v>9</v>
      </c>
      <c r="P3" s="2"/>
      <c r="Q3" s="2" cm="1">
        <f t="array" ref="Q3">INDEX(FromSimSail!$B$1:$T$32,$B3,Q$1)</f>
        <v>10</v>
      </c>
      <c r="R3" s="2"/>
      <c r="S3" s="2" cm="1">
        <f t="array" ref="S3">INDEX(FromSimSail!$B$1:$T$32,$B3,S$1)</f>
        <v>12</v>
      </c>
      <c r="T3" s="2"/>
      <c r="U3" s="2" cm="1">
        <f t="array" ref="U3">INDEX(FromSimSail!$B$1:$T$32,$B3,U$1)</f>
        <v>14</v>
      </c>
      <c r="V3" s="2"/>
      <c r="W3" s="2" cm="1">
        <f t="array" ref="W3">INDEX(FromSimSail!$B$1:$T$32,$B3,W$1)</f>
        <v>16</v>
      </c>
      <c r="X3" s="2"/>
      <c r="Y3" s="2" cm="1">
        <f t="array" ref="Y3">INDEX(FromSimSail!$B$1:$T$32,$B3,Y$1)</f>
        <v>18</v>
      </c>
      <c r="Z3" s="2"/>
      <c r="AA3" s="2" cm="1">
        <f t="array" ref="AA3">INDEX(FromSimSail!$B$1:$T$32,$B3,AA$1)</f>
        <v>20</v>
      </c>
      <c r="AB3" s="2"/>
      <c r="AC3" s="2" cm="1">
        <f t="array" ref="AC3">INDEX(FromSimSail!$B$1:$T$32,$B3,AC$1)</f>
        <v>22</v>
      </c>
      <c r="AD3" s="2"/>
      <c r="AE3" s="2" cm="1">
        <f t="array" ref="AE3">INDEX(FromSimSail!$B$1:$T$32,$B3,AE$1)</f>
        <v>24</v>
      </c>
      <c r="AF3" s="2"/>
      <c r="AG3" s="2" cm="1">
        <f t="array" ref="AG3">INDEX(FromSimSail!$B$1:$T$32,$B3,AG$1)</f>
        <v>25</v>
      </c>
      <c r="AH3" s="2"/>
      <c r="AI3" s="2" cm="1">
        <f t="array" ref="AI3">INDEX(FromSimSail!$B$1:$T$32,$B3,AI$1)</f>
        <v>26</v>
      </c>
      <c r="AJ3" s="2"/>
      <c r="AK3" s="2" cm="1">
        <f t="array" ref="AK3">INDEX(FromSimSail!$B$1:$T$32,$B3,AK$1)</f>
        <v>28</v>
      </c>
      <c r="AL3" s="2"/>
      <c r="AM3" s="2" cm="1">
        <f t="array" ref="AM3">INDEX(FromSimSail!$B$1:$T$32,$B3,AM$1)</f>
        <v>30</v>
      </c>
      <c r="AN3" s="2"/>
    </row>
    <row r="4" spans="1:46" x14ac:dyDescent="0.25">
      <c r="A4">
        <f>FromSimSail!A2*Info!$B$3</f>
        <v>0.52359877559829882</v>
      </c>
      <c r="B4" s="4">
        <f>B3+1</f>
        <v>2</v>
      </c>
      <c r="C4" s="4" cm="1">
        <f t="array" ref="C4">INDEX(FromSimSail!$B$1:$T$32,$B4,C$1)*SIN($A4)</f>
        <v>0.40999999999999992</v>
      </c>
      <c r="D4" s="4" cm="1">
        <f t="array" ref="D4">INDEX(FromSimSail!$B$1:$T$32,$B4,C$1)*COS($A4)</f>
        <v>0.71014083110323967</v>
      </c>
      <c r="E4" s="4" cm="1">
        <f t="array" ref="E4">INDEX(FromSimSail!$B$1:$T$32,$B4,E$1)*SIN($A4)</f>
        <v>0.82999999999999985</v>
      </c>
      <c r="F4" s="4" cm="1">
        <f t="array" ref="F4">INDEX(FromSimSail!$B$1:$T$32,$B4,E$1)*COS($A4)</f>
        <v>1.4376021702821682</v>
      </c>
      <c r="G4" s="4" cm="1">
        <f t="array" ref="G4">INDEX(FromSimSail!$B$1:$T$32,$B4,G$1)*SIN($A4)</f>
        <v>1.0299999999999998</v>
      </c>
      <c r="H4" s="4" cm="1">
        <f t="array" ref="H4">INDEX(FromSimSail!$B$1:$T$32,$B4,G$1)*COS($A4)</f>
        <v>1.7840123317959438</v>
      </c>
      <c r="I4" s="4" cm="1">
        <f t="array" ref="I4">INDEX(FromSimSail!$B$1:$T$32,$B4,I$1)*SIN($A4)</f>
        <v>1.2149999999999999</v>
      </c>
      <c r="J4" s="4" cm="1">
        <f t="array" ref="J4">INDEX(FromSimSail!$B$1:$T$32,$B4,I$1)*COS($A4)</f>
        <v>2.1044417311961863</v>
      </c>
      <c r="K4" s="4" cm="1">
        <f t="array" ref="K4">INDEX(FromSimSail!$B$1:$T$32,$B4,K$1)*SIN($A4)</f>
        <v>1.3699999999999999</v>
      </c>
      <c r="L4" s="4" cm="1">
        <f t="array" ref="L4">INDEX(FromSimSail!$B$1:$T$32,$B4,K$1)*COS($A4)</f>
        <v>2.3729096063693622</v>
      </c>
      <c r="M4" s="4" cm="1">
        <f t="array" ref="M4">INDEX(FromSimSail!$B$1:$T$32,$B4,M$1)*SIN($A4)</f>
        <v>1.5149999999999997</v>
      </c>
      <c r="N4" s="4" cm="1">
        <f t="array" ref="N4">INDEX(FromSimSail!$B$1:$T$32,$B4,M$1)*COS($A4)</f>
        <v>2.6240569734668493</v>
      </c>
      <c r="O4" s="4" cm="1">
        <f t="array" ref="O4">INDEX(FromSimSail!$B$1:$T$32,$B4,O$1)*SIN($A4)</f>
        <v>1.6449999999999998</v>
      </c>
      <c r="P4" s="4" cm="1">
        <f t="array" ref="P4">INDEX(FromSimSail!$B$1:$T$32,$B4,O$1)*COS($A4)</f>
        <v>2.8492235784508035</v>
      </c>
      <c r="Q4" s="4" cm="1">
        <f t="array" ref="Q4">INDEX(FromSimSail!$B$1:$T$32,$B4,Q$1)*SIN($A4)</f>
        <v>1.7699999999999998</v>
      </c>
      <c r="R4" s="4" cm="1">
        <f t="array" ref="R4">INDEX(FromSimSail!$B$1:$T$32,$B4,Q$1)*COS($A4)</f>
        <v>3.0657299293969129</v>
      </c>
      <c r="S4" s="4" cm="1">
        <f t="array" ref="S4">INDEX(FromSimSail!$B$1:$T$32,$B4,S$1)*SIN($A4)</f>
        <v>1.9599999999999997</v>
      </c>
      <c r="T4" s="4" cm="1">
        <f t="array" ref="T4">INDEX(FromSimSail!$B$1:$T$32,$B4,S$1)*COS($A4)</f>
        <v>3.3948195828349998</v>
      </c>
      <c r="U4" s="4" cm="1">
        <f t="array" ref="U4">INDEX(FromSimSail!$B$1:$T$32,$B4,U$1)*SIN($A4)</f>
        <v>2.1599999999999997</v>
      </c>
      <c r="V4" s="4" cm="1">
        <f t="array" ref="V4">INDEX(FromSimSail!$B$1:$T$32,$B4,U$1)*COS($A4)</f>
        <v>3.7412297443487756</v>
      </c>
      <c r="W4" s="4" cm="1">
        <f t="array" ref="W4">INDEX(FromSimSail!$B$1:$T$32,$B4,W$1)*SIN($A4)</f>
        <v>2.2149999999999994</v>
      </c>
      <c r="X4" s="4" cm="1">
        <f t="array" ref="X4">INDEX(FromSimSail!$B$1:$T$32,$B4,W$1)*COS($A4)</f>
        <v>3.836492538765063</v>
      </c>
      <c r="Y4" s="4" cm="1">
        <f t="array" ref="Y4">INDEX(FromSimSail!$B$1:$T$32,$B4,Y$1)*SIN($A4)</f>
        <v>2.2799999999999994</v>
      </c>
      <c r="Z4" s="4" cm="1">
        <f t="array" ref="Z4">INDEX(FromSimSail!$B$1:$T$32,$B4,Y$1)*COS($A4)</f>
        <v>3.9490758412570401</v>
      </c>
      <c r="AA4" s="4" cm="1">
        <f t="array" ref="AA4">INDEX(FromSimSail!$B$1:$T$32,$B4,AA$1)*SIN($A4)</f>
        <v>2.3649999999999998</v>
      </c>
      <c r="AB4" s="4" cm="1">
        <f t="array" ref="AB4">INDEX(FromSimSail!$B$1:$T$32,$B4,AA$1)*COS($A4)</f>
        <v>4.0963001599003954</v>
      </c>
      <c r="AC4" s="4" cm="1">
        <f t="array" ref="AC4">INDEX(FromSimSail!$B$1:$T$32,$B4,AC$1)*SIN($A4)</f>
        <v>2.3349999999999995</v>
      </c>
      <c r="AD4" s="4" cm="1">
        <f t="array" ref="AD4">INDEX(FromSimSail!$B$1:$T$32,$B4,AC$1)*COS($A4)</f>
        <v>4.0443386356733289</v>
      </c>
      <c r="AE4" s="4" cm="1">
        <f t="array" ref="AE4">INDEX(FromSimSail!$B$1:$T$32,$B4,AE$1)*SIN($A4)</f>
        <v>2.3049999999999997</v>
      </c>
      <c r="AF4" s="4" cm="1">
        <f t="array" ref="AF4">INDEX(FromSimSail!$B$1:$T$32,$B4,AE$1)*COS($A4)</f>
        <v>3.9923771114462627</v>
      </c>
      <c r="AG4" s="4" cm="1">
        <f t="array" ref="AG4">INDEX(FromSimSail!$B$1:$T$32,$B4,AG$1)*SIN($A4)</f>
        <v>2.2899999999999996</v>
      </c>
      <c r="AH4" s="4" cm="1">
        <f t="array" ref="AH4">INDEX(FromSimSail!$B$1:$T$32,$B4,AG$1)*COS($A4)</f>
        <v>3.9663963493327294</v>
      </c>
      <c r="AI4" s="4" cm="1">
        <f t="array" ref="AI4">INDEX(FromSimSail!$B$1:$T$32,$B4,AI$1)*SIN($A4)</f>
        <v>2.2749999999999995</v>
      </c>
      <c r="AJ4" s="4" cm="1">
        <f t="array" ref="AJ4">INDEX(FromSimSail!$B$1:$T$32,$B4,AI$1)*COS($A4)</f>
        <v>3.9404155872191962</v>
      </c>
      <c r="AK4" s="4" cm="1">
        <f t="array" ref="AK4">INDEX(FromSimSail!$B$1:$T$32,$B4,AK$1)*SIN($A4)</f>
        <v>2.2399999999999998</v>
      </c>
      <c r="AL4" s="4" cm="1">
        <f t="array" ref="AL4">INDEX(FromSimSail!$B$1:$T$32,$B4,AK$1)*COS($A4)</f>
        <v>3.8797938089542856</v>
      </c>
      <c r="AM4" s="4" cm="1">
        <f t="array" ref="AM4">INDEX(FromSimSail!$B$1:$T$32,$B4,AM$1)*SIN($A4)</f>
        <v>2.2099999999999995</v>
      </c>
      <c r="AN4" s="4" cm="1">
        <f t="array" ref="AN4">INDEX(FromSimSail!$B$1:$T$32,$B4,AM$1)*COS($A4)</f>
        <v>3.827832284727219</v>
      </c>
    </row>
    <row r="5" spans="1:46" x14ac:dyDescent="0.25">
      <c r="A5" s="4">
        <f>FromSimSail!A3*Info!$B$3</f>
        <v>0.6108652381980153</v>
      </c>
      <c r="B5" s="4">
        <f t="shared" ref="B5:B34" si="17">B4+1</f>
        <v>3</v>
      </c>
      <c r="C5" s="4" cm="1">
        <f t="array" ref="C5">INDEX(FromSimSail!$B$1:$T$32,$B5,C$1)*SIN($A5)</f>
        <v>0.54489761453349372</v>
      </c>
      <c r="D5" s="4" cm="1">
        <f t="array" ref="D5">INDEX(FromSimSail!$B$1:$T$32,$B5,C$1)*COS($A5)</f>
        <v>0.77819444207454214</v>
      </c>
      <c r="E5" s="4" cm="1">
        <f t="array" ref="E5">INDEX(FromSimSail!$B$1:$T$32,$B5,E$1)*SIN($A5)</f>
        <v>1.1070025221575188</v>
      </c>
      <c r="F5" s="4" cm="1">
        <f t="array" ref="F5">INDEX(FromSimSail!$B$1:$T$32,$B5,E$1)*COS($A5)</f>
        <v>1.5809634454777541</v>
      </c>
      <c r="G5" s="4" cm="1">
        <f t="array" ref="G5">INDEX(FromSimSail!$B$1:$T$32,$B5,G$1)*SIN($A5)</f>
        <v>1.3765834472425105</v>
      </c>
      <c r="H5" s="4" cm="1">
        <f t="array" ref="H5">INDEX(FromSimSail!$B$1:$T$32,$B5,G$1)*COS($A5)</f>
        <v>1.9659649062935802</v>
      </c>
      <c r="I5" s="4" cm="1">
        <f t="array" ref="I5">INDEX(FromSimSail!$B$1:$T$32,$B5,I$1)*SIN($A5)</f>
        <v>1.6289570792369708</v>
      </c>
      <c r="J5" s="4" cm="1">
        <f t="array" ref="J5">INDEX(FromSimSail!$B$1:$T$32,$B5,I$1)*COS($A5)</f>
        <v>2.3263918057807365</v>
      </c>
      <c r="K5" s="4" cm="1">
        <f t="array" ref="K5">INDEX(FromSimSail!$B$1:$T$32,$B5,K$1)*SIN($A5)</f>
        <v>1.8469161250503683</v>
      </c>
      <c r="L5" s="4" cm="1">
        <f t="array" ref="L5">INDEX(FromSimSail!$B$1:$T$32,$B5,K$1)*COS($A5)</f>
        <v>2.6376695826105538</v>
      </c>
      <c r="M5" s="4" cm="1">
        <f t="array" ref="M5">INDEX(FromSimSail!$B$1:$T$32,$B5,M$1)*SIN($A5)</f>
        <v>2.0419321134097239</v>
      </c>
      <c r="N5" s="4" cm="1">
        <f t="array" ref="N5">INDEX(FromSimSail!$B$1:$T$32,$B5,M$1)*COS($A5)</f>
        <v>2.916181277668811</v>
      </c>
      <c r="O5" s="4" cm="1">
        <f t="array" ref="O5">INDEX(FromSimSail!$B$1:$T$32,$B5,O$1)*SIN($A5)</f>
        <v>2.2254765730420587</v>
      </c>
      <c r="P5" s="4" cm="1">
        <f t="array" ref="P5">INDEX(FromSimSail!$B$1:$T$32,$B5,O$1)*COS($A5)</f>
        <v>3.1783099318412882</v>
      </c>
      <c r="Q5" s="4" cm="1">
        <f t="array" ref="Q5">INDEX(FromSimSail!$B$1:$T$32,$B5,Q$1)*SIN($A5)</f>
        <v>2.3803422108568415</v>
      </c>
      <c r="R5" s="4" cm="1">
        <f t="array" ref="R5">INDEX(FromSimSail!$B$1:$T$32,$B5,Q$1)*COS($A5)</f>
        <v>3.3994809837993163</v>
      </c>
      <c r="S5" s="4" cm="1">
        <f t="array" ref="S5">INDEX(FromSimSail!$B$1:$T$32,$B5,S$1)*SIN($A5)</f>
        <v>2.6327158428513013</v>
      </c>
      <c r="T5" s="4" cm="1">
        <f t="array" ref="T5">INDEX(FromSimSail!$B$1:$T$32,$B5,S$1)*COS($A5)</f>
        <v>3.7599078832864721</v>
      </c>
      <c r="U5" s="4" cm="1">
        <f t="array" ref="U5">INDEX(FromSimSail!$B$1:$T$32,$B5,U$1)*SIN($A5)</f>
        <v>2.8850894748457616</v>
      </c>
      <c r="V5" s="4" cm="1">
        <f t="array" ref="V5">INDEX(FromSimSail!$B$1:$T$32,$B5,U$1)*COS($A5)</f>
        <v>4.1203347827736287</v>
      </c>
      <c r="W5" s="4" cm="1">
        <f t="array" ref="W5">INDEX(FromSimSail!$B$1:$T$32,$B5,W$1)*SIN($A5)</f>
        <v>2.9653901759349082</v>
      </c>
      <c r="X5" s="4" cm="1">
        <f t="array" ref="X5">INDEX(FromSimSail!$B$1:$T$32,$B5,W$1)*COS($A5)</f>
        <v>4.2350160689740877</v>
      </c>
      <c r="Y5" s="4" cm="1">
        <f t="array" ref="Y5">INDEX(FromSimSail!$B$1:$T$32,$B5,Y$1)*SIN($A5)</f>
        <v>3.0571624057510753</v>
      </c>
      <c r="Z5" s="4" cm="1">
        <f t="array" ref="Z5">INDEX(FromSimSail!$B$1:$T$32,$B5,Y$1)*COS($A5)</f>
        <v>4.3660803960603261</v>
      </c>
      <c r="AA5" s="4" cm="1">
        <f t="array" ref="AA5">INDEX(FromSimSail!$B$1:$T$32,$B5,AA$1)*SIN($A5)</f>
        <v>3.1776134573847949</v>
      </c>
      <c r="AB5" s="4" cm="1">
        <f t="array" ref="AB5">INDEX(FromSimSail!$B$1:$T$32,$B5,AA$1)*COS($A5)</f>
        <v>4.5381023253610149</v>
      </c>
      <c r="AC5" s="4" cm="1">
        <f t="array" ref="AC5">INDEX(FromSimSail!$B$1:$T$32,$B5,AC$1)*SIN($A5)</f>
        <v>3.1431988712037326</v>
      </c>
      <c r="AD5" s="4" cm="1">
        <f t="array" ref="AD5">INDEX(FromSimSail!$B$1:$T$32,$B5,AC$1)*COS($A5)</f>
        <v>4.4889532027036756</v>
      </c>
      <c r="AE5" s="4" cm="1">
        <f t="array" ref="AE5">INDEX(FromSimSail!$B$1:$T$32,$B5,AE$1)*SIN($A5)</f>
        <v>3.1030485206591591</v>
      </c>
      <c r="AF5" s="4" cm="1">
        <f t="array" ref="AF5">INDEX(FromSimSail!$B$1:$T$32,$B5,AE$1)*COS($A5)</f>
        <v>4.4316125596034457</v>
      </c>
      <c r="AG5" s="4" cm="1">
        <f t="array" ref="AG5">INDEX(FromSimSail!$B$1:$T$32,$B5,AG$1)*SIN($A5)</f>
        <v>3.0858412275686278</v>
      </c>
      <c r="AH5" s="4" cm="1">
        <f t="array" ref="AH5">INDEX(FromSimSail!$B$1:$T$32,$B5,AG$1)*COS($A5)</f>
        <v>4.4070379982747756</v>
      </c>
      <c r="AI5" s="4" cm="1">
        <f t="array" ref="AI5">INDEX(FromSimSail!$B$1:$T$32,$B5,AI$1)*SIN($A5)</f>
        <v>3.0628981701145856</v>
      </c>
      <c r="AJ5" s="4" cm="1">
        <f t="array" ref="AJ5">INDEX(FromSimSail!$B$1:$T$32,$B5,AI$1)*COS($A5)</f>
        <v>4.3742719165032158</v>
      </c>
      <c r="AK5" s="4" cm="1">
        <f t="array" ref="AK5">INDEX(FromSimSail!$B$1:$T$32,$B5,AK$1)*SIN($A5)</f>
        <v>3.0227478195700126</v>
      </c>
      <c r="AL5" s="4" cm="1">
        <f t="array" ref="AL5">INDEX(FromSimSail!$B$1:$T$32,$B5,AK$1)*COS($A5)</f>
        <v>4.3169312734029868</v>
      </c>
      <c r="AM5" s="4" cm="1">
        <f t="array" ref="AM5">INDEX(FromSimSail!$B$1:$T$32,$B5,AM$1)*SIN($A5)</f>
        <v>2.9825974690254395</v>
      </c>
      <c r="AN5" s="4" cm="1">
        <f t="array" ref="AN5">INDEX(FromSimSail!$B$1:$T$32,$B5,AM$1)*COS($A5)</f>
        <v>4.2595906303027578</v>
      </c>
    </row>
    <row r="6" spans="1:46" x14ac:dyDescent="0.25">
      <c r="A6" s="4">
        <f>FromSimSail!A4*Info!$B$3</f>
        <v>0.69813170079773179</v>
      </c>
      <c r="B6" s="4">
        <f t="shared" si="17"/>
        <v>4</v>
      </c>
      <c r="C6" s="4" cm="1">
        <f t="array" ref="C6">INDEX(FromSimSail!$B$1:$T$32,$B6,C$1)*SIN($A6)</f>
        <v>0.70706637065519329</v>
      </c>
      <c r="D6" s="4" cm="1">
        <f t="array" ref="D6">INDEX(FromSimSail!$B$1:$T$32,$B6,C$1)*COS($A6)</f>
        <v>0.84264888743087585</v>
      </c>
      <c r="E6" s="4" cm="1">
        <f t="array" ref="E6">INDEX(FromSimSail!$B$1:$T$32,$B6,E$1)*SIN($A6)</f>
        <v>1.4205606174072518</v>
      </c>
      <c r="F6" s="4" cm="1">
        <f t="array" ref="F6">INDEX(FromSimSail!$B$1:$T$32,$B6,E$1)*COS($A6)</f>
        <v>1.6929582192929413</v>
      </c>
      <c r="G6" s="4" cm="1">
        <f t="array" ref="G6">INDEX(FromSimSail!$B$1:$T$32,$B6,G$1)*SIN($A6)</f>
        <v>1.7740938027348483</v>
      </c>
      <c r="H6" s="4" cm="1">
        <f t="array" ref="H6">INDEX(FromSimSail!$B$1:$T$32,$B6,G$1)*COS($A6)</f>
        <v>2.1142826630083791</v>
      </c>
      <c r="I6" s="4" cm="1">
        <f t="array" ref="I6">INDEX(FromSimSail!$B$1:$T$32,$B6,I$1)*SIN($A6)</f>
        <v>2.0954876075781179</v>
      </c>
      <c r="J6" s="4" cm="1">
        <f t="array" ref="J6">INDEX(FromSimSail!$B$1:$T$32,$B6,I$1)*COS($A6)</f>
        <v>2.497304884567868</v>
      </c>
      <c r="K6" s="4" cm="1">
        <f t="array" ref="K6">INDEX(FromSimSail!$B$1:$T$32,$B6,K$1)*SIN($A6)</f>
        <v>2.3783141558401955</v>
      </c>
      <c r="L6" s="4" cm="1">
        <f t="array" ref="L6">INDEX(FromSimSail!$B$1:$T$32,$B6,K$1)*COS($A6)</f>
        <v>2.8343644395402188</v>
      </c>
      <c r="M6" s="4" cm="1">
        <f t="array" ref="M6">INDEX(FromSimSail!$B$1:$T$32,$B6,M$1)*SIN($A6)</f>
        <v>2.6354291997148107</v>
      </c>
      <c r="N6" s="4" cm="1">
        <f t="array" ref="N6">INDEX(FromSimSail!$B$1:$T$32,$B6,M$1)*COS($A6)</f>
        <v>3.1407822167878097</v>
      </c>
      <c r="O6" s="4" cm="1">
        <f t="array" ref="O6">INDEX(FromSimSail!$B$1:$T$32,$B6,O$1)*SIN($A6)</f>
        <v>2.8604048631050998</v>
      </c>
      <c r="P6" s="4" cm="1">
        <f t="array" ref="P6">INDEX(FromSimSail!$B$1:$T$32,$B6,O$1)*COS($A6)</f>
        <v>3.4088977718794524</v>
      </c>
      <c r="Q6" s="4" cm="1">
        <f t="array" ref="Q6">INDEX(FromSimSail!$B$1:$T$32,$B6,Q$1)*SIN($A6)</f>
        <v>3.0532411460110613</v>
      </c>
      <c r="R6" s="4" cm="1">
        <f t="array" ref="R6">INDEX(FromSimSail!$B$1:$T$32,$B6,Q$1)*COS($A6)</f>
        <v>3.6387111048151457</v>
      </c>
      <c r="S6" s="4" cm="1">
        <f t="array" ref="S6">INDEX(FromSimSail!$B$1:$T$32,$B6,S$1)*SIN($A6)</f>
        <v>3.3810628269511964</v>
      </c>
      <c r="T6" s="4" cm="1">
        <f t="array" ref="T6">INDEX(FromSimSail!$B$1:$T$32,$B6,S$1)*COS($A6)</f>
        <v>4.0293937708058243</v>
      </c>
      <c r="U6" s="4" cm="1">
        <f t="array" ref="U6">INDEX(FromSimSail!$B$1:$T$32,$B6,U$1)*SIN($A6)</f>
        <v>3.6767451274070044</v>
      </c>
      <c r="V6" s="4" cm="1">
        <f t="array" ref="V6">INDEX(FromSimSail!$B$1:$T$32,$B6,U$1)*COS($A6)</f>
        <v>4.3817742146405543</v>
      </c>
      <c r="W6" s="4" cm="1">
        <f t="array" ref="W6">INDEX(FromSimSail!$B$1:$T$32,$B6,W$1)*SIN($A6)</f>
        <v>3.843869905925505</v>
      </c>
      <c r="X6" s="4" cm="1">
        <f t="array" ref="X6">INDEX(FromSimSail!$B$1:$T$32,$B6,W$1)*COS($A6)</f>
        <v>4.580945769851489</v>
      </c>
      <c r="Y6" s="4" cm="1">
        <f t="array" ref="Y6">INDEX(FromSimSail!$B$1:$T$32,$B6,Y$1)*SIN($A6)</f>
        <v>3.9531437995722167</v>
      </c>
      <c r="Z6" s="4" cm="1">
        <f t="array" ref="Z6">INDEX(FromSimSail!$B$1:$T$32,$B6,Y$1)*COS($A6)</f>
        <v>4.7111733251817149</v>
      </c>
      <c r="AA6" s="4" cm="1">
        <f t="array" ref="AA6">INDEX(FromSimSail!$B$1:$T$32,$B6,AA$1)*SIN($A6)</f>
        <v>4.0881291976063903</v>
      </c>
      <c r="AB6" s="4" cm="1">
        <f t="array" ref="AB6">INDEX(FromSimSail!$B$1:$T$32,$B6,AA$1)*COS($A6)</f>
        <v>4.8720426582367002</v>
      </c>
      <c r="AC6" s="4" cm="1">
        <f t="array" ref="AC6">INDEX(FromSimSail!$B$1:$T$32,$B6,AC$1)*SIN($A6)</f>
        <v>4.0431340649283323</v>
      </c>
      <c r="AD6" s="4" cm="1">
        <f t="array" ref="AD6">INDEX(FromSimSail!$B$1:$T$32,$B6,AC$1)*COS($A6)</f>
        <v>4.8184195472183715</v>
      </c>
      <c r="AE6" s="4" cm="1">
        <f t="array" ref="AE6">INDEX(FromSimSail!$B$1:$T$32,$B6,AE$1)*SIN($A6)</f>
        <v>3.9917110561534086</v>
      </c>
      <c r="AF6" s="4" cm="1">
        <f t="array" ref="AF6">INDEX(FromSimSail!$B$1:$T$32,$B6,AE$1)*COS($A6)</f>
        <v>4.7571359917688536</v>
      </c>
      <c r="AG6" s="4" cm="1">
        <f t="array" ref="AG6">INDEX(FromSimSail!$B$1:$T$32,$B6,AG$1)*SIN($A6)</f>
        <v>3.9724274278628124</v>
      </c>
      <c r="AH6" s="4" cm="1">
        <f t="array" ref="AH6">INDEX(FromSimSail!$B$1:$T$32,$B6,AG$1)*COS($A6)</f>
        <v>4.7341546584752843</v>
      </c>
      <c r="AI6" s="4" cm="1">
        <f t="array" ref="AI6">INDEX(FromSimSail!$B$1:$T$32,$B6,AI$1)*SIN($A6)</f>
        <v>3.9467159234753506</v>
      </c>
      <c r="AJ6" s="4" cm="1">
        <f t="array" ref="AJ6">INDEX(FromSimSail!$B$1:$T$32,$B6,AI$1)*COS($A6)</f>
        <v>4.7035128807505249</v>
      </c>
      <c r="AK6" s="4" cm="1">
        <f t="array" ref="AK6">INDEX(FromSimSail!$B$1:$T$32,$B6,AK$1)*SIN($A6)</f>
        <v>3.9081486668941587</v>
      </c>
      <c r="AL6" s="4" cm="1">
        <f t="array" ref="AL6">INDEX(FromSimSail!$B$1:$T$32,$B6,AK$1)*COS($A6)</f>
        <v>4.6575502141633862</v>
      </c>
      <c r="AM6" s="4" cm="1">
        <f t="array" ref="AM6">INDEX(FromSimSail!$B$1:$T$32,$B6,AM$1)*SIN($A6)</f>
        <v>3.8567256581192355</v>
      </c>
      <c r="AN6" s="4" cm="1">
        <f t="array" ref="AN6">INDEX(FromSimSail!$B$1:$T$32,$B6,AM$1)*COS($A6)</f>
        <v>4.5962666587138683</v>
      </c>
    </row>
    <row r="7" spans="1:46" x14ac:dyDescent="0.25">
      <c r="A7" s="4">
        <f>FromSimSail!A5*Info!$B$3</f>
        <v>0.78539816339744828</v>
      </c>
      <c r="B7" s="4">
        <f t="shared" si="17"/>
        <v>5</v>
      </c>
      <c r="C7" s="4" cm="1">
        <f t="array" ref="C7">INDEX(FromSimSail!$B$1:$T$32,$B7,C$1)*SIN($A7)</f>
        <v>0.87681240867131882</v>
      </c>
      <c r="D7" s="4" cm="1">
        <f t="array" ref="D7">INDEX(FromSimSail!$B$1:$T$32,$B7,C$1)*COS($A7)</f>
        <v>0.87681240867131893</v>
      </c>
      <c r="E7" s="4" cm="1">
        <f t="array" ref="E7">INDEX(FromSimSail!$B$1:$T$32,$B7,E$1)*SIN($A7)</f>
        <v>1.7677669529663687</v>
      </c>
      <c r="F7" s="4" cm="1">
        <f t="array" ref="F7">INDEX(FromSimSail!$B$1:$T$32,$B7,E$1)*COS($A7)</f>
        <v>1.7677669529663689</v>
      </c>
      <c r="G7" s="4" cm="1">
        <f t="array" ref="G7">INDEX(FromSimSail!$B$1:$T$32,$B7,G$1)*SIN($A7)</f>
        <v>2.1991020894901627</v>
      </c>
      <c r="H7" s="4" cm="1">
        <f t="array" ref="H7">INDEX(FromSimSail!$B$1:$T$32,$B7,G$1)*COS($A7)</f>
        <v>2.1991020894901627</v>
      </c>
      <c r="I7" s="4" cm="1">
        <f t="array" ref="I7">INDEX(FromSimSail!$B$1:$T$32,$B7,I$1)*SIN($A7)</f>
        <v>2.5950818869546293</v>
      </c>
      <c r="J7" s="4" cm="1">
        <f t="array" ref="J7">INDEX(FromSimSail!$B$1:$T$32,$B7,I$1)*COS($A7)</f>
        <v>2.5950818869546297</v>
      </c>
      <c r="K7" s="4" cm="1">
        <f t="array" ref="K7">INDEX(FromSimSail!$B$1:$T$32,$B7,K$1)*SIN($A7)</f>
        <v>2.9344931419241722</v>
      </c>
      <c r="L7" s="4" cm="1">
        <f t="array" ref="L7">INDEX(FromSimSail!$B$1:$T$32,$B7,K$1)*COS($A7)</f>
        <v>2.9344931419241727</v>
      </c>
      <c r="M7" s="4" cm="1">
        <f t="array" ref="M7">INDEX(FromSimSail!$B$1:$T$32,$B7,M$1)*SIN($A7)</f>
        <v>3.2385490578343874</v>
      </c>
      <c r="N7" s="4" cm="1">
        <f t="array" ref="N7">INDEX(FromSimSail!$B$1:$T$32,$B7,M$1)*COS($A7)</f>
        <v>3.2385490578343878</v>
      </c>
      <c r="O7" s="4" cm="1">
        <f t="array" ref="O7">INDEX(FromSimSail!$B$1:$T$32,$B7,O$1)*SIN($A7)</f>
        <v>3.50017856687341</v>
      </c>
      <c r="P7" s="4" cm="1">
        <f t="array" ref="P7">INDEX(FromSimSail!$B$1:$T$32,$B7,O$1)*COS($A7)</f>
        <v>3.5001785668734104</v>
      </c>
      <c r="Q7" s="4" cm="1">
        <f t="array" ref="Q7">INDEX(FromSimSail!$B$1:$T$32,$B7,Q$1)*SIN($A7)</f>
        <v>3.7335238046649706</v>
      </c>
      <c r="R7" s="4" cm="1">
        <f t="array" ref="R7">INDEX(FromSimSail!$B$1:$T$32,$B7,Q$1)*COS($A7)</f>
        <v>3.7335238046649715</v>
      </c>
      <c r="S7" s="4" cm="1">
        <f t="array" ref="S7">INDEX(FromSimSail!$B$1:$T$32,$B7,S$1)*SIN($A7)</f>
        <v>4.1295036021294367</v>
      </c>
      <c r="T7" s="4" cm="1">
        <f t="array" ref="T7">INDEX(FromSimSail!$B$1:$T$32,$B7,S$1)*COS($A7)</f>
        <v>4.1295036021294376</v>
      </c>
      <c r="U7" s="4" cm="1">
        <f t="array" ref="U7">INDEX(FromSimSail!$B$1:$T$32,$B7,U$1)*SIN($A7)</f>
        <v>4.4759859249108453</v>
      </c>
      <c r="V7" s="4" cm="1">
        <f t="array" ref="V7">INDEX(FromSimSail!$B$1:$T$32,$B7,U$1)*COS($A7)</f>
        <v>4.4759859249108462</v>
      </c>
      <c r="W7" s="4" cm="1">
        <f t="array" ref="W7">INDEX(FromSimSail!$B$1:$T$32,$B7,W$1)*SIN($A7)</f>
        <v>4.7164022305142712</v>
      </c>
      <c r="X7" s="4" cm="1">
        <f t="array" ref="X7">INDEX(FromSimSail!$B$1:$T$32,$B7,W$1)*COS($A7)</f>
        <v>4.7164022305142721</v>
      </c>
      <c r="Y7" s="4" cm="1">
        <f t="array" ref="Y7">INDEX(FromSimSail!$B$1:$T$32,$B7,Y$1)*SIN($A7)</f>
        <v>4.822468247692254</v>
      </c>
      <c r="Z7" s="4" cm="1">
        <f t="array" ref="Z7">INDEX(FromSimSail!$B$1:$T$32,$B7,Y$1)*COS($A7)</f>
        <v>4.8224682476922549</v>
      </c>
      <c r="AA7" s="4" cm="1">
        <f t="array" ref="AA7">INDEX(FromSimSail!$B$1:$T$32,$B7,AA$1)*SIN($A7)</f>
        <v>4.9285342648702359</v>
      </c>
      <c r="AB7" s="4" cm="1">
        <f t="array" ref="AB7">INDEX(FromSimSail!$B$1:$T$32,$B7,AA$1)*COS($A7)</f>
        <v>4.9285342648702368</v>
      </c>
      <c r="AC7" s="4" cm="1">
        <f t="array" ref="AC7">INDEX(FromSimSail!$B$1:$T$32,$B7,AC$1)*SIN($A7)</f>
        <v>4.8790367901871781</v>
      </c>
      <c r="AD7" s="4" cm="1">
        <f t="array" ref="AD7">INDEX(FromSimSail!$B$1:$T$32,$B7,AC$1)*COS($A7)</f>
        <v>4.8790367901871781</v>
      </c>
      <c r="AE7" s="4" cm="1">
        <f t="array" ref="AE7">INDEX(FromSimSail!$B$1:$T$32,$B7,AE$1)*SIN($A7)</f>
        <v>4.8295393155041193</v>
      </c>
      <c r="AF7" s="4" cm="1">
        <f t="array" ref="AF7">INDEX(FromSimSail!$B$1:$T$32,$B7,AE$1)*COS($A7)</f>
        <v>4.8295393155041202</v>
      </c>
      <c r="AG7" s="4" cm="1">
        <f t="array" ref="AG7">INDEX(FromSimSail!$B$1:$T$32,$B7,AG$1)*SIN($A7)</f>
        <v>4.8083261120685226</v>
      </c>
      <c r="AH7" s="4" cm="1">
        <f t="array" ref="AH7">INDEX(FromSimSail!$B$1:$T$32,$B7,AG$1)*COS($A7)</f>
        <v>4.8083261120685235</v>
      </c>
      <c r="AI7" s="4" cm="1">
        <f t="array" ref="AI7">INDEX(FromSimSail!$B$1:$T$32,$B7,AI$1)*SIN($A7)</f>
        <v>4.7800418408210605</v>
      </c>
      <c r="AJ7" s="4" cm="1">
        <f t="array" ref="AJ7">INDEX(FromSimSail!$B$1:$T$32,$B7,AI$1)*COS($A7)</f>
        <v>4.7800418408210614</v>
      </c>
      <c r="AK7" s="4" cm="1">
        <f t="array" ref="AK7">INDEX(FromSimSail!$B$1:$T$32,$B7,AK$1)*SIN($A7)</f>
        <v>4.7305443661380027</v>
      </c>
      <c r="AL7" s="4" cm="1">
        <f t="array" ref="AL7">INDEX(FromSimSail!$B$1:$T$32,$B7,AK$1)*COS($A7)</f>
        <v>4.7305443661380036</v>
      </c>
      <c r="AM7" s="4" cm="1">
        <f t="array" ref="AM7">INDEX(FromSimSail!$B$1:$T$32,$B7,AM$1)*SIN($A7)</f>
        <v>4.6810468914549439</v>
      </c>
      <c r="AN7" s="4" cm="1">
        <f t="array" ref="AN7">INDEX(FromSimSail!$B$1:$T$32,$B7,AM$1)*COS($A7)</f>
        <v>4.6810468914549448</v>
      </c>
    </row>
    <row r="8" spans="1:46" x14ac:dyDescent="0.25">
      <c r="A8" s="4">
        <f>FromSimSail!A6*Info!$B$3</f>
        <v>0.87266462599716477</v>
      </c>
      <c r="B8" s="4">
        <f t="shared" si="17"/>
        <v>6</v>
      </c>
      <c r="C8" s="4" cm="1">
        <f t="array" ref="C8">INDEX(FromSimSail!$B$1:$T$32,$B8,C$1)*SIN($A8)</f>
        <v>1.0494808870729999</v>
      </c>
      <c r="D8" s="4" cm="1">
        <f t="array" ref="D8">INDEX(FromSimSail!$B$1:$T$32,$B8,C$1)*COS($A8)</f>
        <v>0.88061902527055902</v>
      </c>
      <c r="E8" s="4" cm="1">
        <f t="array" ref="E8">INDEX(FromSimSail!$B$1:$T$32,$B8,E$1)*SIN($A8)</f>
        <v>2.1142826630083791</v>
      </c>
      <c r="F8" s="4" cm="1">
        <f t="array" ref="F8">INDEX(FromSimSail!$B$1:$T$32,$B8,E$1)*COS($A8)</f>
        <v>1.7740938027348485</v>
      </c>
      <c r="G8" s="4" cm="1">
        <f t="array" ref="G8">INDEX(FromSimSail!$B$1:$T$32,$B8,G$1)*SIN($A8)</f>
        <v>2.6198719954669047</v>
      </c>
      <c r="H8" s="4" cm="1">
        <f t="array" ref="H8">INDEX(FromSimSail!$B$1:$T$32,$B8,G$1)*COS($A8)</f>
        <v>2.1983336251279644</v>
      </c>
      <c r="I8" s="4" cm="1">
        <f t="array" ref="I8">INDEX(FromSimSail!$B$1:$T$32,$B8,I$1)*SIN($A8)</f>
        <v>3.0794986613382913</v>
      </c>
      <c r="J8" s="4" cm="1">
        <f t="array" ref="J8">INDEX(FromSimSail!$B$1:$T$32,$B8,I$1)*COS($A8)</f>
        <v>2.5840061909398879</v>
      </c>
      <c r="K8" s="4" cm="1">
        <f t="array" ref="K8">INDEX(FromSimSail!$B$1:$T$32,$B8,K$1)*SIN($A8)</f>
        <v>3.4701813273289708</v>
      </c>
      <c r="L8" s="4" cm="1">
        <f t="array" ref="L8">INDEX(FromSimSail!$B$1:$T$32,$B8,K$1)*COS($A8)</f>
        <v>2.9118278718800235</v>
      </c>
      <c r="M8" s="4" cm="1">
        <f t="array" ref="M8">INDEX(FromSimSail!$B$1:$T$32,$B8,M$1)*SIN($A8)</f>
        <v>3.799580437870131</v>
      </c>
      <c r="N8" s="4" cm="1">
        <f t="array" ref="N8">INDEX(FromSimSail!$B$1:$T$32,$B8,M$1)*COS($A8)</f>
        <v>3.1882265440452353</v>
      </c>
      <c r="O8" s="4" cm="1">
        <f t="array" ref="O8">INDEX(FromSimSail!$B$1:$T$32,$B8,O$1)*SIN($A8)</f>
        <v>4.0983377706865323</v>
      </c>
      <c r="P8" s="4" cm="1">
        <f t="array" ref="P8">INDEX(FromSimSail!$B$1:$T$32,$B8,O$1)*COS($A8)</f>
        <v>3.4389137118229853</v>
      </c>
      <c r="Q8" s="4" cm="1">
        <f t="array" ref="Q8">INDEX(FromSimSail!$B$1:$T$32,$B8,Q$1)*SIN($A8)</f>
        <v>4.3511324369157949</v>
      </c>
      <c r="R8" s="4" cm="1">
        <f t="array" ref="R8">INDEX(FromSimSail!$B$1:$T$32,$B8,Q$1)*COS($A8)</f>
        <v>3.6510336230195435</v>
      </c>
      <c r="S8" s="4" cm="1">
        <f t="array" ref="S8">INDEX(FromSimSail!$B$1:$T$32,$B8,S$1)*SIN($A8)</f>
        <v>4.8107591027871823</v>
      </c>
      <c r="T8" s="4" cm="1">
        <f t="array" ref="T8">INDEX(FromSimSail!$B$1:$T$32,$B8,S$1)*COS($A8)</f>
        <v>4.0367061888314675</v>
      </c>
      <c r="U8" s="4" cm="1">
        <f t="array" ref="U8">INDEX(FromSimSail!$B$1:$T$32,$B8,U$1)*SIN($A8)</f>
        <v>5.2014417687778609</v>
      </c>
      <c r="V8" s="4" cm="1">
        <f t="array" ref="V8">INDEX(FromSimSail!$B$1:$T$32,$B8,U$1)*COS($A8)</f>
        <v>4.3645278697716021</v>
      </c>
      <c r="W8" s="4" cm="1">
        <f t="array" ref="W8">INDEX(FromSimSail!$B$1:$T$32,$B8,W$1)*SIN($A8)</f>
        <v>5.4312551017135542</v>
      </c>
      <c r="X8" s="4" cm="1">
        <f t="array" ref="X8">INDEX(FromSimSail!$B$1:$T$32,$B8,W$1)*COS($A8)</f>
        <v>4.5573641526775637</v>
      </c>
      <c r="Y8" s="4" cm="1">
        <f t="array" ref="Y8">INDEX(FromSimSail!$B$1:$T$32,$B8,Y$1)*SIN($A8)</f>
        <v>5.5308408793190207</v>
      </c>
      <c r="Z8" s="4" cm="1">
        <f t="array" ref="Z8">INDEX(FromSimSail!$B$1:$T$32,$B8,Y$1)*COS($A8)</f>
        <v>4.640926541936814</v>
      </c>
      <c r="AA8" s="4" cm="1">
        <f t="array" ref="AA8">INDEX(FromSimSail!$B$1:$T$32,$B8,AA$1)*SIN($A8)</f>
        <v>5.6304266569244881</v>
      </c>
      <c r="AB8" s="4" cm="1">
        <f t="array" ref="AB8">INDEX(FromSimSail!$B$1:$T$32,$B8,AA$1)*COS($A8)</f>
        <v>4.7244889311960643</v>
      </c>
      <c r="AC8" s="4" cm="1">
        <f t="array" ref="AC8">INDEX(FromSimSail!$B$1:$T$32,$B8,AC$1)*SIN($A8)</f>
        <v>5.5768035459061602</v>
      </c>
      <c r="AD8" s="4" cm="1">
        <f t="array" ref="AD8">INDEX(FromSimSail!$B$1:$T$32,$B8,AC$1)*COS($A8)</f>
        <v>4.6794937985180063</v>
      </c>
      <c r="AE8" s="4" cm="1">
        <f t="array" ref="AE8">INDEX(FromSimSail!$B$1:$T$32,$B8,AE$1)*SIN($A8)</f>
        <v>5.5308408793190207</v>
      </c>
      <c r="AF8" s="4" cm="1">
        <f t="array" ref="AF8">INDEX(FromSimSail!$B$1:$T$32,$B8,AE$1)*COS($A8)</f>
        <v>4.640926541936814</v>
      </c>
      <c r="AG8" s="4" cm="1">
        <f t="array" ref="AG8">INDEX(FromSimSail!$B$1:$T$32,$B8,AG$1)*SIN($A8)</f>
        <v>5.5078595460254522</v>
      </c>
      <c r="AH8" s="4" cm="1">
        <f t="array" ref="AH8">INDEX(FromSimSail!$B$1:$T$32,$B8,AG$1)*COS($A8)</f>
        <v>4.6216429136462187</v>
      </c>
      <c r="AI8" s="4" cm="1">
        <f t="array" ref="AI8">INDEX(FromSimSail!$B$1:$T$32,$B8,AI$1)*SIN($A8)</f>
        <v>5.4772177683006928</v>
      </c>
      <c r="AJ8" s="4" cm="1">
        <f t="array" ref="AJ8">INDEX(FromSimSail!$B$1:$T$32,$B8,AI$1)*COS($A8)</f>
        <v>4.5959314092587569</v>
      </c>
      <c r="AK8" s="4" cm="1">
        <f t="array" ref="AK8">INDEX(FromSimSail!$B$1:$T$32,$B8,AK$1)*SIN($A8)</f>
        <v>5.4312551017135542</v>
      </c>
      <c r="AL8" s="4" cm="1">
        <f t="array" ref="AL8">INDEX(FromSimSail!$B$1:$T$32,$B8,AK$1)*COS($A8)</f>
        <v>4.5573641526775637</v>
      </c>
      <c r="AM8" s="4" cm="1">
        <f t="array" ref="AM8">INDEX(FromSimSail!$B$1:$T$32,$B8,AM$1)*SIN($A8)</f>
        <v>5.3776319906952255</v>
      </c>
      <c r="AN8" s="4" cm="1">
        <f t="array" ref="AN8">INDEX(FromSimSail!$B$1:$T$32,$B8,AM$1)*COS($A8)</f>
        <v>4.5123690199995057</v>
      </c>
    </row>
    <row r="9" spans="1:46" x14ac:dyDescent="0.25">
      <c r="A9" s="4">
        <f>FromSimSail!A7*Info!$B$3</f>
        <v>0.95993108859688125</v>
      </c>
      <c r="B9" s="4">
        <f t="shared" si="17"/>
        <v>7</v>
      </c>
      <c r="C9" s="4" cm="1">
        <f t="array" ref="C9">INDEX(FromSimSail!$B$1:$T$32,$B9,C$1)*SIN($A9)</f>
        <v>1.204153505104818</v>
      </c>
      <c r="D9" s="4" cm="1">
        <f t="array" ref="D9">INDEX(FromSimSail!$B$1:$T$32,$B9,C$1)*COS($A9)</f>
        <v>0.84315736143603781</v>
      </c>
      <c r="E9" s="4" cm="1">
        <f t="array" ref="E9">INDEX(FromSimSail!$B$1:$T$32,$B9,E$1)*SIN($A9)</f>
        <v>2.4410730919811954</v>
      </c>
      <c r="F9" s="4" cm="1">
        <f t="array" ref="F9">INDEX(FromSimSail!$B$1:$T$32,$B9,E$1)*COS($A9)</f>
        <v>1.7092577803261175</v>
      </c>
      <c r="G9" s="4" cm="1">
        <f t="array" ref="G9">INDEX(FromSimSail!$B$1:$T$32,$B9,G$1)*SIN($A9)</f>
        <v>3.01447952298349</v>
      </c>
      <c r="H9" s="4" cm="1">
        <f t="array" ref="H9">INDEX(FromSimSail!$B$1:$T$32,$B9,G$1)*COS($A9)</f>
        <v>2.1107612857718498</v>
      </c>
      <c r="I9" s="4" cm="1">
        <f t="array" ref="I9">INDEX(FromSimSail!$B$1:$T$32,$B9,I$1)*SIN($A9)</f>
        <v>3.5387368313284449</v>
      </c>
      <c r="J9" s="4" cm="1">
        <f t="array" ref="J9">INDEX(FromSimSail!$B$1:$T$32,$B9,I$1)*COS($A9)</f>
        <v>2.4778502050365194</v>
      </c>
      <c r="K9" s="4" cm="1">
        <f t="array" ref="K9">INDEX(FromSimSail!$B$1:$T$32,$B9,K$1)*SIN($A9)</f>
        <v>3.9646958943587203</v>
      </c>
      <c r="L9" s="4" cm="1">
        <f t="array" ref="L9">INDEX(FromSimSail!$B$1:$T$32,$B9,K$1)*COS($A9)</f>
        <v>2.7761099519390635</v>
      </c>
      <c r="M9" s="4" cm="1">
        <f t="array" ref="M9">INDEX(FromSimSail!$B$1:$T$32,$B9,M$1)*SIN($A9)</f>
        <v>4.3251227938458765</v>
      </c>
      <c r="N9" s="4" cm="1">
        <f t="array" ref="N9">INDEX(FromSimSail!$B$1:$T$32,$B9,M$1)*COS($A9)</f>
        <v>3.0284835839335238</v>
      </c>
      <c r="O9" s="4" cm="1">
        <f t="array" ref="O9">INDEX(FromSimSail!$B$1:$T$32,$B9,O$1)*SIN($A9)</f>
        <v>4.6364005706756934</v>
      </c>
      <c r="P9" s="4" cm="1">
        <f t="array" ref="P9">INDEX(FromSimSail!$B$1:$T$32,$B9,O$1)*COS($A9)</f>
        <v>3.2464426297469213</v>
      </c>
      <c r="Q9" s="4" cm="1">
        <f t="array" ref="Q9">INDEX(FromSimSail!$B$1:$T$32,$B9,Q$1)*SIN($A9)</f>
        <v>4.9231037861768403</v>
      </c>
      <c r="R9" s="4" cm="1">
        <f t="array" ref="R9">INDEX(FromSimSail!$B$1:$T$32,$B9,Q$1)*COS($A9)</f>
        <v>3.4471943824697875</v>
      </c>
      <c r="S9" s="4" cm="1">
        <f t="array" ref="S9">INDEX(FromSimSail!$B$1:$T$32,$B9,S$1)*SIN($A9)</f>
        <v>5.439169574078905</v>
      </c>
      <c r="T9" s="4" cm="1">
        <f t="array" ref="T9">INDEX(FromSimSail!$B$1:$T$32,$B9,S$1)*COS($A9)</f>
        <v>3.8085475373709463</v>
      </c>
      <c r="U9" s="4" cm="1">
        <f t="array" ref="U9">INDEX(FromSimSail!$B$1:$T$32,$B9,U$1)*SIN($A9)</f>
        <v>5.8405540757805117</v>
      </c>
      <c r="V9" s="4" cm="1">
        <f t="array" ref="V9">INDEX(FromSimSail!$B$1:$T$32,$B9,U$1)*COS($A9)</f>
        <v>4.0895999911829595</v>
      </c>
      <c r="W9" s="4" cm="1">
        <f t="array" ref="W9">INDEX(FromSimSail!$B$1:$T$32,$B9,W$1)*SIN($A9)</f>
        <v>6.0944912095100996</v>
      </c>
      <c r="X9" s="4" cm="1">
        <f t="array" ref="X9">INDEX(FromSimSail!$B$1:$T$32,$B9,W$1)*COS($A9)</f>
        <v>4.267408686451784</v>
      </c>
      <c r="Y9" s="4" cm="1">
        <f t="array" ref="Y9">INDEX(FromSimSail!$B$1:$T$32,$B9,Y$1)*SIN($A9)</f>
        <v>6.1764064139389978</v>
      </c>
      <c r="Z9" s="4" cm="1">
        <f t="array" ref="Z9">INDEX(FromSimSail!$B$1:$T$32,$B9,Y$1)*COS($A9)</f>
        <v>4.3247663300868879</v>
      </c>
      <c r="AA9" s="4" cm="1">
        <f t="array" ref="AA9">INDEX(FromSimSail!$B$1:$T$32,$B9,AA$1)*SIN($A9)</f>
        <v>6.2665131388107875</v>
      </c>
      <c r="AB9" s="4" cm="1">
        <f t="array" ref="AB9">INDEX(FromSimSail!$B$1:$T$32,$B9,AA$1)*COS($A9)</f>
        <v>4.3878597380855036</v>
      </c>
      <c r="AC9" s="4" cm="1">
        <f t="array" ref="AC9">INDEX(FromSimSail!$B$1:$T$32,$B9,AC$1)*SIN($A9)</f>
        <v>6.2173640161534474</v>
      </c>
      <c r="AD9" s="4" cm="1">
        <f t="array" ref="AD9">INDEX(FromSimSail!$B$1:$T$32,$B9,AC$1)*COS($A9)</f>
        <v>4.3534451519044399</v>
      </c>
      <c r="AE9" s="4" cm="1">
        <f t="array" ref="AE9">INDEX(FromSimSail!$B$1:$T$32,$B9,AE$1)*SIN($A9)</f>
        <v>6.1682148934961081</v>
      </c>
      <c r="AF9" s="4" cm="1">
        <f t="array" ref="AF9">INDEX(FromSimSail!$B$1:$T$32,$B9,AE$1)*COS($A9)</f>
        <v>4.3190305657233781</v>
      </c>
      <c r="AG9" s="4" cm="1">
        <f t="array" ref="AG9">INDEX(FromSimSail!$B$1:$T$32,$B9,AG$1)*SIN($A9)</f>
        <v>6.1436403321674389</v>
      </c>
      <c r="AH9" s="4" cm="1">
        <f t="array" ref="AH9">INDEX(FromSimSail!$B$1:$T$32,$B9,AG$1)*COS($A9)</f>
        <v>4.3018232726328458</v>
      </c>
      <c r="AI9" s="4" cm="1">
        <f t="array" ref="AI9">INDEX(FromSimSail!$B$1:$T$32,$B9,AI$1)*SIN($A9)</f>
        <v>6.1190657708387688</v>
      </c>
      <c r="AJ9" s="4" cm="1">
        <f t="array" ref="AJ9">INDEX(FromSimSail!$B$1:$T$32,$B9,AI$1)*COS($A9)</f>
        <v>4.2846159795423144</v>
      </c>
      <c r="AK9" s="4" cm="1">
        <f t="array" ref="AK9">INDEX(FromSimSail!$B$1:$T$32,$B9,AK$1)*SIN($A9)</f>
        <v>6.0699166481814295</v>
      </c>
      <c r="AL9" s="4" cm="1">
        <f t="array" ref="AL9">INDEX(FromSimSail!$B$1:$T$32,$B9,AK$1)*COS($A9)</f>
        <v>4.2502013933612517</v>
      </c>
      <c r="AM9" s="4" cm="1">
        <f t="array" ref="AM9">INDEX(FromSimSail!$B$1:$T$32,$B9,AM$1)*SIN($A9)</f>
        <v>6.0207675255240893</v>
      </c>
      <c r="AN9" s="4" cm="1">
        <f t="array" ref="AN9">INDEX(FromSimSail!$B$1:$T$32,$B9,AM$1)*COS($A9)</f>
        <v>4.2157868071801889</v>
      </c>
    </row>
    <row r="10" spans="1:46" x14ac:dyDescent="0.25">
      <c r="A10" s="4">
        <f>FromSimSail!A8*Info!$B$3</f>
        <v>1.0471975511965976</v>
      </c>
      <c r="B10" s="4">
        <f t="shared" si="17"/>
        <v>8</v>
      </c>
      <c r="C10" s="4" cm="1">
        <f t="array" ref="C10">INDEX(FromSimSail!$B$1:$T$32,$B10,C$1)*SIN($A10)</f>
        <v>1.3423393758658799</v>
      </c>
      <c r="D10" s="4" cm="1">
        <f t="array" ref="D10">INDEX(FromSimSail!$B$1:$T$32,$B10,C$1)*COS($A10)</f>
        <v>0.77500000000000024</v>
      </c>
      <c r="E10" s="4" cm="1">
        <f t="array" ref="E10">INDEX(FromSimSail!$B$1:$T$32,$B10,E$1)*SIN($A10)</f>
        <v>2.7106595138452927</v>
      </c>
      <c r="F10" s="4" cm="1">
        <f t="array" ref="F10">INDEX(FromSimSail!$B$1:$T$32,$B10,E$1)*COS($A10)</f>
        <v>1.5650000000000004</v>
      </c>
      <c r="G10" s="4" cm="1">
        <f t="array" ref="G10">INDEX(FromSimSail!$B$1:$T$32,$B10,G$1)*SIN($A10)</f>
        <v>3.3515183126457773</v>
      </c>
      <c r="H10" s="4" cm="1">
        <f t="array" ref="H10">INDEX(FromSimSail!$B$1:$T$32,$B10,G$1)*COS($A10)</f>
        <v>1.9350000000000005</v>
      </c>
      <c r="I10" s="4" cm="1">
        <f t="array" ref="I10">INDEX(FromSimSail!$B$1:$T$32,$B10,I$1)*SIN($A10)</f>
        <v>3.9230950791435069</v>
      </c>
      <c r="J10" s="4" cm="1">
        <f t="array" ref="J10">INDEX(FromSimSail!$B$1:$T$32,$B10,I$1)*COS($A10)</f>
        <v>2.2650000000000006</v>
      </c>
      <c r="K10" s="4" cm="1">
        <f t="array" ref="K10">INDEX(FromSimSail!$B$1:$T$32,$B10,K$1)*SIN($A10)</f>
        <v>4.3734282891114145</v>
      </c>
      <c r="L10" s="4" cm="1">
        <f t="array" ref="L10">INDEX(FromSimSail!$B$1:$T$32,$B10,K$1)*COS($A10)</f>
        <v>2.5250000000000004</v>
      </c>
      <c r="M10" s="4" cm="1">
        <f t="array" ref="M10">INDEX(FromSimSail!$B$1:$T$32,$B10,M$1)*SIN($A10)</f>
        <v>4.7544794667765684</v>
      </c>
      <c r="N10" s="4" cm="1">
        <f t="array" ref="N10">INDEX(FromSimSail!$B$1:$T$32,$B10,M$1)*COS($A10)</f>
        <v>2.7450000000000006</v>
      </c>
      <c r="O10" s="4" cm="1">
        <f t="array" ref="O10">INDEX(FromSimSail!$B$1:$T$32,$B10,O$1)*SIN($A10)</f>
        <v>5.0922293742524989</v>
      </c>
      <c r="P10" s="4" cm="1">
        <f t="array" ref="P10">INDEX(FromSimSail!$B$1:$T$32,$B10,O$1)*COS($A10)</f>
        <v>2.9400000000000004</v>
      </c>
      <c r="Q10" s="4" cm="1">
        <f t="array" ref="Q10">INDEX(FromSimSail!$B$1:$T$32,$B10,Q$1)*SIN($A10)</f>
        <v>5.3953382655770525</v>
      </c>
      <c r="R10" s="4" cm="1">
        <f t="array" ref="R10">INDEX(FromSimSail!$B$1:$T$32,$B10,Q$1)*COS($A10)</f>
        <v>3.1150000000000011</v>
      </c>
      <c r="S10" s="4" cm="1">
        <f t="array" ref="S10">INDEX(FromSimSail!$B$1:$T$32,$B10,S$1)*SIN($A10)</f>
        <v>5.9495945239990933</v>
      </c>
      <c r="T10" s="4" cm="1">
        <f t="array" ref="T10">INDEX(FromSimSail!$B$1:$T$32,$B10,S$1)*COS($A10)</f>
        <v>3.4350000000000009</v>
      </c>
      <c r="U10" s="4" cm="1">
        <f t="array" ref="U10">INDEX(FromSimSail!$B$1:$T$32,$B10,U$1)*SIN($A10)</f>
        <v>6.3393059557020912</v>
      </c>
      <c r="V10" s="4" cm="1">
        <f t="array" ref="V10">INDEX(FromSimSail!$B$1:$T$32,$B10,U$1)*COS($A10)</f>
        <v>3.660000000000001</v>
      </c>
      <c r="W10" s="4" cm="1">
        <f t="array" ref="W10">INDEX(FromSimSail!$B$1:$T$32,$B10,W$1)*SIN($A10)</f>
        <v>6.5731328147238886</v>
      </c>
      <c r="X10" s="4" cm="1">
        <f t="array" ref="X10">INDEX(FromSimSail!$B$1:$T$32,$B10,W$1)*COS($A10)</f>
        <v>3.7950000000000008</v>
      </c>
      <c r="Y10" s="4" cm="1">
        <f t="array" ref="Y10">INDEX(FromSimSail!$B$1:$T$32,$B10,Y$1)*SIN($A10)</f>
        <v>6.6597353551023328</v>
      </c>
      <c r="Z10" s="4" cm="1">
        <f t="array" ref="Z10">INDEX(FromSimSail!$B$1:$T$32,$B10,Y$1)*COS($A10)</f>
        <v>3.8450000000000011</v>
      </c>
      <c r="AA10" s="4" cm="1">
        <f t="array" ref="AA10">INDEX(FromSimSail!$B$1:$T$32,$B10,AA$1)*SIN($A10)</f>
        <v>6.7549981495186211</v>
      </c>
      <c r="AB10" s="4" cm="1">
        <f t="array" ref="AB10">INDEX(FromSimSail!$B$1:$T$32,$B10,AA$1)*COS($A10)</f>
        <v>3.9000000000000008</v>
      </c>
      <c r="AC10" s="4" cm="1">
        <f t="array" ref="AC10">INDEX(FromSimSail!$B$1:$T$32,$B10,AC$1)*SIN($A10)</f>
        <v>6.7116968793293994</v>
      </c>
      <c r="AD10" s="4" cm="1">
        <f t="array" ref="AD10">INDEX(FromSimSail!$B$1:$T$32,$B10,AC$1)*COS($A10)</f>
        <v>3.8750000000000009</v>
      </c>
      <c r="AE10" s="4" cm="1">
        <f t="array" ref="AE10">INDEX(FromSimSail!$B$1:$T$32,$B10,AE$1)*SIN($A10)</f>
        <v>6.6683956091401777</v>
      </c>
      <c r="AF10" s="4" cm="1">
        <f t="array" ref="AF10">INDEX(FromSimSail!$B$1:$T$32,$B10,AE$1)*COS($A10)</f>
        <v>3.850000000000001</v>
      </c>
      <c r="AG10" s="4" cm="1">
        <f t="array" ref="AG10">INDEX(FromSimSail!$B$1:$T$32,$B10,AG$1)*SIN($A10)</f>
        <v>6.642414847026644</v>
      </c>
      <c r="AH10" s="4" cm="1">
        <f t="array" ref="AH10">INDEX(FromSimSail!$B$1:$T$32,$B10,AG$1)*COS($A10)</f>
        <v>3.8350000000000009</v>
      </c>
      <c r="AI10" s="4" cm="1">
        <f t="array" ref="AI10">INDEX(FromSimSail!$B$1:$T$32,$B10,AI$1)*SIN($A10)</f>
        <v>6.625094338950956</v>
      </c>
      <c r="AJ10" s="4" cm="1">
        <f t="array" ref="AJ10">INDEX(FromSimSail!$B$1:$T$32,$B10,AI$1)*COS($A10)</f>
        <v>3.8250000000000011</v>
      </c>
      <c r="AK10" s="4" cm="1">
        <f t="array" ref="AK10">INDEX(FromSimSail!$B$1:$T$32,$B10,AK$1)*SIN($A10)</f>
        <v>6.5731328147238886</v>
      </c>
      <c r="AL10" s="4" cm="1">
        <f t="array" ref="AL10">INDEX(FromSimSail!$B$1:$T$32,$B10,AK$1)*COS($A10)</f>
        <v>3.7950000000000008</v>
      </c>
      <c r="AM10" s="4" cm="1">
        <f t="array" ref="AM10">INDEX(FromSimSail!$B$1:$T$32,$B10,AM$1)*SIN($A10)</f>
        <v>6.5298315445346669</v>
      </c>
      <c r="AN10" s="4" cm="1">
        <f t="array" ref="AN10">INDEX(FromSimSail!$B$1:$T$32,$B10,AM$1)*COS($A10)</f>
        <v>3.7700000000000009</v>
      </c>
    </row>
    <row r="11" spans="1:46" x14ac:dyDescent="0.25">
      <c r="A11" s="4">
        <f>FromSimSail!A9*Info!$B$3</f>
        <v>1.1344640137963142</v>
      </c>
      <c r="B11" s="4">
        <f t="shared" si="17"/>
        <v>9</v>
      </c>
      <c r="C11" s="4" cm="1">
        <f t="array" ref="C11">INDEX(FromSimSail!$B$1:$T$32,$B11,C$1)*SIN($A11)</f>
        <v>1.4591555371290066</v>
      </c>
      <c r="D11" s="4" cm="1">
        <f t="array" ref="D11">INDEX(FromSimSail!$B$1:$T$32,$B11,C$1)*COS($A11)</f>
        <v>0.6804154014025261</v>
      </c>
      <c r="E11" s="4" cm="1">
        <f t="array" ref="E11">INDEX(FromSimSail!$B$1:$T$32,$B11,E$1)*SIN($A11)</f>
        <v>2.936437229998746</v>
      </c>
      <c r="F11" s="4" cm="1">
        <f t="array" ref="F11">INDEX(FromSimSail!$B$1:$T$32,$B11,E$1)*COS($A11)</f>
        <v>1.3692831680398663</v>
      </c>
      <c r="G11" s="4" cm="1">
        <f t="array" ref="G11">INDEX(FromSimSail!$B$1:$T$32,$B11,G$1)*SIN($A11)</f>
        <v>3.6342942260169662</v>
      </c>
      <c r="H11" s="4" cm="1">
        <f t="array" ref="H11">INDEX(FromSimSail!$B$1:$T$32,$B11,G$1)*COS($A11)</f>
        <v>1.6946992295802046</v>
      </c>
      <c r="I11" s="4" cm="1">
        <f t="array" ref="I11">INDEX(FromSimSail!$B$1:$T$32,$B11,I$1)*SIN($A11)</f>
        <v>4.2415204433315212</v>
      </c>
      <c r="J11" s="4" cm="1">
        <f t="array" ref="J11">INDEX(FromSimSail!$B$1:$T$32,$B11,I$1)*COS($A11)</f>
        <v>1.9778534649464732</v>
      </c>
      <c r="K11" s="4" cm="1">
        <f t="array" ref="K11">INDEX(FromSimSail!$B$1:$T$32,$B11,K$1)*SIN($A11)</f>
        <v>4.721863570460946</v>
      </c>
      <c r="L11" s="4" cm="1">
        <f t="array" ref="L11">INDEX(FromSimSail!$B$1:$T$32,$B11,K$1)*COS($A11)</f>
        <v>2.2018411436690442</v>
      </c>
      <c r="M11" s="4" cm="1">
        <f t="array" ref="M11">INDEX(FromSimSail!$B$1:$T$32,$B11,M$1)*SIN($A11)</f>
        <v>5.1206389967570729</v>
      </c>
      <c r="N11" s="4" cm="1">
        <f t="array" ref="N11">INDEX(FromSimSail!$B$1:$T$32,$B11,M$1)*COS($A11)</f>
        <v>2.387793178834952</v>
      </c>
      <c r="O11" s="4" cm="1">
        <f t="array" ref="O11">INDEX(FromSimSail!$B$1:$T$32,$B11,O$1)*SIN($A11)</f>
        <v>5.474099033701366</v>
      </c>
      <c r="P11" s="4" cm="1">
        <f t="array" ref="P11">INDEX(FromSimSail!$B$1:$T$32,$B11,O$1)*COS($A11)</f>
        <v>2.5526143009138247</v>
      </c>
      <c r="Q11" s="4" cm="1">
        <f t="array" ref="Q11">INDEX(FromSimSail!$B$1:$T$32,$B11,Q$1)*SIN($A11)</f>
        <v>5.7913067591641925</v>
      </c>
      <c r="R11" s="4" cm="1">
        <f t="array" ref="R11">INDEX(FromSimSail!$B$1:$T$32,$B11,Q$1)*COS($A11)</f>
        <v>2.7005306925230692</v>
      </c>
      <c r="S11" s="4" cm="1">
        <f t="array" ref="S11">INDEX(FromSimSail!$B$1:$T$32,$B11,S$1)*SIN($A11)</f>
        <v>6.3622806649972823</v>
      </c>
      <c r="T11" s="4" cm="1">
        <f t="array" ref="T11">INDEX(FromSimSail!$B$1:$T$32,$B11,S$1)*COS($A11)</f>
        <v>2.9667801974197099</v>
      </c>
      <c r="U11" s="4" cm="1">
        <f t="array" ref="U11">INDEX(FromSimSail!$B$1:$T$32,$B11,U$1)*SIN($A11)</f>
        <v>6.7519930134230419</v>
      </c>
      <c r="V11" s="4" cm="1">
        <f t="array" ref="V11">INDEX(FromSimSail!$B$1:$T$32,$B11,U$1)*COS($A11)</f>
        <v>3.1485060499682107</v>
      </c>
      <c r="W11" s="4" cm="1">
        <f t="array" ref="W11">INDEX(FromSimSail!$B$1:$T$32,$B11,W$1)*SIN($A11)</f>
        <v>6.9876330380525706</v>
      </c>
      <c r="X11" s="4" cm="1">
        <f t="array" ref="X11">INDEX(FromSimSail!$B$1:$T$32,$B11,W$1)*COS($A11)</f>
        <v>3.2583867980207928</v>
      </c>
      <c r="Y11" s="4" cm="1">
        <f t="array" ref="Y11">INDEX(FromSimSail!$B$1:$T$32,$B11,Y$1)*SIN($A11)</f>
        <v>7.0782638167562357</v>
      </c>
      <c r="Z11" s="4" cm="1">
        <f t="array" ref="Z11">INDEX(FromSimSail!$B$1:$T$32,$B11,Y$1)*COS($A11)</f>
        <v>3.3006486241948623</v>
      </c>
      <c r="AA11" s="4" cm="1">
        <f t="array" ref="AA11">INDEX(FromSimSail!$B$1:$T$32,$B11,AA$1)*SIN($A11)</f>
        <v>7.196083829071001</v>
      </c>
      <c r="AB11" s="4" cm="1">
        <f t="array" ref="AB11">INDEX(FromSimSail!$B$1:$T$32,$B11,AA$1)*COS($A11)</f>
        <v>3.3555889982211538</v>
      </c>
      <c r="AC11" s="4" cm="1">
        <f t="array" ref="AC11">INDEX(FromSimSail!$B$1:$T$32,$B11,AC$1)*SIN($A11)</f>
        <v>7.150768439719168</v>
      </c>
      <c r="AD11" s="4" cm="1">
        <f t="array" ref="AD11">INDEX(FromSimSail!$B$1:$T$32,$B11,AC$1)*COS($A11)</f>
        <v>3.3344580851341186</v>
      </c>
      <c r="AE11" s="4" cm="1">
        <f t="array" ref="AE11">INDEX(FromSimSail!$B$1:$T$32,$B11,AE$1)*SIN($A11)</f>
        <v>7.1145161282377014</v>
      </c>
      <c r="AF11" s="4" cm="1">
        <f t="array" ref="AF11">INDEX(FromSimSail!$B$1:$T$32,$B11,AE$1)*COS($A11)</f>
        <v>3.3175533546644904</v>
      </c>
      <c r="AG11" s="4" cm="1">
        <f t="array" ref="AG11">INDEX(FromSimSail!$B$1:$T$32,$B11,AG$1)*SIN($A11)</f>
        <v>7.0963899724969695</v>
      </c>
      <c r="AH11" s="4" cm="1">
        <f t="array" ref="AH11">INDEX(FromSimSail!$B$1:$T$32,$B11,AG$1)*COS($A11)</f>
        <v>3.3091009894296768</v>
      </c>
      <c r="AI11" s="4" cm="1">
        <f t="array" ref="AI11">INDEX(FromSimSail!$B$1:$T$32,$B11,AI$1)*SIN($A11)</f>
        <v>7.0782638167562357</v>
      </c>
      <c r="AJ11" s="4" cm="1">
        <f t="array" ref="AJ11">INDEX(FromSimSail!$B$1:$T$32,$B11,AI$1)*COS($A11)</f>
        <v>3.3006486241948623</v>
      </c>
      <c r="AK11" s="4" cm="1">
        <f t="array" ref="AK11">INDEX(FromSimSail!$B$1:$T$32,$B11,AK$1)*SIN($A11)</f>
        <v>7.04201150527477</v>
      </c>
      <c r="AL11" s="4" cm="1">
        <f t="array" ref="AL11">INDEX(FromSimSail!$B$1:$T$32,$B11,AK$1)*COS($A11)</f>
        <v>3.2837438937252346</v>
      </c>
      <c r="AM11" s="4" cm="1">
        <f t="array" ref="AM11">INDEX(FromSimSail!$B$1:$T$32,$B11,AM$1)*SIN($A11)</f>
        <v>6.9966961159229371</v>
      </c>
      <c r="AN11" s="4" cm="1">
        <f t="array" ref="AN11">INDEX(FromSimSail!$B$1:$T$32,$B11,AM$1)*COS($A11)</f>
        <v>3.2626129806381994</v>
      </c>
    </row>
    <row r="12" spans="1:46" x14ac:dyDescent="0.25">
      <c r="A12" s="4">
        <f>FromSimSail!A10*Info!$B$3</f>
        <v>1.2217304763960306</v>
      </c>
      <c r="B12" s="4">
        <f t="shared" si="17"/>
        <v>10</v>
      </c>
      <c r="C12" s="4" cm="1">
        <f t="array" ref="C12">INDEX(FromSimSail!$B$1:$T$32,$B12,C$1)*SIN($A12)</f>
        <v>1.5504928242967486</v>
      </c>
      <c r="D12" s="4" cm="1">
        <f t="array" ref="D12">INDEX(FromSimSail!$B$1:$T$32,$B12,C$1)*COS($A12)</f>
        <v>0.56433323648735356</v>
      </c>
      <c r="E12" s="4" cm="1">
        <f t="array" ref="E12">INDEX(FromSimSail!$B$1:$T$32,$B12,E$1)*SIN($A12)</f>
        <v>3.1291764272170748</v>
      </c>
      <c r="F12" s="4" cm="1">
        <f t="array" ref="F12">INDEX(FromSimSail!$B$1:$T$32,$B12,E$1)*COS($A12)</f>
        <v>1.1389270772744773</v>
      </c>
      <c r="G12" s="4" cm="1">
        <f t="array" ref="G12">INDEX(FromSimSail!$B$1:$T$32,$B12,G$1)*SIN($A12)</f>
        <v>3.8621366714300835</v>
      </c>
      <c r="H12" s="4" cm="1">
        <f t="array" ref="H12">INDEX(FromSimSail!$B$1:$T$32,$B12,G$1)*COS($A12)</f>
        <v>1.405702789068499</v>
      </c>
      <c r="I12" s="4" cm="1">
        <f t="array" ref="I12">INDEX(FromSimSail!$B$1:$T$32,$B12,I$1)*SIN($A12)</f>
        <v>4.5011276535645006</v>
      </c>
      <c r="J12" s="4" cm="1">
        <f t="array" ref="J12">INDEX(FromSimSail!$B$1:$T$32,$B12,I$1)*COS($A12)</f>
        <v>1.6382764865299537</v>
      </c>
      <c r="K12" s="4" cm="1">
        <f t="array" ref="K12">INDEX(FromSimSail!$B$1:$T$32,$B12,K$1)*SIN($A12)</f>
        <v>4.9897678163731731</v>
      </c>
      <c r="L12" s="4" cm="1">
        <f t="array" ref="L12">INDEX(FromSimSail!$B$1:$T$32,$B12,K$1)*COS($A12)</f>
        <v>1.8161269610593014</v>
      </c>
      <c r="M12" s="4" cm="1">
        <f t="array" ref="M12">INDEX(FromSimSail!$B$1:$T$32,$B12,M$1)*SIN($A12)</f>
        <v>5.4032325695189725</v>
      </c>
      <c r="N12" s="4" cm="1">
        <f t="array" ref="N12">INDEX(FromSimSail!$B$1:$T$32,$B12,M$1)*COS($A12)</f>
        <v>1.9666158241225957</v>
      </c>
      <c r="O12" s="4" cm="1">
        <f t="array" ref="O12">INDEX(FromSimSail!$B$1:$T$32,$B12,O$1)*SIN($A12)</f>
        <v>5.7791096178333365</v>
      </c>
      <c r="P12" s="4" cm="1">
        <f t="array" ref="P12">INDEX(FromSimSail!$B$1:$T$32,$B12,O$1)*COS($A12)</f>
        <v>2.1034238814528634</v>
      </c>
      <c r="Q12" s="4" cm="1">
        <f t="array" ref="Q12">INDEX(FromSimSail!$B$1:$T$32,$B12,Q$1)*SIN($A12)</f>
        <v>6.1173989613162627</v>
      </c>
      <c r="R12" s="4" cm="1">
        <f t="array" ref="R12">INDEX(FromSimSail!$B$1:$T$32,$B12,Q$1)*COS($A12)</f>
        <v>2.226551133050104</v>
      </c>
      <c r="S12" s="4" cm="1">
        <f t="array" ref="S12">INDEX(FromSimSail!$B$1:$T$32,$B12,S$1)*SIN($A12)</f>
        <v>6.690611459995667</v>
      </c>
      <c r="T12" s="4" cm="1">
        <f t="array" ref="T12">INDEX(FromSimSail!$B$1:$T$32,$B12,S$1)*COS($A12)</f>
        <v>2.4351834204787619</v>
      </c>
      <c r="U12" s="4" cm="1">
        <f t="array" ref="U12">INDEX(FromSimSail!$B$1:$T$32,$B12,U$1)*SIN($A12)</f>
        <v>7.0664885083100302</v>
      </c>
      <c r="V12" s="4" cm="1">
        <f t="array" ref="V12">INDEX(FromSimSail!$B$1:$T$32,$B12,U$1)*COS($A12)</f>
        <v>2.5719914778090294</v>
      </c>
      <c r="W12" s="4" cm="1">
        <f t="array" ref="W12">INDEX(FromSimSail!$B$1:$T$32,$B12,W$1)*SIN($A12)</f>
        <v>7.3014116635065074</v>
      </c>
      <c r="X12" s="4" cm="1">
        <f t="array" ref="X12">INDEX(FromSimSail!$B$1:$T$32,$B12,W$1)*COS($A12)</f>
        <v>2.6574965136404467</v>
      </c>
      <c r="Y12" s="4" cm="1">
        <f t="array" ref="Y12">INDEX(FromSimSail!$B$1:$T$32,$B12,Y$1)*SIN($A12)</f>
        <v>7.4141747780008167</v>
      </c>
      <c r="Z12" s="4" cm="1">
        <f t="array" ref="Z12">INDEX(FromSimSail!$B$1:$T$32,$B12,Y$1)*COS($A12)</f>
        <v>2.6985389308395269</v>
      </c>
      <c r="AA12" s="4" cm="1">
        <f t="array" ref="AA12">INDEX(FromSimSail!$B$1:$T$32,$B12,AA$1)*SIN($A12)</f>
        <v>7.564525597326563</v>
      </c>
      <c r="AB12" s="4" cm="1">
        <f t="array" ref="AB12">INDEX(FromSimSail!$B$1:$T$32,$B12,AA$1)*COS($A12)</f>
        <v>2.7532621537716344</v>
      </c>
      <c r="AC12" s="4" cm="1">
        <f t="array" ref="AC12">INDEX(FromSimSail!$B$1:$T$32,$B12,AC$1)*SIN($A12)</f>
        <v>7.5269378924951251</v>
      </c>
      <c r="AD12" s="4" cm="1">
        <f t="array" ref="AD12">INDEX(FromSimSail!$B$1:$T$32,$B12,AC$1)*COS($A12)</f>
        <v>2.7395813480386071</v>
      </c>
      <c r="AE12" s="4" cm="1">
        <f t="array" ref="AE12">INDEX(FromSimSail!$B$1:$T$32,$B12,AE$1)*SIN($A12)</f>
        <v>7.4987471138715485</v>
      </c>
      <c r="AF12" s="4" cm="1">
        <f t="array" ref="AF12">INDEX(FromSimSail!$B$1:$T$32,$B12,AE$1)*COS($A12)</f>
        <v>2.7293207437388372</v>
      </c>
      <c r="AG12" s="4" cm="1">
        <f t="array" ref="AG12">INDEX(FromSimSail!$B$1:$T$32,$B12,AG$1)*SIN($A12)</f>
        <v>7.4799532614558304</v>
      </c>
      <c r="AH12" s="4" cm="1">
        <f t="array" ref="AH12">INDEX(FromSimSail!$B$1:$T$32,$B12,AG$1)*COS($A12)</f>
        <v>2.7224803408723237</v>
      </c>
      <c r="AI12" s="4" cm="1">
        <f t="array" ref="AI12">INDEX(FromSimSail!$B$1:$T$32,$B12,AI$1)*SIN($A12)</f>
        <v>7.4611594090401123</v>
      </c>
      <c r="AJ12" s="4" cm="1">
        <f t="array" ref="AJ12">INDEX(FromSimSail!$B$1:$T$32,$B12,AI$1)*COS($A12)</f>
        <v>2.7156399380058107</v>
      </c>
      <c r="AK12" s="4" cm="1">
        <f t="array" ref="AK12">INDEX(FromSimSail!$B$1:$T$32,$B12,AK$1)*SIN($A12)</f>
        <v>7.4235717042086762</v>
      </c>
      <c r="AL12" s="4" cm="1">
        <f t="array" ref="AL12">INDEX(FromSimSail!$B$1:$T$32,$B12,AK$1)*COS($A12)</f>
        <v>2.7019591322727838</v>
      </c>
      <c r="AM12" s="4" cm="1">
        <f t="array" ref="AM12">INDEX(FromSimSail!$B$1:$T$32,$B12,AM$1)*SIN($A12)</f>
        <v>7.38598399937724</v>
      </c>
      <c r="AN12" s="4" cm="1">
        <f t="array" ref="AN12">INDEX(FromSimSail!$B$1:$T$32,$B12,AM$1)*COS($A12)</f>
        <v>2.688278326539757</v>
      </c>
    </row>
    <row r="13" spans="1:46" x14ac:dyDescent="0.25">
      <c r="A13" s="4">
        <f>FromSimSail!A11*Info!$B$3</f>
        <v>1.3089969389957472</v>
      </c>
      <c r="B13" s="4">
        <f t="shared" si="17"/>
        <v>11</v>
      </c>
      <c r="C13" s="4" cm="1">
        <f t="array" ref="C13">INDEX(FromSimSail!$B$1:$T$32,$B13,C$1)*SIN($A13)</f>
        <v>1.613096129902744</v>
      </c>
      <c r="D13" s="4" cm="1">
        <f t="array" ref="D13">INDEX(FromSimSail!$B$1:$T$32,$B13,C$1)*COS($A13)</f>
        <v>0.43222780532120963</v>
      </c>
      <c r="E13" s="4" cm="1">
        <f t="array" ref="E13">INDEX(FromSimSail!$B$1:$T$32,$B13,E$1)*SIN($A13)</f>
        <v>3.2551700345941601</v>
      </c>
      <c r="F13" s="4" cm="1">
        <f t="array" ref="F13">INDEX(FromSimSail!$B$1:$T$32,$B13,E$1)*COS($A13)</f>
        <v>0.87222018199549489</v>
      </c>
      <c r="G13" s="4" cm="1">
        <f t="array" ref="G13">INDEX(FromSimSail!$B$1:$T$32,$B13,G$1)*SIN($A13)</f>
        <v>4.0182514373625242</v>
      </c>
      <c r="H13" s="4" cm="1">
        <f t="array" ref="H13">INDEX(FromSimSail!$B$1:$T$32,$B13,G$1)*COS($A13)</f>
        <v>1.0766872276264863</v>
      </c>
      <c r="I13" s="4" cm="1">
        <f t="array" ref="I13">INDEX(FromSimSail!$B$1:$T$32,$B13,I$1)*SIN($A13)</f>
        <v>4.6847402575019812</v>
      </c>
      <c r="J13" s="4" cm="1">
        <f t="array" ref="J13">INDEX(FromSimSail!$B$1:$T$32,$B13,I$1)*COS($A13)</f>
        <v>1.2552723687472256</v>
      </c>
      <c r="K13" s="4" cm="1">
        <f t="array" ref="K13">INDEX(FromSimSail!$B$1:$T$32,$B13,K$1)*SIN($A13)</f>
        <v>5.1966809454351877</v>
      </c>
      <c r="L13" s="4" cm="1">
        <f t="array" ref="L13">INDEX(FromSimSail!$B$1:$T$32,$B13,K$1)*COS($A13)</f>
        <v>1.3924464626515616</v>
      </c>
      <c r="M13" s="4" cm="1">
        <f t="array" ref="M13">INDEX(FromSimSail!$B$1:$T$32,$B13,M$1)*SIN($A13)</f>
        <v>5.6216883090023781</v>
      </c>
      <c r="N13" s="4" cm="1">
        <f t="array" ref="N13">INDEX(FromSimSail!$B$1:$T$32,$B13,M$1)*COS($A13)</f>
        <v>1.5063268424966707</v>
      </c>
      <c r="O13" s="4" cm="1">
        <f t="array" ref="O13">INDEX(FromSimSail!$B$1:$T$32,$B13,O$1)*SIN($A13)</f>
        <v>6.0080586395180049</v>
      </c>
      <c r="P13" s="4" cm="1">
        <f t="array" ref="P13">INDEX(FromSimSail!$B$1:$T$32,$B13,O$1)*COS($A13)</f>
        <v>1.609854460537679</v>
      </c>
      <c r="Q13" s="4" cm="1">
        <f t="array" ref="Q13">INDEX(FromSimSail!$B$1:$T$32,$B13,Q$1)*SIN($A13)</f>
        <v>6.3557919369820697</v>
      </c>
      <c r="R13" s="4" cm="1">
        <f t="array" ref="R13">INDEX(FromSimSail!$B$1:$T$32,$B13,Q$1)*COS($A13)</f>
        <v>1.7030293167745865</v>
      </c>
      <c r="S13" s="4" cm="1">
        <f t="array" ref="S13">INDEX(FromSimSail!$B$1:$T$32,$B13,S$1)*SIN($A13)</f>
        <v>6.9353474327555098</v>
      </c>
      <c r="T13" s="4" cm="1">
        <f t="array" ref="T13">INDEX(FromSimSail!$B$1:$T$32,$B13,S$1)*COS($A13)</f>
        <v>1.8583207438360989</v>
      </c>
      <c r="U13" s="4" cm="1">
        <f t="array" ref="U13">INDEX(FromSimSail!$B$1:$T$32,$B13,U$1)*SIN($A13)</f>
        <v>7.302399246745356</v>
      </c>
      <c r="V13" s="4" cm="1">
        <f t="array" ref="V13">INDEX(FromSimSail!$B$1:$T$32,$B13,U$1)*COS($A13)</f>
        <v>1.9566719809750568</v>
      </c>
      <c r="W13" s="4" cm="1">
        <f t="array" ref="W13">INDEX(FromSimSail!$B$1:$T$32,$B13,W$1)*SIN($A13)</f>
        <v>7.5438807033176234</v>
      </c>
      <c r="X13" s="4" cm="1">
        <f t="array" ref="X13">INDEX(FromSimSail!$B$1:$T$32,$B13,W$1)*COS($A13)</f>
        <v>2.0213767422506868</v>
      </c>
      <c r="Y13" s="4" cm="1">
        <f t="array" ref="Y13">INDEX(FromSimSail!$B$1:$T$32,$B13,Y$1)*SIN($A13)</f>
        <v>7.6791103189980934</v>
      </c>
      <c r="Z13" s="4" cm="1">
        <f t="array" ref="Z13">INDEX(FromSimSail!$B$1:$T$32,$B13,Y$1)*COS($A13)</f>
        <v>2.0576114085650401</v>
      </c>
      <c r="AA13" s="4" cm="1">
        <f t="array" ref="AA13">INDEX(FromSimSail!$B$1:$T$32,$B13,AA$1)*SIN($A13)</f>
        <v>7.8529769677301262</v>
      </c>
      <c r="AB13" s="4" cm="1">
        <f t="array" ref="AB13">INDEX(FromSimSail!$B$1:$T$32,$B13,AA$1)*COS($A13)</f>
        <v>2.1041988366834938</v>
      </c>
      <c r="AC13" s="4" cm="1">
        <f t="array" ref="AC13">INDEX(FromSimSail!$B$1:$T$32,$B13,AC$1)*SIN($A13)</f>
        <v>7.8239991929414527</v>
      </c>
      <c r="AD13" s="4" cm="1">
        <f t="array" ref="AD13">INDEX(FromSimSail!$B$1:$T$32,$B13,AC$1)*COS($A13)</f>
        <v>2.096434265330418</v>
      </c>
      <c r="AE13" s="4" cm="1">
        <f t="array" ref="AE13">INDEX(FromSimSail!$B$1:$T$32,$B13,AE$1)*SIN($A13)</f>
        <v>7.7950214181527819</v>
      </c>
      <c r="AF13" s="4" cm="1">
        <f t="array" ref="AF13">INDEX(FromSimSail!$B$1:$T$32,$B13,AE$1)*COS($A13)</f>
        <v>2.0886696939773426</v>
      </c>
      <c r="AG13" s="4" cm="1">
        <f t="array" ref="AG13">INDEX(FromSimSail!$B$1:$T$32,$B13,AG$1)*SIN($A13)</f>
        <v>7.7853621598898908</v>
      </c>
      <c r="AH13" s="4" cm="1">
        <f t="array" ref="AH13">INDEX(FromSimSail!$B$1:$T$32,$B13,AG$1)*COS($A13)</f>
        <v>2.0860815035263172</v>
      </c>
      <c r="AI13" s="4" cm="1">
        <f t="array" ref="AI13">INDEX(FromSimSail!$B$1:$T$32,$B13,AI$1)*SIN($A13)</f>
        <v>7.7757029016270005</v>
      </c>
      <c r="AJ13" s="4" cm="1">
        <f t="array" ref="AJ13">INDEX(FromSimSail!$B$1:$T$32,$B13,AI$1)*COS($A13)</f>
        <v>2.0834933130752922</v>
      </c>
      <c r="AK13" s="4" cm="1">
        <f t="array" ref="AK13">INDEX(FromSimSail!$B$1:$T$32,$B13,AK$1)*SIN($A13)</f>
        <v>7.746725126838327</v>
      </c>
      <c r="AL13" s="4" cm="1">
        <f t="array" ref="AL13">INDEX(FromSimSail!$B$1:$T$32,$B13,AK$1)*COS($A13)</f>
        <v>2.0757287417222163</v>
      </c>
      <c r="AM13" s="4" cm="1">
        <f t="array" ref="AM13">INDEX(FromSimSail!$B$1:$T$32,$B13,AM$1)*SIN($A13)</f>
        <v>7.7177473520496562</v>
      </c>
      <c r="AN13" s="4" cm="1">
        <f t="array" ref="AN13">INDEX(FromSimSail!$B$1:$T$32,$B13,AM$1)*COS($A13)</f>
        <v>2.0679641703691409</v>
      </c>
    </row>
    <row r="14" spans="1:46" x14ac:dyDescent="0.25">
      <c r="A14" s="4">
        <f>FromSimSail!A12*Info!$B$3</f>
        <v>1.3962634015954636</v>
      </c>
      <c r="B14" s="4">
        <f t="shared" si="17"/>
        <v>12</v>
      </c>
      <c r="C14" s="4" cm="1">
        <f t="array" ref="C14">INDEX(FromSimSail!$B$1:$T$32,$B14,C$1)*SIN($A14)</f>
        <v>1.6643251025906316</v>
      </c>
      <c r="D14" s="4" cm="1">
        <f t="array" ref="D14">INDEX(FromSimSail!$B$1:$T$32,$B14,C$1)*COS($A14)</f>
        <v>0.29346542025711236</v>
      </c>
      <c r="E14" s="4" cm="1">
        <f t="array" ref="E14">INDEX(FromSimSail!$B$1:$T$32,$B14,E$1)*SIN($A14)</f>
        <v>3.3483463602415071</v>
      </c>
      <c r="F14" s="4" cm="1">
        <f t="array" ref="F14">INDEX(FromSimSail!$B$1:$T$32,$B14,E$1)*COS($A14)</f>
        <v>0.59040380406756343</v>
      </c>
      <c r="G14" s="4" cm="1">
        <f t="array" ref="G14">INDEX(FromSimSail!$B$1:$T$32,$B14,G$1)*SIN($A14)</f>
        <v>4.1263444851211517</v>
      </c>
      <c r="H14" s="4" cm="1">
        <f t="array" ref="H14">INDEX(FromSimSail!$B$1:$T$32,$B14,G$1)*COS($A14)</f>
        <v>0.72758586442443851</v>
      </c>
      <c r="I14" s="4" cm="1">
        <f t="array" ref="I14">INDEX(FromSimSail!$B$1:$T$32,$B14,I$1)*SIN($A14)</f>
        <v>4.8058618346995754</v>
      </c>
      <c r="J14" s="4" cm="1">
        <f t="array" ref="J14">INDEX(FromSimSail!$B$1:$T$32,$B14,I$1)*COS($A14)</f>
        <v>0.8474031070146204</v>
      </c>
      <c r="K14" s="4" cm="1">
        <f t="array" ref="K14">INDEX(FromSimSail!$B$1:$T$32,$B14,K$1)*SIN($A14)</f>
        <v>5.3179618662659234</v>
      </c>
      <c r="L14" s="4" cm="1">
        <f t="array" ref="L14">INDEX(FromSimSail!$B$1:$T$32,$B14,K$1)*COS($A14)</f>
        <v>0.93770015940142426</v>
      </c>
      <c r="M14" s="4" cm="1">
        <f t="array" ref="M14">INDEX(FromSimSail!$B$1:$T$32,$B14,M$1)*SIN($A14)</f>
        <v>5.7512772775912948</v>
      </c>
      <c r="N14" s="4" cm="1">
        <f t="array" ref="N14">INDEX(FromSimSail!$B$1:$T$32,$B14,M$1)*COS($A14)</f>
        <v>1.0141053575748735</v>
      </c>
      <c r="O14" s="4" cm="1">
        <f t="array" ref="O14">INDEX(FromSimSail!$B$1:$T$32,$B14,O$1)*SIN($A14)</f>
        <v>6.1452003787961784</v>
      </c>
      <c r="P14" s="4" cm="1">
        <f t="array" ref="P14">INDEX(FromSimSail!$B$1:$T$32,$B14,O$1)*COS($A14)</f>
        <v>1.0835646286416458</v>
      </c>
      <c r="Q14" s="4" cm="1">
        <f t="array" ref="Q14">INDEX(FromSimSail!$B$1:$T$32,$B14,Q$1)*SIN($A14)</f>
        <v>6.4997311698805724</v>
      </c>
      <c r="R14" s="4" cm="1">
        <f t="array" ref="R14">INDEX(FromSimSail!$B$1:$T$32,$B14,Q$1)*COS($A14)</f>
        <v>1.1460779726017407</v>
      </c>
      <c r="S14" s="4" cm="1">
        <f t="array" ref="S14">INDEX(FromSimSail!$B$1:$T$32,$B14,S$1)*SIN($A14)</f>
        <v>7.0906158216878978</v>
      </c>
      <c r="T14" s="4" cm="1">
        <f t="array" ref="T14">INDEX(FromSimSail!$B$1:$T$32,$B14,S$1)*COS($A14)</f>
        <v>1.2502668792018989</v>
      </c>
      <c r="U14" s="4" cm="1">
        <f t="array" ref="U14">INDEX(FromSimSail!$B$1:$T$32,$B14,U$1)*SIN($A14)</f>
        <v>7.4549946903024153</v>
      </c>
      <c r="V14" s="4" cm="1">
        <f t="array" ref="V14">INDEX(FromSimSail!$B$1:$T$32,$B14,U$1)*COS($A14)</f>
        <v>1.3145167049386632</v>
      </c>
      <c r="W14" s="4" cm="1">
        <f t="array" ref="W14">INDEX(FromSimSail!$B$1:$T$32,$B14,W$1)*SIN($A14)</f>
        <v>7.7110447060855885</v>
      </c>
      <c r="X14" s="4" cm="1">
        <f t="array" ref="X14">INDEX(FromSimSail!$B$1:$T$32,$B14,W$1)*COS($A14)</f>
        <v>1.3596652311320652</v>
      </c>
      <c r="Y14" s="4" cm="1">
        <f t="array" ref="Y14">INDEX(FromSimSail!$B$1:$T$32,$B14,Y$1)*SIN($A14)</f>
        <v>7.8587658690374207</v>
      </c>
      <c r="Z14" s="4" cm="1">
        <f t="array" ref="Z14">INDEX(FromSimSail!$B$1:$T$32,$B14,Y$1)*COS($A14)</f>
        <v>1.3857124577821047</v>
      </c>
      <c r="AA14" s="4" cm="1">
        <f t="array" ref="AA14">INDEX(FromSimSail!$B$1:$T$32,$B14,AA$1)*SIN($A14)</f>
        <v>8.0557274196398616</v>
      </c>
      <c r="AB14" s="4" cm="1">
        <f t="array" ref="AB14">INDEX(FromSimSail!$B$1:$T$32,$B14,AA$1)*COS($A14)</f>
        <v>1.4204420933154907</v>
      </c>
      <c r="AC14" s="4" cm="1">
        <f t="array" ref="AC14">INDEX(FromSimSail!$B$1:$T$32,$B14,AC$1)*SIN($A14)</f>
        <v>8.0360312645796181</v>
      </c>
      <c r="AD14" s="4" cm="1">
        <f t="array" ref="AD14">INDEX(FromSimSail!$B$1:$T$32,$B14,AC$1)*COS($A14)</f>
        <v>1.4169691297621523</v>
      </c>
      <c r="AE14" s="4" cm="1">
        <f t="array" ref="AE14">INDEX(FromSimSail!$B$1:$T$32,$B14,AE$1)*SIN($A14)</f>
        <v>8.0163351095193747</v>
      </c>
      <c r="AF14" s="4" cm="1">
        <f t="array" ref="AF14">INDEX(FromSimSail!$B$1:$T$32,$B14,AE$1)*COS($A14)</f>
        <v>1.4134961662088137</v>
      </c>
      <c r="AG14" s="4" cm="1">
        <f t="array" ref="AG14">INDEX(FromSimSail!$B$1:$T$32,$B14,AG$1)*SIN($A14)</f>
        <v>8.006487031989252</v>
      </c>
      <c r="AH14" s="4" cm="1">
        <f t="array" ref="AH14">INDEX(FromSimSail!$B$1:$T$32,$B14,AG$1)*COS($A14)</f>
        <v>1.4117596844321445</v>
      </c>
      <c r="AI14" s="4" cm="1">
        <f t="array" ref="AI14">INDEX(FromSimSail!$B$1:$T$32,$B14,AI$1)*SIN($A14)</f>
        <v>7.9966389544591285</v>
      </c>
      <c r="AJ14" s="4" cm="1">
        <f t="array" ref="AJ14">INDEX(FromSimSail!$B$1:$T$32,$B14,AI$1)*COS($A14)</f>
        <v>1.4100232026554749</v>
      </c>
      <c r="AK14" s="4" cm="1">
        <f t="array" ref="AK14">INDEX(FromSimSail!$B$1:$T$32,$B14,AK$1)*SIN($A14)</f>
        <v>7.9867908769290068</v>
      </c>
      <c r="AL14" s="4" cm="1">
        <f t="array" ref="AL14">INDEX(FromSimSail!$B$1:$T$32,$B14,AK$1)*COS($A14)</f>
        <v>1.4082867208788055</v>
      </c>
      <c r="AM14" s="4" cm="1">
        <f t="array" ref="AM14">INDEX(FromSimSail!$B$1:$T$32,$B14,AM$1)*SIN($A14)</f>
        <v>7.9670947218687624</v>
      </c>
      <c r="AN14" s="4" cm="1">
        <f t="array" ref="AN14">INDEX(FromSimSail!$B$1:$T$32,$B14,AM$1)*COS($A14)</f>
        <v>1.4048137573254671</v>
      </c>
    </row>
    <row r="15" spans="1:46" x14ac:dyDescent="0.25">
      <c r="A15" s="4">
        <f>FromSimSail!A13*Info!$B$3</f>
        <v>1.4835298641951802</v>
      </c>
      <c r="B15" s="4">
        <f t="shared" si="17"/>
        <v>13</v>
      </c>
      <c r="C15" s="4" cm="1">
        <f t="array" ref="C15">INDEX(FromSimSail!$B$1:$T$32,$B15,C$1)*SIN($A15)</f>
        <v>1.6736070927941324</v>
      </c>
      <c r="D15" s="4" cm="1">
        <f t="array" ref="D15">INDEX(FromSimSail!$B$1:$T$32,$B15,C$1)*COS($A15)</f>
        <v>0.14642164781606568</v>
      </c>
      <c r="E15" s="4" cm="1">
        <f t="array" ref="E15">INDEX(FromSimSail!$B$1:$T$32,$B15,E$1)*SIN($A15)</f>
        <v>3.3771000265310174</v>
      </c>
      <c r="F15" s="4" cm="1">
        <f t="array" ref="F15">INDEX(FromSimSail!$B$1:$T$32,$B15,E$1)*COS($A15)</f>
        <v>0.29545796791456108</v>
      </c>
      <c r="G15" s="4" cm="1">
        <f t="array" ref="G15">INDEX(FromSimSail!$B$1:$T$32,$B15,G$1)*SIN($A15)</f>
        <v>4.1541318910425789</v>
      </c>
      <c r="H15" s="4" cm="1">
        <f t="array" ref="H15">INDEX(FromSimSail!$B$1:$T$32,$B15,G$1)*COS($A15)</f>
        <v>0.36343944725773442</v>
      </c>
      <c r="I15" s="4" cm="1">
        <f t="array" ref="I15">INDEX(FromSimSail!$B$1:$T$32,$B15,I$1)*SIN($A15)</f>
        <v>4.8514681797068011</v>
      </c>
      <c r="J15" s="4" cm="1">
        <f t="array" ref="J15">INDEX(FromSimSail!$B$1:$T$32,$B15,I$1)*COS($A15)</f>
        <v>0.42444846718109513</v>
      </c>
      <c r="K15" s="4" cm="1">
        <f t="array" ref="K15">INDEX(FromSimSail!$B$1:$T$32,$B15,K$1)*SIN($A15)</f>
        <v>5.3694894227145085</v>
      </c>
      <c r="L15" s="4" cm="1">
        <f t="array" ref="L15">INDEX(FromSimSail!$B$1:$T$32,$B15,K$1)*COS($A15)</f>
        <v>0.46976945340987736</v>
      </c>
      <c r="M15" s="4" cm="1">
        <f t="array" ref="M15">INDEX(FromSimSail!$B$1:$T$32,$B15,M$1)*SIN($A15)</f>
        <v>5.7978531428939597</v>
      </c>
      <c r="N15" s="4" cm="1">
        <f t="array" ref="N15">INDEX(FromSimSail!$B$1:$T$32,$B15,M$1)*COS($A15)</f>
        <v>0.50724642279137044</v>
      </c>
      <c r="O15" s="4" cm="1">
        <f t="array" ref="O15">INDEX(FromSimSail!$B$1:$T$32,$B15,O$1)*SIN($A15)</f>
        <v>6.2062929691115754</v>
      </c>
      <c r="P15" s="4" cm="1">
        <f t="array" ref="P15">INDEX(FromSimSail!$B$1:$T$32,$B15,O$1)*COS($A15)</f>
        <v>0.54298027731791021</v>
      </c>
      <c r="Q15" s="4" cm="1">
        <f t="array" ref="Q15">INDEX(FromSimSail!$B$1:$T$32,$B15,Q$1)*SIN($A15)</f>
        <v>6.554961113443686</v>
      </c>
      <c r="R15" s="4" cm="1">
        <f t="array" ref="R15">INDEX(FromSimSail!$B$1:$T$32,$B15,Q$1)*COS($A15)</f>
        <v>0.57348478727959051</v>
      </c>
      <c r="S15" s="4" cm="1">
        <f t="array" ref="S15">INDEX(FromSimSail!$B$1:$T$32,$B15,S$1)*SIN($A15)</f>
        <v>7.1526779322987331</v>
      </c>
      <c r="T15" s="4" cm="1">
        <f t="array" ref="T15">INDEX(FromSimSail!$B$1:$T$32,$B15,S$1)*COS($A15)</f>
        <v>0.62577823292818535</v>
      </c>
      <c r="U15" s="4" cm="1">
        <f t="array" ref="U15">INDEX(FromSimSail!$B$1:$T$32,$B15,U$1)*SIN($A15)</f>
        <v>7.5312319175735958</v>
      </c>
      <c r="V15" s="4" cm="1">
        <f t="array" ref="V15">INDEX(FromSimSail!$B$1:$T$32,$B15,U$1)*COS($A15)</f>
        <v>0.6588974151722955</v>
      </c>
      <c r="W15" s="4" cm="1">
        <f t="array" ref="W15">INDEX(FromSimSail!$B$1:$T$32,$B15,W$1)*SIN($A15)</f>
        <v>7.7902425390774503</v>
      </c>
      <c r="X15" s="4" cm="1">
        <f t="array" ref="X15">INDEX(FromSimSail!$B$1:$T$32,$B15,W$1)*COS($A15)</f>
        <v>0.68155790828668672</v>
      </c>
      <c r="Y15" s="4" cm="1">
        <f t="array" ref="Y15">INDEX(FromSimSail!$B$1:$T$32,$B15,Y$1)*SIN($A15)</f>
        <v>7.959595637753047</v>
      </c>
      <c r="Z15" s="4" cm="1">
        <f t="array" ref="Z15">INDEX(FromSimSail!$B$1:$T$32,$B15,Y$1)*COS($A15)</f>
        <v>0.69637438455378853</v>
      </c>
      <c r="AA15" s="4" cm="1">
        <f t="array" ref="AA15">INDEX(FromSimSail!$B$1:$T$32,$B15,AA$1)*SIN($A15)</f>
        <v>8.1588345773713957</v>
      </c>
      <c r="AB15" s="4" cm="1">
        <f t="array" ref="AB15">INDEX(FromSimSail!$B$1:$T$32,$B15,AA$1)*COS($A15)</f>
        <v>0.71380553310332007</v>
      </c>
      <c r="AC15" s="4" cm="1">
        <f t="array" ref="AC15">INDEX(FromSimSail!$B$1:$T$32,$B15,AC$1)*SIN($A15)</f>
        <v>8.1488726303904784</v>
      </c>
      <c r="AD15" s="4" cm="1">
        <f t="array" ref="AD15">INDEX(FromSimSail!$B$1:$T$32,$B15,AC$1)*COS($A15)</f>
        <v>0.71293397567584349</v>
      </c>
      <c r="AE15" s="4" cm="1">
        <f t="array" ref="AE15">INDEX(FromSimSail!$B$1:$T$32,$B15,AE$1)*SIN($A15)</f>
        <v>8.138910683409561</v>
      </c>
      <c r="AF15" s="4" cm="1">
        <f t="array" ref="AF15">INDEX(FromSimSail!$B$1:$T$32,$B15,AE$1)*COS($A15)</f>
        <v>0.71206241824836702</v>
      </c>
      <c r="AG15" s="4" cm="1">
        <f t="array" ref="AG15">INDEX(FromSimSail!$B$1:$T$32,$B15,AG$1)*SIN($A15)</f>
        <v>8.138910683409561</v>
      </c>
      <c r="AH15" s="4" cm="1">
        <f t="array" ref="AH15">INDEX(FromSimSail!$B$1:$T$32,$B15,AG$1)*COS($A15)</f>
        <v>0.71206241824836702</v>
      </c>
      <c r="AI15" s="4" cm="1">
        <f t="array" ref="AI15">INDEX(FromSimSail!$B$1:$T$32,$B15,AI$1)*SIN($A15)</f>
        <v>8.1289487364286437</v>
      </c>
      <c r="AJ15" s="4" cm="1">
        <f t="array" ref="AJ15">INDEX(FromSimSail!$B$1:$T$32,$B15,AI$1)*COS($A15)</f>
        <v>0.71119086082089045</v>
      </c>
      <c r="AK15" s="4" cm="1">
        <f t="array" ref="AK15">INDEX(FromSimSail!$B$1:$T$32,$B15,AK$1)*SIN($A15)</f>
        <v>8.1289487364286437</v>
      </c>
      <c r="AL15" s="4" cm="1">
        <f t="array" ref="AL15">INDEX(FromSimSail!$B$1:$T$32,$B15,AK$1)*COS($A15)</f>
        <v>0.71119086082089045</v>
      </c>
      <c r="AM15" s="4" cm="1">
        <f t="array" ref="AM15">INDEX(FromSimSail!$B$1:$T$32,$B15,AM$1)*SIN($A15)</f>
        <v>8.1189867894477263</v>
      </c>
      <c r="AN15" s="4" cm="1">
        <f t="array" ref="AN15">INDEX(FromSimSail!$B$1:$T$32,$B15,AM$1)*COS($A15)</f>
        <v>0.71031930339341387</v>
      </c>
    </row>
    <row r="16" spans="1:46" x14ac:dyDescent="0.25">
      <c r="A16" s="4">
        <f>FromSimSail!A14*Info!$B$3</f>
        <v>1.5707963267948966</v>
      </c>
      <c r="B16" s="4">
        <f t="shared" si="17"/>
        <v>14</v>
      </c>
      <c r="C16" s="4" cm="1">
        <f t="array" ref="C16">INDEX(FromSimSail!$B$1:$T$32,$B16,C$1)*SIN($A16)</f>
        <v>1.66</v>
      </c>
      <c r="D16" s="4" cm="1">
        <f t="array" ref="D16">INDEX(FromSimSail!$B$1:$T$32,$B16,C$1)*COS($A16)</f>
        <v>1.0168732175741546E-16</v>
      </c>
      <c r="E16" s="4" cm="1">
        <f t="array" ref="E16">INDEX(FromSimSail!$B$1:$T$32,$B16,E$1)*SIN($A16)</f>
        <v>3.34</v>
      </c>
      <c r="F16" s="4" cm="1">
        <f t="array" ref="F16">INDEX(FromSimSail!$B$1:$T$32,$B16,E$1)*COS($A16)</f>
        <v>2.0459979196973953E-16</v>
      </c>
      <c r="G16" s="4" cm="1">
        <f t="array" ref="G16">INDEX(FromSimSail!$B$1:$T$32,$B16,G$1)*SIN($A16)</f>
        <v>4.12</v>
      </c>
      <c r="H16" s="4" cm="1">
        <f t="array" ref="H16">INDEX(FromSimSail!$B$1:$T$32,$B16,G$1)*COS($A16)</f>
        <v>2.5238058171117574E-16</v>
      </c>
      <c r="I16" s="4" cm="1">
        <f t="array" ref="I16">INDEX(FromSimSail!$B$1:$T$32,$B16,I$1)*SIN($A16)</f>
        <v>4.8099999999999996</v>
      </c>
      <c r="J16" s="4" cm="1">
        <f t="array" ref="J16">INDEX(FromSimSail!$B$1:$T$32,$B16,I$1)*COS($A16)</f>
        <v>2.9464820340552307E-16</v>
      </c>
      <c r="K16" s="4" cm="1">
        <f t="array" ref="K16">INDEX(FromSimSail!$B$1:$T$32,$B16,K$1)*SIN($A16)</f>
        <v>5.34</v>
      </c>
      <c r="L16" s="4" cm="1">
        <f t="array" ref="L16">INDEX(FromSimSail!$B$1:$T$32,$B16,K$1)*COS($A16)</f>
        <v>3.2711463746060153E-16</v>
      </c>
      <c r="M16" s="4" cm="1">
        <f t="array" ref="M16">INDEX(FromSimSail!$B$1:$T$32,$B16,M$1)*SIN($A16)</f>
        <v>5.78</v>
      </c>
      <c r="N16" s="4" cm="1">
        <f t="array" ref="N16">INDEX(FromSimSail!$B$1:$T$32,$B16,M$1)*COS($A16)</f>
        <v>3.5406790346859121E-16</v>
      </c>
      <c r="O16" s="4" cm="1">
        <f t="array" ref="O16">INDEX(FromSimSail!$B$1:$T$32,$B16,O$1)*SIN($A16)</f>
        <v>6.17</v>
      </c>
      <c r="P16" s="4" cm="1">
        <f t="array" ref="P16">INDEX(FromSimSail!$B$1:$T$32,$B16,O$1)*COS($A16)</f>
        <v>3.7795829833930929E-16</v>
      </c>
      <c r="Q16" s="4" cm="1">
        <f t="array" ref="Q16">INDEX(FromSimSail!$B$1:$T$32,$B16,Q$1)*SIN($A16)</f>
        <v>6.53</v>
      </c>
      <c r="R16" s="4" cm="1">
        <f t="array" ref="R16">INDEX(FromSimSail!$B$1:$T$32,$B16,Q$1)*COS($A16)</f>
        <v>4.0001097052766446E-16</v>
      </c>
      <c r="S16" s="4" cm="1">
        <f t="array" ref="S16">INDEX(FromSimSail!$B$1:$T$32,$B16,S$1)*SIN($A16)</f>
        <v>7.13</v>
      </c>
      <c r="T16" s="4" cm="1">
        <f t="array" ref="T16">INDEX(FromSimSail!$B$1:$T$32,$B16,S$1)*COS($A16)</f>
        <v>4.3676542417492301E-16</v>
      </c>
      <c r="U16" s="4" cm="1">
        <f t="array" ref="U16">INDEX(FromSimSail!$B$1:$T$32,$B16,U$1)*SIN($A16)</f>
        <v>7.53</v>
      </c>
      <c r="V16" s="4" cm="1">
        <f t="array" ref="V16">INDEX(FromSimSail!$B$1:$T$32,$B16,U$1)*COS($A16)</f>
        <v>4.6126839327309541E-16</v>
      </c>
      <c r="W16" s="4" cm="1">
        <f t="array" ref="W16">INDEX(FromSimSail!$B$1:$T$32,$B16,W$1)*SIN($A16)</f>
        <v>7.79</v>
      </c>
      <c r="X16" s="4" cm="1">
        <f t="array" ref="X16">INDEX(FromSimSail!$B$1:$T$32,$B16,W$1)*COS($A16)</f>
        <v>4.7719532318690753E-16</v>
      </c>
      <c r="Y16" s="4" cm="1">
        <f t="array" ref="Y16">INDEX(FromSimSail!$B$1:$T$32,$B16,Y$1)*SIN($A16)</f>
        <v>7.97</v>
      </c>
      <c r="Z16" s="4" cm="1">
        <f t="array" ref="Z16">INDEX(FromSimSail!$B$1:$T$32,$B16,Y$1)*COS($A16)</f>
        <v>4.8822165928108509E-16</v>
      </c>
      <c r="AA16" s="4" cm="1">
        <f t="array" ref="AA16">INDEX(FromSimSail!$B$1:$T$32,$B16,AA$1)*SIN($A16)</f>
        <v>8.18</v>
      </c>
      <c r="AB16" s="4" cm="1">
        <f t="array" ref="AB16">INDEX(FromSimSail!$B$1:$T$32,$B16,AA$1)*COS($A16)</f>
        <v>5.0108571805762556E-16</v>
      </c>
      <c r="AC16" s="4" cm="1">
        <f t="array" ref="AC16">INDEX(FromSimSail!$B$1:$T$32,$B16,AC$1)*SIN($A16)</f>
        <v>8.18</v>
      </c>
      <c r="AD16" s="4" cm="1">
        <f t="array" ref="AD16">INDEX(FromSimSail!$B$1:$T$32,$B16,AC$1)*COS($A16)</f>
        <v>5.0108571805762556E-16</v>
      </c>
      <c r="AE16" s="4" cm="1">
        <f t="array" ref="AE16">INDEX(FromSimSail!$B$1:$T$32,$B16,AE$1)*SIN($A16)</f>
        <v>8.18</v>
      </c>
      <c r="AF16" s="4" cm="1">
        <f t="array" ref="AF16">INDEX(FromSimSail!$B$1:$T$32,$B16,AE$1)*COS($A16)</f>
        <v>5.0108571805762556E-16</v>
      </c>
      <c r="AG16" s="4" cm="1">
        <f t="array" ref="AG16">INDEX(FromSimSail!$B$1:$T$32,$B16,AG$1)*SIN($A16)</f>
        <v>8.18</v>
      </c>
      <c r="AH16" s="4" cm="1">
        <f t="array" ref="AH16">INDEX(FromSimSail!$B$1:$T$32,$B16,AG$1)*COS($A16)</f>
        <v>5.0108571805762556E-16</v>
      </c>
      <c r="AI16" s="4" cm="1">
        <f t="array" ref="AI16">INDEX(FromSimSail!$B$1:$T$32,$B16,AI$1)*SIN($A16)</f>
        <v>8.18</v>
      </c>
      <c r="AJ16" s="4" cm="1">
        <f t="array" ref="AJ16">INDEX(FromSimSail!$B$1:$T$32,$B16,AI$1)*COS($A16)</f>
        <v>5.0108571805762556E-16</v>
      </c>
      <c r="AK16" s="4" cm="1">
        <f t="array" ref="AK16">INDEX(FromSimSail!$B$1:$T$32,$B16,AK$1)*SIN($A16)</f>
        <v>8.18</v>
      </c>
      <c r="AL16" s="4" cm="1">
        <f t="array" ref="AL16">INDEX(FromSimSail!$B$1:$T$32,$B16,AK$1)*COS($A16)</f>
        <v>5.0108571805762556E-16</v>
      </c>
      <c r="AM16" s="4" cm="1">
        <f t="array" ref="AM16">INDEX(FromSimSail!$B$1:$T$32,$B16,AM$1)*SIN($A16)</f>
        <v>8.18</v>
      </c>
      <c r="AN16" s="4" cm="1">
        <f t="array" ref="AN16">INDEX(FromSimSail!$B$1:$T$32,$B16,AM$1)*COS($A16)</f>
        <v>5.0108571805762556E-16</v>
      </c>
    </row>
    <row r="17" spans="1:40" x14ac:dyDescent="0.25">
      <c r="A17" s="4">
        <f>FromSimSail!A15*Info!$B$3</f>
        <v>1.6580627893946132</v>
      </c>
      <c r="B17" s="4">
        <f t="shared" si="17"/>
        <v>15</v>
      </c>
      <c r="C17" s="4" cm="1">
        <f t="array" ref="C17">INDEX(FromSimSail!$B$1:$T$32,$B17,C$1)*SIN($A17)</f>
        <v>1.6138354109086279</v>
      </c>
      <c r="D17" s="4" cm="1">
        <f t="array" ref="D17">INDEX(FromSimSail!$B$1:$T$32,$B17,C$1)*COS($A17)</f>
        <v>-0.14119230325120635</v>
      </c>
      <c r="E17" s="4" cm="1">
        <f t="array" ref="E17">INDEX(FromSimSail!$B$1:$T$32,$B17,E$1)*SIN($A17)</f>
        <v>3.2475947157790901</v>
      </c>
      <c r="F17" s="4" cm="1">
        <f t="array" ref="F17">INDEX(FromSimSail!$B$1:$T$32,$B17,E$1)*COS($A17)</f>
        <v>-0.2841277213573658</v>
      </c>
      <c r="G17" s="4" cm="1">
        <f t="array" ref="G17">INDEX(FromSimSail!$B$1:$T$32,$B17,G$1)*SIN($A17)</f>
        <v>4.0146646333097351</v>
      </c>
      <c r="H17" s="4" cm="1">
        <f t="array" ref="H17">INDEX(FromSimSail!$B$1:$T$32,$B17,G$1)*COS($A17)</f>
        <v>-0.35123764327306273</v>
      </c>
      <c r="I17" s="4" cm="1">
        <f t="array" ref="I17">INDEX(FromSimSail!$B$1:$T$32,$B17,I$1)*SIN($A17)</f>
        <v>4.6920770280121218</v>
      </c>
      <c r="J17" s="4" cm="1">
        <f t="array" ref="J17">INDEX(FromSimSail!$B$1:$T$32,$B17,I$1)*COS($A17)</f>
        <v>-0.41050354834147029</v>
      </c>
      <c r="K17" s="4" cm="1">
        <f t="array" ref="K17">INDEX(FromSimSail!$B$1:$T$32,$B17,K$1)*SIN($A17)</f>
        <v>5.21009827101983</v>
      </c>
      <c r="L17" s="4" cm="1">
        <f t="array" ref="L17">INDEX(FromSimSail!$B$1:$T$32,$B17,K$1)*COS($A17)</f>
        <v>-0.45582453457025263</v>
      </c>
      <c r="M17" s="4" cm="1">
        <f t="array" ref="M17">INDEX(FromSimSail!$B$1:$T$32,$B17,M$1)*SIN($A17)</f>
        <v>5.6484239381801968</v>
      </c>
      <c r="N17" s="4" cm="1">
        <f t="array" ref="N17">INDEX(FromSimSail!$B$1:$T$32,$B17,M$1)*COS($A17)</f>
        <v>-0.49417306137922218</v>
      </c>
      <c r="O17" s="4" cm="1">
        <f t="array" ref="O17">INDEX(FromSimSail!$B$1:$T$32,$B17,O$1)*SIN($A17)</f>
        <v>6.046901817416896</v>
      </c>
      <c r="P17" s="4" cm="1">
        <f t="array" ref="P17">INDEX(FromSimSail!$B$1:$T$32,$B17,O$1)*COS($A17)</f>
        <v>-0.52903535847828553</v>
      </c>
      <c r="Q17" s="4" cm="1">
        <f t="array" ref="Q17">INDEX(FromSimSail!$B$1:$T$32,$B17,Q$1)*SIN($A17)</f>
        <v>6.3955699617490067</v>
      </c>
      <c r="R17" s="4" cm="1">
        <f t="array" ref="R17">INDEX(FromSimSail!$B$1:$T$32,$B17,Q$1)*COS($A17)</f>
        <v>-0.55953986843996584</v>
      </c>
      <c r="S17" s="4" cm="1">
        <f t="array" ref="S17">INDEX(FromSimSail!$B$1:$T$32,$B17,S$1)*SIN($A17)</f>
        <v>7.0032487275849711</v>
      </c>
      <c r="T17" s="4" cm="1">
        <f t="array" ref="T17">INDEX(FromSimSail!$B$1:$T$32,$B17,S$1)*COS($A17)</f>
        <v>-0.61270487151603736</v>
      </c>
      <c r="U17" s="4" cm="1">
        <f t="array" ref="U17">INDEX(FromSimSail!$B$1:$T$32,$B17,U$1)*SIN($A17)</f>
        <v>7.4316124477644214</v>
      </c>
      <c r="V17" s="4" cm="1">
        <f t="array" ref="V17">INDEX(FromSimSail!$B$1:$T$32,$B17,U$1)*COS($A17)</f>
        <v>-0.65018184089753039</v>
      </c>
      <c r="W17" s="4" cm="1">
        <f t="array" ref="W17">INDEX(FromSimSail!$B$1:$T$32,$B17,W$1)*SIN($A17)</f>
        <v>7.7105469632301107</v>
      </c>
      <c r="X17" s="4" cm="1">
        <f t="array" ref="X17">INDEX(FromSimSail!$B$1:$T$32,$B17,W$1)*COS($A17)</f>
        <v>-0.67458544886687477</v>
      </c>
      <c r="Y17" s="4" cm="1">
        <f t="array" ref="Y17">INDEX(FromSimSail!$B$1:$T$32,$B17,Y$1)*SIN($A17)</f>
        <v>7.899823955867542</v>
      </c>
      <c r="Z17" s="4" cm="1">
        <f t="array" ref="Z17">INDEX(FromSimSail!$B$1:$T$32,$B17,Y$1)*COS($A17)</f>
        <v>-0.69114503998892973</v>
      </c>
      <c r="AA17" s="4" cm="1">
        <f t="array" ref="AA17">INDEX(FromSimSail!$B$1:$T$32,$B17,AA$1)*SIN($A17)</f>
        <v>8.1189867894477263</v>
      </c>
      <c r="AB17" s="4" cm="1">
        <f t="array" ref="AB17">INDEX(FromSimSail!$B$1:$T$32,$B17,AA$1)*COS($A17)</f>
        <v>-0.71031930339341465</v>
      </c>
      <c r="AC17" s="4" cm="1">
        <f t="array" ref="AC17">INDEX(FromSimSail!$B$1:$T$32,$B17,AC$1)*SIN($A17)</f>
        <v>8.1289487364286437</v>
      </c>
      <c r="AD17" s="4" cm="1">
        <f t="array" ref="AD17">INDEX(FromSimSail!$B$1:$T$32,$B17,AC$1)*COS($A17)</f>
        <v>-0.71119086082089122</v>
      </c>
      <c r="AE17" s="4" cm="1">
        <f t="array" ref="AE17">INDEX(FromSimSail!$B$1:$T$32,$B17,AE$1)*SIN($A17)</f>
        <v>8.138910683409561</v>
      </c>
      <c r="AF17" s="4" cm="1">
        <f t="array" ref="AF17">INDEX(FromSimSail!$B$1:$T$32,$B17,AE$1)*COS($A17)</f>
        <v>-0.7120624182483678</v>
      </c>
      <c r="AG17" s="4" cm="1">
        <f t="array" ref="AG17">INDEX(FromSimSail!$B$1:$T$32,$B17,AG$1)*SIN($A17)</f>
        <v>8.138910683409561</v>
      </c>
      <c r="AH17" s="4" cm="1">
        <f t="array" ref="AH17">INDEX(FromSimSail!$B$1:$T$32,$B17,AG$1)*COS($A17)</f>
        <v>-0.7120624182483678</v>
      </c>
      <c r="AI17" s="4" cm="1">
        <f t="array" ref="AI17">INDEX(FromSimSail!$B$1:$T$32,$B17,AI$1)*SIN($A17)</f>
        <v>8.1488726303904784</v>
      </c>
      <c r="AJ17" s="4" cm="1">
        <f t="array" ref="AJ17">INDEX(FromSimSail!$B$1:$T$32,$B17,AI$1)*COS($A17)</f>
        <v>-0.71293397567584438</v>
      </c>
      <c r="AK17" s="4" cm="1">
        <f t="array" ref="AK17">INDEX(FromSimSail!$B$1:$T$32,$B17,AK$1)*SIN($A17)</f>
        <v>8.1588345773713957</v>
      </c>
      <c r="AL17" s="4" cm="1">
        <f t="array" ref="AL17">INDEX(FromSimSail!$B$1:$T$32,$B17,AK$1)*COS($A17)</f>
        <v>-0.71380553310332095</v>
      </c>
      <c r="AM17" s="4" cm="1">
        <f t="array" ref="AM17">INDEX(FromSimSail!$B$1:$T$32,$B17,AM$1)*SIN($A17)</f>
        <v>8.1687965243523131</v>
      </c>
      <c r="AN17" s="4" cm="1">
        <f t="array" ref="AN17">INDEX(FromSimSail!$B$1:$T$32,$B17,AM$1)*COS($A17)</f>
        <v>-0.71467709053079742</v>
      </c>
    </row>
    <row r="18" spans="1:40" x14ac:dyDescent="0.25">
      <c r="A18" s="4">
        <f>FromSimSail!A16*Info!$B$3</f>
        <v>1.7453292519943295</v>
      </c>
      <c r="B18" s="4">
        <f t="shared" si="17"/>
        <v>16</v>
      </c>
      <c r="C18" s="4" cm="1">
        <f t="array" ref="C18">INDEX(FromSimSail!$B$1:$T$32,$B18,C$1)*SIN($A18)</f>
        <v>1.5461481722291666</v>
      </c>
      <c r="D18" s="4" cm="1">
        <f t="array" ref="D18">INDEX(FromSimSail!$B$1:$T$32,$B18,C$1)*COS($A18)</f>
        <v>-0.27262763893708059</v>
      </c>
      <c r="E18" s="4" cm="1">
        <f t="array" ref="E18">INDEX(FromSimSail!$B$1:$T$32,$B18,E$1)*SIN($A18)</f>
        <v>3.1119924995185775</v>
      </c>
      <c r="F18" s="4" cm="1">
        <f t="array" ref="F18">INDEX(FromSimSail!$B$1:$T$32,$B18,E$1)*COS($A18)</f>
        <v>-0.54872824142749976</v>
      </c>
      <c r="G18" s="4" cm="1">
        <f t="array" ref="G18">INDEX(FromSimSail!$B$1:$T$32,$B18,G$1)*SIN($A18)</f>
        <v>3.8407502367476112</v>
      </c>
      <c r="H18" s="4" cm="1">
        <f t="array" ref="H18">INDEX(FromSimSail!$B$1:$T$32,$B18,G$1)*COS($A18)</f>
        <v>-0.67722789290102814</v>
      </c>
      <c r="I18" s="4" cm="1">
        <f t="array" ref="I18">INDEX(FromSimSail!$B$1:$T$32,$B18,I$1)*SIN($A18)</f>
        <v>4.4907233537356683</v>
      </c>
      <c r="J18" s="4" cm="1">
        <f t="array" ref="J18">INDEX(FromSimSail!$B$1:$T$32,$B18,I$1)*COS($A18)</f>
        <v>-0.79183569016120214</v>
      </c>
      <c r="K18" s="4" cm="1">
        <f t="array" ref="K18">INDEX(FromSimSail!$B$1:$T$32,$B18,K$1)*SIN($A18)</f>
        <v>5.0126714628321389</v>
      </c>
      <c r="L18" s="4" cm="1">
        <f t="array" ref="L18">INDEX(FromSimSail!$B$1:$T$32,$B18,K$1)*COS($A18)</f>
        <v>-0.88386922432467518</v>
      </c>
      <c r="M18" s="4" cm="1">
        <f t="array" ref="M18">INDEX(FromSimSail!$B$1:$T$32,$B18,M$1)*SIN($A18)</f>
        <v>5.4459868741575104</v>
      </c>
      <c r="N18" s="4" cm="1">
        <f t="array" ref="N18">INDEX(FromSimSail!$B$1:$T$32,$B18,M$1)*COS($A18)</f>
        <v>-0.96027442249812467</v>
      </c>
      <c r="O18" s="4" cm="1">
        <f t="array" ref="O18">INDEX(FromSimSail!$B$1:$T$32,$B18,O$1)*SIN($A18)</f>
        <v>5.8300618978322714</v>
      </c>
      <c r="P18" s="4" cm="1">
        <f t="array" ref="P18">INDEX(FromSimSail!$B$1:$T$32,$B18,O$1)*COS($A18)</f>
        <v>-1.0279972117882274</v>
      </c>
      <c r="Q18" s="4" cm="1">
        <f t="array" ref="Q18">INDEX(FromSimSail!$B$1:$T$32,$B18,Q$1)*SIN($A18)</f>
        <v>6.1845926889166662</v>
      </c>
      <c r="R18" s="4" cm="1">
        <f t="array" ref="R18">INDEX(FromSimSail!$B$1:$T$32,$B18,Q$1)*COS($A18)</f>
        <v>-1.0905105557483223</v>
      </c>
      <c r="S18" s="4" cm="1">
        <f t="array" ref="S18">INDEX(FromSimSail!$B$1:$T$32,$B18,S$1)*SIN($A18)</f>
        <v>6.795173495784236</v>
      </c>
      <c r="T18" s="4" cm="1">
        <f t="array" ref="T18">INDEX(FromSimSail!$B$1:$T$32,$B18,S$1)*COS($A18)</f>
        <v>-1.1981724259018192</v>
      </c>
      <c r="U18" s="4" cm="1">
        <f t="array" ref="U18">INDEX(FromSimSail!$B$1:$T$32,$B18,U$1)*SIN($A18)</f>
        <v>7.2580331396999735</v>
      </c>
      <c r="V18" s="4" cm="1">
        <f t="array" ref="V18">INDEX(FromSimSail!$B$1:$T$32,$B18,U$1)*COS($A18)</f>
        <v>-1.2797870694052764</v>
      </c>
      <c r="W18" s="4" cm="1">
        <f t="array" ref="W18">INDEX(FromSimSail!$B$1:$T$32,$B18,W$1)*SIN($A18)</f>
        <v>7.5534754656036354</v>
      </c>
      <c r="X18" s="4" cm="1">
        <f t="array" ref="X18">INDEX(FromSimSail!$B$1:$T$32,$B18,W$1)*COS($A18)</f>
        <v>-1.3318815227053553</v>
      </c>
      <c r="Y18" s="4" cm="1">
        <f t="array" ref="Y18">INDEX(FromSimSail!$B$1:$T$32,$B18,Y$1)*SIN($A18)</f>
        <v>7.7504370162060772</v>
      </c>
      <c r="Z18" s="4" cm="1">
        <f t="array" ref="Z18">INDEX(FromSimSail!$B$1:$T$32,$B18,Y$1)*COS($A18)</f>
        <v>-1.3666111582387415</v>
      </c>
      <c r="AA18" s="4" cm="1">
        <f t="array" ref="AA18">INDEX(FromSimSail!$B$1:$T$32,$B18,AA$1)*SIN($A18)</f>
        <v>7.9769427993988842</v>
      </c>
      <c r="AB18" s="4" cm="1">
        <f t="array" ref="AB18">INDEX(FromSimSail!$B$1:$T$32,$B18,AA$1)*COS($A18)</f>
        <v>-1.4065502391021354</v>
      </c>
      <c r="AC18" s="4" cm="1">
        <f t="array" ref="AC18">INDEX(FromSimSail!$B$1:$T$32,$B18,AC$1)*SIN($A18)</f>
        <v>7.9966389544591285</v>
      </c>
      <c r="AD18" s="4" cm="1">
        <f t="array" ref="AD18">INDEX(FromSimSail!$B$1:$T$32,$B18,AC$1)*COS($A18)</f>
        <v>-1.410023202655474</v>
      </c>
      <c r="AE18" s="4" cm="1">
        <f t="array" ref="AE18">INDEX(FromSimSail!$B$1:$T$32,$B18,AE$1)*SIN($A18)</f>
        <v>8.0163351095193747</v>
      </c>
      <c r="AF18" s="4" cm="1">
        <f t="array" ref="AF18">INDEX(FromSimSail!$B$1:$T$32,$B18,AE$1)*COS($A18)</f>
        <v>-1.4134961662088128</v>
      </c>
      <c r="AG18" s="4" cm="1">
        <f t="array" ref="AG18">INDEX(FromSimSail!$B$1:$T$32,$B18,AG$1)*SIN($A18)</f>
        <v>8.0261831870494955</v>
      </c>
      <c r="AH18" s="4" cm="1">
        <f t="array" ref="AH18">INDEX(FromSimSail!$B$1:$T$32,$B18,AG$1)*COS($A18)</f>
        <v>-1.415232647985482</v>
      </c>
      <c r="AI18" s="4" cm="1">
        <f t="array" ref="AI18">INDEX(FromSimSail!$B$1:$T$32,$B18,AI$1)*SIN($A18)</f>
        <v>8.0360312645796181</v>
      </c>
      <c r="AJ18" s="4" cm="1">
        <f t="array" ref="AJ18">INDEX(FromSimSail!$B$1:$T$32,$B18,AI$1)*COS($A18)</f>
        <v>-1.4169691297621514</v>
      </c>
      <c r="AK18" s="4" cm="1">
        <f t="array" ref="AK18">INDEX(FromSimSail!$B$1:$T$32,$B18,AK$1)*SIN($A18)</f>
        <v>8.0557274196398616</v>
      </c>
      <c r="AL18" s="4" cm="1">
        <f t="array" ref="AL18">INDEX(FromSimSail!$B$1:$T$32,$B18,AK$1)*COS($A18)</f>
        <v>-1.4204420933154898</v>
      </c>
      <c r="AM18" s="4" cm="1">
        <f t="array" ref="AM18">INDEX(FromSimSail!$B$1:$T$32,$B18,AM$1)*SIN($A18)</f>
        <v>8.0655754971699825</v>
      </c>
      <c r="AN18" s="4" cm="1">
        <f t="array" ref="AN18">INDEX(FromSimSail!$B$1:$T$32,$B18,AM$1)*COS($A18)</f>
        <v>-1.4221785750921592</v>
      </c>
    </row>
    <row r="19" spans="1:40" x14ac:dyDescent="0.25">
      <c r="A19" s="4">
        <f>FromSimSail!A17*Info!$B$3</f>
        <v>1.8325957145940461</v>
      </c>
      <c r="B19" s="4">
        <f t="shared" si="17"/>
        <v>17</v>
      </c>
      <c r="C19" s="4" cm="1">
        <f t="array" ref="C19">INDEX(FromSimSail!$B$1:$T$32,$B19,C$1)*SIN($A19)</f>
        <v>1.4488887394336025</v>
      </c>
      <c r="D19" s="4" cm="1">
        <f t="array" ref="D19">INDEX(FromSimSail!$B$1:$T$32,$B19,C$1)*COS($A19)</f>
        <v>-0.38822856765378128</v>
      </c>
      <c r="E19" s="4" cm="1">
        <f t="array" ref="E19">INDEX(FromSimSail!$B$1:$T$32,$B19,E$1)*SIN($A19)</f>
        <v>2.9170959953929865</v>
      </c>
      <c r="F19" s="4" cm="1">
        <f t="array" ref="F19">INDEX(FromSimSail!$B$1:$T$32,$B19,E$1)*COS($A19)</f>
        <v>-0.78163351620961297</v>
      </c>
      <c r="G19" s="4" cm="1">
        <f t="array" ref="G19">INDEX(FromSimSail!$B$1:$T$32,$B19,G$1)*SIN($A19)</f>
        <v>3.6125625903211156</v>
      </c>
      <c r="H19" s="4" cm="1">
        <f t="array" ref="H19">INDEX(FromSimSail!$B$1:$T$32,$B19,G$1)*COS($A19)</f>
        <v>-0.96798322868342801</v>
      </c>
      <c r="I19" s="4" cm="1">
        <f t="array" ref="I19">INDEX(FromSimSail!$B$1:$T$32,$B19,I$1)*SIN($A19)</f>
        <v>4.2404143774090093</v>
      </c>
      <c r="J19" s="4" cm="1">
        <f t="array" ref="J19">INDEX(FromSimSail!$B$1:$T$32,$B19,I$1)*COS($A19)</f>
        <v>-1.1362156080000665</v>
      </c>
      <c r="K19" s="4" cm="1">
        <f t="array" ref="K19">INDEX(FromSimSail!$B$1:$T$32,$B19,K$1)*SIN($A19)</f>
        <v>4.7426958070793255</v>
      </c>
      <c r="L19" s="4" cm="1">
        <f t="array" ref="L19">INDEX(FromSimSail!$B$1:$T$32,$B19,K$1)*COS($A19)</f>
        <v>-1.2708015114533775</v>
      </c>
      <c r="M19" s="4" cm="1">
        <f t="array" ref="M19">INDEX(FromSimSail!$B$1:$T$32,$B19,M$1)*SIN($A19)</f>
        <v>5.1773624289094062</v>
      </c>
      <c r="N19" s="4" cm="1">
        <f t="array" ref="N19">INDEX(FromSimSail!$B$1:$T$32,$B19,M$1)*COS($A19)</f>
        <v>-1.3872700817495118</v>
      </c>
      <c r="O19" s="4" cm="1">
        <f t="array" ref="O19">INDEX(FromSimSail!$B$1:$T$32,$B19,O$1)*SIN($A19)</f>
        <v>5.563732759425033</v>
      </c>
      <c r="P19" s="4" cm="1">
        <f t="array" ref="P19">INDEX(FromSimSail!$B$1:$T$32,$B19,O$1)*COS($A19)</f>
        <v>-1.4907976997905201</v>
      </c>
      <c r="Q19" s="4" cm="1">
        <f t="array" ref="Q19">INDEX(FromSimSail!$B$1:$T$32,$B19,Q$1)*SIN($A19)</f>
        <v>5.9114660568890978</v>
      </c>
      <c r="R19" s="4" cm="1">
        <f t="array" ref="R19">INDEX(FromSimSail!$B$1:$T$32,$B19,Q$1)*COS($A19)</f>
        <v>-1.5839725560274276</v>
      </c>
      <c r="S19" s="4" cm="1">
        <f t="array" ref="S19">INDEX(FromSimSail!$B$1:$T$32,$B19,S$1)*SIN($A19)</f>
        <v>6.5199993274512114</v>
      </c>
      <c r="T19" s="4" cm="1">
        <f t="array" ref="T19">INDEX(FromSimSail!$B$1:$T$32,$B19,S$1)*COS($A19)</f>
        <v>-1.7470285544420157</v>
      </c>
      <c r="U19" s="4" cm="1">
        <f t="array" ref="U19">INDEX(FromSimSail!$B$1:$T$32,$B19,U$1)*SIN($A19)</f>
        <v>7.0126214988586355</v>
      </c>
      <c r="V19" s="4" cm="1">
        <f t="array" ref="V19">INDEX(FromSimSail!$B$1:$T$32,$B19,U$1)*COS($A19)</f>
        <v>-1.8790262674443012</v>
      </c>
      <c r="W19" s="4" cm="1">
        <f t="array" ref="W19">INDEX(FromSimSail!$B$1:$T$32,$B19,W$1)*SIN($A19)</f>
        <v>7.3313770215340286</v>
      </c>
      <c r="X19" s="4" cm="1">
        <f t="array" ref="X19">INDEX(FromSimSail!$B$1:$T$32,$B19,W$1)*COS($A19)</f>
        <v>-1.9644365523281333</v>
      </c>
      <c r="Y19" s="4" cm="1">
        <f t="array" ref="Y19">INDEX(FromSimSail!$B$1:$T$32,$B19,Y$1)*SIN($A19)</f>
        <v>7.5438807033176234</v>
      </c>
      <c r="Z19" s="4" cm="1">
        <f t="array" ref="Z19">INDEX(FromSimSail!$B$1:$T$32,$B19,Y$1)*COS($A19)</f>
        <v>-2.0213767422506876</v>
      </c>
      <c r="AA19" s="4" cm="1">
        <f t="array" ref="AA19">INDEX(FromSimSail!$B$1:$T$32,$B19,AA$1)*SIN($A19)</f>
        <v>7.7660436433641085</v>
      </c>
      <c r="AB19" s="4" cm="1">
        <f t="array" ref="AB19">INDEX(FromSimSail!$B$1:$T$32,$B19,AA$1)*COS($A19)</f>
        <v>-2.0809051226242676</v>
      </c>
      <c r="AC19" s="4" cm="1">
        <f t="array" ref="AC19">INDEX(FromSimSail!$B$1:$T$32,$B19,AC$1)*SIN($A19)</f>
        <v>7.7950214181527819</v>
      </c>
      <c r="AD19" s="4" cm="1">
        <f t="array" ref="AD19">INDEX(FromSimSail!$B$1:$T$32,$B19,AC$1)*COS($A19)</f>
        <v>-2.0886696939773435</v>
      </c>
      <c r="AE19" s="4" cm="1">
        <f t="array" ref="AE19">INDEX(FromSimSail!$B$1:$T$32,$B19,AE$1)*SIN($A19)</f>
        <v>7.8143399346785625</v>
      </c>
      <c r="AF19" s="4" cm="1">
        <f t="array" ref="AF19">INDEX(FromSimSail!$B$1:$T$32,$B19,AE$1)*COS($A19)</f>
        <v>-2.0938460748793934</v>
      </c>
      <c r="AG19" s="4" cm="1">
        <f t="array" ref="AG19">INDEX(FromSimSail!$B$1:$T$32,$B19,AG$1)*SIN($A19)</f>
        <v>7.8336584512043439</v>
      </c>
      <c r="AH19" s="4" cm="1">
        <f t="array" ref="AH19">INDEX(FromSimSail!$B$1:$T$32,$B19,AG$1)*COS($A19)</f>
        <v>-2.0990224557814439</v>
      </c>
      <c r="AI19" s="4" cm="1">
        <f t="array" ref="AI19">INDEX(FromSimSail!$B$1:$T$32,$B19,AI$1)*SIN($A19)</f>
        <v>7.8433177094672342</v>
      </c>
      <c r="AJ19" s="4" cm="1">
        <f t="array" ref="AJ19">INDEX(FromSimSail!$B$1:$T$32,$B19,AI$1)*COS($A19)</f>
        <v>-2.1016106462324693</v>
      </c>
      <c r="AK19" s="4" cm="1">
        <f t="array" ref="AK19">INDEX(FromSimSail!$B$1:$T$32,$B19,AK$1)*SIN($A19)</f>
        <v>7.8722954842559068</v>
      </c>
      <c r="AL19" s="4" cm="1">
        <f t="array" ref="AL19">INDEX(FromSimSail!$B$1:$T$32,$B19,AK$1)*COS($A19)</f>
        <v>-2.1093752175855451</v>
      </c>
      <c r="AM19" s="4" cm="1">
        <f t="array" ref="AM19">INDEX(FromSimSail!$B$1:$T$32,$B19,AM$1)*SIN($A19)</f>
        <v>7.9012732590445784</v>
      </c>
      <c r="AN19" s="4" cm="1">
        <f t="array" ref="AN19">INDEX(FromSimSail!$B$1:$T$32,$B19,AM$1)*COS($A19)</f>
        <v>-2.1171397889386205</v>
      </c>
    </row>
    <row r="20" spans="1:40" x14ac:dyDescent="0.25">
      <c r="A20" s="4">
        <f>FromSimSail!A18*Info!$B$3</f>
        <v>1.9198621771937625</v>
      </c>
      <c r="B20" s="4">
        <f t="shared" si="17"/>
        <v>18</v>
      </c>
      <c r="C20" s="4" cm="1">
        <f t="array" ref="C20">INDEX(FromSimSail!$B$1:$T$32,$B20,C$1)*SIN($A20)</f>
        <v>1.3437604477238489</v>
      </c>
      <c r="D20" s="4" cm="1">
        <f t="array" ref="D20">INDEX(FromSimSail!$B$1:$T$32,$B20,C$1)*COS($A20)</f>
        <v>-0.48908880495570622</v>
      </c>
      <c r="E20" s="4" cm="1">
        <f t="array" ref="E20">INDEX(FromSimSail!$B$1:$T$32,$B20,E$1)*SIN($A20)</f>
        <v>2.706314747863416</v>
      </c>
      <c r="F20" s="4" cm="1">
        <f t="array" ref="F20">INDEX(FromSimSail!$B$1:$T$32,$B20,E$1)*COS($A20)</f>
        <v>-0.98501801277792589</v>
      </c>
      <c r="G20" s="4" cm="1">
        <f t="array" ref="G20">INDEX(FromSimSail!$B$1:$T$32,$B20,G$1)*SIN($A20)</f>
        <v>3.354702656205693</v>
      </c>
      <c r="H20" s="4" cm="1">
        <f t="array" ref="H20">INDEX(FromSimSail!$B$1:$T$32,$B20,G$1)*COS($A20)</f>
        <v>-1.2210119116726372</v>
      </c>
      <c r="I20" s="4" cm="1">
        <f t="array" ref="I20">INDEX(FromSimSail!$B$1:$T$32,$B20,I$1)*SIN($A20)</f>
        <v>3.9373120810929567</v>
      </c>
      <c r="J20" s="4" cm="1">
        <f t="array" ref="J20">INDEX(FromSimSail!$B$1:$T$32,$B20,I$1)*COS($A20)</f>
        <v>-1.4330644005345521</v>
      </c>
      <c r="K20" s="4" cm="1">
        <f t="array" ref="K20">INDEX(FromSimSail!$B$1:$T$32,$B20,K$1)*SIN($A20)</f>
        <v>4.4353491701094878</v>
      </c>
      <c r="L20" s="4" cm="1">
        <f t="array" ref="L20">INDEX(FromSimSail!$B$1:$T$32,$B20,K$1)*COS($A20)</f>
        <v>-1.6143350764971562</v>
      </c>
      <c r="M20" s="4" cm="1">
        <f t="array" ref="M20">INDEX(FromSimSail!$B$1:$T$32,$B20,M$1)*SIN($A20)</f>
        <v>4.8582108494631466</v>
      </c>
      <c r="N20" s="4" cm="1">
        <f t="array" ref="N20">INDEX(FromSimSail!$B$1:$T$32,$B20,M$1)*COS($A20)</f>
        <v>-1.7682441409937073</v>
      </c>
      <c r="O20" s="4" cm="1">
        <f t="array" ref="O20">INDEX(FromSimSail!$B$1:$T$32,$B20,O$1)*SIN($A20)</f>
        <v>5.2340878977775098</v>
      </c>
      <c r="P20" s="4" cm="1">
        <f t="array" ref="P20">INDEX(FromSimSail!$B$1:$T$32,$B20,O$1)*COS($A20)</f>
        <v>-1.9050521983239748</v>
      </c>
      <c r="Q20" s="4" cm="1">
        <f t="array" ref="Q20">INDEX(FromSimSail!$B$1:$T$32,$B20,Q$1)*SIN($A20)</f>
        <v>5.5723772412604369</v>
      </c>
      <c r="R20" s="4" cm="1">
        <f t="array" ref="R20">INDEX(FromSimSail!$B$1:$T$32,$B20,Q$1)*COS($A20)</f>
        <v>-2.0281794499212156</v>
      </c>
      <c r="S20" s="4" cm="1">
        <f t="array" ref="S20">INDEX(FromSimSail!$B$1:$T$32,$B20,S$1)*SIN($A20)</f>
        <v>6.1831774447712773</v>
      </c>
      <c r="T20" s="4" cm="1">
        <f t="array" ref="T20">INDEX(FromSimSail!$B$1:$T$32,$B20,S$1)*COS($A20)</f>
        <v>-2.2504925430829004</v>
      </c>
      <c r="U20" s="4" cm="1">
        <f t="array" ref="U20">INDEX(FromSimSail!$B$1:$T$32,$B20,U$1)*SIN($A20)</f>
        <v>6.6906114599956679</v>
      </c>
      <c r="V20" s="4" cm="1">
        <f t="array" ref="V20">INDEX(FromSimSail!$B$1:$T$32,$B20,U$1)*COS($A20)</f>
        <v>-2.4351834204787615</v>
      </c>
      <c r="W20" s="4" cm="1">
        <f t="array" ref="W20">INDEX(FromSimSail!$B$1:$T$32,$B20,W$1)*SIN($A20)</f>
        <v>7.0382977296864544</v>
      </c>
      <c r="X20" s="4" cm="1">
        <f t="array" ref="X20">INDEX(FromSimSail!$B$1:$T$32,$B20,W$1)*COS($A20)</f>
        <v>-2.5617308735092585</v>
      </c>
      <c r="Y20" s="4" cm="1">
        <f t="array" ref="Y20">INDEX(FromSimSail!$B$1:$T$32,$B20,Y$1)*SIN($A20)</f>
        <v>7.2638239586750721</v>
      </c>
      <c r="Z20" s="4" cm="1">
        <f t="array" ref="Z20">INDEX(FromSimSail!$B$1:$T$32,$B20,Y$1)*COS($A20)</f>
        <v>-2.6438157079074194</v>
      </c>
      <c r="AA20" s="4" cm="1">
        <f t="array" ref="AA20">INDEX(FromSimSail!$B$1:$T$32,$B20,AA$1)*SIN($A20)</f>
        <v>7.4893501876636899</v>
      </c>
      <c r="AB20" s="4" cm="1">
        <f t="array" ref="AB20">INDEX(FromSimSail!$B$1:$T$32,$B20,AA$1)*COS($A20)</f>
        <v>-2.7259005423055798</v>
      </c>
      <c r="AC20" s="4" cm="1">
        <f t="array" ref="AC20">INDEX(FromSimSail!$B$1:$T$32,$B20,AC$1)*SIN($A20)</f>
        <v>7.526937892495126</v>
      </c>
      <c r="AD20" s="4" cm="1">
        <f t="array" ref="AD20">INDEX(FromSimSail!$B$1:$T$32,$B20,AC$1)*COS($A20)</f>
        <v>-2.7395813480386062</v>
      </c>
      <c r="AE20" s="4" cm="1">
        <f t="array" ref="AE20">INDEX(FromSimSail!$B$1:$T$32,$B20,AE$1)*SIN($A20)</f>
        <v>7.5551286711187027</v>
      </c>
      <c r="AF20" s="4" cm="1">
        <f t="array" ref="AF20">INDEX(FromSimSail!$B$1:$T$32,$B20,AE$1)*COS($A20)</f>
        <v>-2.7498419523383761</v>
      </c>
      <c r="AG20" s="4" cm="1">
        <f t="array" ref="AG20">INDEX(FromSimSail!$B$1:$T$32,$B20,AG$1)*SIN($A20)</f>
        <v>7.5739225235344225</v>
      </c>
      <c r="AH20" s="4" cm="1">
        <f t="array" ref="AH20">INDEX(FromSimSail!$B$1:$T$32,$B20,AG$1)*COS($A20)</f>
        <v>-2.75668235520489</v>
      </c>
      <c r="AI20" s="4" cm="1">
        <f t="array" ref="AI20">INDEX(FromSimSail!$B$1:$T$32,$B20,AI$1)*SIN($A20)</f>
        <v>7.5927163759501406</v>
      </c>
      <c r="AJ20" s="4" cm="1">
        <f t="array" ref="AJ20">INDEX(FromSimSail!$B$1:$T$32,$B20,AI$1)*COS($A20)</f>
        <v>-2.763522758071403</v>
      </c>
      <c r="AK20" s="4" cm="1">
        <f t="array" ref="AK20">INDEX(FromSimSail!$B$1:$T$32,$B20,AK$1)*SIN($A20)</f>
        <v>7.6303040807815758</v>
      </c>
      <c r="AL20" s="4" cm="1">
        <f t="array" ref="AL20">INDEX(FromSimSail!$B$1:$T$32,$B20,AK$1)*COS($A20)</f>
        <v>-2.7772035638044299</v>
      </c>
      <c r="AM20" s="4" cm="1">
        <f t="array" ref="AM20">INDEX(FromSimSail!$B$1:$T$32,$B20,AM$1)*SIN($A20)</f>
        <v>7.6584948594051543</v>
      </c>
      <c r="AN20" s="4" cm="1">
        <f t="array" ref="AN20">INDEX(FromSimSail!$B$1:$T$32,$B20,AM$1)*COS($A20)</f>
        <v>-2.7874641681042003</v>
      </c>
    </row>
    <row r="21" spans="1:40" x14ac:dyDescent="0.25">
      <c r="A21" s="4">
        <f>FromSimSail!A19*Info!$B$3</f>
        <v>2.0071286397934789</v>
      </c>
      <c r="B21" s="4">
        <f t="shared" si="17"/>
        <v>19</v>
      </c>
      <c r="C21" s="4" cm="1">
        <f t="array" ref="C21">INDEX(FromSimSail!$B$1:$T$32,$B21,C$1)*SIN($A21)</f>
        <v>1.2144524346291112</v>
      </c>
      <c r="D21" s="4" cm="1">
        <f t="array" ref="D21">INDEX(FromSimSail!$B$1:$T$32,$B21,C$1)*COS($A21)</f>
        <v>-0.56630847073253709</v>
      </c>
      <c r="E21" s="4" cm="1">
        <f t="array" ref="E21">INDEX(FromSimSail!$B$1:$T$32,$B21,E$1)*SIN($A21)</f>
        <v>2.4651571807396881</v>
      </c>
      <c r="F21" s="4" cm="1">
        <f t="array" ref="F21">INDEX(FromSimSail!$B$1:$T$32,$B21,E$1)*COS($A21)</f>
        <v>-1.1495216719347023</v>
      </c>
      <c r="G21" s="4" cm="1">
        <f t="array" ref="G21">INDEX(FromSimSail!$B$1:$T$32,$B21,G$1)*SIN($A21)</f>
        <v>3.0542572423135108</v>
      </c>
      <c r="H21" s="4" cm="1">
        <f t="array" ref="H21">INDEX(FromSimSail!$B$1:$T$32,$B21,G$1)*COS($A21)</f>
        <v>-1.4242235420661569</v>
      </c>
      <c r="I21" s="4" cm="1">
        <f t="array" ref="I21">INDEX(FromSimSail!$B$1:$T$32,$B21,I$1)*SIN($A21)</f>
        <v>3.5980419145355009</v>
      </c>
      <c r="J21" s="4" cm="1">
        <f t="array" ref="J21">INDEX(FromSimSail!$B$1:$T$32,$B21,I$1)*COS($A21)</f>
        <v>-1.6777944991105764</v>
      </c>
      <c r="K21" s="4" cm="1">
        <f t="array" ref="K21">INDEX(FromSimSail!$B$1:$T$32,$B21,K$1)*SIN($A21)</f>
        <v>4.0693219637945592</v>
      </c>
      <c r="L21" s="4" cm="1">
        <f t="array" ref="L21">INDEX(FromSimSail!$B$1:$T$32,$B21,K$1)*COS($A21)</f>
        <v>-1.8975559952157401</v>
      </c>
      <c r="M21" s="4" cm="1">
        <f t="array" ref="M21">INDEX(FromSimSail!$B$1:$T$32,$B21,M$1)*SIN($A21)</f>
        <v>4.4952866237017846</v>
      </c>
      <c r="N21" s="4" cm="1">
        <f t="array" ref="N21">INDEX(FromSimSail!$B$1:$T$32,$B21,M$1)*COS($A21)</f>
        <v>-2.0961865782338687</v>
      </c>
      <c r="O21" s="4" cm="1">
        <f t="array" ref="O21">INDEX(FromSimSail!$B$1:$T$32,$B21,O$1)*SIN($A21)</f>
        <v>4.8668728163868105</v>
      </c>
      <c r="P21" s="4" cm="1">
        <f t="array" ref="P21">INDEX(FromSimSail!$B$1:$T$32,$B21,O$1)*COS($A21)</f>
        <v>-2.2694600655475554</v>
      </c>
      <c r="Q21" s="4" cm="1">
        <f t="array" ref="Q21">INDEX(FromSimSail!$B$1:$T$32,$B21,Q$1)*SIN($A21)</f>
        <v>5.2022066975903716</v>
      </c>
      <c r="R21" s="4" cm="1">
        <f t="array" ref="R21">INDEX(FromSimSail!$B$1:$T$32,$B21,Q$1)*COS($A21)</f>
        <v>-2.4258288223916145</v>
      </c>
      <c r="S21" s="4" cm="1">
        <f t="array" ref="S21">INDEX(FromSimSail!$B$1:$T$32,$B21,S$1)*SIN($A21)</f>
        <v>5.7913067591641934</v>
      </c>
      <c r="T21" s="4" cm="1">
        <f t="array" ref="T21">INDEX(FromSimSail!$B$1:$T$32,$B21,S$1)*COS($A21)</f>
        <v>-2.7005306925230688</v>
      </c>
      <c r="U21" s="4" cm="1">
        <f t="array" ref="U21">INDEX(FromSimSail!$B$1:$T$32,$B21,U$1)*SIN($A21)</f>
        <v>6.3079021977750847</v>
      </c>
      <c r="V21" s="4" cm="1">
        <f t="array" ref="V21">INDEX(FromSimSail!$B$1:$T$32,$B21,U$1)*COS($A21)</f>
        <v>-2.9414231017152672</v>
      </c>
      <c r="W21" s="4" cm="1">
        <f t="array" ref="W21">INDEX(FromSimSail!$B$1:$T$32,$B21,W$1)*SIN($A21)</f>
        <v>6.688551468330477</v>
      </c>
      <c r="X21" s="4" cm="1">
        <f t="array" ref="X21">INDEX(FromSimSail!$B$1:$T$32,$B21,W$1)*COS($A21)</f>
        <v>-3.118922771646361</v>
      </c>
      <c r="Y21" s="4" cm="1">
        <f t="array" ref="Y21">INDEX(FromSimSail!$B$1:$T$32,$B21,Y$1)*SIN($A21)</f>
        <v>6.9241914929600057</v>
      </c>
      <c r="Z21" s="4" cm="1">
        <f t="array" ref="Z21">INDEX(FromSimSail!$B$1:$T$32,$B21,Y$1)*COS($A21)</f>
        <v>-3.2288035196989426</v>
      </c>
      <c r="AA21" s="4" cm="1">
        <f t="array" ref="AA21">INDEX(FromSimSail!$B$1:$T$32,$B21,AA$1)*SIN($A21)</f>
        <v>7.1598315175895353</v>
      </c>
      <c r="AB21" s="4" cm="1">
        <f t="array" ref="AB21">INDEX(FromSimSail!$B$1:$T$32,$B21,AA$1)*COS($A21)</f>
        <v>-3.3386842677515247</v>
      </c>
      <c r="AC21" s="4" cm="1">
        <f t="array" ref="AC21">INDEX(FromSimSail!$B$1:$T$32,$B21,AC$1)*SIN($A21)</f>
        <v>7.2051469069413683</v>
      </c>
      <c r="AD21" s="4" cm="1">
        <f t="array" ref="AD21">INDEX(FromSimSail!$B$1:$T$32,$B21,AC$1)*COS($A21)</f>
        <v>-3.3598151808385599</v>
      </c>
      <c r="AE21" s="4" cm="1">
        <f t="array" ref="AE21">INDEX(FromSimSail!$B$1:$T$32,$B21,AE$1)*SIN($A21)</f>
        <v>7.241399218422834</v>
      </c>
      <c r="AF21" s="4" cm="1">
        <f t="array" ref="AF21">INDEX(FromSimSail!$B$1:$T$32,$B21,AE$1)*COS($A21)</f>
        <v>-3.3767199113081876</v>
      </c>
      <c r="AG21" s="4" cm="1">
        <f t="array" ref="AG21">INDEX(FromSimSail!$B$1:$T$32,$B21,AG$1)*SIN($A21)</f>
        <v>7.2595253741635668</v>
      </c>
      <c r="AH21" s="4" cm="1">
        <f t="array" ref="AH21">INDEX(FromSimSail!$B$1:$T$32,$B21,AG$1)*COS($A21)</f>
        <v>-3.3851722765430017</v>
      </c>
      <c r="AI21" s="4" cm="1">
        <f t="array" ref="AI21">INDEX(FromSimSail!$B$1:$T$32,$B21,AI$1)*SIN($A21)</f>
        <v>7.2867146077746652</v>
      </c>
      <c r="AJ21" s="4" cm="1">
        <f t="array" ref="AJ21">INDEX(FromSimSail!$B$1:$T$32,$B21,AI$1)*COS($A21)</f>
        <v>-3.3978508243952223</v>
      </c>
      <c r="AK21" s="4" cm="1">
        <f t="array" ref="AK21">INDEX(FromSimSail!$B$1:$T$32,$B21,AK$1)*SIN($A21)</f>
        <v>7.3229669192561326</v>
      </c>
      <c r="AL21" s="4" cm="1">
        <f t="array" ref="AL21">INDEX(FromSimSail!$B$1:$T$32,$B21,AK$1)*COS($A21)</f>
        <v>-3.4147555548648505</v>
      </c>
      <c r="AM21" s="4" cm="1">
        <f t="array" ref="AM21">INDEX(FromSimSail!$B$1:$T$32,$B21,AM$1)*SIN($A21)</f>
        <v>7.3592192307375974</v>
      </c>
      <c r="AN21" s="4" cm="1">
        <f t="array" ref="AN21">INDEX(FromSimSail!$B$1:$T$32,$B21,AM$1)*COS($A21)</f>
        <v>-3.4316602853344782</v>
      </c>
    </row>
    <row r="22" spans="1:40" x14ac:dyDescent="0.25">
      <c r="A22" s="4">
        <f>FromSimSail!A20*Info!$B$3</f>
        <v>2.0943951023931953</v>
      </c>
      <c r="B22" s="4">
        <f t="shared" si="17"/>
        <v>20</v>
      </c>
      <c r="C22" s="4" cm="1">
        <f t="array" ref="C22">INDEX(FromSimSail!$B$1:$T$32,$B22,C$1)*SIN($A22)</f>
        <v>1.0911920087683928</v>
      </c>
      <c r="D22" s="4" cm="1">
        <f t="array" ref="D22">INDEX(FromSimSail!$B$1:$T$32,$B22,C$1)*COS($A22)</f>
        <v>-0.62999999999999967</v>
      </c>
      <c r="E22" s="4" cm="1">
        <f t="array" ref="E22">INDEX(FromSimSail!$B$1:$T$32,$B22,E$1)*SIN($A22)</f>
        <v>2.2083647796503185</v>
      </c>
      <c r="F22" s="4" cm="1">
        <f t="array" ref="F22">INDEX(FromSimSail!$B$1:$T$32,$B22,E$1)*COS($A22)</f>
        <v>-1.2749999999999992</v>
      </c>
      <c r="G22" s="4" cm="1">
        <f t="array" ref="G22">INDEX(FromSimSail!$B$1:$T$32,$B22,G$1)*SIN($A22)</f>
        <v>2.7366402759588264</v>
      </c>
      <c r="H22" s="4" cm="1">
        <f t="array" ref="H22">INDEX(FromSimSail!$B$1:$T$32,$B22,G$1)*COS($A22)</f>
        <v>-1.5799999999999994</v>
      </c>
      <c r="I22" s="4" cm="1">
        <f t="array" ref="I22">INDEX(FromSimSail!$B$1:$T$32,$B22,I$1)*SIN($A22)</f>
        <v>3.247595264191645</v>
      </c>
      <c r="J22" s="4" cm="1">
        <f t="array" ref="J22">INDEX(FromSimSail!$B$1:$T$32,$B22,I$1)*COS($A22)</f>
        <v>-1.8749999999999991</v>
      </c>
      <c r="K22" s="4" cm="1">
        <f t="array" ref="K22">INDEX(FromSimSail!$B$1:$T$32,$B22,K$1)*SIN($A22)</f>
        <v>3.6979284741595531</v>
      </c>
      <c r="L22" s="4" cm="1">
        <f t="array" ref="L22">INDEX(FromSimSail!$B$1:$T$32,$B22,K$1)*COS($A22)</f>
        <v>-2.1349999999999989</v>
      </c>
      <c r="M22" s="4" cm="1">
        <f t="array" ref="M22">INDEX(FromSimSail!$B$1:$T$32,$B22,M$1)*SIN($A22)</f>
        <v>4.1049604139382394</v>
      </c>
      <c r="N22" s="4" cm="1">
        <f t="array" ref="N22">INDEX(FromSimSail!$B$1:$T$32,$B22,M$1)*COS($A22)</f>
        <v>-2.3699999999999992</v>
      </c>
      <c r="O22" s="4" cm="1">
        <f t="array" ref="O22">INDEX(FromSimSail!$B$1:$T$32,$B22,O$1)*SIN($A22)</f>
        <v>4.4686910835277036</v>
      </c>
      <c r="P22" s="4" cm="1">
        <f t="array" ref="P22">INDEX(FromSimSail!$B$1:$T$32,$B22,O$1)*COS($A22)</f>
        <v>-2.5799999999999987</v>
      </c>
      <c r="Q22" s="4" cm="1">
        <f t="array" ref="Q22">INDEX(FromSimSail!$B$1:$T$32,$B22,Q$1)*SIN($A22)</f>
        <v>4.7891204829279461</v>
      </c>
      <c r="R22" s="4" cm="1">
        <f t="array" ref="R22">INDEX(FromSimSail!$B$1:$T$32,$B22,Q$1)*COS($A22)</f>
        <v>-2.7649999999999988</v>
      </c>
      <c r="S22" s="4" cm="1">
        <f t="array" ref="S22">INDEX(FromSimSail!$B$1:$T$32,$B22,S$1)*SIN($A22)</f>
        <v>5.3693575034635197</v>
      </c>
      <c r="T22" s="4" cm="1">
        <f t="array" ref="T22">INDEX(FromSimSail!$B$1:$T$32,$B22,S$1)*COS($A22)</f>
        <v>-3.0999999999999988</v>
      </c>
      <c r="U22" s="4" cm="1">
        <f t="array" ref="U22">INDEX(FromSimSail!$B$1:$T$32,$B22,U$1)*SIN($A22)</f>
        <v>5.8803124916963387</v>
      </c>
      <c r="V22" s="4" cm="1">
        <f t="array" ref="V22">INDEX(FromSimSail!$B$1:$T$32,$B22,U$1)*COS($A22)</f>
        <v>-3.3949999999999987</v>
      </c>
      <c r="W22" s="4" cm="1">
        <f t="array" ref="W22">INDEX(FromSimSail!$B$1:$T$32,$B22,W$1)*SIN($A22)</f>
        <v>6.2786841774371807</v>
      </c>
      <c r="X22" s="4" cm="1">
        <f t="array" ref="X22">INDEX(FromSimSail!$B$1:$T$32,$B22,W$1)*COS($A22)</f>
        <v>-3.6249999999999982</v>
      </c>
      <c r="Y22" s="4" cm="1">
        <f t="array" ref="Y22">INDEX(FromSimSail!$B$1:$T$32,$B22,Y$1)*SIN($A22)</f>
        <v>6.5384917985725117</v>
      </c>
      <c r="Z22" s="4" cm="1">
        <f t="array" ref="Z22">INDEX(FromSimSail!$B$1:$T$32,$B22,Y$1)*COS($A22)</f>
        <v>-3.7749999999999981</v>
      </c>
      <c r="AA22" s="4" cm="1">
        <f t="array" ref="AA22">INDEX(FromSimSail!$B$1:$T$32,$B22,AA$1)*SIN($A22)</f>
        <v>6.7809789116321548</v>
      </c>
      <c r="AB22" s="4" cm="1">
        <f t="array" ref="AB22">INDEX(FromSimSail!$B$1:$T$32,$B22,AA$1)*COS($A22)</f>
        <v>-3.9149999999999983</v>
      </c>
      <c r="AC22" s="4" cm="1">
        <f t="array" ref="AC22">INDEX(FromSimSail!$B$1:$T$32,$B22,AC$1)*SIN($A22)</f>
        <v>6.8242801818213765</v>
      </c>
      <c r="AD22" s="4" cm="1">
        <f t="array" ref="AD22">INDEX(FromSimSail!$B$1:$T$32,$B22,AC$1)*COS($A22)</f>
        <v>-3.9399999999999982</v>
      </c>
      <c r="AE22" s="4" cm="1">
        <f t="array" ref="AE22">INDEX(FromSimSail!$B$1:$T$32,$B22,AE$1)*SIN($A22)</f>
        <v>6.876241706048444</v>
      </c>
      <c r="AF22" s="4" cm="1">
        <f t="array" ref="AF22">INDEX(FromSimSail!$B$1:$T$32,$B22,AE$1)*COS($A22)</f>
        <v>-3.9699999999999984</v>
      </c>
      <c r="AG22" s="4" cm="1">
        <f t="array" ref="AG22">INDEX(FromSimSail!$B$1:$T$32,$B22,AG$1)*SIN($A22)</f>
        <v>6.8935622141241319</v>
      </c>
      <c r="AH22" s="4" cm="1">
        <f t="array" ref="AH22">INDEX(FromSimSail!$B$1:$T$32,$B22,AG$1)*COS($A22)</f>
        <v>-3.9799999999999982</v>
      </c>
      <c r="AI22" s="4" cm="1">
        <f t="array" ref="AI22">INDEX(FromSimSail!$B$1:$T$32,$B22,AI$1)*SIN($A22)</f>
        <v>6.9195429762376657</v>
      </c>
      <c r="AJ22" s="4" cm="1">
        <f t="array" ref="AJ22">INDEX(FromSimSail!$B$1:$T$32,$B22,AI$1)*COS($A22)</f>
        <v>-3.9949999999999983</v>
      </c>
      <c r="AK22" s="4" cm="1">
        <f t="array" ref="AK22">INDEX(FromSimSail!$B$1:$T$32,$B22,AK$1)*SIN($A22)</f>
        <v>6.9628442464268865</v>
      </c>
      <c r="AL22" s="4" cm="1">
        <f t="array" ref="AL22">INDEX(FromSimSail!$B$1:$T$32,$B22,AK$1)*COS($A22)</f>
        <v>-4.0199999999999978</v>
      </c>
      <c r="AM22" s="4" cm="1">
        <f t="array" ref="AM22">INDEX(FromSimSail!$B$1:$T$32,$B22,AM$1)*SIN($A22)</f>
        <v>7.0061455166161091</v>
      </c>
      <c r="AN22" s="4" cm="1">
        <f t="array" ref="AN22">INDEX(FromSimSail!$B$1:$T$32,$B22,AM$1)*COS($A22)</f>
        <v>-4.0449999999999982</v>
      </c>
    </row>
    <row r="23" spans="1:40" x14ac:dyDescent="0.25">
      <c r="A23" s="4">
        <f>FromSimSail!A21*Info!$B$3</f>
        <v>2.1816615649929121</v>
      </c>
      <c r="B23" s="4">
        <f t="shared" si="17"/>
        <v>21</v>
      </c>
      <c r="C23" s="4" cm="1">
        <f t="array" ref="C23">INDEX(FromSimSail!$B$1:$T$32,$B23,C$1)*SIN($A23)</f>
        <v>0.96659941226101009</v>
      </c>
      <c r="D23" s="4" cm="1">
        <f t="array" ref="D23">INDEX(FromSimSail!$B$1:$T$32,$B23,C$1)*COS($A23)</f>
        <v>-0.67682019489423439</v>
      </c>
      <c r="E23" s="4" cm="1">
        <f t="array" ref="E23">INDEX(FromSimSail!$B$1:$T$32,$B23,E$1)*SIN($A23)</f>
        <v>1.9577733858506903</v>
      </c>
      <c r="F23" s="4" cm="1">
        <f t="array" ref="F23">INDEX(FromSimSail!$B$1:$T$32,$B23,E$1)*COS($A23)</f>
        <v>-1.3708476828790004</v>
      </c>
      <c r="G23" s="4" cm="1">
        <f t="array" ref="G23">INDEX(FromSimSail!$B$1:$T$32,$B23,G$1)*SIN($A23)</f>
        <v>2.4328815715383056</v>
      </c>
      <c r="H23" s="4" cm="1">
        <f t="array" ref="H23">INDEX(FromSimSail!$B$1:$T$32,$B23,G$1)*COS($A23)</f>
        <v>-1.7035220159626072</v>
      </c>
      <c r="I23" s="4" cm="1">
        <f t="array" ref="I23">INDEX(FromSimSail!$B$1:$T$32,$B23,I$1)*SIN($A23)</f>
        <v>2.8916067163401404</v>
      </c>
      <c r="J23" s="4" cm="1">
        <f t="array" ref="J23">INDEX(FromSimSail!$B$1:$T$32,$B23,I$1)*COS($A23)</f>
        <v>-2.024724820319193</v>
      </c>
      <c r="K23" s="4" cm="1">
        <f t="array" ref="K23">INDEX(FromSimSail!$B$1:$T$32,$B23,K$1)*SIN($A23)</f>
        <v>3.3175657793704163</v>
      </c>
      <c r="L23" s="4" cm="1">
        <f t="array" ref="L23">INDEX(FromSimSail!$B$1:$T$32,$B23,K$1)*COS($A23)</f>
        <v>-2.3229845672217366</v>
      </c>
      <c r="M23" s="4" cm="1">
        <f t="array" ref="M23">INDEX(FromSimSail!$B$1:$T$32,$B23,M$1)*SIN($A23)</f>
        <v>3.7107587606291323</v>
      </c>
      <c r="N23" s="4" cm="1">
        <f t="array" ref="N23">INDEX(FromSimSail!$B$1:$T$32,$B23,M$1)*COS($A23)</f>
        <v>-2.598301256670239</v>
      </c>
      <c r="O23" s="4" cm="1">
        <f t="array" ref="O23">INDEX(FromSimSail!$B$1:$T$32,$B23,O$1)*SIN($A23)</f>
        <v>4.0548026192305091</v>
      </c>
      <c r="P23" s="4" cm="1">
        <f t="array" ref="P23">INDEX(FromSimSail!$B$1:$T$32,$B23,O$1)*COS($A23)</f>
        <v>-2.8392033599376787</v>
      </c>
      <c r="Q23" s="4" cm="1">
        <f t="array" ref="Q23">INDEX(FromSimSail!$B$1:$T$32,$B23,Q$1)*SIN($A23)</f>
        <v>4.3742719165032158</v>
      </c>
      <c r="R23" s="4" cm="1">
        <f t="array" ref="R23">INDEX(FromSimSail!$B$1:$T$32,$B23,Q$1)*COS($A23)</f>
        <v>-3.0628981701145865</v>
      </c>
      <c r="S23" s="4" cm="1">
        <f t="array" ref="S23">INDEX(FromSimSail!$B$1:$T$32,$B23,S$1)*SIN($A23)</f>
        <v>4.93129530661973</v>
      </c>
      <c r="T23" s="4" cm="1">
        <f t="array" ref="T23">INDEX(FromSimSail!$B$1:$T$32,$B23,S$1)*COS($A23)</f>
        <v>-3.4529301468332978</v>
      </c>
      <c r="U23" s="4" cm="1">
        <f t="array" ref="U23">INDEX(FromSimSail!$B$1:$T$32,$B23,U$1)*SIN($A23)</f>
        <v>5.4227865331931246</v>
      </c>
      <c r="V23" s="4" cm="1">
        <f t="array" ref="V23">INDEX(FromSimSail!$B$1:$T$32,$B23,U$1)*COS($A23)</f>
        <v>-3.7970760086439257</v>
      </c>
      <c r="W23" s="4" cm="1">
        <f t="array" ref="W23">INDEX(FromSimSail!$B$1:$T$32,$B23,W$1)*SIN($A23)</f>
        <v>5.8405540757805108</v>
      </c>
      <c r="X23" s="4" cm="1">
        <f t="array" ref="X23">INDEX(FromSimSail!$B$1:$T$32,$B23,W$1)*COS($A23)</f>
        <v>-4.0895999911829595</v>
      </c>
      <c r="Y23" s="4" cm="1">
        <f t="array" ref="Y23">INDEX(FromSimSail!$B$1:$T$32,$B23,Y$1)*SIN($A23)</f>
        <v>6.1108742503958782</v>
      </c>
      <c r="Z23" s="4" cm="1">
        <f t="array" ref="Z23">INDEX(FromSimSail!$B$1:$T$32,$B23,Y$1)*COS($A23)</f>
        <v>-4.2788802151788046</v>
      </c>
      <c r="AA23" s="4" cm="1">
        <f t="array" ref="AA23">INDEX(FromSimSail!$B$1:$T$32,$B23,AA$1)*SIN($A23)</f>
        <v>6.3648113841254652</v>
      </c>
      <c r="AB23" s="4" cm="1">
        <f t="array" ref="AB23">INDEX(FromSimSail!$B$1:$T$32,$B23,AA$1)*COS($A23)</f>
        <v>-4.4566889104476282</v>
      </c>
      <c r="AC23" s="4" cm="1">
        <f t="array" ref="AC23">INDEX(FromSimSail!$B$1:$T$32,$B23,AC$1)*SIN($A23)</f>
        <v>6.4139605067828054</v>
      </c>
      <c r="AD23" s="4" cm="1">
        <f t="array" ref="AD23">INDEX(FromSimSail!$B$1:$T$32,$B23,AC$1)*COS($A23)</f>
        <v>-4.4911034966286918</v>
      </c>
      <c r="AE23" s="4" cm="1">
        <f t="array" ref="AE23">INDEX(FromSimSail!$B$1:$T$32,$B23,AE$1)*SIN($A23)</f>
        <v>6.4631096294401438</v>
      </c>
      <c r="AF23" s="4" cm="1">
        <f t="array" ref="AF23">INDEX(FromSimSail!$B$1:$T$32,$B23,AE$1)*COS($A23)</f>
        <v>-4.5255180828097537</v>
      </c>
      <c r="AG23" s="4" cm="1">
        <f t="array" ref="AG23">INDEX(FromSimSail!$B$1:$T$32,$B23,AG$1)*SIN($A23)</f>
        <v>6.4876841907688139</v>
      </c>
      <c r="AH23" s="4" cm="1">
        <f t="array" ref="AH23">INDEX(FromSimSail!$B$1:$T$32,$B23,AG$1)*COS($A23)</f>
        <v>-4.5427253759002859</v>
      </c>
      <c r="AI23" s="4" cm="1">
        <f t="array" ref="AI23">INDEX(FromSimSail!$B$1:$T$32,$B23,AI$1)*SIN($A23)</f>
        <v>6.5122587520974839</v>
      </c>
      <c r="AJ23" s="4" cm="1">
        <f t="array" ref="AJ23">INDEX(FromSimSail!$B$1:$T$32,$B23,AI$1)*COS($A23)</f>
        <v>-4.5599326689908173</v>
      </c>
      <c r="AK23" s="4" cm="1">
        <f t="array" ref="AK23">INDEX(FromSimSail!$B$1:$T$32,$B23,AK$1)*SIN($A23)</f>
        <v>6.5614078747548232</v>
      </c>
      <c r="AL23" s="4" cm="1">
        <f t="array" ref="AL23">INDEX(FromSimSail!$B$1:$T$32,$B23,AK$1)*COS($A23)</f>
        <v>-4.59434725517188</v>
      </c>
      <c r="AM23" s="4" cm="1">
        <f t="array" ref="AM23">INDEX(FromSimSail!$B$1:$T$32,$B23,AM$1)*SIN($A23)</f>
        <v>6.6105569974121634</v>
      </c>
      <c r="AN23" s="4" cm="1">
        <f t="array" ref="AN23">INDEX(FromSimSail!$B$1:$T$32,$B23,AM$1)*COS($A23)</f>
        <v>-4.6287618413529428</v>
      </c>
    </row>
    <row r="24" spans="1:40" x14ac:dyDescent="0.25">
      <c r="A24" s="4">
        <f>FromSimSail!A22*Info!$B$3</f>
        <v>2.2689280275926285</v>
      </c>
      <c r="B24" s="4">
        <f t="shared" si="17"/>
        <v>22</v>
      </c>
      <c r="C24" s="4" cm="1">
        <f t="array" ref="C24">INDEX(FromSimSail!$B$1:$T$32,$B24,C$1)*SIN($A24)</f>
        <v>0.8503093318620657</v>
      </c>
      <c r="D24" s="4" cm="1">
        <f t="array" ref="D24">INDEX(FromSimSail!$B$1:$T$32,$B24,C$1)*COS($A24)</f>
        <v>-0.71349424675205875</v>
      </c>
      <c r="E24" s="4" cm="1">
        <f t="array" ref="E24">INDEX(FromSimSail!$B$1:$T$32,$B24,E$1)*SIN($A24)</f>
        <v>1.7235999970177005</v>
      </c>
      <c r="F24" s="4" cm="1">
        <f t="array" ref="F24">INDEX(FromSimSail!$B$1:$T$32,$B24,E$1)*COS($A24)</f>
        <v>-1.4462721217947136</v>
      </c>
      <c r="G24" s="4" cm="1">
        <f t="array" ref="G24">INDEX(FromSimSail!$B$1:$T$32,$B24,G$1)*SIN($A24)</f>
        <v>2.1525848851643281</v>
      </c>
      <c r="H24" s="4" cm="1">
        <f t="array" ref="H24">INDEX(FromSimSail!$B$1:$T$32,$B24,G$1)*COS($A24)</f>
        <v>-1.8062331832191756</v>
      </c>
      <c r="I24" s="4" cm="1">
        <f t="array" ref="I24">INDEX(FromSimSail!$B$1:$T$32,$B24,I$1)*SIN($A24)</f>
        <v>2.5662488844485765</v>
      </c>
      <c r="J24" s="4" cm="1">
        <f t="array" ref="J24">INDEX(FromSimSail!$B$1:$T$32,$B24,I$1)*COS($A24)</f>
        <v>-2.1533384924499068</v>
      </c>
      <c r="K24" s="4" cm="1">
        <f t="array" ref="K24">INDEX(FromSimSail!$B$1:$T$32,$B24,K$1)*SIN($A24)</f>
        <v>2.9492711060080654</v>
      </c>
      <c r="L24" s="4" cm="1">
        <f t="array" ref="L24">INDEX(FromSimSail!$B$1:$T$32,$B24,K$1)*COS($A24)</f>
        <v>-2.4747322972931767</v>
      </c>
      <c r="M24" s="4" cm="1">
        <f t="array" ref="M24">INDEX(FromSimSail!$B$1:$T$32,$B24,M$1)*SIN($A24)</f>
        <v>3.3169724387051747</v>
      </c>
      <c r="N24" s="4" cm="1">
        <f t="array" ref="N24">INDEX(FromSimSail!$B$1:$T$32,$B24,M$1)*COS($A24)</f>
        <v>-2.7832703499427156</v>
      </c>
      <c r="O24" s="4" cm="1">
        <f t="array" ref="O24">INDEX(FromSimSail!$B$1:$T$32,$B24,O$1)*SIN($A24)</f>
        <v>3.6463715492463353</v>
      </c>
      <c r="P24" s="4" cm="1">
        <f t="array" ref="P24">INDEX(FromSimSail!$B$1:$T$32,$B24,O$1)*COS($A24)</f>
        <v>-3.059669022107927</v>
      </c>
      <c r="Q24" s="4" cm="1">
        <f t="array" ref="Q24">INDEX(FromSimSail!$B$1:$T$32,$B24,Q$1)*SIN($A24)</f>
        <v>3.9527893264939267</v>
      </c>
      <c r="R24" s="4" cm="1">
        <f t="array" ref="R24">INDEX(FromSimSail!$B$1:$T$32,$B24,Q$1)*COS($A24)</f>
        <v>-3.3167840659825432</v>
      </c>
      <c r="S24" s="4" cm="1">
        <f t="array" ref="S24">INDEX(FromSimSail!$B$1:$T$32,$B24,S$1)*SIN($A24)</f>
        <v>4.4813599922460208</v>
      </c>
      <c r="T24" s="4" cm="1">
        <f t="array" ref="T24">INDEX(FromSimSail!$B$1:$T$32,$B24,S$1)*COS($A24)</f>
        <v>-3.7603075166662552</v>
      </c>
      <c r="U24" s="4" cm="1">
        <f t="array" ref="U24">INDEX(FromSimSail!$B$1:$T$32,$B24,U$1)*SIN($A24)</f>
        <v>4.9563075469797875</v>
      </c>
      <c r="V24" s="4" cm="1">
        <f t="array" ref="V24">INDEX(FromSimSail!$B$1:$T$32,$B24,U$1)*COS($A24)</f>
        <v>-4.1588358346719092</v>
      </c>
      <c r="W24" s="4" cm="1">
        <f t="array" ref="W24">INDEX(FromSimSail!$B$1:$T$32,$B24,W$1)*SIN($A24)</f>
        <v>5.3699715462640354</v>
      </c>
      <c r="X24" s="4" cm="1">
        <f t="array" ref="X24">INDEX(FromSimSail!$B$1:$T$32,$B24,W$1)*COS($A24)</f>
        <v>-4.5059411439026409</v>
      </c>
      <c r="Y24" s="4" cm="1">
        <f t="array" ref="Y24">INDEX(FromSimSail!$B$1:$T$32,$B24,Y$1)*SIN($A24)</f>
        <v>5.6380871013556781</v>
      </c>
      <c r="Z24" s="4" cm="1">
        <f t="array" ref="Z24">INDEX(FromSimSail!$B$1:$T$32,$B24,Y$1)*COS($A24)</f>
        <v>-4.73091680729293</v>
      </c>
      <c r="AA24" s="4" cm="1">
        <f t="array" ref="AA24">INDEX(FromSimSail!$B$1:$T$32,$B24,AA$1)*SIN($A24)</f>
        <v>5.9062026564473209</v>
      </c>
      <c r="AB24" s="4" cm="1">
        <f t="array" ref="AB24">INDEX(FromSimSail!$B$1:$T$32,$B24,AA$1)*COS($A24)</f>
        <v>-4.9558924706832181</v>
      </c>
      <c r="AC24" s="4" cm="1">
        <f t="array" ref="AC24">INDEX(FromSimSail!$B$1:$T$32,$B24,AC$1)*SIN($A24)</f>
        <v>5.9521653230344587</v>
      </c>
      <c r="AD24" s="4" cm="1">
        <f t="array" ref="AD24">INDEX(FromSimSail!$B$1:$T$32,$B24,AC$1)*COS($A24)</f>
        <v>-4.9944597272644105</v>
      </c>
      <c r="AE24" s="4" cm="1">
        <f t="array" ref="AE24">INDEX(FromSimSail!$B$1:$T$32,$B24,AE$1)*SIN($A24)</f>
        <v>6.0057884340527874</v>
      </c>
      <c r="AF24" s="4" cm="1">
        <f t="array" ref="AF24">INDEX(FromSimSail!$B$1:$T$32,$B24,AE$1)*COS($A24)</f>
        <v>-5.0394548599424684</v>
      </c>
      <c r="AG24" s="4" cm="1">
        <f t="array" ref="AG24">INDEX(FromSimSail!$B$1:$T$32,$B24,AG$1)*SIN($A24)</f>
        <v>6.0364302117775468</v>
      </c>
      <c r="AH24" s="4" cm="1">
        <f t="array" ref="AH24">INDEX(FromSimSail!$B$1:$T$32,$B24,AG$1)*COS($A24)</f>
        <v>-5.0651663643299303</v>
      </c>
      <c r="AI24" s="4" cm="1">
        <f t="array" ref="AI24">INDEX(FromSimSail!$B$1:$T$32,$B24,AI$1)*SIN($A24)</f>
        <v>6.0594115450711161</v>
      </c>
      <c r="AJ24" s="4" cm="1">
        <f t="array" ref="AJ24">INDEX(FromSimSail!$B$1:$T$32,$B24,AI$1)*COS($A24)</f>
        <v>-5.0844499926205264</v>
      </c>
      <c r="AK24" s="4" cm="1">
        <f t="array" ref="AK24">INDEX(FromSimSail!$B$1:$T$32,$B24,AK$1)*SIN($A24)</f>
        <v>6.1130346560894449</v>
      </c>
      <c r="AL24" s="4" cm="1">
        <f t="array" ref="AL24">INDEX(FromSimSail!$B$1:$T$32,$B24,AK$1)*COS($A24)</f>
        <v>-5.1294451252985844</v>
      </c>
      <c r="AM24" s="4" cm="1">
        <f t="array" ref="AM24">INDEX(FromSimSail!$B$1:$T$32,$B24,AM$1)*SIN($A24)</f>
        <v>6.1666577671077736</v>
      </c>
      <c r="AN24" s="4" cm="1">
        <f t="array" ref="AN24">INDEX(FromSimSail!$B$1:$T$32,$B24,AM$1)*COS($A24)</f>
        <v>-5.1744402579766424</v>
      </c>
    </row>
    <row r="25" spans="1:40" x14ac:dyDescent="0.25">
      <c r="A25" s="4">
        <f>FromSimSail!A23*Info!$B$3</f>
        <v>2.3561944901923448</v>
      </c>
      <c r="B25" s="4">
        <f t="shared" si="17"/>
        <v>23</v>
      </c>
      <c r="C25" s="4" cm="1">
        <f t="array" ref="C25">INDEX(FromSimSail!$B$1:$T$32,$B25,C$1)*SIN($A25)</f>
        <v>0.74246212024587499</v>
      </c>
      <c r="D25" s="4" cm="1">
        <f t="array" ref="D25">INDEX(FromSimSail!$B$1:$T$32,$B25,C$1)*COS($A25)</f>
        <v>-0.74246212024587488</v>
      </c>
      <c r="E25" s="4" cm="1">
        <f t="array" ref="E25">INDEX(FromSimSail!$B$1:$T$32,$B25,E$1)*SIN($A25)</f>
        <v>1.5061374439273463</v>
      </c>
      <c r="F25" s="4" cm="1">
        <f t="array" ref="F25">INDEX(FromSimSail!$B$1:$T$32,$B25,E$1)*COS($A25)</f>
        <v>-1.5061374439273461</v>
      </c>
      <c r="G25" s="4" cm="1">
        <f t="array" ref="G25">INDEX(FromSimSail!$B$1:$T$32,$B25,G$1)*SIN($A25)</f>
        <v>1.8809040379562167</v>
      </c>
      <c r="H25" s="4" cm="1">
        <f t="array" ref="H25">INDEX(FromSimSail!$B$1:$T$32,$B25,G$1)*COS($A25)</f>
        <v>-1.8809040379562163</v>
      </c>
      <c r="I25" s="4" cm="1">
        <f t="array" ref="I25">INDEX(FromSimSail!$B$1:$T$32,$B25,I$1)*SIN($A25)</f>
        <v>2.2485995641732215</v>
      </c>
      <c r="J25" s="4" cm="1">
        <f t="array" ref="J25">INDEX(FromSimSail!$B$1:$T$32,$B25,I$1)*COS($A25)</f>
        <v>-2.248599564173221</v>
      </c>
      <c r="K25" s="4" cm="1">
        <f t="array" ref="K25">INDEX(FromSimSail!$B$1:$T$32,$B25,K$1)*SIN($A25)</f>
        <v>2.602152954766495</v>
      </c>
      <c r="L25" s="4" cm="1">
        <f t="array" ref="L25">INDEX(FromSimSail!$B$1:$T$32,$B25,K$1)*COS($A25)</f>
        <v>-2.6021529547664946</v>
      </c>
      <c r="M25" s="4" cm="1">
        <f t="array" ref="M25">INDEX(FromSimSail!$B$1:$T$32,$B25,M$1)*SIN($A25)</f>
        <v>2.9344931419241727</v>
      </c>
      <c r="N25" s="4" cm="1">
        <f t="array" ref="N25">INDEX(FromSimSail!$B$1:$T$32,$B25,M$1)*COS($A25)</f>
        <v>-2.9344931419241722</v>
      </c>
      <c r="O25" s="4" cm="1">
        <f t="array" ref="O25">INDEX(FromSimSail!$B$1:$T$32,$B25,O$1)*SIN($A25)</f>
        <v>3.2456201256462531</v>
      </c>
      <c r="P25" s="4" cm="1">
        <f t="array" ref="P25">INDEX(FromSimSail!$B$1:$T$32,$B25,O$1)*COS($A25)</f>
        <v>-3.2456201256462527</v>
      </c>
      <c r="Q25" s="4" cm="1">
        <f t="array" ref="Q25">INDEX(FromSimSail!$B$1:$T$32,$B25,Q$1)*SIN($A25)</f>
        <v>3.5284628381208725</v>
      </c>
      <c r="R25" s="4" cm="1">
        <f t="array" ref="R25">INDEX(FromSimSail!$B$1:$T$32,$B25,Q$1)*COS($A25)</f>
        <v>-3.528462838120872</v>
      </c>
      <c r="S25" s="4" cm="1">
        <f t="array" ref="S25">INDEX(FromSimSail!$B$1:$T$32,$B25,S$1)*SIN($A25)</f>
        <v>4.0305086527633209</v>
      </c>
      <c r="T25" s="4" cm="1">
        <f t="array" ref="T25">INDEX(FromSimSail!$B$1:$T$32,$B25,S$1)*COS($A25)</f>
        <v>-4.0305086527633209</v>
      </c>
      <c r="U25" s="4" cm="1">
        <f t="array" ref="U25">INDEX(FromSimSail!$B$1:$T$32,$B25,U$1)*SIN($A25)</f>
        <v>4.4759859249108462</v>
      </c>
      <c r="V25" s="4" cm="1">
        <f t="array" ref="V25">INDEX(FromSimSail!$B$1:$T$32,$B25,U$1)*COS($A25)</f>
        <v>-4.4759859249108453</v>
      </c>
      <c r="W25" s="4" cm="1">
        <f t="array" ref="W25">INDEX(FromSimSail!$B$1:$T$32,$B25,W$1)*SIN($A25)</f>
        <v>4.8719657223753128</v>
      </c>
      <c r="X25" s="4" cm="1">
        <f t="array" ref="X25">INDEX(FromSimSail!$B$1:$T$32,$B25,W$1)*COS($A25)</f>
        <v>-4.8719657223753119</v>
      </c>
      <c r="Y25" s="4" cm="1">
        <f t="array" ref="Y25">INDEX(FromSimSail!$B$1:$T$32,$B25,Y$1)*SIN($A25)</f>
        <v>5.1477373670380668</v>
      </c>
      <c r="Z25" s="4" cm="1">
        <f t="array" ref="Z25">INDEX(FromSimSail!$B$1:$T$32,$B25,Y$1)*COS($A25)</f>
        <v>-5.1477373670380659</v>
      </c>
      <c r="AA25" s="4" cm="1">
        <f t="array" ref="AA25">INDEX(FromSimSail!$B$1:$T$32,$B25,AA$1)*SIN($A25)</f>
        <v>5.4093668760770894</v>
      </c>
      <c r="AB25" s="4" cm="1">
        <f t="array" ref="AB25">INDEX(FromSimSail!$B$1:$T$32,$B25,AA$1)*COS($A25)</f>
        <v>-5.4093668760770885</v>
      </c>
      <c r="AC25" s="4" cm="1">
        <f t="array" ref="AC25">INDEX(FromSimSail!$B$1:$T$32,$B25,AC$1)*SIN($A25)</f>
        <v>5.4659354185720135</v>
      </c>
      <c r="AD25" s="4" cm="1">
        <f t="array" ref="AD25">INDEX(FromSimSail!$B$1:$T$32,$B25,AC$1)*COS($A25)</f>
        <v>-5.4659354185720126</v>
      </c>
      <c r="AE25" s="4" cm="1">
        <f t="array" ref="AE25">INDEX(FromSimSail!$B$1:$T$32,$B25,AE$1)*SIN($A25)</f>
        <v>5.5225039610669366</v>
      </c>
      <c r="AF25" s="4" cm="1">
        <f t="array" ref="AF25">INDEX(FromSimSail!$B$1:$T$32,$B25,AE$1)*COS($A25)</f>
        <v>-5.5225039610669358</v>
      </c>
      <c r="AG25" s="4" cm="1">
        <f t="array" ref="AG25">INDEX(FromSimSail!$B$1:$T$32,$B25,AG$1)*SIN($A25)</f>
        <v>5.5507882323143978</v>
      </c>
      <c r="AH25" s="4" cm="1">
        <f t="array" ref="AH25">INDEX(FromSimSail!$B$1:$T$32,$B25,AG$1)*COS($A25)</f>
        <v>-5.5507882323143969</v>
      </c>
      <c r="AI25" s="4" cm="1">
        <f t="array" ref="AI25">INDEX(FromSimSail!$B$1:$T$32,$B25,AI$1)*SIN($A25)</f>
        <v>5.5720014357499945</v>
      </c>
      <c r="AJ25" s="4" cm="1">
        <f t="array" ref="AJ25">INDEX(FromSimSail!$B$1:$T$32,$B25,AI$1)*COS($A25)</f>
        <v>-5.5720014357499936</v>
      </c>
      <c r="AK25" s="4" cm="1">
        <f t="array" ref="AK25">INDEX(FromSimSail!$B$1:$T$32,$B25,AK$1)*SIN($A25)</f>
        <v>5.6285699782449186</v>
      </c>
      <c r="AL25" s="4" cm="1">
        <f t="array" ref="AL25">INDEX(FromSimSail!$B$1:$T$32,$B25,AK$1)*COS($A25)</f>
        <v>-5.6285699782449177</v>
      </c>
      <c r="AM25" s="4" cm="1">
        <f t="array" ref="AM25">INDEX(FromSimSail!$B$1:$T$32,$B25,AM$1)*SIN($A25)</f>
        <v>5.6780674529279764</v>
      </c>
      <c r="AN25" s="4" cm="1">
        <f t="array" ref="AN25">INDEX(FromSimSail!$B$1:$T$32,$B25,AM$1)*COS($A25)</f>
        <v>-5.6780674529279755</v>
      </c>
    </row>
    <row r="26" spans="1:40" x14ac:dyDescent="0.25">
      <c r="A26" s="4">
        <f>FromSimSail!A24*Info!$B$3</f>
        <v>2.4434609527920612</v>
      </c>
      <c r="B26" s="4">
        <f t="shared" si="17"/>
        <v>24</v>
      </c>
      <c r="C26" s="4" cm="1">
        <f t="array" ref="C26">INDEX(FromSimSail!$B$1:$T$32,$B26,C$1)*SIN($A26)</f>
        <v>0.64921548578340482</v>
      </c>
      <c r="D26" s="4" cm="1">
        <f t="array" ref="D26">INDEX(FromSimSail!$B$1:$T$32,$B26,C$1)*COS($A26)</f>
        <v>-0.77370488755016764</v>
      </c>
      <c r="E26" s="4" cm="1">
        <f t="array" ref="E26">INDEX(FromSimSail!$B$1:$T$32,$B26,E$1)*SIN($A26)</f>
        <v>1.3177145998574058</v>
      </c>
      <c r="F26" s="4" cm="1">
        <f t="array" ref="F26">INDEX(FromSimSail!$B$1:$T$32,$B26,E$1)*COS($A26)</f>
        <v>-1.5703911083939046</v>
      </c>
      <c r="G26" s="4" cm="1">
        <f t="array" ref="G26">INDEX(FromSimSail!$B$1:$T$32,$B26,G$1)*SIN($A26)</f>
        <v>1.6455362807975411</v>
      </c>
      <c r="H26" s="4" cm="1">
        <f t="array" ref="H26">INDEX(FromSimSail!$B$1:$T$32,$B26,G$1)*COS($A26)</f>
        <v>-1.9610737743845834</v>
      </c>
      <c r="I26" s="4" cm="1">
        <f t="array" ref="I26">INDEX(FromSimSail!$B$1:$T$32,$B26,I$1)*SIN($A26)</f>
        <v>1.9669300856408107</v>
      </c>
      <c r="J26" s="4" cm="1">
        <f t="array" ref="J26">INDEX(FromSimSail!$B$1:$T$32,$B26,I$1)*COS($A26)</f>
        <v>-2.3440959959440724</v>
      </c>
      <c r="K26" s="4" cm="1">
        <f t="array" ref="K26">INDEX(FromSimSail!$B$1:$T$32,$B26,K$1)*SIN($A26)</f>
        <v>2.2883238904840804</v>
      </c>
      <c r="L26" s="4" cm="1">
        <f t="array" ref="L26">INDEX(FromSimSail!$B$1:$T$32,$B26,K$1)*COS($A26)</f>
        <v>-2.7271182175035613</v>
      </c>
      <c r="M26" s="4" cm="1">
        <f t="array" ref="M26">INDEX(FromSimSail!$B$1:$T$32,$B26,M$1)*SIN($A26)</f>
        <v>2.5840061909398884</v>
      </c>
      <c r="N26" s="4" cm="1">
        <f t="array" ref="N26">INDEX(FromSimSail!$B$1:$T$32,$B26,M$1)*COS($A26)</f>
        <v>-3.0794986613382909</v>
      </c>
      <c r="O26" s="4" cm="1">
        <f t="array" ref="O26">INDEX(FromSimSail!$B$1:$T$32,$B26,O$1)*SIN($A26)</f>
        <v>2.8668327392019659</v>
      </c>
      <c r="P26" s="4" cm="1">
        <f t="array" ref="P26">INDEX(FromSimSail!$B$1:$T$32,$B26,O$1)*COS($A26)</f>
        <v>-3.4165582163106416</v>
      </c>
      <c r="Q26" s="4" cm="1">
        <f t="array" ref="Q26">INDEX(FromSimSail!$B$1:$T$32,$B26,Q$1)*SIN($A26)</f>
        <v>3.1303756591734473</v>
      </c>
      <c r="R26" s="4" cm="1">
        <f t="array" ref="R26">INDEX(FromSimSail!$B$1:$T$32,$B26,Q$1)*COS($A26)</f>
        <v>-3.7306364379894226</v>
      </c>
      <c r="S26" s="4" cm="1">
        <f t="array" ref="S26">INDEX(FromSimSail!$B$1:$T$32,$B26,S$1)*SIN($A26)</f>
        <v>3.5931827381477555</v>
      </c>
      <c r="T26" s="4" cm="1">
        <f t="array" ref="T26">INDEX(FromSimSail!$B$1:$T$32,$B26,S$1)*COS($A26)</f>
        <v>-4.282188437035086</v>
      </c>
      <c r="U26" s="4" cm="1">
        <f t="array" ref="U26">INDEX(FromSimSail!$B$1:$T$32,$B26,U$1)*SIN($A26)</f>
        <v>3.9981389322502752</v>
      </c>
      <c r="V26" s="4" cm="1">
        <f t="array" ref="V26">INDEX(FromSimSail!$B$1:$T$32,$B26,U$1)*COS($A26)</f>
        <v>-4.7647964362000428</v>
      </c>
      <c r="W26" s="4" cm="1">
        <f t="array" ref="W26">INDEX(FromSimSail!$B$1:$T$32,$B26,W$1)*SIN($A26)</f>
        <v>4.3709557458684687</v>
      </c>
      <c r="X26" s="4" cm="1">
        <f t="array" ref="X26">INDEX(FromSimSail!$B$1:$T$32,$B26,W$1)*COS($A26)</f>
        <v>-5.2091022132090492</v>
      </c>
      <c r="Y26" s="4" cm="1">
        <f t="array" ref="Y26">INDEX(FromSimSail!$B$1:$T$32,$B26,Y$1)*SIN($A26)</f>
        <v>4.6344986658399492</v>
      </c>
      <c r="Z26" s="4" cm="1">
        <f t="array" ref="Z26">INDEX(FromSimSail!$B$1:$T$32,$B26,Y$1)*COS($A26)</f>
        <v>-5.5231804348878306</v>
      </c>
      <c r="AA26" s="4" cm="1">
        <f t="array" ref="AA26">INDEX(FromSimSail!$B$1:$T$32,$B26,AA$1)*SIN($A26)</f>
        <v>4.8916137097145658</v>
      </c>
      <c r="AB26" s="4" cm="1">
        <f t="array" ref="AB26">INDEX(FromSimSail!$B$1:$T$32,$B26,AA$1)*COS($A26)</f>
        <v>-5.829598212135422</v>
      </c>
      <c r="AC26" s="4" cm="1">
        <f t="array" ref="AC26">INDEX(FromSimSail!$B$1:$T$32,$B26,AC$1)*SIN($A26)</f>
        <v>4.9430367184894886</v>
      </c>
      <c r="AD26" s="4" cm="1">
        <f t="array" ref="AD26">INDEX(FromSimSail!$B$1:$T$32,$B26,AC$1)*COS($A26)</f>
        <v>-5.8908817675849408</v>
      </c>
      <c r="AE26" s="4" cm="1">
        <f t="array" ref="AE26">INDEX(FromSimSail!$B$1:$T$32,$B26,AE$1)*SIN($A26)</f>
        <v>4.9944597272644113</v>
      </c>
      <c r="AF26" s="4" cm="1">
        <f t="array" ref="AF26">INDEX(FromSimSail!$B$1:$T$32,$B26,AE$1)*COS($A26)</f>
        <v>-5.9521653230344578</v>
      </c>
      <c r="AG26" s="4" cm="1">
        <f t="array" ref="AG26">INDEX(FromSimSail!$B$1:$T$32,$B26,AG$1)*SIN($A26)</f>
        <v>5.0265991077487389</v>
      </c>
      <c r="AH26" s="4" cm="1">
        <f t="array" ref="AH26">INDEX(FromSimSail!$B$1:$T$32,$B26,AG$1)*COS($A26)</f>
        <v>-5.9904675451904073</v>
      </c>
      <c r="AI26" s="4" cm="1">
        <f t="array" ref="AI26">INDEX(FromSimSail!$B$1:$T$32,$B26,AI$1)*SIN($A26)</f>
        <v>5.0523106121362007</v>
      </c>
      <c r="AJ26" s="4" cm="1">
        <f t="array" ref="AJ26">INDEX(FromSimSail!$B$1:$T$32,$B26,AI$1)*COS($A26)</f>
        <v>-6.0211093229151667</v>
      </c>
      <c r="AK26" s="4" cm="1">
        <f t="array" ref="AK26">INDEX(FromSimSail!$B$1:$T$32,$B26,AK$1)*SIN($A26)</f>
        <v>5.1101614970079892</v>
      </c>
      <c r="AL26" s="4" cm="1">
        <f t="array" ref="AL26">INDEX(FromSimSail!$B$1:$T$32,$B26,AK$1)*COS($A26)</f>
        <v>-6.0900533227958746</v>
      </c>
      <c r="AM26" s="4" cm="1">
        <f t="array" ref="AM26">INDEX(FromSimSail!$B$1:$T$32,$B26,AM$1)*SIN($A26)</f>
        <v>5.1615845057829119</v>
      </c>
      <c r="AN26" s="4" cm="1">
        <f t="array" ref="AN26">INDEX(FromSimSail!$B$1:$T$32,$B26,AM$1)*COS($A26)</f>
        <v>-6.1513368782453917</v>
      </c>
    </row>
    <row r="27" spans="1:40" x14ac:dyDescent="0.25">
      <c r="A27" s="4">
        <f>FromSimSail!A25*Info!$B$3</f>
        <v>2.530727415391778</v>
      </c>
      <c r="B27" s="4">
        <f t="shared" si="17"/>
        <v>25</v>
      </c>
      <c r="C27" s="4" cm="1">
        <f t="array" ref="C27">INDEX(FromSimSail!$B$1:$T$32,$B27,C$1)*SIN($A27)</f>
        <v>0.56210490762402499</v>
      </c>
      <c r="D27" s="4" cm="1">
        <f t="array" ref="D27">INDEX(FromSimSail!$B$1:$T$32,$B27,C$1)*COS($A27)</f>
        <v>-0.80276900340321211</v>
      </c>
      <c r="E27" s="4" cm="1">
        <f t="array" ref="E27">INDEX(FromSimSail!$B$1:$T$32,$B27,E$1)*SIN($A27)</f>
        <v>1.135681343975071</v>
      </c>
      <c r="F27" s="4" cm="1">
        <f t="array" ref="F27">INDEX(FromSimSail!$B$1:$T$32,$B27,E$1)*COS($A27)</f>
        <v>-1.6219210476922039</v>
      </c>
      <c r="G27" s="4" cm="1">
        <f t="array" ref="G27">INDEX(FromSimSail!$B$1:$T$32,$B27,G$1)*SIN($A27)</f>
        <v>1.4224695621505938</v>
      </c>
      <c r="H27" s="4" cm="1">
        <f t="array" ref="H27">INDEX(FromSimSail!$B$1:$T$32,$B27,G$1)*COS($A27)</f>
        <v>-2.0314970698366999</v>
      </c>
      <c r="I27" s="4" cm="1">
        <f t="array" ref="I27">INDEX(FromSimSail!$B$1:$T$32,$B27,I$1)*SIN($A27)</f>
        <v>1.7035220159626066</v>
      </c>
      <c r="J27" s="4" cm="1">
        <f t="array" ref="J27">INDEX(FromSimSail!$B$1:$T$32,$B27,I$1)*COS($A27)</f>
        <v>-2.4328815715383061</v>
      </c>
      <c r="K27" s="4" cm="1">
        <f t="array" ref="K27">INDEX(FromSimSail!$B$1:$T$32,$B27,K$1)*SIN($A27)</f>
        <v>1.9845744697746188</v>
      </c>
      <c r="L27" s="4" cm="1">
        <f t="array" ref="L27">INDEX(FromSimSail!$B$1:$T$32,$B27,K$1)*COS($A27)</f>
        <v>-2.8342660732399119</v>
      </c>
      <c r="M27" s="4" cm="1">
        <f t="array" ref="M27">INDEX(FromSimSail!$B$1:$T$32,$B27,M$1)*SIN($A27)</f>
        <v>2.2484196304960999</v>
      </c>
      <c r="N27" s="4" cm="1">
        <f t="array" ref="N27">INDEX(FromSimSail!$B$1:$T$32,$B27,M$1)*COS($A27)</f>
        <v>-3.2110760136128484</v>
      </c>
      <c r="O27" s="4" cm="1">
        <f t="array" ref="O27">INDEX(FromSimSail!$B$1:$T$32,$B27,O$1)*SIN($A27)</f>
        <v>2.4950574981270495</v>
      </c>
      <c r="P27" s="4" cm="1">
        <f t="array" ref="P27">INDEX(FromSimSail!$B$1:$T$32,$B27,O$1)*COS($A27)</f>
        <v>-3.5633113926571145</v>
      </c>
      <c r="Q27" s="4" cm="1">
        <f t="array" ref="Q27">INDEX(FromSimSail!$B$1:$T$32,$B27,Q$1)*SIN($A27)</f>
        <v>2.7302238370309784</v>
      </c>
      <c r="R27" s="4" cm="1">
        <f t="array" ref="R27">INDEX(FromSimSail!$B$1:$T$32,$B27,Q$1)*COS($A27)</f>
        <v>-3.8991637308156015</v>
      </c>
      <c r="S27" s="4" cm="1">
        <f t="array" ref="S27">INDEX(FromSimSail!$B$1:$T$32,$B27,S$1)*SIN($A27)</f>
        <v>3.1489346355672425</v>
      </c>
      <c r="T27" s="4" cm="1">
        <f t="array" ref="T27">INDEX(FromSimSail!$B$1:$T$32,$B27,S$1)*COS($A27)</f>
        <v>-4.4971447231465653</v>
      </c>
      <c r="U27" s="4" cm="1">
        <f t="array" ref="U27">INDEX(FromSimSail!$B$1:$T$32,$B27,U$1)*SIN($A27)</f>
        <v>3.5160235548319116</v>
      </c>
      <c r="V27" s="4" cm="1">
        <f t="array" ref="V27">INDEX(FromSimSail!$B$1:$T$32,$B27,U$1)*COS($A27)</f>
        <v>-5.0214020314915206</v>
      </c>
      <c r="W27" s="4" cm="1">
        <f t="array" ref="W27">INDEX(FromSimSail!$B$1:$T$32,$B27,W$1)*SIN($A27)</f>
        <v>3.848697887915518</v>
      </c>
      <c r="X27" s="4" cm="1">
        <f t="array" ref="X27">INDEX(FromSimSail!$B$1:$T$32,$B27,W$1)*COS($A27)</f>
        <v>-5.4965102171791358</v>
      </c>
      <c r="Y27" s="4" cm="1">
        <f t="array" ref="Y27">INDEX(FromSimSail!$B$1:$T$32,$B27,Y$1)*SIN($A27)</f>
        <v>4.1010715199099783</v>
      </c>
      <c r="Z27" s="4" cm="1">
        <f t="array" ref="Z27">INDEX(FromSimSail!$B$1:$T$32,$B27,Y$1)*COS($A27)</f>
        <v>-5.856937116666292</v>
      </c>
      <c r="AA27" s="4" cm="1">
        <f t="array" ref="AA27">INDEX(FromSimSail!$B$1:$T$32,$B27,AA$1)*SIN($A27)</f>
        <v>4.3362378588139068</v>
      </c>
      <c r="AB27" s="4" cm="1">
        <f t="array" ref="AB27">INDEX(FromSimSail!$B$1:$T$32,$B27,AA$1)*COS($A27)</f>
        <v>-6.1927894548247782</v>
      </c>
      <c r="AC27" s="4" cm="1">
        <f t="array" ref="AC27">INDEX(FromSimSail!$B$1:$T$32,$B27,AC$1)*SIN($A27)</f>
        <v>4.3878597380855018</v>
      </c>
      <c r="AD27" s="4" cm="1">
        <f t="array" ref="AD27">INDEX(FromSimSail!$B$1:$T$32,$B27,AC$1)*COS($A27)</f>
        <v>-6.2665131388107884</v>
      </c>
      <c r="AE27" s="4" cm="1">
        <f t="array" ref="AE27">INDEX(FromSimSail!$B$1:$T$32,$B27,AE$1)*SIN($A27)</f>
        <v>4.4452173817206058</v>
      </c>
      <c r="AF27" s="4" cm="1">
        <f t="array" ref="AF27">INDEX(FromSimSail!$B$1:$T$32,$B27,AE$1)*COS($A27)</f>
        <v>-6.3484283432396875</v>
      </c>
      <c r="AG27" s="4" cm="1">
        <f t="array" ref="AG27">INDEX(FromSimSail!$B$1:$T$32,$B27,AG$1)*SIN($A27)</f>
        <v>4.4738962035381586</v>
      </c>
      <c r="AH27" s="4" cm="1">
        <f t="array" ref="AH27">INDEX(FromSimSail!$B$1:$T$32,$B27,AG$1)*COS($A27)</f>
        <v>-6.3893859454541371</v>
      </c>
      <c r="AI27" s="4" cm="1">
        <f t="array" ref="AI27">INDEX(FromSimSail!$B$1:$T$32,$B27,AI$1)*SIN($A27)</f>
        <v>4.4968392609921999</v>
      </c>
      <c r="AJ27" s="4" cm="1">
        <f t="array" ref="AJ27">INDEX(FromSimSail!$B$1:$T$32,$B27,AI$1)*COS($A27)</f>
        <v>-6.4221520272256969</v>
      </c>
      <c r="AK27" s="4" cm="1">
        <f t="array" ref="AK27">INDEX(FromSimSail!$B$1:$T$32,$B27,AK$1)*SIN($A27)</f>
        <v>4.5541969046273048</v>
      </c>
      <c r="AL27" s="4" cm="1">
        <f t="array" ref="AL27">INDEX(FromSimSail!$B$1:$T$32,$B27,AK$1)*COS($A27)</f>
        <v>-6.504067231654596</v>
      </c>
      <c r="AM27" s="4" cm="1">
        <f t="array" ref="AM27">INDEX(FromSimSail!$B$1:$T$32,$B27,AM$1)*SIN($A27)</f>
        <v>4.6058187838988989</v>
      </c>
      <c r="AN27" s="4" cm="1">
        <f t="array" ref="AN27">INDEX(FromSimSail!$B$1:$T$32,$B27,AM$1)*COS($A27)</f>
        <v>-6.5777909156406045</v>
      </c>
    </row>
    <row r="28" spans="1:40" x14ac:dyDescent="0.25">
      <c r="A28" s="4">
        <f>FromSimSail!A26*Info!$B$3</f>
        <v>2.6179938779914944</v>
      </c>
      <c r="B28" s="4">
        <f t="shared" si="17"/>
        <v>26</v>
      </c>
      <c r="C28" s="4" cm="1">
        <f t="array" ref="C28">INDEX(FromSimSail!$B$1:$T$32,$B28,C$1)*SIN($A28)</f>
        <v>0.47999999999999993</v>
      </c>
      <c r="D28" s="4" cm="1">
        <f t="array" ref="D28">INDEX(FromSimSail!$B$1:$T$32,$B28,C$1)*COS($A28)</f>
        <v>-0.83138438763306111</v>
      </c>
      <c r="E28" s="4" cm="1">
        <f t="array" ref="E28">INDEX(FromSimSail!$B$1:$T$32,$B28,E$1)*SIN($A28)</f>
        <v>0.96499999999999986</v>
      </c>
      <c r="F28" s="4" cm="1">
        <f t="array" ref="F28">INDEX(FromSimSail!$B$1:$T$32,$B28,E$1)*COS($A28)</f>
        <v>-1.6714290293039666</v>
      </c>
      <c r="G28" s="4" cm="1">
        <f t="array" ref="G28">INDEX(FromSimSail!$B$1:$T$32,$B28,G$1)*SIN($A28)</f>
        <v>1.2099999999999997</v>
      </c>
      <c r="H28" s="4" cm="1">
        <f t="array" ref="H28">INDEX(FromSimSail!$B$1:$T$32,$B28,G$1)*COS($A28)</f>
        <v>-2.0957814771583414</v>
      </c>
      <c r="I28" s="4" cm="1">
        <f t="array" ref="I28">INDEX(FromSimSail!$B$1:$T$32,$B28,I$1)*SIN($A28)</f>
        <v>1.4499999999999997</v>
      </c>
      <c r="J28" s="4" cm="1">
        <f t="array" ref="J28">INDEX(FromSimSail!$B$1:$T$32,$B28,I$1)*COS($A28)</f>
        <v>-2.5114736709748722</v>
      </c>
      <c r="K28" s="4" cm="1">
        <f t="array" ref="K28">INDEX(FromSimSail!$B$1:$T$32,$B28,K$1)*SIN($A28)</f>
        <v>1.6849999999999998</v>
      </c>
      <c r="L28" s="4" cm="1">
        <f t="array" ref="L28">INDEX(FromSimSail!$B$1:$T$32,$B28,K$1)*COS($A28)</f>
        <v>-2.9185056107535585</v>
      </c>
      <c r="M28" s="4" cm="1">
        <f t="array" ref="M28">INDEX(FromSimSail!$B$1:$T$32,$B28,M$1)*SIN($A28)</f>
        <v>1.9149999999999998</v>
      </c>
      <c r="N28" s="4" cm="1">
        <f t="array" ref="N28">INDEX(FromSimSail!$B$1:$T$32,$B28,M$1)*COS($A28)</f>
        <v>-3.3168772964944004</v>
      </c>
      <c r="O28" s="4" cm="1">
        <f t="array" ref="O28">INDEX(FromSimSail!$B$1:$T$32,$B28,O$1)*SIN($A28)</f>
        <v>2.1299999999999994</v>
      </c>
      <c r="P28" s="4" cm="1">
        <f t="array" ref="P28">INDEX(FromSimSail!$B$1:$T$32,$B28,O$1)*COS($A28)</f>
        <v>-3.6892682201217086</v>
      </c>
      <c r="Q28" s="4" cm="1">
        <f t="array" ref="Q28">INDEX(FromSimSail!$B$1:$T$32,$B28,Q$1)*SIN($A28)</f>
        <v>2.3349999999999995</v>
      </c>
      <c r="R28" s="4" cm="1">
        <f t="array" ref="R28">INDEX(FromSimSail!$B$1:$T$32,$B28,Q$1)*COS($A28)</f>
        <v>-4.0443386356733289</v>
      </c>
      <c r="S28" s="4" cm="1">
        <f t="array" ref="S28">INDEX(FromSimSail!$B$1:$T$32,$B28,S$1)*SIN($A28)</f>
        <v>2.6999999999999997</v>
      </c>
      <c r="T28" s="4" cm="1">
        <f t="array" ref="T28">INDEX(FromSimSail!$B$1:$T$32,$B28,S$1)*COS($A28)</f>
        <v>-4.676537180435969</v>
      </c>
      <c r="U28" s="4" cm="1">
        <f t="array" ref="U28">INDEX(FromSimSail!$B$1:$T$32,$B28,U$1)*SIN($A28)</f>
        <v>3.0249999999999995</v>
      </c>
      <c r="V28" s="4" cm="1">
        <f t="array" ref="V28">INDEX(FromSimSail!$B$1:$T$32,$B28,U$1)*COS($A28)</f>
        <v>-5.2394536928958537</v>
      </c>
      <c r="W28" s="4" cm="1">
        <f t="array" ref="W28">INDEX(FromSimSail!$B$1:$T$32,$B28,W$1)*SIN($A28)</f>
        <v>3.3149999999999995</v>
      </c>
      <c r="X28" s="4" cm="1">
        <f t="array" ref="X28">INDEX(FromSimSail!$B$1:$T$32,$B28,W$1)*COS($A28)</f>
        <v>-5.7417484270908288</v>
      </c>
      <c r="Y28" s="4" cm="1">
        <f t="array" ref="Y28">INDEX(FromSimSail!$B$1:$T$32,$B28,Y$1)*SIN($A28)</f>
        <v>3.5399999999999996</v>
      </c>
      <c r="Z28" s="4" cm="1">
        <f t="array" ref="Z28">INDEX(FromSimSail!$B$1:$T$32,$B28,Y$1)*COS($A28)</f>
        <v>-6.1314598587938258</v>
      </c>
      <c r="AA28" s="4" cm="1">
        <f t="array" ref="AA28">INDEX(FromSimSail!$B$1:$T$32,$B28,AA$1)*SIN($A28)</f>
        <v>3.7599999999999993</v>
      </c>
      <c r="AB28" s="4" cm="1">
        <f t="array" ref="AB28">INDEX(FromSimSail!$B$1:$T$32,$B28,AA$1)*COS($A28)</f>
        <v>-6.5125110364589789</v>
      </c>
      <c r="AC28" s="4" cm="1">
        <f t="array" ref="AC28">INDEX(FromSimSail!$B$1:$T$32,$B28,AC$1)*SIN($A28)</f>
        <v>3.8099999999999996</v>
      </c>
      <c r="AD28" s="4" cm="1">
        <f t="array" ref="AD28">INDEX(FromSimSail!$B$1:$T$32,$B28,AC$1)*COS($A28)</f>
        <v>-6.5991135768374232</v>
      </c>
      <c r="AE28" s="4" cm="1">
        <f t="array" ref="AE28">INDEX(FromSimSail!$B$1:$T$32,$B28,AE$1)*SIN($A28)</f>
        <v>3.8599999999999994</v>
      </c>
      <c r="AF28" s="4" cm="1">
        <f t="array" ref="AF28">INDEX(FromSimSail!$B$1:$T$32,$B28,AE$1)*COS($A28)</f>
        <v>-6.6857161172158666</v>
      </c>
      <c r="AG28" s="4" cm="1">
        <f t="array" ref="AG28">INDEX(FromSimSail!$B$1:$T$32,$B28,AG$1)*SIN($A28)</f>
        <v>3.8849999999999993</v>
      </c>
      <c r="AH28" s="4" cm="1">
        <f t="array" ref="AH28">INDEX(FromSimSail!$B$1:$T$32,$B28,AG$1)*COS($A28)</f>
        <v>-6.7290173874050883</v>
      </c>
      <c r="AI28" s="4" cm="1">
        <f t="array" ref="AI28">INDEX(FromSimSail!$B$1:$T$32,$B28,AI$1)*SIN($A28)</f>
        <v>3.9099999999999997</v>
      </c>
      <c r="AJ28" s="4" cm="1">
        <f t="array" ref="AJ28">INDEX(FromSimSail!$B$1:$T$32,$B28,AI$1)*COS($A28)</f>
        <v>-6.7723186575943108</v>
      </c>
      <c r="AK28" s="4" cm="1">
        <f t="array" ref="AK28">INDEX(FromSimSail!$B$1:$T$32,$B28,AK$1)*SIN($A28)</f>
        <v>3.9599999999999995</v>
      </c>
      <c r="AL28" s="4" cm="1">
        <f t="array" ref="AL28">INDEX(FromSimSail!$B$1:$T$32,$B28,AK$1)*COS($A28)</f>
        <v>-6.8589211979727542</v>
      </c>
      <c r="AM28" s="4" cm="1">
        <f t="array" ref="AM28">INDEX(FromSimSail!$B$1:$T$32,$B28,AM$1)*SIN($A28)</f>
        <v>4.0099999999999989</v>
      </c>
      <c r="AN28" s="4" cm="1">
        <f t="array" ref="AN28">INDEX(FromSimSail!$B$1:$T$32,$B28,AM$1)*COS($A28)</f>
        <v>-6.9455237383511976</v>
      </c>
    </row>
    <row r="29" spans="1:40" x14ac:dyDescent="0.25">
      <c r="A29" s="4">
        <f>FromSimSail!A27*Info!$B$3</f>
        <v>2.7052603405912108</v>
      </c>
      <c r="B29" s="4">
        <f t="shared" si="17"/>
        <v>27</v>
      </c>
      <c r="C29" s="4" cm="1">
        <f t="array" ref="C29">INDEX(FromSimSail!$B$1:$T$32,$B29,C$1)*SIN($A29)</f>
        <v>0.39303498341885057</v>
      </c>
      <c r="D29" s="4" cm="1">
        <f t="array" ref="D29">INDEX(FromSimSail!$B$1:$T$32,$B29,C$1)*COS($A29)</f>
        <v>-0.84286624194408444</v>
      </c>
      <c r="E29" s="4" cm="1">
        <f t="array" ref="E29">INDEX(FromSimSail!$B$1:$T$32,$B29,E$1)*SIN($A29)</f>
        <v>0.79874851468992203</v>
      </c>
      <c r="F29" s="4" cm="1">
        <f t="array" ref="F29">INDEX(FromSimSail!$B$1:$T$32,$B29,E$1)*COS($A29)</f>
        <v>-1.7129217174992684</v>
      </c>
      <c r="G29" s="4" cm="1">
        <f t="array" ref="G29">INDEX(FromSimSail!$B$1:$T$32,$B29,G$1)*SIN($A29)</f>
        <v>0.99737909770805078</v>
      </c>
      <c r="H29" s="4" cm="1">
        <f t="array" ref="H29">INDEX(FromSimSail!$B$1:$T$32,$B29,G$1)*COS($A29)</f>
        <v>-2.1388863774064939</v>
      </c>
      <c r="I29" s="4" cm="1">
        <f t="array" ref="I29">INDEX(FromSimSail!$B$1:$T$32,$B29,I$1)*SIN($A29)</f>
        <v>1.1960096807261795</v>
      </c>
      <c r="J29" s="4" cm="1">
        <f t="array" ref="J29">INDEX(FromSimSail!$B$1:$T$32,$B29,I$1)*COS($A29)</f>
        <v>-2.5648510373137192</v>
      </c>
      <c r="K29" s="4" cm="1">
        <f t="array" ref="K29">INDEX(FromSimSail!$B$1:$T$32,$B29,K$1)*SIN($A29)</f>
        <v>1.3946402637443083</v>
      </c>
      <c r="L29" s="4" cm="1">
        <f t="array" ref="L29">INDEX(FromSimSail!$B$1:$T$32,$B29,K$1)*COS($A29)</f>
        <v>-2.9908156972209445</v>
      </c>
      <c r="M29" s="4" cm="1">
        <f t="array" ref="M29">INDEX(FromSimSail!$B$1:$T$32,$B29,M$1)*SIN($A29)</f>
        <v>1.5848184815276232</v>
      </c>
      <c r="N29" s="4" cm="1">
        <f t="array" ref="N29">INDEX(FromSimSail!$B$1:$T$32,$B29,M$1)*COS($A29)</f>
        <v>-3.3986542013874375</v>
      </c>
      <c r="O29" s="4" cm="1">
        <f t="array" ref="O29">INDEX(FromSimSail!$B$1:$T$32,$B29,O$1)*SIN($A29)</f>
        <v>1.7665443340761238</v>
      </c>
      <c r="P29" s="4" cm="1">
        <f t="array" ref="P29">INDEX(FromSimSail!$B$1:$T$32,$B29,O$1)*COS($A29)</f>
        <v>-3.7883665498131966</v>
      </c>
      <c r="Q29" s="4" cm="1">
        <f t="array" ref="Q29">INDEX(FromSimSail!$B$1:$T$32,$B29,Q$1)*SIN($A29)</f>
        <v>1.9398178213898107</v>
      </c>
      <c r="R29" s="4" cm="1">
        <f t="array" ref="R29">INDEX(FromSimSail!$B$1:$T$32,$B29,Q$1)*COS($A29)</f>
        <v>-4.1599527424982234</v>
      </c>
      <c r="S29" s="4" cm="1">
        <f t="array" ref="S29">INDEX(FromSimSail!$B$1:$T$32,$B29,S$1)*SIN($A29)</f>
        <v>2.2525553350779282</v>
      </c>
      <c r="T29" s="4" cm="1">
        <f t="array" ref="T29">INDEX(FromSimSail!$B$1:$T$32,$B29,S$1)*COS($A29)</f>
        <v>-4.8306205049053439</v>
      </c>
      <c r="U29" s="4" cm="1">
        <f t="array" ref="U29">INDEX(FromSimSail!$B$1:$T$32,$B29,U$1)*SIN($A29)</f>
        <v>2.5272572052093834</v>
      </c>
      <c r="V29" s="4" cm="1">
        <f t="array" ref="V29">INDEX(FromSimSail!$B$1:$T$32,$B29,U$1)*COS($A29)</f>
        <v>-5.4197205664791674</v>
      </c>
      <c r="W29" s="4" cm="1">
        <f t="array" ref="W29">INDEX(FromSimSail!$B$1:$T$32,$B29,W$1)*SIN($A29)</f>
        <v>2.7766019796363959</v>
      </c>
      <c r="X29" s="4" cm="1">
        <f t="array" ref="X29">INDEX(FromSimSail!$B$1:$T$32,$B29,W$1)*COS($A29)</f>
        <v>-5.9544421608307907</v>
      </c>
      <c r="Y29" s="4" cm="1">
        <f t="array" ref="Y29">INDEX(FromSimSail!$B$1:$T$32,$B29,Y$1)*SIN($A29)</f>
        <v>2.9710063800371174</v>
      </c>
      <c r="Z29" s="4" cm="1">
        <f t="array" ref="Z29">INDEX(FromSimSail!$B$1:$T$32,$B29,Y$1)*COS($A29)</f>
        <v>-6.3713437428676496</v>
      </c>
      <c r="AA29" s="4" cm="1">
        <f t="array" ref="AA29">INDEX(FromSimSail!$B$1:$T$32,$B29,AA$1)*SIN($A29)</f>
        <v>3.1611845978204323</v>
      </c>
      <c r="AB29" s="4" cm="1">
        <f t="array" ref="AB29">INDEX(FromSimSail!$B$1:$T$32,$B29,AA$1)*COS($A29)</f>
        <v>-6.7791822470341421</v>
      </c>
      <c r="AC29" s="4" cm="1">
        <f t="array" ref="AC29">INDEX(FromSimSail!$B$1:$T$32,$B29,AC$1)*SIN($A29)</f>
        <v>3.2076726066119092</v>
      </c>
      <c r="AD29" s="4" cm="1">
        <f t="array" ref="AD29">INDEX(FromSimSail!$B$1:$T$32,$B29,AC$1)*COS($A29)</f>
        <v>-6.8788761036081727</v>
      </c>
      <c r="AE29" s="4" cm="1">
        <f t="array" ref="AE29">INDEX(FromSimSail!$B$1:$T$32,$B29,AE$1)*SIN($A29)</f>
        <v>3.2541606154033862</v>
      </c>
      <c r="AF29" s="4" cm="1">
        <f t="array" ref="AF29">INDEX(FromSimSail!$B$1:$T$32,$B29,AE$1)*COS($A29)</f>
        <v>-6.9785699601822051</v>
      </c>
      <c r="AG29" s="4" cm="1">
        <f t="array" ref="AG29">INDEX(FromSimSail!$B$1:$T$32,$B29,AG$1)*SIN($A29)</f>
        <v>3.2752915284904209</v>
      </c>
      <c r="AH29" s="4" cm="1">
        <f t="array" ref="AH29">INDEX(FromSimSail!$B$1:$T$32,$B29,AG$1)*COS($A29)</f>
        <v>-7.0238853495340372</v>
      </c>
      <c r="AI29" s="4" cm="1">
        <f t="array" ref="AI29">INDEX(FromSimSail!$B$1:$T$32,$B29,AI$1)*SIN($A29)</f>
        <v>3.2964224415774561</v>
      </c>
      <c r="AJ29" s="4" cm="1">
        <f t="array" ref="AJ29">INDEX(FromSimSail!$B$1:$T$32,$B29,AI$1)*COS($A29)</f>
        <v>-7.0692007388858693</v>
      </c>
      <c r="AK29" s="4" cm="1">
        <f t="array" ref="AK29">INDEX(FromSimSail!$B$1:$T$32,$B29,AK$1)*SIN($A29)</f>
        <v>3.3429104503689331</v>
      </c>
      <c r="AL29" s="4" cm="1">
        <f t="array" ref="AL29">INDEX(FromSimSail!$B$1:$T$32,$B29,AK$1)*COS($A29)</f>
        <v>-7.1688945954599008</v>
      </c>
      <c r="AM29" s="4" cm="1">
        <f t="array" ref="AM29">INDEX(FromSimSail!$B$1:$T$32,$B29,AM$1)*SIN($A29)</f>
        <v>3.3893984591604096</v>
      </c>
      <c r="AN29" s="4" cm="1">
        <f t="array" ref="AN29">INDEX(FromSimSail!$B$1:$T$32,$B29,AM$1)*COS($A29)</f>
        <v>-7.2685884520339323</v>
      </c>
    </row>
    <row r="30" spans="1:40" x14ac:dyDescent="0.25">
      <c r="A30" s="4">
        <f>FromSimSail!A28*Info!$B$3</f>
        <v>2.7925268031909272</v>
      </c>
      <c r="B30" s="4">
        <f t="shared" si="17"/>
        <v>28</v>
      </c>
      <c r="C30" s="4" cm="1">
        <f t="array" ref="C30">INDEX(FromSimSail!$B$1:$T$32,$B30,C$1)*SIN($A30)</f>
        <v>0.3146585318596154</v>
      </c>
      <c r="D30" s="4" cm="1">
        <f t="array" ref="D30">INDEX(FromSimSail!$B$1:$T$32,$B30,C$1)*COS($A30)</f>
        <v>-0.8645172111230357</v>
      </c>
      <c r="E30" s="4" cm="1">
        <f t="array" ref="E30">INDEX(FromSimSail!$B$1:$T$32,$B30,E$1)*SIN($A30)</f>
        <v>0.6327372651524874</v>
      </c>
      <c r="F30" s="4" cm="1">
        <f t="array" ref="F30">INDEX(FromSimSail!$B$1:$T$32,$B30,E$1)*COS($A30)</f>
        <v>-1.7384313484539304</v>
      </c>
      <c r="G30" s="4" cm="1">
        <f t="array" ref="G30">INDEX(FromSimSail!$B$1:$T$32,$B30,G$1)*SIN($A30)</f>
        <v>0.7934867325155518</v>
      </c>
      <c r="H30" s="4" cm="1">
        <f t="array" ref="H30">INDEX(FromSimSail!$B$1:$T$32,$B30,G$1)*COS($A30)</f>
        <v>-2.1800868802233073</v>
      </c>
      <c r="I30" s="4" cm="1">
        <f t="array" ref="I30">INDEX(FromSimSail!$B$1:$T$32,$B30,I$1)*SIN($A30)</f>
        <v>0.95081599844535947</v>
      </c>
      <c r="J30" s="4" cm="1">
        <f t="array" ref="J30">INDEX(FromSimSail!$B$1:$T$32,$B30,I$1)*COS($A30)</f>
        <v>-2.6123454857848247</v>
      </c>
      <c r="K30" s="4" cm="1">
        <f t="array" ref="K30">INDEX(FromSimSail!$B$1:$T$32,$B30,K$1)*SIN($A30)</f>
        <v>1.1081452643751672</v>
      </c>
      <c r="L30" s="4" cm="1">
        <f t="array" ref="L30">INDEX(FromSimSail!$B$1:$T$32,$B30,K$1)*COS($A30)</f>
        <v>-3.044604091346343</v>
      </c>
      <c r="M30" s="4" cm="1">
        <f t="array" ref="M30">INDEX(FromSimSail!$B$1:$T$32,$B30,M$1)*SIN($A30)</f>
        <v>1.2620543288717181</v>
      </c>
      <c r="N30" s="4" cm="1">
        <f t="array" ref="N30">INDEX(FromSimSail!$B$1:$T$32,$B30,M$1)*COS($A30)</f>
        <v>-3.4674657707000018</v>
      </c>
      <c r="O30" s="4" cm="1">
        <f t="array" ref="O30">INDEX(FromSimSail!$B$1:$T$32,$B30,O$1)*SIN($A30)</f>
        <v>1.4091229905017557</v>
      </c>
      <c r="P30" s="4" cm="1">
        <f t="array" ref="P30">INDEX(FromSimSail!$B$1:$T$32,$B30,O$1)*COS($A30)</f>
        <v>-3.8715335976379426</v>
      </c>
      <c r="Q30" s="4" cm="1">
        <f t="array" ref="Q30">INDEX(FromSimSail!$B$1:$T$32,$B30,Q$1)*SIN($A30)</f>
        <v>1.5459310478320232</v>
      </c>
      <c r="R30" s="4" cm="1">
        <f t="array" ref="R30">INDEX(FromSimSail!$B$1:$T$32,$B30,Q$1)*COS($A30)</f>
        <v>-4.2474106459523053</v>
      </c>
      <c r="S30" s="4" cm="1">
        <f t="array" ref="S30">INDEX(FromSimSail!$B$1:$T$32,$B30,S$1)*SIN($A30)</f>
        <v>1.7990259538930182</v>
      </c>
      <c r="T30" s="4" cm="1">
        <f t="array" ref="T30">INDEX(FromSimSail!$B$1:$T$32,$B30,S$1)*COS($A30)</f>
        <v>-4.9427831853338775</v>
      </c>
      <c r="U30" s="4" cm="1">
        <f t="array" ref="U30">INDEX(FromSimSail!$B$1:$T$32,$B30,U$1)*SIN($A30)</f>
        <v>2.021339047054703</v>
      </c>
      <c r="V30" s="4" cm="1">
        <f t="array" ref="V30">INDEX(FromSimSail!$B$1:$T$32,$B30,U$1)*COS($A30)</f>
        <v>-5.5535833888447179</v>
      </c>
      <c r="W30" s="4" cm="1">
        <f t="array" ref="W30">INDEX(FromSimSail!$B$1:$T$32,$B30,W$1)*SIN($A30)</f>
        <v>2.2231309316168479</v>
      </c>
      <c r="X30" s="4" cm="1">
        <f t="array" ref="X30">INDEX(FromSimSail!$B$1:$T$32,$B30,W$1)*COS($A30)</f>
        <v>-6.1080020351084041</v>
      </c>
      <c r="Y30" s="4" cm="1">
        <f t="array" ref="Y30">INDEX(FromSimSail!$B$1:$T$32,$B30,Y$1)*SIN($A30)</f>
        <v>2.3873006004131687</v>
      </c>
      <c r="Z30" s="4" cm="1">
        <f t="array" ref="Z30">INDEX(FromSimSail!$B$1:$T$32,$B30,Y$1)*COS($A30)</f>
        <v>-6.5590544930856405</v>
      </c>
      <c r="AA30" s="4" cm="1">
        <f t="array" ref="AA30">INDEX(FromSimSail!$B$1:$T$32,$B30,AA$1)*SIN($A30)</f>
        <v>2.548050067776233</v>
      </c>
      <c r="AB30" s="4" cm="1">
        <f t="array" ref="AB30">INDEX(FromSimSail!$B$1:$T$32,$B30,AA$1)*COS($A30)</f>
        <v>-7.0007100248550174</v>
      </c>
      <c r="AC30" s="4" cm="1">
        <f t="array" ref="AC30">INDEX(FromSimSail!$B$1:$T$32,$B30,AC$1)*SIN($A30)</f>
        <v>2.5856722835420567</v>
      </c>
      <c r="AD30" s="4" cm="1">
        <f t="array" ref="AD30">INDEX(FromSimSail!$B$1:$T$32,$B30,AC$1)*COS($A30)</f>
        <v>-7.1040762131414663</v>
      </c>
      <c r="AE30" s="4" cm="1">
        <f t="array" ref="AE30">INDEX(FromSimSail!$B$1:$T$32,$B30,AE$1)*SIN($A30)</f>
        <v>2.6267147007411369</v>
      </c>
      <c r="AF30" s="4" cm="1">
        <f t="array" ref="AF30">INDEX(FromSimSail!$B$1:$T$32,$B30,AE$1)*COS($A30)</f>
        <v>-7.2168393276357756</v>
      </c>
      <c r="AG30" s="4" cm="1">
        <f t="array" ref="AG30">INDEX(FromSimSail!$B$1:$T$32,$B30,AG$1)*SIN($A30)</f>
        <v>2.6438157079074207</v>
      </c>
      <c r="AH30" s="4" cm="1">
        <f t="array" ref="AH30">INDEX(FromSimSail!$B$1:$T$32,$B30,AG$1)*COS($A30)</f>
        <v>-7.2638239586750721</v>
      </c>
      <c r="AI30" s="4" cm="1">
        <f t="array" ref="AI30">INDEX(FromSimSail!$B$1:$T$32,$B30,AI$1)*SIN($A30)</f>
        <v>2.6643369165069606</v>
      </c>
      <c r="AJ30" s="4" cm="1">
        <f t="array" ref="AJ30">INDEX(FromSimSail!$B$1:$T$32,$B30,AI$1)*COS($A30)</f>
        <v>-7.3202055159222255</v>
      </c>
      <c r="AK30" s="4" cm="1">
        <f t="array" ref="AK30">INDEX(FromSimSail!$B$1:$T$32,$B30,AK$1)*SIN($A30)</f>
        <v>2.7053793337060408</v>
      </c>
      <c r="AL30" s="4" cm="1">
        <f t="array" ref="AL30">INDEX(FromSimSail!$B$1:$T$32,$B30,AK$1)*COS($A30)</f>
        <v>-7.4329686304165348</v>
      </c>
      <c r="AM30" s="4" cm="1">
        <f t="array" ref="AM30">INDEX(FromSimSail!$B$1:$T$32,$B30,AM$1)*SIN($A30)</f>
        <v>2.746421750905121</v>
      </c>
      <c r="AN30" s="4" cm="1">
        <f t="array" ref="AN30">INDEX(FromSimSail!$B$1:$T$32,$B30,AM$1)*COS($A30)</f>
        <v>-7.5457317449108432</v>
      </c>
    </row>
    <row r="31" spans="1:40" x14ac:dyDescent="0.25">
      <c r="A31" s="4">
        <f>FromSimSail!A29*Info!$B$3</f>
        <v>2.8797932657906435</v>
      </c>
      <c r="B31" s="4">
        <f t="shared" si="17"/>
        <v>29</v>
      </c>
      <c r="C31" s="4" cm="1">
        <f t="array" ref="C31">INDEX(FromSimSail!$B$1:$T$32,$B31,C$1)*SIN($A31)</f>
        <v>0.23293714059226892</v>
      </c>
      <c r="D31" s="4" cm="1">
        <f t="array" ref="D31">INDEX(FromSimSail!$B$1:$T$32,$B31,C$1)*COS($A31)</f>
        <v>-0.8693332436601614</v>
      </c>
      <c r="E31" s="4" cm="1">
        <f t="array" ref="E31">INDEX(FromSimSail!$B$1:$T$32,$B31,E$1)*SIN($A31)</f>
        <v>0.47363885253761345</v>
      </c>
      <c r="F31" s="4" cm="1">
        <f t="array" ref="F31">INDEX(FromSimSail!$B$1:$T$32,$B31,E$1)*COS($A31)</f>
        <v>-1.7676442621089949</v>
      </c>
      <c r="G31" s="4" cm="1">
        <f t="array" ref="G31">INDEX(FromSimSail!$B$1:$T$32,$B31,G$1)*SIN($A31)</f>
        <v>0.59269561328477316</v>
      </c>
      <c r="H31" s="4" cm="1">
        <f t="array" ref="H31">INDEX(FromSimSail!$B$1:$T$32,$B31,G$1)*COS($A31)</f>
        <v>-2.2119701422019662</v>
      </c>
      <c r="I31" s="4" cm="1">
        <f t="array" ref="I31">INDEX(FromSimSail!$B$1:$T$32,$B31,I$1)*SIN($A31)</f>
        <v>0.7091641835809076</v>
      </c>
      <c r="J31" s="4" cm="1">
        <f t="array" ref="J31">INDEX(FromSimSail!$B$1:$T$32,$B31,I$1)*COS($A31)</f>
        <v>-2.646636764032047</v>
      </c>
      <c r="K31" s="4" cm="1">
        <f t="array" ref="K31">INDEX(FromSimSail!$B$1:$T$32,$B31,K$1)*SIN($A31)</f>
        <v>0.82822094432806725</v>
      </c>
      <c r="L31" s="4" cm="1">
        <f t="array" ref="L31">INDEX(FromSimSail!$B$1:$T$32,$B31,K$1)*COS($A31)</f>
        <v>-3.0909626441250184</v>
      </c>
      <c r="M31" s="4" cm="1">
        <f t="array" ref="M31">INDEX(FromSimSail!$B$1:$T$32,$B31,M$1)*SIN($A31)</f>
        <v>0.94210132417317649</v>
      </c>
      <c r="N31" s="4" cm="1">
        <f t="array" ref="N31">INDEX(FromSimSail!$B$1:$T$32,$B31,M$1)*COS($A31)</f>
        <v>-3.5159700076922085</v>
      </c>
      <c r="O31" s="4" cm="1">
        <f t="array" ref="O31">INDEX(FromSimSail!$B$1:$T$32,$B31,O$1)*SIN($A31)</f>
        <v>1.0533935135672605</v>
      </c>
      <c r="P31" s="4" cm="1">
        <f t="array" ref="P31">INDEX(FromSimSail!$B$1:$T$32,$B31,O$1)*COS($A31)</f>
        <v>-3.9313181129965078</v>
      </c>
      <c r="Q31" s="4" cm="1">
        <f t="array" ref="Q31">INDEX(FromSimSail!$B$1:$T$32,$B31,Q$1)*SIN($A31)</f>
        <v>1.1569211316082688</v>
      </c>
      <c r="R31" s="4" cm="1">
        <f t="array" ref="R31">INDEX(FromSimSail!$B$1:$T$32,$B31,Q$1)*COS($A31)</f>
        <v>-4.317688443512135</v>
      </c>
      <c r="S31" s="4" cm="1">
        <f t="array" ref="S31">INDEX(FromSimSail!$B$1:$T$32,$B31,S$1)*SIN($A31)</f>
        <v>1.3458590345331094</v>
      </c>
      <c r="T31" s="4" cm="1">
        <f t="array" ref="T31">INDEX(FromSimSail!$B$1:$T$32,$B31,S$1)*COS($A31)</f>
        <v>-5.0228142967031548</v>
      </c>
      <c r="U31" s="4" cm="1">
        <f t="array" ref="U31">INDEX(FromSimSail!$B$1:$T$32,$B31,U$1)*SIN($A31)</f>
        <v>1.5166796043007733</v>
      </c>
      <c r="V31" s="4" cm="1">
        <f t="array" ref="V31">INDEX(FromSimSail!$B$1:$T$32,$B31,U$1)*COS($A31)</f>
        <v>-5.6603253420539401</v>
      </c>
      <c r="W31" s="4" cm="1">
        <f t="array" ref="W31">INDEX(FromSimSail!$B$1:$T$32,$B31,W$1)*SIN($A31)</f>
        <v>1.6719710313622858</v>
      </c>
      <c r="X31" s="4" cm="1">
        <f t="array" ref="X31">INDEX(FromSimSail!$B$1:$T$32,$B31,W$1)*COS($A31)</f>
        <v>-6.2398808378273802</v>
      </c>
      <c r="Y31" s="4" cm="1">
        <f t="array" ref="Y31">INDEX(FromSimSail!$B$1:$T$32,$B31,Y$1)*SIN($A31)</f>
        <v>1.7962041730114959</v>
      </c>
      <c r="Z31" s="4" cm="1">
        <f t="array" ref="Z31">INDEX(FromSimSail!$B$1:$T$32,$B31,Y$1)*COS($A31)</f>
        <v>-6.7035252344461336</v>
      </c>
      <c r="AA31" s="4" cm="1">
        <f t="array" ref="AA31">INDEX(FromSimSail!$B$1:$T$32,$B31,AA$1)*SIN($A31)</f>
        <v>1.9178491242096807</v>
      </c>
      <c r="AB31" s="4" cm="1">
        <f t="array" ref="AB31">INDEX(FromSimSail!$B$1:$T$32,$B31,AA$1)*COS($A31)</f>
        <v>-7.1575103728019958</v>
      </c>
      <c r="AC31" s="4" cm="1">
        <f t="array" ref="AC31">INDEX(FromSimSail!$B$1:$T$32,$B31,AC$1)*SIN($A31)</f>
        <v>1.9514956000730084</v>
      </c>
      <c r="AD31" s="4" cm="1">
        <f t="array" ref="AD31">INDEX(FromSimSail!$B$1:$T$32,$B31,AC$1)*COS($A31)</f>
        <v>-7.2830807302195746</v>
      </c>
      <c r="AE31" s="4" cm="1">
        <f t="array" ref="AE31">INDEX(FromSimSail!$B$1:$T$32,$B31,AE$1)*SIN($A31)</f>
        <v>1.9825538854853111</v>
      </c>
      <c r="AF31" s="4" cm="1">
        <f t="array" ref="AF31">INDEX(FromSimSail!$B$1:$T$32,$B31,AE$1)*COS($A31)</f>
        <v>-7.3989918293742623</v>
      </c>
      <c r="AG31" s="4" cm="1">
        <f t="array" ref="AG31">INDEX(FromSimSail!$B$1:$T$32,$B31,AG$1)*SIN($A31)</f>
        <v>1.9980830281914621</v>
      </c>
      <c r="AH31" s="4" cm="1">
        <f t="array" ref="AH31">INDEX(FromSimSail!$B$1:$T$32,$B31,AG$1)*COS($A31)</f>
        <v>-7.4569473789516065</v>
      </c>
      <c r="AI31" s="4" cm="1">
        <f t="array" ref="AI31">INDEX(FromSimSail!$B$1:$T$32,$B31,AI$1)*SIN($A31)</f>
        <v>2.0136121708976136</v>
      </c>
      <c r="AJ31" s="4" cm="1">
        <f t="array" ref="AJ31">INDEX(FromSimSail!$B$1:$T$32,$B31,AI$1)*COS($A31)</f>
        <v>-7.5149029285289508</v>
      </c>
      <c r="AK31" s="4" cm="1">
        <f t="array" ref="AK31">INDEX(FromSimSail!$B$1:$T$32,$B31,AK$1)*SIN($A31)</f>
        <v>2.0446704563099161</v>
      </c>
      <c r="AL31" s="4" cm="1">
        <f t="array" ref="AL31">INDEX(FromSimSail!$B$1:$T$32,$B31,AK$1)*COS($A31)</f>
        <v>-7.6308140276836394</v>
      </c>
      <c r="AM31" s="4" cm="1">
        <f t="array" ref="AM31">INDEX(FromSimSail!$B$1:$T$32,$B31,AM$1)*SIN($A31)</f>
        <v>2.0783169321732435</v>
      </c>
      <c r="AN31" s="4" cm="1">
        <f t="array" ref="AN31">INDEX(FromSimSail!$B$1:$T$32,$B31,AM$1)*COS($A31)</f>
        <v>-7.7563843851012173</v>
      </c>
    </row>
    <row r="32" spans="1:40" x14ac:dyDescent="0.25">
      <c r="A32" s="4">
        <f>FromSimSail!A30*Info!$B$3</f>
        <v>2.9670597283903604</v>
      </c>
      <c r="B32" s="4">
        <f t="shared" si="17"/>
        <v>30</v>
      </c>
      <c r="C32" s="4" cm="1">
        <f t="array" ref="C32">INDEX(FromSimSail!$B$1:$T$32,$B32,C$1)*SIN($A32)</f>
        <v>0.15454687812356796</v>
      </c>
      <c r="D32" s="4" cm="1">
        <f t="array" ref="D32">INDEX(FromSimSail!$B$1:$T$32,$B32,C$1)*COS($A32)</f>
        <v>-0.87647890018086516</v>
      </c>
      <c r="E32" s="4" cm="1">
        <f t="array" ref="E32">INDEX(FromSimSail!$B$1:$T$32,$B32,E$1)*SIN($A32)</f>
        <v>0.31430320157714381</v>
      </c>
      <c r="F32" s="4" cm="1">
        <f t="array" ref="F32">INDEX(FromSimSail!$B$1:$T$32,$B32,E$1)*COS($A32)</f>
        <v>-1.7825020329520966</v>
      </c>
      <c r="G32" s="4" cm="1">
        <f t="array" ref="G32">INDEX(FromSimSail!$B$1:$T$32,$B32,G$1)*SIN($A32)</f>
        <v>0.39244488152726237</v>
      </c>
      <c r="H32" s="4" cm="1">
        <f t="array" ref="H32">INDEX(FromSimSail!$B$1:$T$32,$B32,G$1)*COS($A32)</f>
        <v>-2.2256655218075898</v>
      </c>
      <c r="I32" s="4" cm="1">
        <f t="array" ref="I32">INDEX(FromSimSail!$B$1:$T$32,$B32,I$1)*SIN($A32)</f>
        <v>0.47232304325405039</v>
      </c>
      <c r="J32" s="4" cm="1">
        <f t="array" ref="J32">INDEX(FromSimSail!$B$1:$T$32,$B32,I$1)*COS($A32)</f>
        <v>-2.678677088193206</v>
      </c>
      <c r="K32" s="4" cm="1">
        <f t="array" ref="K32">INDEX(FromSimSail!$B$1:$T$32,$B32,K$1)*SIN($A32)</f>
        <v>0.54872824142749965</v>
      </c>
      <c r="L32" s="4" cm="1">
        <f t="array" ref="L32">INDEX(FromSimSail!$B$1:$T$32,$B32,K$1)*COS($A32)</f>
        <v>-3.1119924995185775</v>
      </c>
      <c r="M32" s="4" cm="1">
        <f t="array" ref="M32">INDEX(FromSimSail!$B$1:$T$32,$B32,M$1)*SIN($A32)</f>
        <v>0.62513343960094903</v>
      </c>
      <c r="N32" s="4" cm="1">
        <f t="array" ref="N32">INDEX(FromSimSail!$B$1:$T$32,$B32,M$1)*COS($A32)</f>
        <v>-3.5453079108439489</v>
      </c>
      <c r="O32" s="4" cm="1">
        <f t="array" ref="O32">INDEX(FromSimSail!$B$1:$T$32,$B32,O$1)*SIN($A32)</f>
        <v>0.69806567422105958</v>
      </c>
      <c r="P32" s="4" cm="1">
        <f t="array" ref="P32">INDEX(FromSimSail!$B$1:$T$32,$B32,O$1)*COS($A32)</f>
        <v>-3.958927167109076</v>
      </c>
      <c r="Q32" s="4" cm="1">
        <f t="array" ref="Q32">INDEX(FromSimSail!$B$1:$T$32,$B32,Q$1)*SIN($A32)</f>
        <v>0.76926142706450107</v>
      </c>
      <c r="R32" s="4" cm="1">
        <f t="array" ref="R32">INDEX(FromSimSail!$B$1:$T$32,$B32,Q$1)*COS($A32)</f>
        <v>-4.3626983458440813</v>
      </c>
      <c r="S32" s="4" cm="1">
        <f t="array" ref="S32">INDEX(FromSimSail!$B$1:$T$32,$B32,S$1)*SIN($A32)</f>
        <v>0.89602459676136026</v>
      </c>
      <c r="T32" s="4" cm="1">
        <f t="array" ref="T32">INDEX(FromSimSail!$B$1:$T$32,$B32,S$1)*COS($A32)</f>
        <v>-5.0816080055429937</v>
      </c>
      <c r="U32" s="4" cm="1">
        <f t="array" ref="U32">INDEX(FromSimSail!$B$1:$T$32,$B32,U$1)*SIN($A32)</f>
        <v>1.0106323940215343</v>
      </c>
      <c r="V32" s="4" cm="1">
        <f t="array" ref="V32">INDEX(FromSimSail!$B$1:$T$32,$B32,U$1)*COS($A32)</f>
        <v>-5.7315811225310513</v>
      </c>
      <c r="W32" s="4" cm="1">
        <f t="array" ref="W32">INDEX(FromSimSail!$B$1:$T$32,$B32,W$1)*SIN($A32)</f>
        <v>1.1148213006216923</v>
      </c>
      <c r="X32" s="4" cm="1">
        <f t="array" ref="X32">INDEX(FromSimSail!$B$1:$T$32,$B32,W$1)*COS($A32)</f>
        <v>-6.322465774338375</v>
      </c>
      <c r="Y32" s="4" cm="1">
        <f t="array" ref="Y32">INDEX(FromSimSail!$B$1:$T$32,$B32,Y$1)*SIN($A32)</f>
        <v>1.1981724259018189</v>
      </c>
      <c r="Z32" s="4" cm="1">
        <f t="array" ref="Z32">INDEX(FromSimSail!$B$1:$T$32,$B32,Y$1)*COS($A32)</f>
        <v>-6.795173495784236</v>
      </c>
      <c r="AA32" s="4" cm="1">
        <f t="array" ref="AA32">INDEX(FromSimSail!$B$1:$T$32,$B32,AA$1)*SIN($A32)</f>
        <v>1.2815235511819454</v>
      </c>
      <c r="AB32" s="4" cm="1">
        <f t="array" ref="AB32">INDEX(FromSimSail!$B$1:$T$32,$B32,AA$1)*COS($A32)</f>
        <v>-7.2678812172300953</v>
      </c>
      <c r="AC32" s="4" cm="1">
        <f t="array" ref="AC32">INDEX(FromSimSail!$B$1:$T$32,$B32,AC$1)*SIN($A32)</f>
        <v>1.3023613325019772</v>
      </c>
      <c r="AD32" s="4" cm="1">
        <f t="array" ref="AD32">INDEX(FromSimSail!$B$1:$T$32,$B32,AC$1)*COS($A32)</f>
        <v>-7.3860581475915605</v>
      </c>
      <c r="AE32" s="4" cm="1">
        <f t="array" ref="AE32">INDEX(FromSimSail!$B$1:$T$32,$B32,AE$1)*SIN($A32)</f>
        <v>1.3266720773753473</v>
      </c>
      <c r="AF32" s="4" cm="1">
        <f t="array" ref="AF32">INDEX(FromSimSail!$B$1:$T$32,$B32,AE$1)*COS($A32)</f>
        <v>-7.5239312330132693</v>
      </c>
      <c r="AG32" s="4" cm="1">
        <f t="array" ref="AG32">INDEX(FromSimSail!$B$1:$T$32,$B32,AG$1)*SIN($A32)</f>
        <v>1.3370909680353631</v>
      </c>
      <c r="AH32" s="4" cm="1">
        <f t="array" ref="AH32">INDEX(FromSimSail!$B$1:$T$32,$B32,AG$1)*COS($A32)</f>
        <v>-7.5830196981940023</v>
      </c>
      <c r="AI32" s="4" cm="1">
        <f t="array" ref="AI32">INDEX(FromSimSail!$B$1:$T$32,$B32,AI$1)*SIN($A32)</f>
        <v>1.3492463404720483</v>
      </c>
      <c r="AJ32" s="4" cm="1">
        <f t="array" ref="AJ32">INDEX(FromSimSail!$B$1:$T$32,$B32,AI$1)*COS($A32)</f>
        <v>-7.6519562409048563</v>
      </c>
      <c r="AK32" s="4" cm="1">
        <f t="array" ref="AK32">INDEX(FromSimSail!$B$1:$T$32,$B32,AK$1)*SIN($A32)</f>
        <v>1.3718206035687492</v>
      </c>
      <c r="AL32" s="4" cm="1">
        <f t="array" ref="AL32">INDEX(FromSimSail!$B$1:$T$32,$B32,AK$1)*COS($A32)</f>
        <v>-7.7799812487964441</v>
      </c>
      <c r="AM32" s="4" cm="1">
        <f t="array" ref="AM32">INDEX(FromSimSail!$B$1:$T$32,$B32,AM$1)*SIN($A32)</f>
        <v>1.39439486666545</v>
      </c>
      <c r="AN32" s="4" cm="1">
        <f t="array" ref="AN32">INDEX(FromSimSail!$B$1:$T$32,$B32,AM$1)*COS($A32)</f>
        <v>-7.9080062566880294</v>
      </c>
    </row>
    <row r="33" spans="1:40" x14ac:dyDescent="0.25">
      <c r="A33" s="4">
        <f>FromSimSail!A31*Info!$B$3</f>
        <v>3.0543261909900767</v>
      </c>
      <c r="B33" s="4">
        <f t="shared" si="17"/>
        <v>31</v>
      </c>
      <c r="C33" s="4" cm="1">
        <f t="array" ref="C33">INDEX(FromSimSail!$B$1:$T$32,$B33,C$1)*SIN($A33)</f>
        <v>7.7568611045415792E-2</v>
      </c>
      <c r="D33" s="4" cm="1">
        <f t="array" ref="D33">INDEX(FromSimSail!$B$1:$T$32,$B33,C$1)*COS($A33)</f>
        <v>-0.88661328130165351</v>
      </c>
      <c r="E33" s="4" cm="1">
        <f t="array" ref="E33">INDEX(FromSimSail!$B$1:$T$32,$B33,E$1)*SIN($A33)</f>
        <v>0.15600877951830816</v>
      </c>
      <c r="F33" s="4" cm="1">
        <f t="array" ref="F33">INDEX(FromSimSail!$B$1:$T$32,$B33,E$1)*COS($A33)</f>
        <v>-1.7831885095842246</v>
      </c>
      <c r="G33" s="4" cm="1">
        <f t="array" ref="G33">INDEX(FromSimSail!$B$1:$T$32,$B33,G$1)*SIN($A33)</f>
        <v>0.19522886375475437</v>
      </c>
      <c r="H33" s="4" cm="1">
        <f t="array" ref="H33">INDEX(FromSimSail!$B$1:$T$32,$B33,G$1)*COS($A33)</f>
        <v>-2.2314761237255101</v>
      </c>
      <c r="I33" s="4" cm="1">
        <f t="array" ref="I33">INDEX(FromSimSail!$B$1:$T$32,$B33,I$1)*SIN($A33)</f>
        <v>0.23444894799120053</v>
      </c>
      <c r="J33" s="4" cm="1">
        <f t="array" ref="J33">INDEX(FromSimSail!$B$1:$T$32,$B33,I$1)*COS($A33)</f>
        <v>-2.6797637378667956</v>
      </c>
      <c r="K33" s="4" cm="1">
        <f t="array" ref="K33">INDEX(FromSimSail!$B$1:$T$32,$B33,K$1)*SIN($A33)</f>
        <v>0.27279747480017014</v>
      </c>
      <c r="L33" s="4" cm="1">
        <f t="array" ref="L33">INDEX(FromSimSail!$B$1:$T$32,$B33,K$1)*COS($A33)</f>
        <v>-3.1180894050271633</v>
      </c>
      <c r="M33" s="4" cm="1">
        <f t="array" ref="M33">INDEX(FromSimSail!$B$1:$T$32,$B33,M$1)*SIN($A33)</f>
        <v>0.31114600160913974</v>
      </c>
      <c r="N33" s="4" cm="1">
        <f t="array" ref="N33">INDEX(FromSimSail!$B$1:$T$32,$B33,M$1)*COS($A33)</f>
        <v>-3.5564150721875314</v>
      </c>
      <c r="O33" s="4" cm="1">
        <f t="array" ref="O33">INDEX(FromSimSail!$B$1:$T$32,$B33,O$1)*SIN($A33)</f>
        <v>0.3477514135631562</v>
      </c>
      <c r="P33" s="4" cm="1">
        <f t="array" ref="P33">INDEX(FromSimSail!$B$1:$T$32,$B33,O$1)*COS($A33)</f>
        <v>-3.9748168453860648</v>
      </c>
      <c r="Q33" s="4" cm="1">
        <f t="array" ref="Q33">INDEX(FromSimSail!$B$1:$T$32,$B33,Q$1)*SIN($A33)</f>
        <v>0.38174215323474286</v>
      </c>
      <c r="R33" s="4" cm="1">
        <f t="array" ref="R33">INDEX(FromSimSail!$B$1:$T$32,$B33,Q$1)*COS($A33)</f>
        <v>-4.3633327776418458</v>
      </c>
      <c r="S33" s="4" cm="1">
        <f t="array" ref="S33">INDEX(FromSimSail!$B$1:$T$32,$B33,S$1)*SIN($A33)</f>
        <v>0.44710896029548652</v>
      </c>
      <c r="T33" s="4" cm="1">
        <f t="array" ref="T33">INDEX(FromSimSail!$B$1:$T$32,$B33,S$1)*COS($A33)</f>
        <v>-5.1104788012106548</v>
      </c>
      <c r="U33" s="4" cm="1">
        <f t="array" ref="U33">INDEX(FromSimSail!$B$1:$T$32,$B33,U$1)*SIN($A33)</f>
        <v>0.50376019308146436</v>
      </c>
      <c r="V33" s="4" cm="1">
        <f t="array" ref="V33">INDEX(FromSimSail!$B$1:$T$32,$B33,U$1)*COS($A33)</f>
        <v>-5.7580053549702894</v>
      </c>
      <c r="W33" s="4" cm="1">
        <f t="array" ref="W33">INDEX(FromSimSail!$B$1:$T$32,$B33,W$1)*SIN($A33)</f>
        <v>0.55605363873005931</v>
      </c>
      <c r="X33" s="4" cm="1">
        <f t="array" ref="X33">INDEX(FromSimSail!$B$1:$T$32,$B33,W$1)*COS($A33)</f>
        <v>-6.3557221738253364</v>
      </c>
      <c r="Y33" s="4" cm="1">
        <f t="array" ref="Y33">INDEX(FromSimSail!$B$1:$T$32,$B33,Y$1)*SIN($A33)</f>
        <v>0.5987599526764118</v>
      </c>
      <c r="Z33" s="4" cm="1">
        <f t="array" ref="Z33">INDEX(FromSimSail!$B$1:$T$32,$B33,Y$1)*COS($A33)</f>
        <v>-6.8438575758902918</v>
      </c>
      <c r="AA33" s="4" cm="1">
        <f t="array" ref="AA33">INDEX(FromSimSail!$B$1:$T$32,$B33,AA$1)*SIN($A33)</f>
        <v>0.64059470919528771</v>
      </c>
      <c r="AB33" s="4" cm="1">
        <f t="array" ref="AB33">INDEX(FromSimSail!$B$1:$T$32,$B33,AA$1)*COS($A33)</f>
        <v>-7.3220310309743297</v>
      </c>
      <c r="AC33" s="4" cm="1">
        <f t="array" ref="AC33">INDEX(FromSimSail!$B$1:$T$32,$B33,AC$1)*SIN($A33)</f>
        <v>0.6527965131799599</v>
      </c>
      <c r="AD33" s="4" cm="1">
        <f t="array" ref="AD33">INDEX(FromSimSail!$B$1:$T$32,$B33,AC$1)*COS($A33)</f>
        <v>-7.4614982887071744</v>
      </c>
      <c r="AE33" s="4" cm="1">
        <f t="array" ref="AE33">INDEX(FromSimSail!$B$1:$T$32,$B33,AE$1)*SIN($A33)</f>
        <v>0.66499831716463198</v>
      </c>
      <c r="AF33" s="4" cm="1">
        <f t="array" ref="AF33">INDEX(FromSimSail!$B$1:$T$32,$B33,AE$1)*COS($A33)</f>
        <v>-7.6009655464400181</v>
      </c>
      <c r="AG33" s="4" cm="1">
        <f t="array" ref="AG33">INDEX(FromSimSail!$B$1:$T$32,$B33,AG$1)*SIN($A33)</f>
        <v>0.67109921915696813</v>
      </c>
      <c r="AH33" s="4" cm="1">
        <f t="array" ref="AH33">INDEX(FromSimSail!$B$1:$T$32,$B33,AG$1)*COS($A33)</f>
        <v>-7.6706991753064413</v>
      </c>
      <c r="AI33" s="4" cm="1">
        <f t="array" ref="AI33">INDEX(FromSimSail!$B$1:$T$32,$B33,AI$1)*SIN($A33)</f>
        <v>0.67720012114930417</v>
      </c>
      <c r="AJ33" s="4" cm="1">
        <f t="array" ref="AJ33">INDEX(FromSimSail!$B$1:$T$32,$B33,AI$1)*COS($A33)</f>
        <v>-7.7404328041728627</v>
      </c>
      <c r="AK33" s="4" cm="1">
        <f t="array" ref="AK33">INDEX(FromSimSail!$B$1:$T$32,$B33,AK$1)*SIN($A33)</f>
        <v>0.68940192513397636</v>
      </c>
      <c r="AL33" s="4" cm="1">
        <f t="array" ref="AL33">INDEX(FromSimSail!$B$1:$T$32,$B33,AK$1)*COS($A33)</f>
        <v>-7.8799000619057074</v>
      </c>
      <c r="AM33" s="4" cm="1">
        <f t="array" ref="AM33">INDEX(FromSimSail!$B$1:$T$32,$B33,AM$1)*SIN($A33)</f>
        <v>0.70160372911864854</v>
      </c>
      <c r="AN33" s="4" cm="1">
        <f t="array" ref="AN33">INDEX(FromSimSail!$B$1:$T$32,$B33,AM$1)*COS($A33)</f>
        <v>-8.0193673196385529</v>
      </c>
    </row>
    <row r="34" spans="1:40" x14ac:dyDescent="0.25">
      <c r="A34" s="4">
        <f>FromSimSail!A32*Info!$B$3</f>
        <v>3.1415926535897931</v>
      </c>
      <c r="B34" s="4">
        <f t="shared" si="17"/>
        <v>32</v>
      </c>
      <c r="C34" s="4" cm="1">
        <f t="array" ref="C34">INDEX(FromSimSail!$B$1:$T$32,$B34,C$1)*SIN($A34)</f>
        <v>1.0781306403195856E-16</v>
      </c>
      <c r="D34" s="4" cm="1">
        <f t="array" ref="D34">INDEX(FromSimSail!$B$1:$T$32,$B34,C$1)*COS($A34)</f>
        <v>-0.88</v>
      </c>
      <c r="E34" s="4" cm="1">
        <f t="array" ref="E34">INDEX(FromSimSail!$B$1:$T$32,$B34,E$1)*SIN($A34)</f>
        <v>2.1807642497373437E-16</v>
      </c>
      <c r="F34" s="4" cm="1">
        <f t="array" ref="F34">INDEX(FromSimSail!$B$1:$T$32,$B34,E$1)*COS($A34)</f>
        <v>-1.78</v>
      </c>
      <c r="G34" s="4" cm="1">
        <f t="array" ref="G34">INDEX(FromSimSail!$B$1:$T$32,$B34,G$1)*SIN($A34)</f>
        <v>2.7320810544462227E-16</v>
      </c>
      <c r="H34" s="4" cm="1">
        <f t="array" ref="H34">INDEX(FromSimSail!$B$1:$T$32,$B34,G$1)*COS($A34)</f>
        <v>-2.23</v>
      </c>
      <c r="I34" s="4" cm="1">
        <f t="array" ref="I34">INDEX(FromSimSail!$B$1:$T$32,$B34,I$1)*SIN($A34)</f>
        <v>3.2711463746060153E-16</v>
      </c>
      <c r="J34" s="4" cm="1">
        <f t="array" ref="J34">INDEX(FromSimSail!$B$1:$T$32,$B34,I$1)*COS($A34)</f>
        <v>-2.67</v>
      </c>
      <c r="K34" s="4" cm="1">
        <f t="array" ref="K34">INDEX(FromSimSail!$B$1:$T$32,$B34,K$1)*SIN($A34)</f>
        <v>3.8102116947658079E-16</v>
      </c>
      <c r="L34" s="4" cm="1">
        <f t="array" ref="L34">INDEX(FromSimSail!$B$1:$T$32,$B34,K$1)*COS($A34)</f>
        <v>-3.11</v>
      </c>
      <c r="M34" s="4" cm="1">
        <f t="array" ref="M34">INDEX(FromSimSail!$B$1:$T$32,$B34,M$1)*SIN($A34)</f>
        <v>4.3370255303765146E-16</v>
      </c>
      <c r="N34" s="4" cm="1">
        <f t="array" ref="N34">INDEX(FromSimSail!$B$1:$T$32,$B34,M$1)*COS($A34)</f>
        <v>-3.54</v>
      </c>
      <c r="O34" s="4" cm="1">
        <f t="array" ref="O34">INDEX(FromSimSail!$B$1:$T$32,$B34,O$1)*SIN($A34)</f>
        <v>4.8515878814381354E-16</v>
      </c>
      <c r="P34" s="4" cm="1">
        <f t="array" ref="P34">INDEX(FromSimSail!$B$1:$T$32,$B34,O$1)*COS($A34)</f>
        <v>-3.96</v>
      </c>
      <c r="Q34" s="4" cm="1">
        <f t="array" ref="Q34">INDEX(FromSimSail!$B$1:$T$32,$B34,Q$1)*SIN($A34)</f>
        <v>5.3416472634015834E-16</v>
      </c>
      <c r="R34" s="4" cm="1">
        <f t="array" ref="R34">INDEX(FromSimSail!$B$1:$T$32,$B34,Q$1)*COS($A34)</f>
        <v>-4.3600000000000003</v>
      </c>
      <c r="S34" s="4" cm="1">
        <f t="array" ref="S34">INDEX(FromSimSail!$B$1:$T$32,$B34,S$1)*SIN($A34)</f>
        <v>6.2482571200339621E-16</v>
      </c>
      <c r="T34" s="4" cm="1">
        <f t="array" ref="T34">INDEX(FromSimSail!$B$1:$T$32,$B34,S$1)*COS($A34)</f>
        <v>-5.0999999999999996</v>
      </c>
      <c r="U34" s="4" cm="1">
        <f t="array" ref="U34">INDEX(FromSimSail!$B$1:$T$32,$B34,U$1)*SIN($A34)</f>
        <v>7.0446036157245651E-16</v>
      </c>
      <c r="V34" s="4" cm="1">
        <f t="array" ref="V34">INDEX(FromSimSail!$B$1:$T$32,$B34,U$1)*COS($A34)</f>
        <v>-5.75</v>
      </c>
      <c r="W34" s="4" cm="1">
        <f t="array" ref="W34">INDEX(FromSimSail!$B$1:$T$32,$B34,W$1)*SIN($A34)</f>
        <v>7.7796926886697371E-16</v>
      </c>
      <c r="X34" s="4" cm="1">
        <f t="array" ref="X34">INDEX(FromSimSail!$B$1:$T$32,$B34,W$1)*COS($A34)</f>
        <v>-6.35</v>
      </c>
      <c r="Y34" s="4" cm="1">
        <f t="array" ref="Y34">INDEX(FromSimSail!$B$1:$T$32,$B34,Y$1)*SIN($A34)</f>
        <v>8.3800154315749607E-16</v>
      </c>
      <c r="Z34" s="4" cm="1">
        <f t="array" ref="Z34">INDEX(FromSimSail!$B$1:$T$32,$B34,Y$1)*COS($A34)</f>
        <v>-6.84</v>
      </c>
      <c r="AA34" s="4" cm="1">
        <f t="array" ref="AA34">INDEX(FromSimSail!$B$1:$T$32,$B34,AA$1)*SIN($A34)</f>
        <v>8.9803381744801843E-16</v>
      </c>
      <c r="AB34" s="4" cm="1">
        <f t="array" ref="AB34">INDEX(FromSimSail!$B$1:$T$32,$B34,AA$1)*COS($A34)</f>
        <v>-7.33</v>
      </c>
      <c r="AC34" s="4" cm="1">
        <f t="array" ref="AC34">INDEX(FromSimSail!$B$1:$T$32,$B34,AC$1)*SIN($A34)</f>
        <v>9.1641104427164773E-16</v>
      </c>
      <c r="AD34" s="4" cm="1">
        <f t="array" ref="AD34">INDEX(FromSimSail!$B$1:$T$32,$B34,AC$1)*COS($A34)</f>
        <v>-7.48</v>
      </c>
      <c r="AE34" s="4" cm="1">
        <f t="array" ref="AE34">INDEX(FromSimSail!$B$1:$T$32,$B34,AE$1)*SIN($A34)</f>
        <v>9.3356312264036849E-16</v>
      </c>
      <c r="AF34" s="4" cm="1">
        <f t="array" ref="AF34">INDEX(FromSimSail!$B$1:$T$32,$B34,AE$1)*COS($A34)</f>
        <v>-7.62</v>
      </c>
      <c r="AG34" s="4" cm="1">
        <f t="array" ref="AG34">INDEX(FromSimSail!$B$1:$T$32,$B34,AG$1)*SIN($A34)</f>
        <v>9.4336431027963741E-16</v>
      </c>
      <c r="AH34" s="4" cm="1">
        <f t="array" ref="AH34">INDEX(FromSimSail!$B$1:$T$32,$B34,AG$1)*COS($A34)</f>
        <v>-7.7</v>
      </c>
      <c r="AI34" s="4" cm="1">
        <f t="array" ref="AI34">INDEX(FromSimSail!$B$1:$T$32,$B34,AI$1)*SIN($A34)</f>
        <v>9.5194034946399779E-16</v>
      </c>
      <c r="AJ34" s="4" cm="1">
        <f t="array" ref="AJ34">INDEX(FromSimSail!$B$1:$T$32,$B34,AI$1)*COS($A34)</f>
        <v>-7.77</v>
      </c>
      <c r="AK34" s="4" cm="1">
        <f t="array" ref="AK34">INDEX(FromSimSail!$B$1:$T$32,$B34,AK$1)*SIN($A34)</f>
        <v>9.7031757628762709E-16</v>
      </c>
      <c r="AL34" s="4" cm="1">
        <f t="array" ref="AL34">INDEX(FromSimSail!$B$1:$T$32,$B34,AK$1)*COS($A34)</f>
        <v>-7.92</v>
      </c>
      <c r="AM34" s="4" cm="1">
        <f t="array" ref="AM34">INDEX(FromSimSail!$B$1:$T$32,$B34,AM$1)*SIN($A34)</f>
        <v>9.8746965465634785E-16</v>
      </c>
      <c r="AN34" s="4" cm="1">
        <f t="array" ref="AN34">INDEX(FromSimSail!$B$1:$T$32,$B34,AM$1)*COS($A34)</f>
        <v>-8.06</v>
      </c>
    </row>
    <row r="35" spans="1:40" x14ac:dyDescent="0.25">
      <c r="A35" s="4"/>
    </row>
    <row r="37" spans="1:40" x14ac:dyDescent="0.25">
      <c r="C37" s="2">
        <v>1</v>
      </c>
      <c r="D37" s="2"/>
      <c r="E37" s="2">
        <f>C37+1</f>
        <v>2</v>
      </c>
      <c r="F37" s="2"/>
      <c r="G37" s="2">
        <f>E37+1</f>
        <v>3</v>
      </c>
      <c r="H37" s="2"/>
      <c r="I37" s="2">
        <f>G37+1</f>
        <v>4</v>
      </c>
      <c r="J37" s="2"/>
      <c r="K37" s="2">
        <f>I37+1</f>
        <v>5</v>
      </c>
      <c r="L37" s="2"/>
      <c r="M37" s="2">
        <f>K37+1</f>
        <v>6</v>
      </c>
      <c r="N37" s="2"/>
      <c r="O37" s="2">
        <f>M37+1</f>
        <v>7</v>
      </c>
      <c r="P37" s="2"/>
      <c r="Q37" s="2">
        <f>O37+1</f>
        <v>8</v>
      </c>
      <c r="R37" s="2"/>
      <c r="S37" s="2">
        <f>Q37+1</f>
        <v>9</v>
      </c>
      <c r="T37" s="2"/>
    </row>
    <row r="38" spans="1:40" x14ac:dyDescent="0.25">
      <c r="C38" t="s">
        <v>36</v>
      </c>
      <c r="D38" t="s">
        <v>37</v>
      </c>
      <c r="E38" s="4" t="s">
        <v>36</v>
      </c>
      <c r="F38" s="4" t="s">
        <v>37</v>
      </c>
      <c r="G38" s="4" t="s">
        <v>36</v>
      </c>
      <c r="H38" s="4" t="s">
        <v>37</v>
      </c>
      <c r="I38" s="4" t="s">
        <v>36</v>
      </c>
      <c r="J38" s="4" t="s">
        <v>37</v>
      </c>
      <c r="K38" s="4" t="s">
        <v>36</v>
      </c>
      <c r="L38" s="4" t="s">
        <v>37</v>
      </c>
      <c r="M38" s="4" t="s">
        <v>36</v>
      </c>
      <c r="N38" s="4" t="s">
        <v>37</v>
      </c>
      <c r="O38" s="4" t="s">
        <v>36</v>
      </c>
      <c r="P38" s="4" t="s">
        <v>37</v>
      </c>
      <c r="Q38" s="4" t="s">
        <v>36</v>
      </c>
      <c r="R38" s="4" t="s">
        <v>37</v>
      </c>
      <c r="S38" s="4" t="s">
        <v>36</v>
      </c>
      <c r="T38" s="4" t="s">
        <v>37</v>
      </c>
    </row>
    <row r="39" spans="1:40" x14ac:dyDescent="0.25">
      <c r="A39">
        <v>0</v>
      </c>
      <c r="B39" s="4">
        <f>A39*Info!$B$3</f>
        <v>0</v>
      </c>
      <c r="C39">
        <f>SIN($B39)*C$37</f>
        <v>0</v>
      </c>
      <c r="D39" s="4">
        <f>COS($B39)*C$37</f>
        <v>1</v>
      </c>
      <c r="E39" s="4">
        <f t="shared" ref="E39:T54" si="18">SIN($B39)*E$37</f>
        <v>0</v>
      </c>
      <c r="F39" s="4">
        <f t="shared" ref="F39:T39" si="19">COS($B39)*E$37</f>
        <v>2</v>
      </c>
      <c r="G39" s="4">
        <f t="shared" ref="G39:T54" si="20">SIN($B39)*G$37</f>
        <v>0</v>
      </c>
      <c r="H39" s="4">
        <f t="shared" ref="H39:T39" si="21">COS($B39)*G$37</f>
        <v>3</v>
      </c>
      <c r="I39" s="4">
        <f t="shared" ref="I39:T54" si="22">SIN($B39)*I$37</f>
        <v>0</v>
      </c>
      <c r="J39" s="4">
        <f t="shared" ref="J39:T39" si="23">COS($B39)*I$37</f>
        <v>4</v>
      </c>
      <c r="K39" s="4">
        <f t="shared" ref="K39:T54" si="24">SIN($B39)*K$37</f>
        <v>0</v>
      </c>
      <c r="L39" s="4">
        <f t="shared" ref="L39:T39" si="25">COS($B39)*K$37</f>
        <v>5</v>
      </c>
      <c r="M39" s="4">
        <f t="shared" ref="M39:T54" si="26">SIN($B39)*M$37</f>
        <v>0</v>
      </c>
      <c r="N39" s="4">
        <f t="shared" ref="N39:T39" si="27">COS($B39)*M$37</f>
        <v>6</v>
      </c>
      <c r="O39" s="4">
        <f t="shared" ref="O39:T54" si="28">SIN($B39)*O$37</f>
        <v>0</v>
      </c>
      <c r="P39" s="4">
        <f t="shared" ref="P39:T39" si="29">COS($B39)*O$37</f>
        <v>7</v>
      </c>
      <c r="Q39" s="4">
        <f t="shared" ref="Q39:T54" si="30">SIN($B39)*Q$37</f>
        <v>0</v>
      </c>
      <c r="R39" s="4">
        <f t="shared" ref="R39:T39" si="31">COS($B39)*Q$37</f>
        <v>8</v>
      </c>
      <c r="S39" s="4">
        <f t="shared" ref="S39:T54" si="32">SIN($B39)*S$37</f>
        <v>0</v>
      </c>
      <c r="T39" s="4">
        <f t="shared" ref="T39:T75" si="33">COS($B39)*S$37</f>
        <v>9</v>
      </c>
    </row>
    <row r="40" spans="1:40" x14ac:dyDescent="0.25">
      <c r="A40">
        <f>A39+5</f>
        <v>5</v>
      </c>
      <c r="B40" s="4">
        <f>A40*Info!$B$3</f>
        <v>8.7266462599716474E-2</v>
      </c>
      <c r="C40" s="4">
        <f t="shared" ref="C40:C75" si="34">SIN($B40)*C$37</f>
        <v>8.7155742747658166E-2</v>
      </c>
      <c r="D40" s="4">
        <f t="shared" ref="D40:D75" si="35">COS($B40)*C$37</f>
        <v>0.99619469809174555</v>
      </c>
      <c r="E40" s="4">
        <f t="shared" si="18"/>
        <v>0.17431148549531633</v>
      </c>
      <c r="F40" s="4">
        <f t="shared" ref="F40:T40" si="36">COS($B40)*E$37</f>
        <v>1.9923893961834911</v>
      </c>
      <c r="G40" s="4">
        <f t="shared" si="20"/>
        <v>0.26146722824297453</v>
      </c>
      <c r="H40" s="4">
        <f t="shared" ref="H40:T40" si="37">COS($B40)*G$37</f>
        <v>2.9885840942752369</v>
      </c>
      <c r="I40" s="4">
        <f t="shared" si="22"/>
        <v>0.34862297099063266</v>
      </c>
      <c r="J40" s="4">
        <f t="shared" ref="J40:T40" si="38">COS($B40)*I$37</f>
        <v>3.9847787923669822</v>
      </c>
      <c r="K40" s="4">
        <f t="shared" si="24"/>
        <v>0.4357787137382908</v>
      </c>
      <c r="L40" s="4">
        <f t="shared" ref="L40:T40" si="39">COS($B40)*K$37</f>
        <v>4.9809734904587275</v>
      </c>
      <c r="M40" s="4">
        <f t="shared" si="26"/>
        <v>0.52293445648594905</v>
      </c>
      <c r="N40" s="4">
        <f t="shared" ref="N40:T40" si="40">COS($B40)*M$37</f>
        <v>5.9771681885504737</v>
      </c>
      <c r="O40" s="4">
        <f t="shared" si="28"/>
        <v>0.61009019923360719</v>
      </c>
      <c r="P40" s="4">
        <f t="shared" ref="P40:T40" si="41">COS($B40)*O$37</f>
        <v>6.973362886642219</v>
      </c>
      <c r="Q40" s="4">
        <f t="shared" si="30"/>
        <v>0.69724594198126533</v>
      </c>
      <c r="R40" s="4">
        <f t="shared" ref="R40:T40" si="42">COS($B40)*Q$37</f>
        <v>7.9695575847339644</v>
      </c>
      <c r="S40" s="4">
        <f t="shared" si="32"/>
        <v>0.78440168472892347</v>
      </c>
      <c r="T40" s="4">
        <f t="shared" si="33"/>
        <v>8.9657522828257097</v>
      </c>
    </row>
    <row r="41" spans="1:40" x14ac:dyDescent="0.25">
      <c r="A41" s="4">
        <f t="shared" ref="A41:A75" si="43">A40+5</f>
        <v>10</v>
      </c>
      <c r="B41" s="4">
        <f>A41*Info!$B$3</f>
        <v>0.17453292519943295</v>
      </c>
      <c r="C41" s="4">
        <f t="shared" si="34"/>
        <v>0.17364817766693033</v>
      </c>
      <c r="D41" s="4">
        <f t="shared" si="35"/>
        <v>0.98480775301220802</v>
      </c>
      <c r="E41" s="4">
        <f t="shared" si="18"/>
        <v>0.34729635533386066</v>
      </c>
      <c r="F41" s="4">
        <f t="shared" ref="F41:T41" si="44">COS($B41)*E$37</f>
        <v>1.969615506024416</v>
      </c>
      <c r="G41" s="4">
        <f t="shared" si="20"/>
        <v>0.52094453300079102</v>
      </c>
      <c r="H41" s="4">
        <f t="shared" ref="H41:T41" si="45">COS($B41)*G$37</f>
        <v>2.9544232590366239</v>
      </c>
      <c r="I41" s="4">
        <f t="shared" si="22"/>
        <v>0.69459271066772132</v>
      </c>
      <c r="J41" s="4">
        <f t="shared" ref="J41:T41" si="46">COS($B41)*I$37</f>
        <v>3.9392310120488321</v>
      </c>
      <c r="K41" s="4">
        <f t="shared" si="24"/>
        <v>0.86824088833465163</v>
      </c>
      <c r="L41" s="4">
        <f t="shared" ref="L41:T41" si="47">COS($B41)*K$37</f>
        <v>4.9240387650610398</v>
      </c>
      <c r="M41" s="4">
        <f t="shared" si="26"/>
        <v>1.041889066001582</v>
      </c>
      <c r="N41" s="4">
        <f t="shared" ref="N41:T41" si="48">COS($B41)*M$37</f>
        <v>5.9088465180732479</v>
      </c>
      <c r="O41" s="4">
        <f t="shared" si="28"/>
        <v>1.2155372436685123</v>
      </c>
      <c r="P41" s="4">
        <f t="shared" ref="P41:T41" si="49">COS($B41)*O$37</f>
        <v>6.893654271085456</v>
      </c>
      <c r="Q41" s="4">
        <f t="shared" si="30"/>
        <v>1.3891854213354426</v>
      </c>
      <c r="R41" s="4">
        <f t="shared" ref="R41:T41" si="50">COS($B41)*Q$37</f>
        <v>7.8784620240976642</v>
      </c>
      <c r="S41" s="4">
        <f t="shared" si="32"/>
        <v>1.562833599002373</v>
      </c>
      <c r="T41" s="4">
        <f t="shared" si="33"/>
        <v>8.8632697771098723</v>
      </c>
    </row>
    <row r="42" spans="1:40" x14ac:dyDescent="0.25">
      <c r="A42" s="4">
        <f t="shared" si="43"/>
        <v>15</v>
      </c>
      <c r="B42" s="4">
        <f>A42*Info!$B$3</f>
        <v>0.26179938779914941</v>
      </c>
      <c r="C42" s="4">
        <f t="shared" si="34"/>
        <v>0.25881904510252074</v>
      </c>
      <c r="D42" s="4">
        <f t="shared" si="35"/>
        <v>0.96592582628906831</v>
      </c>
      <c r="E42" s="4">
        <f t="shared" si="18"/>
        <v>0.51763809020504148</v>
      </c>
      <c r="F42" s="4">
        <f t="shared" ref="F42:T42" si="51">COS($B42)*E$37</f>
        <v>1.9318516525781366</v>
      </c>
      <c r="G42" s="4">
        <f t="shared" si="20"/>
        <v>0.77645713530756222</v>
      </c>
      <c r="H42" s="4">
        <f t="shared" ref="H42:T42" si="52">COS($B42)*G$37</f>
        <v>2.897777478867205</v>
      </c>
      <c r="I42" s="4">
        <f t="shared" si="22"/>
        <v>1.035276180410083</v>
      </c>
      <c r="J42" s="4">
        <f t="shared" ref="J42:T42" si="53">COS($B42)*I$37</f>
        <v>3.8637033051562732</v>
      </c>
      <c r="K42" s="4">
        <f t="shared" si="24"/>
        <v>1.2940952255126037</v>
      </c>
      <c r="L42" s="4">
        <f t="shared" ref="L42:T42" si="54">COS($B42)*K$37</f>
        <v>4.8296291314453415</v>
      </c>
      <c r="M42" s="4">
        <f t="shared" si="26"/>
        <v>1.5529142706151244</v>
      </c>
      <c r="N42" s="4">
        <f t="shared" ref="N42:T42" si="55">COS($B42)*M$37</f>
        <v>5.7955549577344101</v>
      </c>
      <c r="O42" s="4">
        <f t="shared" si="28"/>
        <v>1.8117333157176452</v>
      </c>
      <c r="P42" s="4">
        <f t="shared" ref="P42:T42" si="56">COS($B42)*O$37</f>
        <v>6.7614807840234779</v>
      </c>
      <c r="Q42" s="4">
        <f t="shared" si="30"/>
        <v>2.0705523608201659</v>
      </c>
      <c r="R42" s="4">
        <f t="shared" ref="R42:T42" si="57">COS($B42)*Q$37</f>
        <v>7.7274066103125465</v>
      </c>
      <c r="S42" s="4">
        <f t="shared" si="32"/>
        <v>2.3293714059226867</v>
      </c>
      <c r="T42" s="4">
        <f t="shared" si="33"/>
        <v>8.6933324366016151</v>
      </c>
    </row>
    <row r="43" spans="1:40" x14ac:dyDescent="0.25">
      <c r="A43" s="4">
        <f t="shared" si="43"/>
        <v>20</v>
      </c>
      <c r="B43" s="4">
        <f>A43*Info!$B$3</f>
        <v>0.3490658503988659</v>
      </c>
      <c r="C43" s="4">
        <f t="shared" si="34"/>
        <v>0.34202014332566871</v>
      </c>
      <c r="D43" s="4">
        <f t="shared" si="35"/>
        <v>0.93969262078590843</v>
      </c>
      <c r="E43" s="4">
        <f t="shared" si="18"/>
        <v>0.68404028665133743</v>
      </c>
      <c r="F43" s="4">
        <f t="shared" ref="F43:T43" si="58">COS($B43)*E$37</f>
        <v>1.8793852415718169</v>
      </c>
      <c r="G43" s="4">
        <f t="shared" si="20"/>
        <v>1.0260604299770062</v>
      </c>
      <c r="H43" s="4">
        <f t="shared" ref="H43:T43" si="59">COS($B43)*G$37</f>
        <v>2.8190778623577253</v>
      </c>
      <c r="I43" s="4">
        <f t="shared" si="22"/>
        <v>1.3680805733026749</v>
      </c>
      <c r="J43" s="4">
        <f t="shared" ref="J43:T43" si="60">COS($B43)*I$37</f>
        <v>3.7587704831436337</v>
      </c>
      <c r="K43" s="4">
        <f t="shared" si="24"/>
        <v>1.7101007166283435</v>
      </c>
      <c r="L43" s="4">
        <f t="shared" ref="L43:T43" si="61">COS($B43)*K$37</f>
        <v>4.6984631039295426</v>
      </c>
      <c r="M43" s="4">
        <f t="shared" si="26"/>
        <v>2.0521208599540124</v>
      </c>
      <c r="N43" s="4">
        <f t="shared" ref="N43:T43" si="62">COS($B43)*M$37</f>
        <v>5.6381557247154506</v>
      </c>
      <c r="O43" s="4">
        <f t="shared" si="28"/>
        <v>2.3941410032796808</v>
      </c>
      <c r="P43" s="4">
        <f t="shared" ref="P43:T43" si="63">COS($B43)*O$37</f>
        <v>6.5778483455013586</v>
      </c>
      <c r="Q43" s="4">
        <f t="shared" si="30"/>
        <v>2.7361611466053497</v>
      </c>
      <c r="R43" s="4">
        <f t="shared" ref="R43:T43" si="64">COS($B43)*Q$37</f>
        <v>7.5175409662872674</v>
      </c>
      <c r="S43" s="4">
        <f t="shared" si="32"/>
        <v>3.0781812899310186</v>
      </c>
      <c r="T43" s="4">
        <f t="shared" si="33"/>
        <v>8.4572335870731763</v>
      </c>
    </row>
    <row r="44" spans="1:40" x14ac:dyDescent="0.25">
      <c r="A44" s="4">
        <f t="shared" si="43"/>
        <v>25</v>
      </c>
      <c r="B44" s="4">
        <f>A44*Info!$B$3</f>
        <v>0.43633231299858238</v>
      </c>
      <c r="C44" s="4">
        <f t="shared" si="34"/>
        <v>0.42261826174069944</v>
      </c>
      <c r="D44" s="4">
        <f t="shared" si="35"/>
        <v>0.90630778703664994</v>
      </c>
      <c r="E44" s="4">
        <f t="shared" si="18"/>
        <v>0.84523652348139888</v>
      </c>
      <c r="F44" s="4">
        <f t="shared" ref="F44:T44" si="65">COS($B44)*E$37</f>
        <v>1.8126155740732999</v>
      </c>
      <c r="G44" s="4">
        <f t="shared" si="20"/>
        <v>1.2678547852220983</v>
      </c>
      <c r="H44" s="4">
        <f t="shared" ref="H44:T44" si="66">COS($B44)*G$37</f>
        <v>2.7189233611099497</v>
      </c>
      <c r="I44" s="4">
        <f t="shared" si="22"/>
        <v>1.6904730469627978</v>
      </c>
      <c r="J44" s="4">
        <f t="shared" ref="J44:T44" si="67">COS($B44)*I$37</f>
        <v>3.6252311481465997</v>
      </c>
      <c r="K44" s="4">
        <f t="shared" si="24"/>
        <v>2.1130913087034973</v>
      </c>
      <c r="L44" s="4">
        <f t="shared" ref="L44:T44" si="68">COS($B44)*K$37</f>
        <v>4.5315389351832494</v>
      </c>
      <c r="M44" s="4">
        <f t="shared" si="26"/>
        <v>2.5357095704441965</v>
      </c>
      <c r="N44" s="4">
        <f t="shared" ref="N44:T44" si="69">COS($B44)*M$37</f>
        <v>5.4378467222198994</v>
      </c>
      <c r="O44" s="4">
        <f t="shared" si="28"/>
        <v>2.9583278321848963</v>
      </c>
      <c r="P44" s="4">
        <f t="shared" ref="P44:T44" si="70">COS($B44)*O$37</f>
        <v>6.3441545092565494</v>
      </c>
      <c r="Q44" s="4">
        <f t="shared" si="30"/>
        <v>3.3809460939255955</v>
      </c>
      <c r="R44" s="4">
        <f t="shared" ref="R44:T44" si="71">COS($B44)*Q$37</f>
        <v>7.2504622962931995</v>
      </c>
      <c r="S44" s="4">
        <f t="shared" si="32"/>
        <v>3.8035643556662948</v>
      </c>
      <c r="T44" s="4">
        <f t="shared" si="33"/>
        <v>8.1567700833298495</v>
      </c>
    </row>
    <row r="45" spans="1:40" x14ac:dyDescent="0.25">
      <c r="A45" s="4">
        <f t="shared" si="43"/>
        <v>30</v>
      </c>
      <c r="B45" s="4">
        <f>A45*Info!$B$3</f>
        <v>0.52359877559829882</v>
      </c>
      <c r="C45" s="4">
        <f t="shared" si="34"/>
        <v>0.49999999999999994</v>
      </c>
      <c r="D45" s="4">
        <f t="shared" si="35"/>
        <v>0.86602540378443871</v>
      </c>
      <c r="E45" s="4">
        <f t="shared" si="18"/>
        <v>0.99999999999999989</v>
      </c>
      <c r="F45" s="4">
        <f t="shared" ref="F45:T45" si="72">COS($B45)*E$37</f>
        <v>1.7320508075688774</v>
      </c>
      <c r="G45" s="4">
        <f t="shared" si="20"/>
        <v>1.4999999999999998</v>
      </c>
      <c r="H45" s="4">
        <f t="shared" ref="H45:T45" si="73">COS($B45)*G$37</f>
        <v>2.598076211353316</v>
      </c>
      <c r="I45" s="4">
        <f t="shared" si="22"/>
        <v>1.9999999999999998</v>
      </c>
      <c r="J45" s="4">
        <f t="shared" ref="J45:T45" si="74">COS($B45)*I$37</f>
        <v>3.4641016151377548</v>
      </c>
      <c r="K45" s="4">
        <f t="shared" si="24"/>
        <v>2.4999999999999996</v>
      </c>
      <c r="L45" s="4">
        <f t="shared" ref="L45:T45" si="75">COS($B45)*K$37</f>
        <v>4.3301270189221936</v>
      </c>
      <c r="M45" s="4">
        <f t="shared" si="26"/>
        <v>2.9999999999999996</v>
      </c>
      <c r="N45" s="4">
        <f t="shared" ref="N45:T45" si="76">COS($B45)*M$37</f>
        <v>5.196152422706632</v>
      </c>
      <c r="O45" s="4">
        <f t="shared" si="28"/>
        <v>3.4999999999999996</v>
      </c>
      <c r="P45" s="4">
        <f t="shared" ref="P45:T45" si="77">COS($B45)*O$37</f>
        <v>6.0621778264910713</v>
      </c>
      <c r="Q45" s="4">
        <f t="shared" si="30"/>
        <v>3.9999999999999996</v>
      </c>
      <c r="R45" s="4">
        <f t="shared" ref="R45:T45" si="78">COS($B45)*Q$37</f>
        <v>6.9282032302755097</v>
      </c>
      <c r="S45" s="4">
        <f t="shared" si="32"/>
        <v>4.4999999999999991</v>
      </c>
      <c r="T45" s="4">
        <f t="shared" si="33"/>
        <v>7.794228634059948</v>
      </c>
    </row>
    <row r="46" spans="1:40" x14ac:dyDescent="0.25">
      <c r="A46" s="4">
        <f t="shared" si="43"/>
        <v>35</v>
      </c>
      <c r="B46" s="4">
        <f>A46*Info!$B$3</f>
        <v>0.6108652381980153</v>
      </c>
      <c r="C46" s="4">
        <f t="shared" si="34"/>
        <v>0.57357643635104605</v>
      </c>
      <c r="D46" s="4">
        <f t="shared" si="35"/>
        <v>0.8191520442889918</v>
      </c>
      <c r="E46" s="4">
        <f t="shared" si="18"/>
        <v>1.1471528727020921</v>
      </c>
      <c r="F46" s="4">
        <f t="shared" ref="F46:T46" si="79">COS($B46)*E$37</f>
        <v>1.6383040885779836</v>
      </c>
      <c r="G46" s="4">
        <f t="shared" si="20"/>
        <v>1.7207293090531381</v>
      </c>
      <c r="H46" s="4">
        <f t="shared" ref="H46:T46" si="80">COS($B46)*G$37</f>
        <v>2.4574561328669753</v>
      </c>
      <c r="I46" s="4">
        <f t="shared" si="22"/>
        <v>2.2943057454041842</v>
      </c>
      <c r="J46" s="4">
        <f t="shared" ref="J46:T46" si="81">COS($B46)*I$37</f>
        <v>3.2766081771559672</v>
      </c>
      <c r="K46" s="4">
        <f t="shared" si="24"/>
        <v>2.8678821817552302</v>
      </c>
      <c r="L46" s="4">
        <f t="shared" ref="L46:T46" si="82">COS($B46)*K$37</f>
        <v>4.0957602214449587</v>
      </c>
      <c r="M46" s="4">
        <f t="shared" si="26"/>
        <v>3.4414586181062763</v>
      </c>
      <c r="N46" s="4">
        <f t="shared" ref="N46:T46" si="83">COS($B46)*M$37</f>
        <v>4.9149122657339506</v>
      </c>
      <c r="O46" s="4">
        <f t="shared" si="28"/>
        <v>4.0150350544573223</v>
      </c>
      <c r="P46" s="4">
        <f t="shared" ref="P46:T46" si="84">COS($B46)*O$37</f>
        <v>5.7340643100229425</v>
      </c>
      <c r="Q46" s="4">
        <f t="shared" si="30"/>
        <v>4.5886114908083684</v>
      </c>
      <c r="R46" s="4">
        <f t="shared" ref="R46:T46" si="85">COS($B46)*Q$37</f>
        <v>6.5532163543119344</v>
      </c>
      <c r="S46" s="4">
        <f t="shared" si="32"/>
        <v>5.1621879271594144</v>
      </c>
      <c r="T46" s="4">
        <f t="shared" si="33"/>
        <v>7.3723683986009263</v>
      </c>
    </row>
    <row r="47" spans="1:40" x14ac:dyDescent="0.25">
      <c r="A47" s="4">
        <f t="shared" si="43"/>
        <v>40</v>
      </c>
      <c r="B47" s="4">
        <f>A47*Info!$B$3</f>
        <v>0.69813170079773179</v>
      </c>
      <c r="C47" s="4">
        <f t="shared" si="34"/>
        <v>0.64278760968653925</v>
      </c>
      <c r="D47" s="4">
        <f t="shared" si="35"/>
        <v>0.76604444311897801</v>
      </c>
      <c r="E47" s="4">
        <f t="shared" si="18"/>
        <v>1.2855752193730785</v>
      </c>
      <c r="F47" s="4">
        <f t="shared" ref="F47:T47" si="86">COS($B47)*E$37</f>
        <v>1.532088886237956</v>
      </c>
      <c r="G47" s="4">
        <f t="shared" si="20"/>
        <v>1.9283628290596178</v>
      </c>
      <c r="H47" s="4">
        <f t="shared" ref="H47:T47" si="87">COS($B47)*G$37</f>
        <v>2.2981333293569342</v>
      </c>
      <c r="I47" s="4">
        <f t="shared" si="22"/>
        <v>2.571150438746157</v>
      </c>
      <c r="J47" s="4">
        <f t="shared" ref="J47:T47" si="88">COS($B47)*I$37</f>
        <v>3.0641777724759121</v>
      </c>
      <c r="K47" s="4">
        <f t="shared" si="24"/>
        <v>3.2139380484326963</v>
      </c>
      <c r="L47" s="4">
        <f t="shared" ref="L47:T47" si="89">COS($B47)*K$37</f>
        <v>3.83022221559489</v>
      </c>
      <c r="M47" s="4">
        <f t="shared" si="26"/>
        <v>3.8567256581192355</v>
      </c>
      <c r="N47" s="4">
        <f t="shared" ref="N47:T47" si="90">COS($B47)*M$37</f>
        <v>4.5962666587138683</v>
      </c>
      <c r="O47" s="4">
        <f t="shared" si="28"/>
        <v>4.4995132678057743</v>
      </c>
      <c r="P47" s="4">
        <f t="shared" ref="P47:T47" si="91">COS($B47)*O$37</f>
        <v>5.3623111018328462</v>
      </c>
      <c r="Q47" s="4">
        <f t="shared" si="30"/>
        <v>5.142300877492314</v>
      </c>
      <c r="R47" s="4">
        <f t="shared" ref="R47:T47" si="92">COS($B47)*Q$37</f>
        <v>6.1283555449518241</v>
      </c>
      <c r="S47" s="4">
        <f t="shared" si="32"/>
        <v>5.7850884871788537</v>
      </c>
      <c r="T47" s="4">
        <f t="shared" si="33"/>
        <v>6.894399988070802</v>
      </c>
    </row>
    <row r="48" spans="1:40" x14ac:dyDescent="0.25">
      <c r="A48" s="4">
        <f t="shared" si="43"/>
        <v>45</v>
      </c>
      <c r="B48" s="4">
        <f>A48*Info!$B$3</f>
        <v>0.78539816339744828</v>
      </c>
      <c r="C48" s="4">
        <f t="shared" si="34"/>
        <v>0.70710678118654746</v>
      </c>
      <c r="D48" s="4">
        <f t="shared" si="35"/>
        <v>0.70710678118654757</v>
      </c>
      <c r="E48" s="4">
        <f t="shared" si="18"/>
        <v>1.4142135623730949</v>
      </c>
      <c r="F48" s="4">
        <f t="shared" ref="F48:T48" si="93">COS($B48)*E$37</f>
        <v>1.4142135623730951</v>
      </c>
      <c r="G48" s="4">
        <f t="shared" si="20"/>
        <v>2.1213203435596424</v>
      </c>
      <c r="H48" s="4">
        <f t="shared" ref="H48:T48" si="94">COS($B48)*G$37</f>
        <v>2.1213203435596428</v>
      </c>
      <c r="I48" s="4">
        <f t="shared" si="22"/>
        <v>2.8284271247461898</v>
      </c>
      <c r="J48" s="4">
        <f t="shared" ref="J48:T48" si="95">COS($B48)*I$37</f>
        <v>2.8284271247461903</v>
      </c>
      <c r="K48" s="4">
        <f t="shared" si="24"/>
        <v>3.5355339059327373</v>
      </c>
      <c r="L48" s="4">
        <f t="shared" ref="L48:T48" si="96">COS($B48)*K$37</f>
        <v>3.5355339059327378</v>
      </c>
      <c r="M48" s="4">
        <f t="shared" si="26"/>
        <v>4.2426406871192848</v>
      </c>
      <c r="N48" s="4">
        <f t="shared" ref="N48:T48" si="97">COS($B48)*M$37</f>
        <v>4.2426406871192857</v>
      </c>
      <c r="O48" s="4">
        <f t="shared" si="28"/>
        <v>4.9497474683058318</v>
      </c>
      <c r="P48" s="4">
        <f t="shared" ref="P48:T48" si="98">COS($B48)*O$37</f>
        <v>4.9497474683058327</v>
      </c>
      <c r="Q48" s="4">
        <f t="shared" si="30"/>
        <v>5.6568542494923797</v>
      </c>
      <c r="R48" s="4">
        <f t="shared" ref="R48:T48" si="99">COS($B48)*Q$37</f>
        <v>5.6568542494923806</v>
      </c>
      <c r="S48" s="4">
        <f t="shared" si="32"/>
        <v>6.3639610306789276</v>
      </c>
      <c r="T48" s="4">
        <f t="shared" si="33"/>
        <v>6.3639610306789285</v>
      </c>
    </row>
    <row r="49" spans="1:20" x14ac:dyDescent="0.25">
      <c r="A49" s="4">
        <f t="shared" si="43"/>
        <v>50</v>
      </c>
      <c r="B49" s="4">
        <f>A49*Info!$B$3</f>
        <v>0.87266462599716477</v>
      </c>
      <c r="C49" s="4">
        <f t="shared" si="34"/>
        <v>0.76604444311897801</v>
      </c>
      <c r="D49" s="4">
        <f t="shared" si="35"/>
        <v>0.64278760968653936</v>
      </c>
      <c r="E49" s="4">
        <f t="shared" si="18"/>
        <v>1.532088886237956</v>
      </c>
      <c r="F49" s="4">
        <f t="shared" ref="F49:T49" si="100">COS($B49)*E$37</f>
        <v>1.2855752193730787</v>
      </c>
      <c r="G49" s="4">
        <f t="shared" si="20"/>
        <v>2.2981333293569342</v>
      </c>
      <c r="H49" s="4">
        <f t="shared" ref="H49:T49" si="101">COS($B49)*G$37</f>
        <v>1.9283628290596182</v>
      </c>
      <c r="I49" s="4">
        <f t="shared" si="22"/>
        <v>3.0641777724759121</v>
      </c>
      <c r="J49" s="4">
        <f t="shared" ref="J49:T49" si="102">COS($B49)*I$37</f>
        <v>2.5711504387461575</v>
      </c>
      <c r="K49" s="4">
        <f t="shared" si="24"/>
        <v>3.83022221559489</v>
      </c>
      <c r="L49" s="4">
        <f t="shared" ref="L49:T49" si="103">COS($B49)*K$37</f>
        <v>3.2139380484326967</v>
      </c>
      <c r="M49" s="4">
        <f t="shared" si="26"/>
        <v>4.5962666587138683</v>
      </c>
      <c r="N49" s="4">
        <f t="shared" ref="N49:T49" si="104">COS($B49)*M$37</f>
        <v>3.8567256581192364</v>
      </c>
      <c r="O49" s="4">
        <f t="shared" si="28"/>
        <v>5.3623111018328462</v>
      </c>
      <c r="P49" s="4">
        <f t="shared" ref="P49:T49" si="105">COS($B49)*O$37</f>
        <v>4.4995132678057752</v>
      </c>
      <c r="Q49" s="4">
        <f t="shared" si="30"/>
        <v>6.1283555449518241</v>
      </c>
      <c r="R49" s="4">
        <f t="shared" ref="R49:T49" si="106">COS($B49)*Q$37</f>
        <v>5.1423008774923149</v>
      </c>
      <c r="S49" s="4">
        <f t="shared" si="32"/>
        <v>6.894399988070802</v>
      </c>
      <c r="T49" s="4">
        <f t="shared" si="33"/>
        <v>5.7850884871788546</v>
      </c>
    </row>
    <row r="50" spans="1:20" x14ac:dyDescent="0.25">
      <c r="A50" s="4">
        <f t="shared" si="43"/>
        <v>55</v>
      </c>
      <c r="B50" s="4">
        <f>A50*Info!$B$3</f>
        <v>0.95993108859688125</v>
      </c>
      <c r="C50" s="4">
        <f t="shared" si="34"/>
        <v>0.8191520442889918</v>
      </c>
      <c r="D50" s="4">
        <f t="shared" si="35"/>
        <v>0.57357643635104616</v>
      </c>
      <c r="E50" s="4">
        <f t="shared" si="18"/>
        <v>1.6383040885779836</v>
      </c>
      <c r="F50" s="4">
        <f t="shared" ref="F50:T50" si="107">COS($B50)*E$37</f>
        <v>1.1471528727020923</v>
      </c>
      <c r="G50" s="4">
        <f t="shared" si="20"/>
        <v>2.4574561328669753</v>
      </c>
      <c r="H50" s="4">
        <f t="shared" ref="H50:T50" si="108">COS($B50)*G$37</f>
        <v>1.7207293090531386</v>
      </c>
      <c r="I50" s="4">
        <f t="shared" si="22"/>
        <v>3.2766081771559672</v>
      </c>
      <c r="J50" s="4">
        <f t="shared" ref="J50:T50" si="109">COS($B50)*I$37</f>
        <v>2.2943057454041846</v>
      </c>
      <c r="K50" s="4">
        <f t="shared" si="24"/>
        <v>4.0957602214449587</v>
      </c>
      <c r="L50" s="4">
        <f t="shared" ref="L50:T50" si="110">COS($B50)*K$37</f>
        <v>2.8678821817552307</v>
      </c>
      <c r="M50" s="4">
        <f t="shared" si="26"/>
        <v>4.9149122657339506</v>
      </c>
      <c r="N50" s="4">
        <f t="shared" ref="N50:T50" si="111">COS($B50)*M$37</f>
        <v>3.4414586181062772</v>
      </c>
      <c r="O50" s="4">
        <f t="shared" si="28"/>
        <v>5.7340643100229425</v>
      </c>
      <c r="P50" s="4">
        <f t="shared" ref="P50:T50" si="112">COS($B50)*O$37</f>
        <v>4.0150350544573232</v>
      </c>
      <c r="Q50" s="4">
        <f t="shared" si="30"/>
        <v>6.5532163543119344</v>
      </c>
      <c r="R50" s="4">
        <f t="shared" ref="R50:T50" si="113">COS($B50)*Q$37</f>
        <v>4.5886114908083693</v>
      </c>
      <c r="S50" s="4">
        <f t="shared" si="32"/>
        <v>7.3723683986009263</v>
      </c>
      <c r="T50" s="4">
        <f t="shared" si="33"/>
        <v>5.1621879271594153</v>
      </c>
    </row>
    <row r="51" spans="1:20" x14ac:dyDescent="0.25">
      <c r="A51" s="4">
        <f t="shared" si="43"/>
        <v>60</v>
      </c>
      <c r="B51" s="4">
        <f>A51*Info!$B$3</f>
        <v>1.0471975511965976</v>
      </c>
      <c r="C51" s="4">
        <f t="shared" si="34"/>
        <v>0.8660254037844386</v>
      </c>
      <c r="D51" s="4">
        <f t="shared" si="35"/>
        <v>0.50000000000000011</v>
      </c>
      <c r="E51" s="4">
        <f t="shared" si="18"/>
        <v>1.7320508075688772</v>
      </c>
      <c r="F51" s="4">
        <f t="shared" ref="F51:T51" si="114">COS($B51)*E$37</f>
        <v>1.0000000000000002</v>
      </c>
      <c r="G51" s="4">
        <f t="shared" si="20"/>
        <v>2.598076211353316</v>
      </c>
      <c r="H51" s="4">
        <f t="shared" ref="H51:T51" si="115">COS($B51)*G$37</f>
        <v>1.5000000000000004</v>
      </c>
      <c r="I51" s="4">
        <f t="shared" si="22"/>
        <v>3.4641016151377544</v>
      </c>
      <c r="J51" s="4">
        <f t="shared" ref="J51:T51" si="116">COS($B51)*I$37</f>
        <v>2.0000000000000004</v>
      </c>
      <c r="K51" s="4">
        <f t="shared" si="24"/>
        <v>4.3301270189221928</v>
      </c>
      <c r="L51" s="4">
        <f t="shared" ref="L51:T51" si="117">COS($B51)*K$37</f>
        <v>2.5000000000000004</v>
      </c>
      <c r="M51" s="4">
        <f t="shared" si="26"/>
        <v>5.196152422706632</v>
      </c>
      <c r="N51" s="4">
        <f t="shared" ref="N51:T51" si="118">COS($B51)*M$37</f>
        <v>3.0000000000000009</v>
      </c>
      <c r="O51" s="4">
        <f t="shared" si="28"/>
        <v>6.0621778264910704</v>
      </c>
      <c r="P51" s="4">
        <f t="shared" ref="P51:T51" si="119">COS($B51)*O$37</f>
        <v>3.5000000000000009</v>
      </c>
      <c r="Q51" s="4">
        <f t="shared" si="30"/>
        <v>6.9282032302755088</v>
      </c>
      <c r="R51" s="4">
        <f t="shared" ref="R51:T51" si="120">COS($B51)*Q$37</f>
        <v>4.0000000000000009</v>
      </c>
      <c r="S51" s="4">
        <f t="shared" si="32"/>
        <v>7.7942286340599471</v>
      </c>
      <c r="T51" s="4">
        <f t="shared" si="33"/>
        <v>4.5000000000000009</v>
      </c>
    </row>
    <row r="52" spans="1:20" x14ac:dyDescent="0.25">
      <c r="A52" s="4">
        <f t="shared" si="43"/>
        <v>65</v>
      </c>
      <c r="B52" s="4">
        <f>A52*Info!$B$3</f>
        <v>1.1344640137963142</v>
      </c>
      <c r="C52" s="4">
        <f t="shared" si="34"/>
        <v>0.90630778703664994</v>
      </c>
      <c r="D52" s="4">
        <f t="shared" si="35"/>
        <v>0.42261826174069944</v>
      </c>
      <c r="E52" s="4">
        <f t="shared" si="18"/>
        <v>1.8126155740732999</v>
      </c>
      <c r="F52" s="4">
        <f t="shared" ref="F52:T52" si="121">COS($B52)*E$37</f>
        <v>0.84523652348139888</v>
      </c>
      <c r="G52" s="4">
        <f t="shared" si="20"/>
        <v>2.7189233611099497</v>
      </c>
      <c r="H52" s="4">
        <f t="shared" ref="H52:T52" si="122">COS($B52)*G$37</f>
        <v>1.2678547852220983</v>
      </c>
      <c r="I52" s="4">
        <f t="shared" si="22"/>
        <v>3.6252311481465997</v>
      </c>
      <c r="J52" s="4">
        <f t="shared" ref="J52:T52" si="123">COS($B52)*I$37</f>
        <v>1.6904730469627978</v>
      </c>
      <c r="K52" s="4">
        <f t="shared" si="24"/>
        <v>4.5315389351832494</v>
      </c>
      <c r="L52" s="4">
        <f t="shared" ref="L52:T52" si="124">COS($B52)*K$37</f>
        <v>2.1130913087034973</v>
      </c>
      <c r="M52" s="4">
        <f t="shared" si="26"/>
        <v>5.4378467222198994</v>
      </c>
      <c r="N52" s="4">
        <f t="shared" ref="N52:T52" si="125">COS($B52)*M$37</f>
        <v>2.5357095704441965</v>
      </c>
      <c r="O52" s="4">
        <f t="shared" si="28"/>
        <v>6.3441545092565494</v>
      </c>
      <c r="P52" s="4">
        <f t="shared" ref="P52:T52" si="126">COS($B52)*O$37</f>
        <v>2.9583278321848963</v>
      </c>
      <c r="Q52" s="4">
        <f t="shared" si="30"/>
        <v>7.2504622962931995</v>
      </c>
      <c r="R52" s="4">
        <f t="shared" ref="R52:T52" si="127">COS($B52)*Q$37</f>
        <v>3.3809460939255955</v>
      </c>
      <c r="S52" s="4">
        <f t="shared" si="32"/>
        <v>8.1567700833298495</v>
      </c>
      <c r="T52" s="4">
        <f t="shared" si="33"/>
        <v>3.8035643556662948</v>
      </c>
    </row>
    <row r="53" spans="1:20" x14ac:dyDescent="0.25">
      <c r="A53" s="4">
        <f t="shared" si="43"/>
        <v>70</v>
      </c>
      <c r="B53" s="4">
        <f>A53*Info!$B$3</f>
        <v>1.2217304763960306</v>
      </c>
      <c r="C53" s="4">
        <f t="shared" si="34"/>
        <v>0.93969262078590832</v>
      </c>
      <c r="D53" s="4">
        <f t="shared" si="35"/>
        <v>0.34202014332566882</v>
      </c>
      <c r="E53" s="4">
        <f t="shared" si="18"/>
        <v>1.8793852415718166</v>
      </c>
      <c r="F53" s="4">
        <f t="shared" ref="F53:T53" si="128">COS($B53)*E$37</f>
        <v>0.68404028665133765</v>
      </c>
      <c r="G53" s="4">
        <f t="shared" si="20"/>
        <v>2.8190778623577248</v>
      </c>
      <c r="H53" s="4">
        <f t="shared" ref="H53:T53" si="129">COS($B53)*G$37</f>
        <v>1.0260604299770064</v>
      </c>
      <c r="I53" s="4">
        <f t="shared" si="22"/>
        <v>3.7587704831436333</v>
      </c>
      <c r="J53" s="4">
        <f t="shared" ref="J53:T53" si="130">COS($B53)*I$37</f>
        <v>1.3680805733026753</v>
      </c>
      <c r="K53" s="4">
        <f t="shared" si="24"/>
        <v>4.6984631039295417</v>
      </c>
      <c r="L53" s="4">
        <f t="shared" ref="L53:T53" si="131">COS($B53)*K$37</f>
        <v>1.7101007166283442</v>
      </c>
      <c r="M53" s="4">
        <f t="shared" si="26"/>
        <v>5.6381557247154497</v>
      </c>
      <c r="N53" s="4">
        <f t="shared" ref="N53:T53" si="132">COS($B53)*M$37</f>
        <v>2.0521208599540128</v>
      </c>
      <c r="O53" s="4">
        <f t="shared" si="28"/>
        <v>6.5778483455013586</v>
      </c>
      <c r="P53" s="4">
        <f t="shared" ref="P53:T53" si="133">COS($B53)*O$37</f>
        <v>2.3941410032796817</v>
      </c>
      <c r="Q53" s="4">
        <f t="shared" si="30"/>
        <v>7.5175409662872665</v>
      </c>
      <c r="R53" s="4">
        <f t="shared" ref="R53:T53" si="134">COS($B53)*Q$37</f>
        <v>2.7361611466053506</v>
      </c>
      <c r="S53" s="4">
        <f t="shared" si="32"/>
        <v>8.4572335870731745</v>
      </c>
      <c r="T53" s="4">
        <f t="shared" si="33"/>
        <v>3.0781812899310195</v>
      </c>
    </row>
    <row r="54" spans="1:20" x14ac:dyDescent="0.25">
      <c r="A54" s="4">
        <f t="shared" si="43"/>
        <v>75</v>
      </c>
      <c r="B54" s="4">
        <f>A54*Info!$B$3</f>
        <v>1.3089969389957472</v>
      </c>
      <c r="C54" s="4">
        <f t="shared" si="34"/>
        <v>0.96592582628906831</v>
      </c>
      <c r="D54" s="4">
        <f t="shared" si="35"/>
        <v>0.25881904510252074</v>
      </c>
      <c r="E54" s="4">
        <f t="shared" si="18"/>
        <v>1.9318516525781366</v>
      </c>
      <c r="F54" s="4">
        <f t="shared" ref="F54:T54" si="135">COS($B54)*E$37</f>
        <v>0.51763809020504148</v>
      </c>
      <c r="G54" s="4">
        <f t="shared" si="20"/>
        <v>2.897777478867205</v>
      </c>
      <c r="H54" s="4">
        <f t="shared" ref="H54:T54" si="136">COS($B54)*G$37</f>
        <v>0.77645713530756222</v>
      </c>
      <c r="I54" s="4">
        <f t="shared" si="22"/>
        <v>3.8637033051562732</v>
      </c>
      <c r="J54" s="4">
        <f t="shared" ref="J54:T54" si="137">COS($B54)*I$37</f>
        <v>1.035276180410083</v>
      </c>
      <c r="K54" s="4">
        <f t="shared" si="24"/>
        <v>4.8296291314453415</v>
      </c>
      <c r="L54" s="4">
        <f t="shared" ref="L54:T54" si="138">COS($B54)*K$37</f>
        <v>1.2940952255126037</v>
      </c>
      <c r="M54" s="4">
        <f t="shared" si="26"/>
        <v>5.7955549577344101</v>
      </c>
      <c r="N54" s="4">
        <f t="shared" ref="N54:T54" si="139">COS($B54)*M$37</f>
        <v>1.5529142706151244</v>
      </c>
      <c r="O54" s="4">
        <f t="shared" si="28"/>
        <v>6.7614807840234779</v>
      </c>
      <c r="P54" s="4">
        <f t="shared" ref="P54:T54" si="140">COS($B54)*O$37</f>
        <v>1.8117333157176452</v>
      </c>
      <c r="Q54" s="4">
        <f t="shared" si="30"/>
        <v>7.7274066103125465</v>
      </c>
      <c r="R54" s="4">
        <f t="shared" ref="R54:T54" si="141">COS($B54)*Q$37</f>
        <v>2.0705523608201659</v>
      </c>
      <c r="S54" s="4">
        <f t="shared" si="32"/>
        <v>8.6933324366016151</v>
      </c>
      <c r="T54" s="4">
        <f t="shared" si="33"/>
        <v>2.3293714059226867</v>
      </c>
    </row>
    <row r="55" spans="1:20" x14ac:dyDescent="0.25">
      <c r="A55" s="4">
        <f t="shared" si="43"/>
        <v>80</v>
      </c>
      <c r="B55" s="4">
        <f>A55*Info!$B$3</f>
        <v>1.3962634015954636</v>
      </c>
      <c r="C55" s="4">
        <f t="shared" si="34"/>
        <v>0.98480775301220802</v>
      </c>
      <c r="D55" s="4">
        <f t="shared" si="35"/>
        <v>0.17364817766693041</v>
      </c>
      <c r="E55" s="4">
        <f t="shared" ref="E55:E75" si="142">SIN($B55)*E$37</f>
        <v>1.969615506024416</v>
      </c>
      <c r="F55" s="4">
        <f t="shared" ref="F55:T55" si="143">COS($B55)*E$37</f>
        <v>0.34729635533386083</v>
      </c>
      <c r="G55" s="4">
        <f t="shared" ref="G55:G75" si="144">SIN($B55)*G$37</f>
        <v>2.9544232590366239</v>
      </c>
      <c r="H55" s="4">
        <f t="shared" ref="H55:T55" si="145">COS($B55)*G$37</f>
        <v>0.52094453300079124</v>
      </c>
      <c r="I55" s="4">
        <f t="shared" ref="I55:I75" si="146">SIN($B55)*I$37</f>
        <v>3.9392310120488321</v>
      </c>
      <c r="J55" s="4">
        <f t="shared" ref="J55:T55" si="147">COS($B55)*I$37</f>
        <v>0.69459271066772166</v>
      </c>
      <c r="K55" s="4">
        <f t="shared" ref="K55:K75" si="148">SIN($B55)*K$37</f>
        <v>4.9240387650610398</v>
      </c>
      <c r="L55" s="4">
        <f t="shared" ref="L55:T55" si="149">COS($B55)*K$37</f>
        <v>0.86824088833465207</v>
      </c>
      <c r="M55" s="4">
        <f t="shared" ref="M55:M75" si="150">SIN($B55)*M$37</f>
        <v>5.9088465180732479</v>
      </c>
      <c r="N55" s="4">
        <f t="shared" ref="N55:T55" si="151">COS($B55)*M$37</f>
        <v>1.0418890660015825</v>
      </c>
      <c r="O55" s="4">
        <f t="shared" ref="O55:O75" si="152">SIN($B55)*O$37</f>
        <v>6.893654271085456</v>
      </c>
      <c r="P55" s="4">
        <f t="shared" ref="P55:T55" si="153">COS($B55)*O$37</f>
        <v>1.2155372436685128</v>
      </c>
      <c r="Q55" s="4">
        <f t="shared" ref="Q55:Q75" si="154">SIN($B55)*Q$37</f>
        <v>7.8784620240976642</v>
      </c>
      <c r="R55" s="4">
        <f t="shared" ref="R55:T55" si="155">COS($B55)*Q$37</f>
        <v>1.3891854213354433</v>
      </c>
      <c r="S55" s="4">
        <f t="shared" ref="S55:S75" si="156">SIN($B55)*S$37</f>
        <v>8.8632697771098723</v>
      </c>
      <c r="T55" s="4">
        <f t="shared" si="33"/>
        <v>1.5628335990023738</v>
      </c>
    </row>
    <row r="56" spans="1:20" x14ac:dyDescent="0.25">
      <c r="A56" s="4">
        <f t="shared" si="43"/>
        <v>85</v>
      </c>
      <c r="B56" s="4">
        <f>A56*Info!$B$3</f>
        <v>1.4835298641951802</v>
      </c>
      <c r="C56" s="4">
        <f t="shared" si="34"/>
        <v>0.99619469809174555</v>
      </c>
      <c r="D56" s="4">
        <f t="shared" si="35"/>
        <v>8.7155742747658138E-2</v>
      </c>
      <c r="E56" s="4">
        <f t="shared" si="142"/>
        <v>1.9923893961834911</v>
      </c>
      <c r="F56" s="4">
        <f t="shared" ref="F56:T56" si="157">COS($B56)*E$37</f>
        <v>0.17431148549531628</v>
      </c>
      <c r="G56" s="4">
        <f t="shared" si="144"/>
        <v>2.9885840942752369</v>
      </c>
      <c r="H56" s="4">
        <f t="shared" ref="H56:T56" si="158">COS($B56)*G$37</f>
        <v>0.26146722824297441</v>
      </c>
      <c r="I56" s="4">
        <f t="shared" si="146"/>
        <v>3.9847787923669822</v>
      </c>
      <c r="J56" s="4">
        <f t="shared" ref="J56:T56" si="159">COS($B56)*I$37</f>
        <v>0.34862297099063255</v>
      </c>
      <c r="K56" s="4">
        <f t="shared" si="148"/>
        <v>4.9809734904587275</v>
      </c>
      <c r="L56" s="4">
        <f t="shared" ref="L56:T56" si="160">COS($B56)*K$37</f>
        <v>0.43577871373829069</v>
      </c>
      <c r="M56" s="4">
        <f t="shared" si="150"/>
        <v>5.9771681885504737</v>
      </c>
      <c r="N56" s="4">
        <f t="shared" ref="N56:T56" si="161">COS($B56)*M$37</f>
        <v>0.52293445648594883</v>
      </c>
      <c r="O56" s="4">
        <f t="shared" si="152"/>
        <v>6.973362886642219</v>
      </c>
      <c r="P56" s="4">
        <f t="shared" ref="P56:T56" si="162">COS($B56)*O$37</f>
        <v>0.61009019923360697</v>
      </c>
      <c r="Q56" s="4">
        <f t="shared" si="154"/>
        <v>7.9695575847339644</v>
      </c>
      <c r="R56" s="4">
        <f t="shared" ref="R56:T56" si="163">COS($B56)*Q$37</f>
        <v>0.6972459419812651</v>
      </c>
      <c r="S56" s="4">
        <f t="shared" si="156"/>
        <v>8.9657522828257097</v>
      </c>
      <c r="T56" s="4">
        <f t="shared" si="33"/>
        <v>0.78440168472892324</v>
      </c>
    </row>
    <row r="57" spans="1:20" x14ac:dyDescent="0.25">
      <c r="A57" s="4">
        <f t="shared" si="43"/>
        <v>90</v>
      </c>
      <c r="B57" s="4">
        <f>A57*Info!$B$3</f>
        <v>1.5707963267948966</v>
      </c>
      <c r="C57" s="4">
        <f t="shared" si="34"/>
        <v>1</v>
      </c>
      <c r="D57" s="4">
        <f t="shared" si="35"/>
        <v>6.1257422745431001E-17</v>
      </c>
      <c r="E57" s="4">
        <f t="shared" si="142"/>
        <v>2</v>
      </c>
      <c r="F57" s="4">
        <f t="shared" ref="F57:T57" si="164">COS($B57)*E$37</f>
        <v>1.22514845490862E-16</v>
      </c>
      <c r="G57" s="4">
        <f t="shared" si="144"/>
        <v>3</v>
      </c>
      <c r="H57" s="4">
        <f t="shared" ref="H57:T57" si="165">COS($B57)*G$37</f>
        <v>1.83772268236293E-16</v>
      </c>
      <c r="I57" s="4">
        <f t="shared" si="146"/>
        <v>4</v>
      </c>
      <c r="J57" s="4">
        <f t="shared" ref="J57:T57" si="166">COS($B57)*I$37</f>
        <v>2.45029690981724E-16</v>
      </c>
      <c r="K57" s="4">
        <f t="shared" si="148"/>
        <v>5</v>
      </c>
      <c r="L57" s="4">
        <f t="shared" ref="L57:T57" si="167">COS($B57)*K$37</f>
        <v>3.06287113727155E-16</v>
      </c>
      <c r="M57" s="4">
        <f t="shared" si="150"/>
        <v>6</v>
      </c>
      <c r="N57" s="4">
        <f t="shared" ref="N57:T57" si="168">COS($B57)*M$37</f>
        <v>3.67544536472586E-16</v>
      </c>
      <c r="O57" s="4">
        <f t="shared" si="152"/>
        <v>7</v>
      </c>
      <c r="P57" s="4">
        <f t="shared" ref="P57:T57" si="169">COS($B57)*O$37</f>
        <v>4.28801959218017E-16</v>
      </c>
      <c r="Q57" s="4">
        <f t="shared" si="154"/>
        <v>8</v>
      </c>
      <c r="R57" s="4">
        <f t="shared" ref="R57:T57" si="170">COS($B57)*Q$37</f>
        <v>4.90059381963448E-16</v>
      </c>
      <c r="S57" s="4">
        <f t="shared" si="156"/>
        <v>9</v>
      </c>
      <c r="T57" s="4">
        <f t="shared" si="33"/>
        <v>5.51316804708879E-16</v>
      </c>
    </row>
    <row r="58" spans="1:20" x14ac:dyDescent="0.25">
      <c r="A58" s="4">
        <f t="shared" si="43"/>
        <v>95</v>
      </c>
      <c r="B58" s="4">
        <f>A58*Info!$B$3</f>
        <v>1.6580627893946132</v>
      </c>
      <c r="C58" s="4">
        <f t="shared" si="34"/>
        <v>0.99619469809174555</v>
      </c>
      <c r="D58" s="4">
        <f t="shared" si="35"/>
        <v>-8.7155742747658235E-2</v>
      </c>
      <c r="E58" s="4">
        <f t="shared" si="142"/>
        <v>1.9923893961834911</v>
      </c>
      <c r="F58" s="4">
        <f t="shared" ref="F58:T58" si="171">COS($B58)*E$37</f>
        <v>-0.17431148549531647</v>
      </c>
      <c r="G58" s="4">
        <f t="shared" si="144"/>
        <v>2.9885840942752369</v>
      </c>
      <c r="H58" s="4">
        <f t="shared" ref="H58:T58" si="172">COS($B58)*G$37</f>
        <v>-0.26146722824297469</v>
      </c>
      <c r="I58" s="4">
        <f t="shared" si="146"/>
        <v>3.9847787923669822</v>
      </c>
      <c r="J58" s="4">
        <f t="shared" ref="J58:T58" si="173">COS($B58)*I$37</f>
        <v>-0.34862297099063294</v>
      </c>
      <c r="K58" s="4">
        <f t="shared" si="148"/>
        <v>4.9809734904587275</v>
      </c>
      <c r="L58" s="4">
        <f t="shared" ref="L58:T58" si="174">COS($B58)*K$37</f>
        <v>-0.43577871373829119</v>
      </c>
      <c r="M58" s="4">
        <f t="shared" si="150"/>
        <v>5.9771681885504737</v>
      </c>
      <c r="N58" s="4">
        <f t="shared" ref="N58:T58" si="175">COS($B58)*M$37</f>
        <v>-0.52293445648594938</v>
      </c>
      <c r="O58" s="4">
        <f t="shared" si="152"/>
        <v>6.973362886642219</v>
      </c>
      <c r="P58" s="4">
        <f t="shared" ref="P58:T58" si="176">COS($B58)*O$37</f>
        <v>-0.61009019923360763</v>
      </c>
      <c r="Q58" s="4">
        <f t="shared" si="154"/>
        <v>7.9695575847339644</v>
      </c>
      <c r="R58" s="4">
        <f t="shared" ref="R58:T58" si="177">COS($B58)*Q$37</f>
        <v>-0.69724594198126588</v>
      </c>
      <c r="S58" s="4">
        <f t="shared" si="156"/>
        <v>8.9657522828257097</v>
      </c>
      <c r="T58" s="4">
        <f t="shared" si="33"/>
        <v>-0.78440168472892413</v>
      </c>
    </row>
    <row r="59" spans="1:20" x14ac:dyDescent="0.25">
      <c r="A59" s="4">
        <f t="shared" si="43"/>
        <v>100</v>
      </c>
      <c r="B59" s="4">
        <f>A59*Info!$B$3</f>
        <v>1.7453292519943295</v>
      </c>
      <c r="C59" s="4">
        <f t="shared" si="34"/>
        <v>0.98480775301220802</v>
      </c>
      <c r="D59" s="4">
        <f t="shared" si="35"/>
        <v>-0.1736481776669303</v>
      </c>
      <c r="E59" s="4">
        <f t="shared" si="142"/>
        <v>1.969615506024416</v>
      </c>
      <c r="F59" s="4">
        <f t="shared" ref="F59:T59" si="178">COS($B59)*E$37</f>
        <v>-0.34729635533386061</v>
      </c>
      <c r="G59" s="4">
        <f t="shared" si="144"/>
        <v>2.9544232590366239</v>
      </c>
      <c r="H59" s="4">
        <f t="shared" ref="H59:T59" si="179">COS($B59)*G$37</f>
        <v>-0.52094453300079091</v>
      </c>
      <c r="I59" s="4">
        <f t="shared" si="146"/>
        <v>3.9392310120488321</v>
      </c>
      <c r="J59" s="4">
        <f t="shared" ref="J59:T59" si="180">COS($B59)*I$37</f>
        <v>-0.69459271066772121</v>
      </c>
      <c r="K59" s="4">
        <f t="shared" si="148"/>
        <v>4.9240387650610398</v>
      </c>
      <c r="L59" s="4">
        <f t="shared" ref="L59:T59" si="181">COS($B59)*K$37</f>
        <v>-0.86824088833465152</v>
      </c>
      <c r="M59" s="4">
        <f t="shared" si="150"/>
        <v>5.9088465180732479</v>
      </c>
      <c r="N59" s="4">
        <f t="shared" ref="N59:T59" si="182">COS($B59)*M$37</f>
        <v>-1.0418890660015818</v>
      </c>
      <c r="O59" s="4">
        <f t="shared" si="152"/>
        <v>6.893654271085456</v>
      </c>
      <c r="P59" s="4">
        <f t="shared" ref="P59:T59" si="183">COS($B59)*O$37</f>
        <v>-1.2155372436685121</v>
      </c>
      <c r="Q59" s="4">
        <f t="shared" si="154"/>
        <v>7.8784620240976642</v>
      </c>
      <c r="R59" s="4">
        <f t="shared" ref="R59:T59" si="184">COS($B59)*Q$37</f>
        <v>-1.3891854213354424</v>
      </c>
      <c r="S59" s="4">
        <f t="shared" si="156"/>
        <v>8.8632697771098723</v>
      </c>
      <c r="T59" s="4">
        <f t="shared" si="33"/>
        <v>-1.5628335990023727</v>
      </c>
    </row>
    <row r="60" spans="1:20" x14ac:dyDescent="0.25">
      <c r="A60" s="4">
        <f t="shared" si="43"/>
        <v>105</v>
      </c>
      <c r="B60" s="4">
        <f>A60*Info!$B$3</f>
        <v>1.8325957145940461</v>
      </c>
      <c r="C60" s="4">
        <f t="shared" si="34"/>
        <v>0.96592582628906831</v>
      </c>
      <c r="D60" s="4">
        <f t="shared" si="35"/>
        <v>-0.25881904510252085</v>
      </c>
      <c r="E60" s="4">
        <f t="shared" si="142"/>
        <v>1.9318516525781366</v>
      </c>
      <c r="F60" s="4">
        <f t="shared" ref="F60:T60" si="185">COS($B60)*E$37</f>
        <v>-0.5176380902050417</v>
      </c>
      <c r="G60" s="4">
        <f t="shared" si="144"/>
        <v>2.897777478867205</v>
      </c>
      <c r="H60" s="4">
        <f t="shared" ref="H60:T60" si="186">COS($B60)*G$37</f>
        <v>-0.77645713530756255</v>
      </c>
      <c r="I60" s="4">
        <f t="shared" si="146"/>
        <v>3.8637033051562732</v>
      </c>
      <c r="J60" s="4">
        <f t="shared" ref="J60:T60" si="187">COS($B60)*I$37</f>
        <v>-1.0352761804100834</v>
      </c>
      <c r="K60" s="4">
        <f t="shared" si="148"/>
        <v>4.8296291314453415</v>
      </c>
      <c r="L60" s="4">
        <f t="shared" ref="L60:T60" si="188">COS($B60)*K$37</f>
        <v>-1.2940952255126041</v>
      </c>
      <c r="M60" s="4">
        <f t="shared" si="150"/>
        <v>5.7955549577344101</v>
      </c>
      <c r="N60" s="4">
        <f t="shared" ref="N60:T60" si="189">COS($B60)*M$37</f>
        <v>-1.5529142706151251</v>
      </c>
      <c r="O60" s="4">
        <f t="shared" si="152"/>
        <v>6.7614807840234779</v>
      </c>
      <c r="P60" s="4">
        <f t="shared" ref="P60:T60" si="190">COS($B60)*O$37</f>
        <v>-1.8117333157176461</v>
      </c>
      <c r="Q60" s="4">
        <f t="shared" si="154"/>
        <v>7.7274066103125465</v>
      </c>
      <c r="R60" s="4">
        <f t="shared" ref="R60:T60" si="191">COS($B60)*Q$37</f>
        <v>-2.0705523608201668</v>
      </c>
      <c r="S60" s="4">
        <f t="shared" si="156"/>
        <v>8.6933324366016151</v>
      </c>
      <c r="T60" s="4">
        <f t="shared" si="33"/>
        <v>-2.3293714059226875</v>
      </c>
    </row>
    <row r="61" spans="1:20" x14ac:dyDescent="0.25">
      <c r="A61" s="4">
        <f t="shared" si="43"/>
        <v>110</v>
      </c>
      <c r="B61" s="4">
        <f>A61*Info!$B$3</f>
        <v>1.9198621771937625</v>
      </c>
      <c r="C61" s="4">
        <f t="shared" si="34"/>
        <v>0.93969262078590843</v>
      </c>
      <c r="D61" s="4">
        <f t="shared" si="35"/>
        <v>-0.34202014332566871</v>
      </c>
      <c r="E61" s="4">
        <f t="shared" si="142"/>
        <v>1.8793852415718169</v>
      </c>
      <c r="F61" s="4">
        <f t="shared" ref="F61:T61" si="192">COS($B61)*E$37</f>
        <v>-0.68404028665133743</v>
      </c>
      <c r="G61" s="4">
        <f t="shared" si="144"/>
        <v>2.8190778623577253</v>
      </c>
      <c r="H61" s="4">
        <f t="shared" ref="H61:T61" si="193">COS($B61)*G$37</f>
        <v>-1.0260604299770062</v>
      </c>
      <c r="I61" s="4">
        <f t="shared" si="146"/>
        <v>3.7587704831436337</v>
      </c>
      <c r="J61" s="4">
        <f t="shared" ref="J61:T61" si="194">COS($B61)*I$37</f>
        <v>-1.3680805733026749</v>
      </c>
      <c r="K61" s="4">
        <f t="shared" si="148"/>
        <v>4.6984631039295426</v>
      </c>
      <c r="L61" s="4">
        <f t="shared" ref="L61:T61" si="195">COS($B61)*K$37</f>
        <v>-1.7101007166283435</v>
      </c>
      <c r="M61" s="4">
        <f t="shared" si="150"/>
        <v>5.6381557247154506</v>
      </c>
      <c r="N61" s="4">
        <f t="shared" ref="N61:T61" si="196">COS($B61)*M$37</f>
        <v>-2.0521208599540124</v>
      </c>
      <c r="O61" s="4">
        <f t="shared" si="152"/>
        <v>6.5778483455013586</v>
      </c>
      <c r="P61" s="4">
        <f t="shared" ref="P61:T61" si="197">COS($B61)*O$37</f>
        <v>-2.3941410032796808</v>
      </c>
      <c r="Q61" s="4">
        <f t="shared" si="154"/>
        <v>7.5175409662872674</v>
      </c>
      <c r="R61" s="4">
        <f t="shared" ref="R61:T61" si="198">COS($B61)*Q$37</f>
        <v>-2.7361611466053497</v>
      </c>
      <c r="S61" s="4">
        <f t="shared" si="156"/>
        <v>8.4572335870731763</v>
      </c>
      <c r="T61" s="4">
        <f t="shared" si="33"/>
        <v>-3.0781812899310186</v>
      </c>
    </row>
    <row r="62" spans="1:20" x14ac:dyDescent="0.25">
      <c r="A62" s="4">
        <f t="shared" si="43"/>
        <v>115</v>
      </c>
      <c r="B62" s="4">
        <f>A62*Info!$B$3</f>
        <v>2.0071286397934789</v>
      </c>
      <c r="C62" s="4">
        <f t="shared" si="34"/>
        <v>0.90630778703665005</v>
      </c>
      <c r="D62" s="4">
        <f t="shared" si="35"/>
        <v>-0.42261826174069933</v>
      </c>
      <c r="E62" s="4">
        <f t="shared" si="142"/>
        <v>1.8126155740733001</v>
      </c>
      <c r="F62" s="4">
        <f t="shared" ref="F62:T62" si="199">COS($B62)*E$37</f>
        <v>-0.84523652348139866</v>
      </c>
      <c r="G62" s="4">
        <f t="shared" si="144"/>
        <v>2.7189233611099501</v>
      </c>
      <c r="H62" s="4">
        <f t="shared" ref="H62:T62" si="200">COS($B62)*G$37</f>
        <v>-1.267854785222098</v>
      </c>
      <c r="I62" s="4">
        <f t="shared" si="146"/>
        <v>3.6252311481466002</v>
      </c>
      <c r="J62" s="4">
        <f t="shared" ref="J62:T62" si="201">COS($B62)*I$37</f>
        <v>-1.6904730469627973</v>
      </c>
      <c r="K62" s="4">
        <f t="shared" si="148"/>
        <v>4.5315389351832502</v>
      </c>
      <c r="L62" s="4">
        <f t="shared" ref="L62:T62" si="202">COS($B62)*K$37</f>
        <v>-2.1130913087034968</v>
      </c>
      <c r="M62" s="4">
        <f t="shared" si="150"/>
        <v>5.4378467222199003</v>
      </c>
      <c r="N62" s="4">
        <f t="shared" ref="N62:T62" si="203">COS($B62)*M$37</f>
        <v>-2.5357095704441961</v>
      </c>
      <c r="O62" s="4">
        <f t="shared" si="152"/>
        <v>6.3441545092565503</v>
      </c>
      <c r="P62" s="4">
        <f t="shared" ref="P62:T62" si="204">COS($B62)*O$37</f>
        <v>-2.9583278321848954</v>
      </c>
      <c r="Q62" s="4">
        <f t="shared" si="154"/>
        <v>7.2504622962932004</v>
      </c>
      <c r="R62" s="4">
        <f t="shared" ref="R62:T62" si="205">COS($B62)*Q$37</f>
        <v>-3.3809460939255946</v>
      </c>
      <c r="S62" s="4">
        <f t="shared" si="156"/>
        <v>8.1567700833298495</v>
      </c>
      <c r="T62" s="4">
        <f t="shared" si="33"/>
        <v>-3.8035643556662939</v>
      </c>
    </row>
    <row r="63" spans="1:20" x14ac:dyDescent="0.25">
      <c r="A63" s="4">
        <f t="shared" si="43"/>
        <v>120</v>
      </c>
      <c r="B63" s="4">
        <f>A63*Info!$B$3</f>
        <v>2.0943951023931953</v>
      </c>
      <c r="C63" s="4">
        <f t="shared" si="34"/>
        <v>0.86602540378443871</v>
      </c>
      <c r="D63" s="4">
        <f t="shared" si="35"/>
        <v>-0.49999999999999978</v>
      </c>
      <c r="E63" s="4">
        <f t="shared" si="142"/>
        <v>1.7320508075688774</v>
      </c>
      <c r="F63" s="4">
        <f t="shared" ref="F63:T63" si="206">COS($B63)*E$37</f>
        <v>-0.99999999999999956</v>
      </c>
      <c r="G63" s="4">
        <f t="shared" si="144"/>
        <v>2.598076211353316</v>
      </c>
      <c r="H63" s="4">
        <f t="shared" ref="H63:T63" si="207">COS($B63)*G$37</f>
        <v>-1.4999999999999993</v>
      </c>
      <c r="I63" s="4">
        <f t="shared" si="146"/>
        <v>3.4641016151377548</v>
      </c>
      <c r="J63" s="4">
        <f t="shared" ref="J63:T63" si="208">COS($B63)*I$37</f>
        <v>-1.9999999999999991</v>
      </c>
      <c r="K63" s="4">
        <f t="shared" si="148"/>
        <v>4.3301270189221936</v>
      </c>
      <c r="L63" s="4">
        <f t="shared" ref="L63:T63" si="209">COS($B63)*K$37</f>
        <v>-2.4999999999999991</v>
      </c>
      <c r="M63" s="4">
        <f t="shared" si="150"/>
        <v>5.196152422706632</v>
      </c>
      <c r="N63" s="4">
        <f t="shared" ref="N63:T63" si="210">COS($B63)*M$37</f>
        <v>-2.9999999999999987</v>
      </c>
      <c r="O63" s="4">
        <f t="shared" si="152"/>
        <v>6.0621778264910713</v>
      </c>
      <c r="P63" s="4">
        <f t="shared" ref="P63:T63" si="211">COS($B63)*O$37</f>
        <v>-3.4999999999999982</v>
      </c>
      <c r="Q63" s="4">
        <f t="shared" si="154"/>
        <v>6.9282032302755097</v>
      </c>
      <c r="R63" s="4">
        <f t="shared" ref="R63:T63" si="212">COS($B63)*Q$37</f>
        <v>-3.9999999999999982</v>
      </c>
      <c r="S63" s="4">
        <f t="shared" si="156"/>
        <v>7.794228634059948</v>
      </c>
      <c r="T63" s="4">
        <f t="shared" si="33"/>
        <v>-4.4999999999999982</v>
      </c>
    </row>
    <row r="64" spans="1:20" x14ac:dyDescent="0.25">
      <c r="A64" s="4">
        <f t="shared" si="43"/>
        <v>125</v>
      </c>
      <c r="B64" s="4">
        <f>A64*Info!$B$3</f>
        <v>2.1816615649929121</v>
      </c>
      <c r="C64" s="4">
        <f t="shared" si="34"/>
        <v>0.81915204428899169</v>
      </c>
      <c r="D64" s="4">
        <f t="shared" si="35"/>
        <v>-0.57357643635104616</v>
      </c>
      <c r="E64" s="4">
        <f t="shared" si="142"/>
        <v>1.6383040885779834</v>
      </c>
      <c r="F64" s="4">
        <f t="shared" ref="F64:T64" si="213">COS($B64)*E$37</f>
        <v>-1.1471528727020923</v>
      </c>
      <c r="G64" s="4">
        <f t="shared" si="144"/>
        <v>2.4574561328669748</v>
      </c>
      <c r="H64" s="4">
        <f t="shared" ref="H64:T64" si="214">COS($B64)*G$37</f>
        <v>-1.7207293090531386</v>
      </c>
      <c r="I64" s="4">
        <f t="shared" si="146"/>
        <v>3.2766081771559668</v>
      </c>
      <c r="J64" s="4">
        <f t="shared" ref="J64:T64" si="215">COS($B64)*I$37</f>
        <v>-2.2943057454041846</v>
      </c>
      <c r="K64" s="4">
        <f t="shared" si="148"/>
        <v>4.0957602214449587</v>
      </c>
      <c r="L64" s="4">
        <f t="shared" ref="L64:T64" si="216">COS($B64)*K$37</f>
        <v>-2.8678821817552307</v>
      </c>
      <c r="M64" s="4">
        <f t="shared" si="150"/>
        <v>4.9149122657339497</v>
      </c>
      <c r="N64" s="4">
        <f t="shared" ref="N64:T64" si="217">COS($B64)*M$37</f>
        <v>-3.4414586181062772</v>
      </c>
      <c r="O64" s="4">
        <f t="shared" si="152"/>
        <v>5.7340643100229416</v>
      </c>
      <c r="P64" s="4">
        <f t="shared" ref="P64:T64" si="218">COS($B64)*O$37</f>
        <v>-4.0150350544573232</v>
      </c>
      <c r="Q64" s="4">
        <f t="shared" si="154"/>
        <v>6.5532163543119335</v>
      </c>
      <c r="R64" s="4">
        <f t="shared" ref="R64:T64" si="219">COS($B64)*Q$37</f>
        <v>-4.5886114908083693</v>
      </c>
      <c r="S64" s="4">
        <f t="shared" si="156"/>
        <v>7.3723683986009254</v>
      </c>
      <c r="T64" s="4">
        <f t="shared" si="33"/>
        <v>-5.1621879271594153</v>
      </c>
    </row>
    <row r="65" spans="1:20" x14ac:dyDescent="0.25">
      <c r="A65" s="4">
        <f t="shared" si="43"/>
        <v>130</v>
      </c>
      <c r="B65" s="4">
        <f>A65*Info!$B$3</f>
        <v>2.2689280275926285</v>
      </c>
      <c r="C65" s="4">
        <f t="shared" si="34"/>
        <v>0.76604444311897801</v>
      </c>
      <c r="D65" s="4">
        <f t="shared" si="35"/>
        <v>-0.64278760968653936</v>
      </c>
      <c r="E65" s="4">
        <f t="shared" si="142"/>
        <v>1.532088886237956</v>
      </c>
      <c r="F65" s="4">
        <f t="shared" ref="F65:T65" si="220">COS($B65)*E$37</f>
        <v>-1.2855752193730787</v>
      </c>
      <c r="G65" s="4">
        <f t="shared" si="144"/>
        <v>2.2981333293569342</v>
      </c>
      <c r="H65" s="4">
        <f t="shared" ref="H65:T65" si="221">COS($B65)*G$37</f>
        <v>-1.9283628290596182</v>
      </c>
      <c r="I65" s="4">
        <f t="shared" si="146"/>
        <v>3.0641777724759121</v>
      </c>
      <c r="J65" s="4">
        <f t="shared" ref="J65:T65" si="222">COS($B65)*I$37</f>
        <v>-2.5711504387461575</v>
      </c>
      <c r="K65" s="4">
        <f t="shared" si="148"/>
        <v>3.83022221559489</v>
      </c>
      <c r="L65" s="4">
        <f t="shared" ref="L65:T65" si="223">COS($B65)*K$37</f>
        <v>-3.2139380484326967</v>
      </c>
      <c r="M65" s="4">
        <f t="shared" si="150"/>
        <v>4.5962666587138683</v>
      </c>
      <c r="N65" s="4">
        <f t="shared" ref="N65:T65" si="224">COS($B65)*M$37</f>
        <v>-3.8567256581192364</v>
      </c>
      <c r="O65" s="4">
        <f t="shared" si="152"/>
        <v>5.3623111018328462</v>
      </c>
      <c r="P65" s="4">
        <f t="shared" ref="P65:T65" si="225">COS($B65)*O$37</f>
        <v>-4.4995132678057752</v>
      </c>
      <c r="Q65" s="4">
        <f t="shared" si="154"/>
        <v>6.1283555449518241</v>
      </c>
      <c r="R65" s="4">
        <f t="shared" ref="R65:T65" si="226">COS($B65)*Q$37</f>
        <v>-5.1423008774923149</v>
      </c>
      <c r="S65" s="4">
        <f t="shared" si="156"/>
        <v>6.894399988070802</v>
      </c>
      <c r="T65" s="4">
        <f t="shared" si="33"/>
        <v>-5.7850884871788546</v>
      </c>
    </row>
    <row r="66" spans="1:20" x14ac:dyDescent="0.25">
      <c r="A66" s="4">
        <f t="shared" si="43"/>
        <v>135</v>
      </c>
      <c r="B66" s="4">
        <f>A66*Info!$B$3</f>
        <v>2.3561944901923448</v>
      </c>
      <c r="C66" s="4">
        <f t="shared" si="34"/>
        <v>0.70710678118654757</v>
      </c>
      <c r="D66" s="4">
        <f t="shared" si="35"/>
        <v>-0.70710678118654746</v>
      </c>
      <c r="E66" s="4">
        <f t="shared" si="142"/>
        <v>1.4142135623730951</v>
      </c>
      <c r="F66" s="4">
        <f t="shared" ref="F66:T66" si="227">COS($B66)*E$37</f>
        <v>-1.4142135623730949</v>
      </c>
      <c r="G66" s="4">
        <f t="shared" si="144"/>
        <v>2.1213203435596428</v>
      </c>
      <c r="H66" s="4">
        <f t="shared" ref="H66:T66" si="228">COS($B66)*G$37</f>
        <v>-2.1213203435596424</v>
      </c>
      <c r="I66" s="4">
        <f t="shared" si="146"/>
        <v>2.8284271247461903</v>
      </c>
      <c r="J66" s="4">
        <f t="shared" ref="J66:T66" si="229">COS($B66)*I$37</f>
        <v>-2.8284271247461898</v>
      </c>
      <c r="K66" s="4">
        <f t="shared" si="148"/>
        <v>3.5355339059327378</v>
      </c>
      <c r="L66" s="4">
        <f t="shared" ref="L66:T66" si="230">COS($B66)*K$37</f>
        <v>-3.5355339059327373</v>
      </c>
      <c r="M66" s="4">
        <f t="shared" si="150"/>
        <v>4.2426406871192857</v>
      </c>
      <c r="N66" s="4">
        <f t="shared" ref="N66:T66" si="231">COS($B66)*M$37</f>
        <v>-4.2426406871192848</v>
      </c>
      <c r="O66" s="4">
        <f t="shared" si="152"/>
        <v>4.9497474683058327</v>
      </c>
      <c r="P66" s="4">
        <f t="shared" ref="P66:T66" si="232">COS($B66)*O$37</f>
        <v>-4.9497474683058318</v>
      </c>
      <c r="Q66" s="4">
        <f t="shared" si="154"/>
        <v>5.6568542494923806</v>
      </c>
      <c r="R66" s="4">
        <f t="shared" ref="R66:T66" si="233">COS($B66)*Q$37</f>
        <v>-5.6568542494923797</v>
      </c>
      <c r="S66" s="4">
        <f t="shared" si="156"/>
        <v>6.3639610306789285</v>
      </c>
      <c r="T66" s="4">
        <f t="shared" si="33"/>
        <v>-6.3639610306789276</v>
      </c>
    </row>
    <row r="67" spans="1:20" x14ac:dyDescent="0.25">
      <c r="A67" s="4">
        <f t="shared" si="43"/>
        <v>140</v>
      </c>
      <c r="B67" s="4">
        <f>A67*Info!$B$3</f>
        <v>2.4434609527920612</v>
      </c>
      <c r="C67" s="4">
        <f t="shared" si="34"/>
        <v>0.64278760968653947</v>
      </c>
      <c r="D67" s="4">
        <f t="shared" si="35"/>
        <v>-0.7660444431189779</v>
      </c>
      <c r="E67" s="4">
        <f t="shared" si="142"/>
        <v>1.2855752193730789</v>
      </c>
      <c r="F67" s="4">
        <f t="shared" ref="F67:T67" si="234">COS($B67)*E$37</f>
        <v>-1.5320888862379558</v>
      </c>
      <c r="G67" s="4">
        <f t="shared" si="144"/>
        <v>1.9283628290596184</v>
      </c>
      <c r="H67" s="4">
        <f t="shared" ref="H67:T67" si="235">COS($B67)*G$37</f>
        <v>-2.2981333293569337</v>
      </c>
      <c r="I67" s="4">
        <f t="shared" si="146"/>
        <v>2.5711504387461579</v>
      </c>
      <c r="J67" s="4">
        <f t="shared" ref="J67:T67" si="236">COS($B67)*I$37</f>
        <v>-3.0641777724759116</v>
      </c>
      <c r="K67" s="4">
        <f t="shared" si="148"/>
        <v>3.2139380484326976</v>
      </c>
      <c r="L67" s="4">
        <f t="shared" ref="L67:T67" si="237">COS($B67)*K$37</f>
        <v>-3.8302222155948895</v>
      </c>
      <c r="M67" s="4">
        <f t="shared" si="150"/>
        <v>3.8567256581192368</v>
      </c>
      <c r="N67" s="4">
        <f t="shared" ref="N67:T67" si="238">COS($B67)*M$37</f>
        <v>-4.5962666587138674</v>
      </c>
      <c r="O67" s="4">
        <f t="shared" si="152"/>
        <v>4.4995132678057761</v>
      </c>
      <c r="P67" s="4">
        <f t="shared" ref="P67:T67" si="239">COS($B67)*O$37</f>
        <v>-5.3623111018328453</v>
      </c>
      <c r="Q67" s="4">
        <f t="shared" si="154"/>
        <v>5.1423008774923158</v>
      </c>
      <c r="R67" s="4">
        <f t="shared" ref="R67:T67" si="240">COS($B67)*Q$37</f>
        <v>-6.1283555449518232</v>
      </c>
      <c r="S67" s="4">
        <f t="shared" si="156"/>
        <v>5.7850884871788555</v>
      </c>
      <c r="T67" s="4">
        <f t="shared" si="33"/>
        <v>-6.8943999880708011</v>
      </c>
    </row>
    <row r="68" spans="1:20" x14ac:dyDescent="0.25">
      <c r="A68" s="4">
        <f t="shared" si="43"/>
        <v>145</v>
      </c>
      <c r="B68" s="4">
        <f>A68*Info!$B$3</f>
        <v>2.530727415391778</v>
      </c>
      <c r="C68" s="4">
        <f t="shared" si="34"/>
        <v>0.57357643635104594</v>
      </c>
      <c r="D68" s="4">
        <f t="shared" si="35"/>
        <v>-0.81915204428899191</v>
      </c>
      <c r="E68" s="4">
        <f t="shared" si="142"/>
        <v>1.1471528727020919</v>
      </c>
      <c r="F68" s="4">
        <f t="shared" ref="F68:T68" si="241">COS($B68)*E$37</f>
        <v>-1.6383040885779838</v>
      </c>
      <c r="G68" s="4">
        <f t="shared" si="144"/>
        <v>1.7207293090531377</v>
      </c>
      <c r="H68" s="4">
        <f t="shared" ref="H68:T68" si="242">COS($B68)*G$37</f>
        <v>-2.4574561328669757</v>
      </c>
      <c r="I68" s="4">
        <f t="shared" si="146"/>
        <v>2.2943057454041837</v>
      </c>
      <c r="J68" s="4">
        <f t="shared" ref="J68:T68" si="243">COS($B68)*I$37</f>
        <v>-3.2766081771559676</v>
      </c>
      <c r="K68" s="4">
        <f t="shared" si="148"/>
        <v>2.8678821817552298</v>
      </c>
      <c r="L68" s="4">
        <f t="shared" ref="L68:T68" si="244">COS($B68)*K$37</f>
        <v>-4.0957602214449595</v>
      </c>
      <c r="M68" s="4">
        <f t="shared" si="150"/>
        <v>3.4414586181062754</v>
      </c>
      <c r="N68" s="4">
        <f t="shared" ref="N68:T68" si="245">COS($B68)*M$37</f>
        <v>-4.9149122657339515</v>
      </c>
      <c r="O68" s="4">
        <f t="shared" si="152"/>
        <v>4.0150350544573215</v>
      </c>
      <c r="P68" s="4">
        <f t="shared" ref="P68:T68" si="246">COS($B68)*O$37</f>
        <v>-5.7340643100229434</v>
      </c>
      <c r="Q68" s="4">
        <f t="shared" si="154"/>
        <v>4.5886114908083675</v>
      </c>
      <c r="R68" s="4">
        <f t="shared" ref="R68:T68" si="247">COS($B68)*Q$37</f>
        <v>-6.5532163543119353</v>
      </c>
      <c r="S68" s="4">
        <f t="shared" si="156"/>
        <v>5.1621879271594135</v>
      </c>
      <c r="T68" s="4">
        <f t="shared" si="33"/>
        <v>-7.3723683986009272</v>
      </c>
    </row>
    <row r="69" spans="1:20" x14ac:dyDescent="0.25">
      <c r="A69" s="4">
        <f t="shared" si="43"/>
        <v>150</v>
      </c>
      <c r="B69" s="4">
        <f>A69*Info!$B$3</f>
        <v>2.6179938779914944</v>
      </c>
      <c r="C69" s="4">
        <f t="shared" si="34"/>
        <v>0.49999999999999994</v>
      </c>
      <c r="D69" s="4">
        <f t="shared" si="35"/>
        <v>-0.86602540378443871</v>
      </c>
      <c r="E69" s="4">
        <f t="shared" si="142"/>
        <v>0.99999999999999989</v>
      </c>
      <c r="F69" s="4">
        <f t="shared" ref="F69:T69" si="248">COS($B69)*E$37</f>
        <v>-1.7320508075688774</v>
      </c>
      <c r="G69" s="4">
        <f t="shared" si="144"/>
        <v>1.4999999999999998</v>
      </c>
      <c r="H69" s="4">
        <f t="shared" ref="H69:T69" si="249">COS($B69)*G$37</f>
        <v>-2.598076211353316</v>
      </c>
      <c r="I69" s="4">
        <f t="shared" si="146"/>
        <v>1.9999999999999998</v>
      </c>
      <c r="J69" s="4">
        <f t="shared" ref="J69:T69" si="250">COS($B69)*I$37</f>
        <v>-3.4641016151377548</v>
      </c>
      <c r="K69" s="4">
        <f t="shared" si="148"/>
        <v>2.4999999999999996</v>
      </c>
      <c r="L69" s="4">
        <f t="shared" ref="L69:T69" si="251">COS($B69)*K$37</f>
        <v>-4.3301270189221936</v>
      </c>
      <c r="M69" s="4">
        <f t="shared" si="150"/>
        <v>2.9999999999999996</v>
      </c>
      <c r="N69" s="4">
        <f t="shared" ref="N69:T69" si="252">COS($B69)*M$37</f>
        <v>-5.196152422706632</v>
      </c>
      <c r="O69" s="4">
        <f t="shared" si="152"/>
        <v>3.4999999999999996</v>
      </c>
      <c r="P69" s="4">
        <f t="shared" ref="P69:T69" si="253">COS($B69)*O$37</f>
        <v>-6.0621778264910713</v>
      </c>
      <c r="Q69" s="4">
        <f t="shared" si="154"/>
        <v>3.9999999999999996</v>
      </c>
      <c r="R69" s="4">
        <f t="shared" ref="R69:T69" si="254">COS($B69)*Q$37</f>
        <v>-6.9282032302755097</v>
      </c>
      <c r="S69" s="4">
        <f t="shared" si="156"/>
        <v>4.4999999999999991</v>
      </c>
      <c r="T69" s="4">
        <f t="shared" si="33"/>
        <v>-7.794228634059948</v>
      </c>
    </row>
    <row r="70" spans="1:20" x14ac:dyDescent="0.25">
      <c r="A70" s="4">
        <f t="shared" si="43"/>
        <v>155</v>
      </c>
      <c r="B70" s="4">
        <f>A70*Info!$B$3</f>
        <v>2.7052603405912108</v>
      </c>
      <c r="C70" s="4">
        <f t="shared" si="34"/>
        <v>0.4226182617406995</v>
      </c>
      <c r="D70" s="4">
        <f t="shared" si="35"/>
        <v>-0.90630778703664994</v>
      </c>
      <c r="E70" s="4">
        <f t="shared" si="142"/>
        <v>0.84523652348139899</v>
      </c>
      <c r="F70" s="4">
        <f t="shared" ref="F70:T70" si="255">COS($B70)*E$37</f>
        <v>-1.8126155740732999</v>
      </c>
      <c r="G70" s="4">
        <f t="shared" si="144"/>
        <v>1.2678547852220985</v>
      </c>
      <c r="H70" s="4">
        <f t="shared" ref="H70:T70" si="256">COS($B70)*G$37</f>
        <v>-2.7189233611099497</v>
      </c>
      <c r="I70" s="4">
        <f t="shared" si="146"/>
        <v>1.690473046962798</v>
      </c>
      <c r="J70" s="4">
        <f t="shared" ref="J70:T70" si="257">COS($B70)*I$37</f>
        <v>-3.6252311481465997</v>
      </c>
      <c r="K70" s="4">
        <f t="shared" si="148"/>
        <v>2.1130913087034973</v>
      </c>
      <c r="L70" s="4">
        <f t="shared" ref="L70:T70" si="258">COS($B70)*K$37</f>
        <v>-4.5315389351832494</v>
      </c>
      <c r="M70" s="4">
        <f t="shared" si="150"/>
        <v>2.535709570444197</v>
      </c>
      <c r="N70" s="4">
        <f t="shared" ref="N70:T70" si="259">COS($B70)*M$37</f>
        <v>-5.4378467222198994</v>
      </c>
      <c r="O70" s="4">
        <f t="shared" si="152"/>
        <v>2.9583278321848967</v>
      </c>
      <c r="P70" s="4">
        <f t="shared" ref="P70:T70" si="260">COS($B70)*O$37</f>
        <v>-6.3441545092565494</v>
      </c>
      <c r="Q70" s="4">
        <f t="shared" si="154"/>
        <v>3.380946093925596</v>
      </c>
      <c r="R70" s="4">
        <f t="shared" ref="R70:T70" si="261">COS($B70)*Q$37</f>
        <v>-7.2504622962931995</v>
      </c>
      <c r="S70" s="4">
        <f t="shared" si="156"/>
        <v>3.8035643556662952</v>
      </c>
      <c r="T70" s="4">
        <f t="shared" si="33"/>
        <v>-8.1567700833298495</v>
      </c>
    </row>
    <row r="71" spans="1:20" x14ac:dyDescent="0.25">
      <c r="A71" s="4">
        <f t="shared" si="43"/>
        <v>160</v>
      </c>
      <c r="B71" s="4">
        <f>A71*Info!$B$3</f>
        <v>2.7925268031909272</v>
      </c>
      <c r="C71" s="4">
        <f t="shared" si="34"/>
        <v>0.34202014332566888</v>
      </c>
      <c r="D71" s="4">
        <f t="shared" si="35"/>
        <v>-0.93969262078590832</v>
      </c>
      <c r="E71" s="4">
        <f t="shared" si="142"/>
        <v>0.68404028665133776</v>
      </c>
      <c r="F71" s="4">
        <f t="shared" ref="F71:T71" si="262">COS($B71)*E$37</f>
        <v>-1.8793852415718166</v>
      </c>
      <c r="G71" s="4">
        <f t="shared" si="144"/>
        <v>1.0260604299770066</v>
      </c>
      <c r="H71" s="4">
        <f t="shared" ref="H71:T71" si="263">COS($B71)*G$37</f>
        <v>-2.8190778623577248</v>
      </c>
      <c r="I71" s="4">
        <f t="shared" si="146"/>
        <v>1.3680805733026755</v>
      </c>
      <c r="J71" s="4">
        <f t="shared" ref="J71:T71" si="264">COS($B71)*I$37</f>
        <v>-3.7587704831436333</v>
      </c>
      <c r="K71" s="4">
        <f t="shared" si="148"/>
        <v>1.7101007166283444</v>
      </c>
      <c r="L71" s="4">
        <f t="shared" ref="L71:T71" si="265">COS($B71)*K$37</f>
        <v>-4.6984631039295417</v>
      </c>
      <c r="M71" s="4">
        <f t="shared" si="150"/>
        <v>2.0521208599540133</v>
      </c>
      <c r="N71" s="4">
        <f t="shared" ref="N71:T71" si="266">COS($B71)*M$37</f>
        <v>-5.6381557247154497</v>
      </c>
      <c r="O71" s="4">
        <f t="shared" si="152"/>
        <v>2.3941410032796822</v>
      </c>
      <c r="P71" s="4">
        <f t="shared" ref="P71:T71" si="267">COS($B71)*O$37</f>
        <v>-6.5778483455013586</v>
      </c>
      <c r="Q71" s="4">
        <f t="shared" si="154"/>
        <v>2.736161146605351</v>
      </c>
      <c r="R71" s="4">
        <f t="shared" ref="R71:T71" si="268">COS($B71)*Q$37</f>
        <v>-7.5175409662872665</v>
      </c>
      <c r="S71" s="4">
        <f t="shared" si="156"/>
        <v>3.0781812899310199</v>
      </c>
      <c r="T71" s="4">
        <f t="shared" si="33"/>
        <v>-8.4572335870731745</v>
      </c>
    </row>
    <row r="72" spans="1:20" x14ac:dyDescent="0.25">
      <c r="A72" s="4">
        <f t="shared" si="43"/>
        <v>165</v>
      </c>
      <c r="B72" s="4">
        <f>A72*Info!$B$3</f>
        <v>2.8797932657906435</v>
      </c>
      <c r="C72" s="4">
        <f t="shared" si="34"/>
        <v>0.25881904510252102</v>
      </c>
      <c r="D72" s="4">
        <f t="shared" si="35"/>
        <v>-0.9659258262890682</v>
      </c>
      <c r="E72" s="4">
        <f t="shared" si="142"/>
        <v>0.51763809020504203</v>
      </c>
      <c r="F72" s="4">
        <f t="shared" ref="F72:T72" si="269">COS($B72)*E$37</f>
        <v>-1.9318516525781364</v>
      </c>
      <c r="G72" s="4">
        <f t="shared" si="144"/>
        <v>0.77645713530756311</v>
      </c>
      <c r="H72" s="4">
        <f t="shared" ref="H72:T72" si="270">COS($B72)*G$37</f>
        <v>-2.8977774788672046</v>
      </c>
      <c r="I72" s="4">
        <f t="shared" si="146"/>
        <v>1.0352761804100841</v>
      </c>
      <c r="J72" s="4">
        <f t="shared" ref="J72:T72" si="271">COS($B72)*I$37</f>
        <v>-3.8637033051562728</v>
      </c>
      <c r="K72" s="4">
        <f t="shared" si="148"/>
        <v>1.294095225512605</v>
      </c>
      <c r="L72" s="4">
        <f t="shared" ref="L72:T72" si="272">COS($B72)*K$37</f>
        <v>-4.8296291314453406</v>
      </c>
      <c r="M72" s="4">
        <f t="shared" si="150"/>
        <v>1.5529142706151262</v>
      </c>
      <c r="N72" s="4">
        <f t="shared" ref="N72:T72" si="273">COS($B72)*M$37</f>
        <v>-5.7955549577344092</v>
      </c>
      <c r="O72" s="4">
        <f t="shared" si="152"/>
        <v>1.8117333157176472</v>
      </c>
      <c r="P72" s="4">
        <f t="shared" ref="P72:T72" si="274">COS($B72)*O$37</f>
        <v>-6.7614807840234779</v>
      </c>
      <c r="Q72" s="4">
        <f t="shared" si="154"/>
        <v>2.0705523608201681</v>
      </c>
      <c r="R72" s="4">
        <f t="shared" ref="R72:T72" si="275">COS($B72)*Q$37</f>
        <v>-7.7274066103125456</v>
      </c>
      <c r="S72" s="4">
        <f t="shared" si="156"/>
        <v>2.3293714059226893</v>
      </c>
      <c r="T72" s="4">
        <f t="shared" si="33"/>
        <v>-8.6933324366016134</v>
      </c>
    </row>
    <row r="73" spans="1:20" x14ac:dyDescent="0.25">
      <c r="A73" s="4">
        <f t="shared" si="43"/>
        <v>170</v>
      </c>
      <c r="B73" s="4">
        <f>A73*Info!$B$3</f>
        <v>2.9670597283903604</v>
      </c>
      <c r="C73" s="4">
        <f t="shared" si="34"/>
        <v>0.17364817766693028</v>
      </c>
      <c r="D73" s="4">
        <f t="shared" si="35"/>
        <v>-0.98480775301220802</v>
      </c>
      <c r="E73" s="4">
        <f t="shared" si="142"/>
        <v>0.34729635533386055</v>
      </c>
      <c r="F73" s="4">
        <f t="shared" ref="F73:T73" si="276">COS($B73)*E$37</f>
        <v>-1.969615506024416</v>
      </c>
      <c r="G73" s="4">
        <f t="shared" si="144"/>
        <v>0.5209445330007908</v>
      </c>
      <c r="H73" s="4">
        <f t="shared" ref="H73:T73" si="277">COS($B73)*G$37</f>
        <v>-2.9544232590366239</v>
      </c>
      <c r="I73" s="4">
        <f t="shared" si="146"/>
        <v>0.6945927106677211</v>
      </c>
      <c r="J73" s="4">
        <f t="shared" ref="J73:T73" si="278">COS($B73)*I$37</f>
        <v>-3.9392310120488321</v>
      </c>
      <c r="K73" s="4">
        <f t="shared" si="148"/>
        <v>0.86824088833465141</v>
      </c>
      <c r="L73" s="4">
        <f t="shared" ref="L73:T73" si="279">COS($B73)*K$37</f>
        <v>-4.9240387650610398</v>
      </c>
      <c r="M73" s="4">
        <f t="shared" si="150"/>
        <v>1.0418890660015816</v>
      </c>
      <c r="N73" s="4">
        <f t="shared" ref="N73:T73" si="280">COS($B73)*M$37</f>
        <v>-5.9088465180732479</v>
      </c>
      <c r="O73" s="4">
        <f t="shared" si="152"/>
        <v>1.2155372436685119</v>
      </c>
      <c r="P73" s="4">
        <f t="shared" ref="P73:T73" si="281">COS($B73)*O$37</f>
        <v>-6.893654271085456</v>
      </c>
      <c r="Q73" s="4">
        <f t="shared" si="154"/>
        <v>1.3891854213354422</v>
      </c>
      <c r="R73" s="4">
        <f t="shared" ref="R73:T73" si="282">COS($B73)*Q$37</f>
        <v>-7.8784620240976642</v>
      </c>
      <c r="S73" s="4">
        <f t="shared" si="156"/>
        <v>1.5628335990023725</v>
      </c>
      <c r="T73" s="4">
        <f t="shared" si="33"/>
        <v>-8.8632697771098723</v>
      </c>
    </row>
    <row r="74" spans="1:20" x14ac:dyDescent="0.25">
      <c r="A74" s="4">
        <f t="shared" si="43"/>
        <v>175</v>
      </c>
      <c r="B74" s="4">
        <f>A74*Info!$B$3</f>
        <v>3.0543261909900767</v>
      </c>
      <c r="C74" s="4">
        <f t="shared" si="34"/>
        <v>8.7155742747658194E-2</v>
      </c>
      <c r="D74" s="4">
        <f t="shared" si="35"/>
        <v>-0.99619469809174555</v>
      </c>
      <c r="E74" s="4">
        <f t="shared" si="142"/>
        <v>0.17431148549531639</v>
      </c>
      <c r="F74" s="4">
        <f t="shared" ref="F74:T74" si="283">COS($B74)*E$37</f>
        <v>-1.9923893961834911</v>
      </c>
      <c r="G74" s="4">
        <f t="shared" si="144"/>
        <v>0.26146722824297458</v>
      </c>
      <c r="H74" s="4">
        <f t="shared" ref="H74:T74" si="284">COS($B74)*G$37</f>
        <v>-2.9885840942752369</v>
      </c>
      <c r="I74" s="4">
        <f t="shared" si="146"/>
        <v>0.34862297099063277</v>
      </c>
      <c r="J74" s="4">
        <f t="shared" ref="J74:T74" si="285">COS($B74)*I$37</f>
        <v>-3.9847787923669822</v>
      </c>
      <c r="K74" s="4">
        <f t="shared" si="148"/>
        <v>0.43577871373829097</v>
      </c>
      <c r="L74" s="4">
        <f t="shared" ref="L74:T74" si="286">COS($B74)*K$37</f>
        <v>-4.9809734904587275</v>
      </c>
      <c r="M74" s="4">
        <f t="shared" si="150"/>
        <v>0.52293445648594916</v>
      </c>
      <c r="N74" s="4">
        <f t="shared" ref="N74:T74" si="287">COS($B74)*M$37</f>
        <v>-5.9771681885504737</v>
      </c>
      <c r="O74" s="4">
        <f t="shared" si="152"/>
        <v>0.61009019923360741</v>
      </c>
      <c r="P74" s="4">
        <f t="shared" ref="P74:T74" si="288">COS($B74)*O$37</f>
        <v>-6.973362886642219</v>
      </c>
      <c r="Q74" s="4">
        <f t="shared" si="154"/>
        <v>0.69724594198126555</v>
      </c>
      <c r="R74" s="4">
        <f t="shared" ref="R74:T74" si="289">COS($B74)*Q$37</f>
        <v>-7.9695575847339644</v>
      </c>
      <c r="S74" s="4">
        <f t="shared" si="156"/>
        <v>0.78440168472892369</v>
      </c>
      <c r="T74" s="4">
        <f t="shared" si="33"/>
        <v>-8.9657522828257097</v>
      </c>
    </row>
    <row r="75" spans="1:20" x14ac:dyDescent="0.25">
      <c r="A75" s="4">
        <f t="shared" si="43"/>
        <v>180</v>
      </c>
      <c r="B75" s="4">
        <f>A75*Info!$B$3</f>
        <v>3.1415926535897931</v>
      </c>
      <c r="C75" s="4">
        <f t="shared" si="34"/>
        <v>1.22514845490862E-16</v>
      </c>
      <c r="D75" s="4">
        <f t="shared" si="35"/>
        <v>-1</v>
      </c>
      <c r="E75" s="4">
        <f t="shared" si="142"/>
        <v>2.45029690981724E-16</v>
      </c>
      <c r="F75" s="4">
        <f t="shared" ref="F75:T75" si="290">COS($B75)*E$37</f>
        <v>-2</v>
      </c>
      <c r="G75" s="4">
        <f t="shared" si="144"/>
        <v>3.67544536472586E-16</v>
      </c>
      <c r="H75" s="4">
        <f t="shared" ref="H75:T75" si="291">COS($B75)*G$37</f>
        <v>-3</v>
      </c>
      <c r="I75" s="4">
        <f t="shared" si="146"/>
        <v>4.90059381963448E-16</v>
      </c>
      <c r="J75" s="4">
        <f t="shared" ref="J75:T75" si="292">COS($B75)*I$37</f>
        <v>-4</v>
      </c>
      <c r="K75" s="4">
        <f t="shared" si="148"/>
        <v>6.1257422745431001E-16</v>
      </c>
      <c r="L75" s="4">
        <f t="shared" ref="L75:T75" si="293">COS($B75)*K$37</f>
        <v>-5</v>
      </c>
      <c r="M75" s="4">
        <f t="shared" si="150"/>
        <v>7.3508907294517201E-16</v>
      </c>
      <c r="N75" s="4">
        <f t="shared" ref="N75:T75" si="294">COS($B75)*M$37</f>
        <v>-6</v>
      </c>
      <c r="O75" s="4">
        <f t="shared" si="152"/>
        <v>8.5760391843603401E-16</v>
      </c>
      <c r="P75" s="4">
        <f t="shared" ref="P75:T75" si="295">COS($B75)*O$37</f>
        <v>-7</v>
      </c>
      <c r="Q75" s="4">
        <f t="shared" si="154"/>
        <v>9.8011876392689601E-16</v>
      </c>
      <c r="R75" s="4">
        <f t="shared" ref="R75:T75" si="296">COS($B75)*Q$37</f>
        <v>-8</v>
      </c>
      <c r="S75" s="4">
        <f t="shared" si="156"/>
        <v>1.102633609417758E-15</v>
      </c>
      <c r="T75" s="4">
        <f t="shared" si="33"/>
        <v>-9</v>
      </c>
    </row>
  </sheetData>
  <mergeCells count="51">
    <mergeCell ref="S37:T37"/>
    <mergeCell ref="AK3:AL3"/>
    <mergeCell ref="AM3:AN3"/>
    <mergeCell ref="C37:D37"/>
    <mergeCell ref="E37:F37"/>
    <mergeCell ref="G37:H37"/>
    <mergeCell ref="I37:J37"/>
    <mergeCell ref="K37:L37"/>
    <mergeCell ref="M37:N37"/>
    <mergeCell ref="O37:P37"/>
    <mergeCell ref="Q37:R37"/>
    <mergeCell ref="Y3:Z3"/>
    <mergeCell ref="AA3:AB3"/>
    <mergeCell ref="AC3:AD3"/>
    <mergeCell ref="AE3:AF3"/>
    <mergeCell ref="AG3:AH3"/>
    <mergeCell ref="AI3:AJ3"/>
    <mergeCell ref="AS1:AT1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G1:AH1"/>
    <mergeCell ref="AI1:AJ1"/>
    <mergeCell ref="AK1:AL1"/>
    <mergeCell ref="AM1:AN1"/>
    <mergeCell ref="AO1:AP1"/>
    <mergeCell ref="AQ1:AR1"/>
    <mergeCell ref="U1:V1"/>
    <mergeCell ref="W1:X1"/>
    <mergeCell ref="Y1:Z1"/>
    <mergeCell ref="AA1:AB1"/>
    <mergeCell ref="AC1:AD1"/>
    <mergeCell ref="AE1:AF1"/>
    <mergeCell ref="I1:J1"/>
    <mergeCell ref="K1:L1"/>
    <mergeCell ref="M1:N1"/>
    <mergeCell ref="O1:P1"/>
    <mergeCell ref="Q1:R1"/>
    <mergeCell ref="S1:T1"/>
    <mergeCell ref="A2:A3"/>
    <mergeCell ref="C3:D3"/>
    <mergeCell ref="E3:F3"/>
    <mergeCell ref="C1:D1"/>
    <mergeCell ref="E1:F1"/>
    <mergeCell ref="G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9D80-FF9B-41D2-BCCE-CCF6E45AC292}">
  <dimension ref="B2:B3"/>
  <sheetViews>
    <sheetView workbookViewId="0">
      <selection activeCell="B4" sqref="B4"/>
    </sheetView>
  </sheetViews>
  <sheetFormatPr defaultRowHeight="15" x14ac:dyDescent="0.25"/>
  <sheetData>
    <row r="2" spans="2:2" x14ac:dyDescent="0.25">
      <c r="B2" t="s">
        <v>32</v>
      </c>
    </row>
    <row r="3" spans="2:2" x14ac:dyDescent="0.25">
      <c r="B3">
        <f>PI()/180</f>
        <v>1.7453292519943295E-2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FromSimSail</vt:lpstr>
      <vt:lpstr>Test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FAGES Pierre</dc:creator>
  <cp:lastModifiedBy>FAGES Pierre</cp:lastModifiedBy>
  <dcterms:created xsi:type="dcterms:W3CDTF">2015-06-05T18:17:20Z</dcterms:created>
  <dcterms:modified xsi:type="dcterms:W3CDTF">2025-06-12T09:36:01Z</dcterms:modified>
</cp:coreProperties>
</file>