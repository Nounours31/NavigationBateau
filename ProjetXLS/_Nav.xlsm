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8DDF9734-3F7A-4FA0-89C8-9D29E4D5544F}" xr6:coauthVersionLast="47" xr6:coauthVersionMax="47" xr10:uidLastSave="{00000000-0000-0000-0000-000000000000}"/>
  <bookViews>
    <workbookView xWindow="0" yWindow="300" windowWidth="28800" windowHeight="14640" tabRatio="872" activeTab="1" xr2:uid="{00000000-000D-0000-FFFF-FFFF00000000}"/>
  </bookViews>
  <sheets>
    <sheet name="Nav" sheetId="3" r:id="rId1"/>
    <sheet name="Maree" sheetId="4" r:id="rId2"/>
    <sheet name="maree shom (2)" sheetId="11" r:id="rId3"/>
    <sheet name="Feuil1" sheetId="10" r:id="rId4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1" localSheetId="2" hidden="1">'maree shom (2)'!$A$1:$D$39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4" i="4" l="1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6" i="3"/>
  <c r="M147" i="3" s="1"/>
  <c r="J147" i="3" s="1"/>
  <c r="M141" i="3"/>
  <c r="M142" i="3" s="1"/>
  <c r="M136" i="3"/>
  <c r="M137" i="3" s="1"/>
  <c r="F77" i="3"/>
  <c r="AC73" i="3" s="1"/>
  <c r="AF55" i="3"/>
  <c r="AC33" i="3"/>
  <c r="AC32" i="3"/>
  <c r="K16" i="3"/>
  <c r="K15" i="3"/>
  <c r="AC72" i="3" s="1"/>
  <c r="Q88" i="4" a="1"/>
  <c r="AL17" i="4" a="1"/>
  <c r="AJ12" i="4" a="1"/>
  <c r="AB97" i="3" a="1"/>
  <c r="J11" i="3" a="1"/>
  <c r="AN19" i="4" a="1"/>
  <c r="S129" i="3" a="1"/>
  <c r="AP13" i="4" a="1"/>
  <c r="E41" i="3" a="1"/>
  <c r="S124" i="3" a="1"/>
  <c r="AJ17" i="4" a="1"/>
  <c r="AP24" i="4" a="1"/>
  <c r="L141" i="4"/>
  <c r="AJ28" i="4" a="1"/>
  <c r="AP17" i="4" a="1"/>
  <c r="AL21" i="4" a="1"/>
  <c r="AL15" i="4" a="1"/>
  <c r="E35" i="3" a="1"/>
  <c r="AL25" i="4" a="1"/>
  <c r="AL18" i="4" a="1"/>
  <c r="Q90" i="4" a="1"/>
  <c r="E71" i="3" a="1"/>
  <c r="L113" i="4"/>
  <c r="AL14" i="4" a="1"/>
  <c r="AL28" i="4" a="1"/>
  <c r="AN12" i="4" a="1"/>
  <c r="AL22" i="4" a="1"/>
  <c r="E33" i="3" a="1"/>
  <c r="AN27" i="4" a="1"/>
  <c r="F126" i="3" a="1"/>
  <c r="AJ13" i="4" a="1"/>
  <c r="AP15" i="4" a="1"/>
  <c r="S9" i="3" a="1"/>
  <c r="AJ22" i="4" a="1"/>
  <c r="AP20" i="4" a="1"/>
  <c r="AN22" i="4" a="1"/>
  <c r="AN15" i="4" a="1"/>
  <c r="AJ19" i="4" a="1"/>
  <c r="Q94" i="4" a="1"/>
  <c r="N79" i="3" a="1"/>
  <c r="L127" i="4"/>
  <c r="AL13" i="4" a="1"/>
  <c r="N75" i="3" a="1"/>
  <c r="AN13" i="4" a="1"/>
  <c r="AJ23" i="4" a="1"/>
  <c r="S132" i="3" a="1"/>
  <c r="AP22" i="4" a="1"/>
  <c r="F128" i="3" a="1"/>
  <c r="AJ20" i="4" a="1"/>
  <c r="AN23" i="4" a="1"/>
  <c r="AB96" i="3" a="1"/>
  <c r="AL12" i="4" a="1"/>
  <c r="E70" i="4" a="1"/>
  <c r="F124" i="3" a="1"/>
  <c r="AJ14" i="4" a="1"/>
  <c r="AN17" i="4" a="1"/>
  <c r="S122" i="3" a="1"/>
  <c r="AP14" i="4" a="1"/>
  <c r="Q89" i="4" a="1"/>
  <c r="AN16" i="4" a="1"/>
  <c r="AL27" i="4" a="1"/>
  <c r="AP18" i="4" a="1"/>
  <c r="S127" i="3" a="1"/>
  <c r="Q93" i="4" a="1"/>
  <c r="AP27" i="4" a="1"/>
  <c r="AJ24" i="4" a="1"/>
  <c r="AJ18" i="4" a="1"/>
  <c r="S125" i="3" a="1"/>
  <c r="AP23" i="4" a="1"/>
  <c r="F123" i="3" a="1"/>
  <c r="G9" i="3" a="1"/>
  <c r="AN28" i="4" a="1"/>
  <c r="AJ27" i="4" a="1"/>
  <c r="AJ15" i="4" a="1"/>
  <c r="S130" i="3" a="1"/>
  <c r="F122" i="3" a="1"/>
  <c r="AJ26" i="4" a="1"/>
  <c r="AJ21" i="4" a="1"/>
  <c r="AP21" i="4" a="1"/>
  <c r="AL26" i="4" a="1"/>
  <c r="Q92" i="4" a="1"/>
  <c r="AN14" i="4" a="1"/>
  <c r="AP25" i="4" a="1"/>
  <c r="S126" i="3" a="1"/>
  <c r="E69" i="3" a="1"/>
  <c r="AP19" i="4" a="1"/>
  <c r="S123" i="3" a="1"/>
  <c r="AL20" i="4" a="1"/>
  <c r="AP26" i="4" a="1"/>
  <c r="AJ16" i="4" a="1"/>
  <c r="AN21" i="4" a="1"/>
  <c r="AN24" i="4" a="1"/>
  <c r="F127" i="3" a="1"/>
  <c r="F125" i="3" a="1"/>
  <c r="AL24" i="4" a="1"/>
  <c r="L99" i="4"/>
  <c r="S133" i="3" a="1"/>
  <c r="Q91" i="4" a="1"/>
  <c r="AP28" i="4" a="1"/>
  <c r="AP16" i="4" a="1"/>
  <c r="AN20" i="4" a="1"/>
  <c r="O98" i="3" a="1"/>
  <c r="AN26" i="4" a="1"/>
  <c r="AP12" i="4" a="1"/>
  <c r="AL23" i="4" a="1"/>
  <c r="S134" i="3" a="1"/>
  <c r="AL19" i="4" a="1"/>
  <c r="AN18" i="4" a="1"/>
  <c r="E39" i="3" a="1"/>
  <c r="AJ25" i="4" a="1"/>
  <c r="AL16" i="4" a="1"/>
  <c r="S131" i="3" a="1"/>
  <c r="AN25" i="4" a="1"/>
  <c r="S128" i="3" a="1"/>
  <c r="AC64" i="4" a="1"/>
  <c r="AD64" i="4" a="1"/>
  <c r="AD38" i="4" a="1"/>
  <c r="AC50" i="4" a="1"/>
  <c r="AD49" i="4" a="1"/>
  <c r="AD41" i="4" a="1"/>
  <c r="AD40" i="4" a="1"/>
  <c r="AD50" i="4" a="1"/>
  <c r="AC55" i="4" a="1"/>
  <c r="AC52" i="4" a="1"/>
  <c r="AC41" i="4" a="1"/>
  <c r="AD55" i="4" a="1"/>
  <c r="AC51" i="4" a="1"/>
  <c r="AD46" i="4" a="1"/>
  <c r="AC54" i="4" a="1"/>
  <c r="AD45" i="4" a="1"/>
  <c r="AD58" i="4" a="1"/>
  <c r="AD61" i="4" a="1"/>
  <c r="AD60" i="4" a="1"/>
  <c r="AC43" i="4" a="1"/>
  <c r="AC53" i="4" a="1"/>
  <c r="AC63" i="4" a="1"/>
  <c r="AC38" i="4"/>
  <c r="AC45" i="4" a="1"/>
  <c r="AC39" i="4"/>
  <c r="AC58" i="4" a="1"/>
  <c r="AD48" i="4" a="1"/>
  <c r="AD54" i="4" a="1"/>
  <c r="AC46" i="4" a="1"/>
  <c r="AD47" i="4" a="1"/>
  <c r="AC60" i="4" a="1"/>
  <c r="AC42" i="4" a="1"/>
  <c r="AC49" i="4" a="1"/>
  <c r="AD62" i="4" a="1"/>
  <c r="AD57" i="4" a="1"/>
  <c r="AD52" i="4" a="1"/>
  <c r="AD43" i="4" a="1"/>
  <c r="AC57" i="4" a="1"/>
  <c r="AC56" i="4" a="1"/>
  <c r="AC61" i="4" a="1"/>
  <c r="AD42" i="4" a="1"/>
  <c r="AC59" i="4" a="1"/>
  <c r="AD51" i="4" a="1"/>
  <c r="AD63" i="4" a="1"/>
  <c r="AC62" i="4" a="1"/>
  <c r="AD44" i="4" a="1"/>
  <c r="AD39" i="4" a="1"/>
  <c r="AC44" i="4" a="1"/>
  <c r="AC47" i="4" a="1"/>
  <c r="AD53" i="4" a="1"/>
  <c r="AC48" i="4" a="1"/>
  <c r="AD56" i="4" a="1"/>
  <c r="AD59" i="4" a="1"/>
  <c r="AC40" i="4"/>
  <c r="X173" i="4" a="1"/>
  <c r="D173" i="4" a="1"/>
  <c r="H173" i="4" a="1"/>
  <c r="T173" i="4" a="1"/>
  <c r="V173" i="4" a="1"/>
  <c r="AG173" i="4" a="1"/>
  <c r="M173" i="4" a="1"/>
  <c r="C173" i="4" a="1"/>
  <c r="I173" i="4" a="1"/>
  <c r="J173" i="4" a="1"/>
  <c r="AE173" i="4" a="1"/>
  <c r="AF173" i="4" a="1"/>
  <c r="O173" i="4" a="1"/>
  <c r="L173" i="4" a="1"/>
  <c r="Q173" i="4" a="1"/>
  <c r="Z173" i="4" a="1"/>
  <c r="U173" i="4" a="1"/>
  <c r="F173" i="4" a="1"/>
  <c r="AB173" i="4" a="1"/>
  <c r="K173" i="4" a="1"/>
  <c r="G173" i="4" a="1"/>
  <c r="P173" i="4" a="1"/>
  <c r="W173" i="4" a="1"/>
  <c r="S173" i="4" a="1"/>
  <c r="Y173" i="4" a="1"/>
  <c r="AD173" i="4" a="1"/>
  <c r="R173" i="4" a="1"/>
  <c r="AC173" i="4" a="1"/>
  <c r="N173" i="4" a="1"/>
  <c r="AA173" i="4" a="1"/>
  <c r="E173" i="4" a="1"/>
  <c r="K174" i="4" l="1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6" i="3"/>
  <c r="AC43" i="4"/>
  <c r="G9" i="3"/>
  <c r="F125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23" i="3"/>
  <c r="F127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22" i="3"/>
  <c r="F124" i="3"/>
  <c r="F128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7" i="3"/>
  <c r="F112" i="3"/>
  <c r="J142" i="3"/>
  <c r="C39" i="4"/>
  <c r="G112" i="3"/>
  <c r="E112" i="3"/>
  <c r="AH40" i="4"/>
  <c r="AH39" i="4"/>
  <c r="AH38" i="4"/>
  <c r="E35" i="3"/>
  <c r="S127" i="3"/>
  <c r="S9" i="3"/>
  <c r="S126" i="3"/>
  <c r="S134" i="3"/>
  <c r="E71" i="3"/>
  <c r="AB97" i="3"/>
  <c r="O97" i="3" s="1"/>
  <c r="S124" i="3"/>
  <c r="S132" i="3"/>
  <c r="S128" i="3"/>
  <c r="E33" i="3"/>
  <c r="S123" i="3"/>
  <c r="AB96" i="3"/>
  <c r="O96" i="3" s="1"/>
  <c r="S130" i="3"/>
  <c r="S131" i="3"/>
  <c r="E39" i="3"/>
  <c r="AE47" i="3" s="1"/>
  <c r="AF47" i="3" s="1"/>
  <c r="AG47" i="3" s="1"/>
  <c r="AD47" i="3" s="1"/>
  <c r="S125" i="3"/>
  <c r="S129" i="3"/>
  <c r="E41" i="3"/>
  <c r="E69" i="3"/>
  <c r="G84" i="3" s="1"/>
  <c r="S122" i="3"/>
  <c r="S133" i="3"/>
  <c r="N93" i="4" a="1"/>
  <c r="V125" i="3" a="1"/>
  <c r="N71" i="3" a="1"/>
  <c r="I126" i="3" a="1"/>
  <c r="I128" i="3" a="1"/>
  <c r="I125" i="3" a="1"/>
  <c r="I127" i="3" a="1"/>
  <c r="N92" i="4" a="1"/>
  <c r="N89" i="4" a="1"/>
  <c r="N41" i="3" a="1"/>
  <c r="N33" i="3" a="1"/>
  <c r="N94" i="4" a="1"/>
  <c r="I124" i="3" a="1"/>
  <c r="N39" i="3" a="1"/>
  <c r="V128" i="3" a="1"/>
  <c r="V127" i="3" a="1"/>
  <c r="V131" i="3" a="1"/>
  <c r="V133" i="3" a="1"/>
  <c r="I123" i="3" a="1"/>
  <c r="I122" i="3" a="1"/>
  <c r="V129" i="3" a="1"/>
  <c r="V126" i="3" a="1"/>
  <c r="V134" i="3" a="1"/>
  <c r="N90" i="4" a="1"/>
  <c r="V130" i="3" a="1"/>
  <c r="V132" i="3" a="1"/>
  <c r="P84" i="3" a="1"/>
  <c r="N88" i="4" a="1"/>
  <c r="V124" i="3" a="1"/>
  <c r="J9" i="3" a="1"/>
  <c r="N69" i="3" a="1"/>
  <c r="V9" i="3" a="1"/>
  <c r="V123" i="3" a="1"/>
  <c r="V122" i="3" a="1"/>
  <c r="N35" i="3" a="1"/>
  <c r="N91" i="4" a="1"/>
  <c r="AE64" i="4" l="1"/>
  <c r="AH64" i="4"/>
  <c r="AK64" i="4" s="1"/>
  <c r="N88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33" i="3"/>
  <c r="V130" i="3"/>
  <c r="N71" i="3"/>
  <c r="I122" i="3"/>
  <c r="I123" i="3"/>
  <c r="N39" i="3"/>
  <c r="V131" i="3"/>
  <c r="V122" i="3"/>
  <c r="V134" i="3"/>
  <c r="I125" i="3"/>
  <c r="J9" i="3"/>
  <c r="V123" i="3"/>
  <c r="N41" i="3"/>
  <c r="V9" i="3"/>
  <c r="V129" i="3"/>
  <c r="V128" i="3"/>
  <c r="V127" i="3"/>
  <c r="I126" i="3"/>
  <c r="N69" i="3"/>
  <c r="V126" i="3"/>
  <c r="N33" i="3"/>
  <c r="V125" i="3"/>
  <c r="V132" i="3"/>
  <c r="N35" i="3"/>
  <c r="V124" i="3"/>
  <c r="I128" i="3"/>
  <c r="I124" i="3"/>
  <c r="I127" i="3"/>
  <c r="H89" i="3"/>
  <c r="AH45" i="4"/>
  <c r="AE54" i="4"/>
  <c r="AK54" i="4" s="1"/>
  <c r="AE55" i="4"/>
  <c r="AH55" i="4"/>
  <c r="AD36" i="3"/>
  <c r="AE36" i="3" s="1"/>
  <c r="AE51" i="4"/>
  <c r="AH51" i="4"/>
  <c r="AH47" i="4"/>
  <c r="AE47" i="4"/>
  <c r="AD61" i="3"/>
  <c r="AD62" i="3" s="1"/>
  <c r="AD64" i="3" s="1"/>
  <c r="U60" i="3" s="1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D48" i="3" s="1"/>
  <c r="AD56" i="3"/>
  <c r="AD58" i="3" s="1"/>
  <c r="AE56" i="4"/>
  <c r="AH58" i="4"/>
  <c r="AE58" i="4"/>
  <c r="AE61" i="4"/>
  <c r="AH61" i="4"/>
  <c r="J111" i="3"/>
  <c r="M111" i="3" s="1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AD18" i="4" l="1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AD51" i="3"/>
  <c r="H90" i="3"/>
  <c r="AE63" i="3"/>
  <c r="AD63" i="3" s="1"/>
  <c r="Q111" i="3"/>
  <c r="R111" i="3" s="1"/>
  <c r="M112" i="3"/>
  <c r="J113" i="3" s="1"/>
  <c r="M113" i="3" s="1"/>
  <c r="R114" i="3" s="1"/>
  <c r="AD57" i="3"/>
  <c r="AF57" i="3" s="1"/>
  <c r="AG17" i="4"/>
  <c r="C41" i="4"/>
  <c r="AB40" i="4"/>
  <c r="AD38" i="3"/>
  <c r="AD39" i="3" s="1"/>
  <c r="J90" i="3" a="1"/>
  <c r="AE18" i="4" l="1"/>
  <c r="AG18" i="4" s="1"/>
  <c r="H38" i="4"/>
  <c r="U46" i="3"/>
  <c r="AD52" i="3"/>
  <c r="I49" i="3" s="1"/>
  <c r="H39" i="4"/>
  <c r="AD41" i="3"/>
  <c r="AE41" i="3" s="1"/>
  <c r="AD42" i="3" s="1"/>
  <c r="AE42" i="3" s="1"/>
  <c r="I46" i="3"/>
  <c r="AD65" i="3"/>
  <c r="AE66" i="3" s="1"/>
  <c r="AD66" i="3" s="1"/>
  <c r="I60" i="3" s="1"/>
  <c r="J90" i="3"/>
  <c r="AE19" i="4"/>
  <c r="AD20" i="4"/>
  <c r="AB41" i="4"/>
  <c r="AF41" i="4" s="1"/>
  <c r="AF40" i="4" s="1"/>
  <c r="AL40" i="4" s="1"/>
  <c r="C42" i="4"/>
  <c r="L46" i="3" a="1"/>
  <c r="E46" i="3" a="1"/>
  <c r="L60" i="3" a="1"/>
  <c r="E49" i="3" a="1"/>
  <c r="E60" i="3" a="1"/>
  <c r="L49" i="3" a="1"/>
  <c r="AD53" i="3" l="1"/>
  <c r="U49" i="3" s="1"/>
  <c r="E49" i="3"/>
  <c r="L49" i="3"/>
  <c r="AM40" i="4"/>
  <c r="AN40" i="4" s="1"/>
  <c r="I40" i="4" s="1"/>
  <c r="H40" i="4"/>
  <c r="AL41" i="4"/>
  <c r="E60" i="3"/>
  <c r="L60" i="3"/>
  <c r="E46" i="3"/>
  <c r="L46" i="3"/>
  <c r="AB42" i="4"/>
  <c r="C43" i="4"/>
  <c r="AE20" i="4"/>
  <c r="AG20" i="4" s="1"/>
  <c r="AD21" i="4"/>
  <c r="AG19" i="4"/>
  <c r="H41" i="4" l="1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2" i="4" a="1"/>
  <c r="K38" i="4" a="1"/>
  <c r="K41" i="4" a="1"/>
  <c r="K45" i="4" a="1"/>
  <c r="K44" i="4" a="1"/>
  <c r="K43" i="4" a="1"/>
  <c r="K39" i="4" a="1"/>
  <c r="K40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N47" i="4" a="1"/>
  <c r="N39" i="4" a="1"/>
  <c r="N44" i="4" a="1"/>
  <c r="N40" i="4" a="1"/>
  <c r="N45" i="4" a="1"/>
  <c r="N41" i="4" a="1"/>
  <c r="K47" i="4" a="1"/>
  <c r="K46" i="4" a="1"/>
  <c r="N42" i="4" a="1"/>
  <c r="N38" i="4" a="1"/>
  <c r="N43" i="4" a="1"/>
  <c r="N46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6" i="4"/>
  <c r="N42" i="4"/>
  <c r="N47" i="4"/>
  <c r="N45" i="4"/>
  <c r="N43" i="4"/>
  <c r="N40" i="4"/>
  <c r="N38" i="4"/>
  <c r="N41" i="4"/>
  <c r="N44" i="4"/>
  <c r="N39" i="4"/>
  <c r="P47" i="4"/>
  <c r="AB49" i="4"/>
  <c r="AF49" i="4" s="1"/>
  <c r="C50" i="4"/>
  <c r="AF48" i="4" l="1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0" i="4"/>
  <c r="N51" i="4" a="1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4" i="4" a="1"/>
  <c r="N55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4" i="4" a="1"/>
  <c r="K55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K56" i="4" a="1"/>
  <c r="N57" i="4" a="1"/>
  <c r="N57" i="4" l="1"/>
  <c r="K56" i="4"/>
  <c r="AF58" i="4"/>
  <c r="AL58" i="4" s="1"/>
  <c r="AL59" i="4"/>
  <c r="C61" i="4"/>
  <c r="AB60" i="4"/>
  <c r="N58" i="4" a="1"/>
  <c r="K59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K58" i="4" a="1"/>
  <c r="N59" i="4" a="1"/>
  <c r="N59" i="4" l="1"/>
  <c r="K58" i="4"/>
  <c r="AF60" i="4"/>
  <c r="AL60" i="4" s="1"/>
  <c r="AL61" i="4"/>
  <c r="AB62" i="4"/>
  <c r="C63" i="4"/>
  <c r="N60" i="4" a="1"/>
  <c r="K61" i="4" a="1"/>
  <c r="K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AF64" i="4" s="1"/>
  <c r="AL64" i="4" s="1"/>
  <c r="N61" i="4" a="1"/>
  <c r="N61" i="4" l="1"/>
  <c r="AF62" i="4"/>
  <c r="AL62" i="4" s="1"/>
  <c r="AL63" i="4"/>
  <c r="N63" i="4" a="1"/>
  <c r="N62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K63" i="4" a="1"/>
  <c r="K62" i="4" a="1"/>
  <c r="N64" i="4" a="1"/>
  <c r="K64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<sst xmlns="http://schemas.openxmlformats.org/spreadsheetml/2006/main" count="735" uniqueCount="431">
  <si>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</si>
  <si>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</si>
  <si>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</si>
  <si>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</si>
  <si>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</si>
  <si>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</si>
  <si>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</si>
  <si>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</si>
  <si>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</si>
  <si>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</si>
  <si>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</si>
  <si>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</si>
  <si>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</si>
  <si>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</si>
  <si>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</si>
  <si>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</si>
  <si>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</si>
  <si>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</si>
  <si>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</si>
  <si>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</si>
  <si>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</si>
  <si>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</si>
  <si>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</si>
  <si>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</si>
  <si>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</si>
  <si>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</si>
  <si>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</si>
  <si>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</si>
  <si>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</si>
  <si>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</si>
  <si>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</si>
  <si>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</si>
  <si>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</si>
  <si>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</si>
  <si>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</si>
  <si>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</si>
  <si>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</si>
  <si>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</si>
  <si>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</si>
  <si>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</si>
  <si>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</si>
  <si>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</si>
  <si>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</si>
  <si>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</si>
  <si>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</si>
  <si>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</si>
  <si>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</si>
  <si>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</si>
  <si>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</si>
  <si>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</si>
  <si>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</si>
  <si>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</si>
  <si>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</si>
  <si>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</si>
  <si>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</si>
  <si>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</si>
  <si>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</si>
  <si>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</si>
  <si>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</si>
  <si>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</si>
  <si>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</si>
  <si>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</si>
  <si>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</si>
  <si>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</si>
  <si>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</si>
  <si>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</si>
  <si>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</si>
  <si>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</si>
  <si>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</si>
  <si>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</si>
  <si>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</si>
  <si>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</si>
  <si>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</si>
  <si>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</si>
  <si>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</si>
  <si>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</si>
  <si>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</si>
  <si>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</si>
  <si>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</si>
  <si>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</si>
  <si>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</si>
  <si>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</si>
  <si>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</si>
  <si>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</si>
  <si>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</si>
  <si>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</si>
  <si>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</si>
  <si>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</si>
  <si>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</si>
  <si>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</si>
  <si>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</si>
  <si>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</si>
  <si>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</si>
  <si>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</si>
  <si>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</si>
  <si>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</si>
  <si>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</si>
  <si>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</si>
  <si>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</si>
  <si>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</si>
  <si>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</si>
  <si>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</si>
  <si>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</si>
  <si>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</si>
  <si>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</si>
  <si>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</si>
  <si>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</si>
  <si>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</si>
  <si>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</si>
  <si>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</si>
  <si>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</si>
  <si>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</si>
  <si>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</si>
  <si>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</si>
  <si>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</si>
  <si>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</si>
  <si>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</si>
  <si>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</si>
  <si>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</si>
  <si>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</si>
  <si>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</si>
  <si>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</si>
  <si>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</si>
  <si>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</si>
  <si>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</si>
  <si>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</si>
  <si>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</si>
  <si>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</si>
  <si>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</si>
  <si>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</si>
  <si>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</si>
  <si>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</si>
  <si>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</si>
  <si>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</si>
  <si>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</si>
  <si>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</si>
  <si>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</si>
  <si>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</si>
  <si>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</si>
  <si>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</si>
  <si>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</si>
  <si>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</si>
  <si>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</si>
  <si>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</si>
  <si>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</si>
  <si>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</si>
  <si>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</si>
  <si>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</si>
  <si>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</si>
  <si>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</si>
  <si>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</si>
  <si>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</si>
  <si>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</si>
  <si>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</si>
  <si>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</si>
  <si>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</si>
  <si>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</si>
  <si>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</si>
  <si>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</si>
  <si>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</si>
  <si>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</si>
  <si>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</si>
  <si>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</si>
  <si>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</si>
  <si>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</si>
  <si>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</si>
  <si>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</si>
  <si>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</si>
  <si>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</si>
  <si>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</si>
  <si>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</si>
  <si>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</si>
  <si>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</si>
  <si>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</si>
  <si>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</si>
  <si>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</si>
  <si>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</si>
  <si>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</si>
  <si>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</si>
  <si>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</si>
  <si>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</si>
  <si>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</si>
  <si>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</si>
  <si>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</si>
  <si>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</si>
  <si>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</si>
  <si>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</si>
  <si>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</si>
  <si>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</si>
  <si>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</si>
  <si>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</si>
  <si>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</si>
  <si>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</si>
  <si>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</si>
  <si>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</si>
  <si>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</si>
  <si>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</si>
  <si>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</si>
  <si>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</si>
  <si>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</si>
  <si>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</si>
  <si>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</si>
  <si>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</si>
  <si>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</si>
  <si>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</si>
  <si>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</si>
  <si>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</si>
  <si>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</si>
  <si>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</si>
  <si>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</si>
  <si>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</si>
  <si>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</si>
  <si>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</si>
  <si>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</si>
  <si>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</si>
  <si>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</si>
  <si>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2015/03/01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</si>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</sst>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9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</cellStyleXfs>
  <cellXfs count="376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6" fillId="0" borderId="0" xfId="0" quotePrefix="1" applyFont="1"/>
    <xf numFmtId="0" fontId="18" fillId="10" borderId="0" xfId="6" applyFont="1" applyAlignment="1"/>
    <xf numFmtId="0" fontId="19" fillId="4" borderId="2" xfId="3" quotePrefix="1" applyFont="1" applyBorder="1" applyAlignment="1"/>
    <xf numFmtId="0" fontId="19" fillId="4" borderId="2" xfId="3" applyFont="1" applyBorder="1" applyAlignment="1"/>
    <xf numFmtId="0" fontId="18" fillId="10" borderId="2" xfId="6" applyFont="1" applyBorder="1" applyAlignment="1"/>
    <xf numFmtId="0" fontId="19" fillId="4" borderId="0" xfId="3" quotePrefix="1" applyFont="1" applyAlignment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3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4" fillId="10" borderId="2" xfId="6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4" fillId="10" borderId="4" xfId="6" applyFont="1" applyBorder="1" applyAlignment="1">
      <alignment horizontal="center"/>
    </xf>
    <xf numFmtId="0" fontId="34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30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30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6" fillId="0" borderId="0" xfId="0" applyFont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8" fillId="0" borderId="0" xfId="0" applyFont="1"/>
    <xf numFmtId="165" fontId="38" fillId="0" borderId="0" xfId="0" applyNumberFormat="1" applyFont="1"/>
    <xf numFmtId="165" fontId="38" fillId="17" borderId="0" xfId="0" applyNumberFormat="1" applyFont="1" applyFill="1"/>
    <xf numFmtId="0" fontId="39" fillId="10" borderId="0" xfId="6" applyFont="1"/>
    <xf numFmtId="165" fontId="39" fillId="10" borderId="0" xfId="6" applyNumberFormat="1" applyFont="1"/>
    <xf numFmtId="2" fontId="38" fillId="0" borderId="0" xfId="0" applyNumberFormat="1" applyFont="1"/>
    <xf numFmtId="2" fontId="39" fillId="10" borderId="0" xfId="6" applyNumberFormat="1" applyFont="1"/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33" fillId="4" borderId="2" xfId="3" applyFont="1" applyBorder="1" applyAlignment="1">
      <alignment horizontal="center" vertical="center" wrapText="1"/>
    </xf>
    <xf numFmtId="0" fontId="33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30" fillId="6" borderId="78" xfId="5" applyFont="1" applyBorder="1" applyAlignment="1">
      <alignment horizontal="center"/>
    </xf>
    <xf numFmtId="0" fontId="30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1" fillId="14" borderId="0" xfId="0" applyNumberFormat="1" applyFont="1" applyFill="1" applyAlignment="1">
      <alignment horizontal="center" vertical="center"/>
    </xf>
    <xf numFmtId="164" fontId="32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4" fillId="10" borderId="4" xfId="6" applyFont="1" applyBorder="1" applyAlignment="1">
      <alignment horizontal="center"/>
    </xf>
    <xf numFmtId="0" fontId="34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 vertical="center"/>
    </xf>
    <xf numFmtId="0" fontId="30" fillId="6" borderId="24" xfId="5" applyFont="1" applyAlignment="1">
      <alignment horizontal="center"/>
    </xf>
    <xf numFmtId="0" fontId="30" fillId="6" borderId="84" xfId="5" applyFont="1" applyBorder="1" applyAlignment="1">
      <alignment horizontal="center"/>
    </xf>
    <xf numFmtId="0" fontId="30" fillId="6" borderId="79" xfId="5" applyFont="1" applyBorder="1" applyAlignment="1">
      <alignment horizontal="center" vertical="center"/>
    </xf>
    <xf numFmtId="0" fontId="30" fillId="6" borderId="80" xfId="5" applyFont="1" applyBorder="1" applyAlignment="1">
      <alignment horizontal="center" vertical="center"/>
    </xf>
    <xf numFmtId="0" fontId="30" fillId="6" borderId="81" xfId="5" applyFont="1" applyBorder="1" applyAlignment="1">
      <alignment horizontal="center" vertical="center"/>
    </xf>
    <xf numFmtId="0" fontId="30" fillId="6" borderId="82" xfId="5" applyFont="1" applyBorder="1" applyAlignment="1">
      <alignment horizontal="center" vertical="center"/>
    </xf>
    <xf numFmtId="0" fontId="34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30" fillId="20" borderId="2" xfId="0" applyNumberFormat="1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0" xfId="0" applyNumberFormat="1"/>
    <xf numFmtId="0" fontId="0" fillId="18" borderId="93" xfId="0" applyFont="1" applyFill="1" applyBorder="1"/>
    <xf numFmtId="0" fontId="0" fillId="0" borderId="93" xfId="0" applyFont="1" applyBorder="1"/>
    <xf numFmtId="0" fontId="0" fillId="18" borderId="92" xfId="0" applyNumberFormat="1" applyFont="1" applyFill="1" applyBorder="1"/>
    <xf numFmtId="0" fontId="0" fillId="18" borderId="93" xfId="0" applyNumberFormat="1" applyFont="1" applyFill="1" applyBorder="1"/>
    <xf numFmtId="0" fontId="0" fillId="18" borderId="94" xfId="0" applyNumberFormat="1" applyFont="1" applyFill="1" applyBorder="1"/>
    <xf numFmtId="0" fontId="0" fillId="0" borderId="92" xfId="0" applyNumberFormat="1" applyFont="1" applyBorder="1"/>
    <xf numFmtId="0" fontId="0" fillId="0" borderId="93" xfId="0" applyNumberFormat="1" applyFont="1" applyBorder="1"/>
    <xf numFmtId="0" fontId="0" fillId="0" borderId="94" xfId="0" applyNumberFormat="1" applyFont="1" applyBorder="1"/>
  </cellXfs>
  <cellStyles count="8">
    <cellStyle name="60 % - Accent5" xfId="7" builtinId="48" customBuiltin="1"/>
    <cellStyle name="Calcul" xfId="1" builtinId="22" customBuiltin="1"/>
    <cellStyle name="Entrée" xfId="2" builtinId="20" customBuiltin="1"/>
    <cellStyle name="Neutre" xfId="6" builtinId="28"/>
    <cellStyle name="Normal" xfId="0" builtinId="0"/>
    <cellStyle name="Note" xfId="5" builtinId="10"/>
    <cellStyle name="Satisfaisant" xfId="3" builtinId="26"/>
    <cellStyle name="Vérification" xfId="4" builtinId="23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ECEBFF"/>
      <color rgb="FFD5FFDA"/>
      <color rgb="FFFFC7C1"/>
      <color rgb="FFC5FFC5"/>
      <color rgb="FF66FF66"/>
      <color rgb="FF00FF00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75</xdr:row>
      <xdr:rowOff>47626</xdr:rowOff>
    </xdr:from>
    <xdr:to>
      <xdr:col>35</xdr:col>
      <xdr:colOff>825235</xdr:colOff>
      <xdr:row>105</xdr:row>
      <xdr:rowOff>37042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28" zoomScaleNormal="100" workbookViewId="0">
      <selection activeCell="J89" sqref="J89:O89"/>
    </sheetView>
  </sheetViews>
  <sheetFormatPr baseColWidth="10"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183" t="s">
        <v>79</v>
      </c>
      <c r="D1" s="183"/>
      <c r="E1" s="183"/>
      <c r="F1" s="183"/>
      <c r="G1" s="184" t="s">
        <v>80</v>
      </c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AB1" s="17"/>
      <c r="AC1" s="18"/>
      <c r="AD1" s="18"/>
      <c r="AM1" s="5"/>
    </row>
    <row r="2" spans="1:54" s="1" customFormat="1" ht="15" customHeight="1">
      <c r="C2" s="183"/>
      <c r="D2" s="183"/>
      <c r="E2" s="183"/>
      <c r="F2" s="183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AB2" s="17"/>
      <c r="AC2" s="18"/>
      <c r="AD2" s="18"/>
      <c r="AM2" s="5"/>
    </row>
    <row r="3" spans="1:54" s="1" customFormat="1" ht="15" customHeight="1">
      <c r="C3" s="183"/>
      <c r="D3" s="183"/>
      <c r="E3" s="183"/>
      <c r="F3" s="183"/>
      <c r="G3" s="185" t="s">
        <v>82</v>
      </c>
      <c r="H3" s="185"/>
      <c r="I3" s="185"/>
      <c r="J3" s="187" t="s">
        <v>81</v>
      </c>
      <c r="K3" s="187"/>
      <c r="L3" s="187"/>
      <c r="AB3" s="17"/>
      <c r="AC3" s="18"/>
      <c r="AD3" s="18"/>
      <c r="AM3" s="5"/>
    </row>
    <row r="4" spans="1:54" s="1" customFormat="1" ht="15" customHeight="1">
      <c r="C4" s="183"/>
      <c r="D4" s="183"/>
      <c r="E4" s="183"/>
      <c r="F4" s="183"/>
      <c r="G4" s="186"/>
      <c r="H4" s="186"/>
      <c r="I4" s="186"/>
      <c r="J4" s="188"/>
      <c r="K4" s="188"/>
      <c r="L4" s="188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05" t="s">
        <v>11</v>
      </c>
      <c r="E7" s="205"/>
      <c r="F7" s="205"/>
      <c r="G7" s="205"/>
      <c r="H7" s="205"/>
      <c r="I7" s="205"/>
      <c r="J7" s="14"/>
      <c r="O7" s="206" t="s">
        <v>12</v>
      </c>
      <c r="P7" s="207"/>
      <c r="Q7" s="207"/>
      <c r="R7" s="207"/>
      <c r="S7" s="207"/>
      <c r="T7" s="207"/>
      <c r="U7" s="208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09" t="s">
        <v>8</v>
      </c>
      <c r="E8" s="209"/>
      <c r="F8" s="209"/>
      <c r="G8" s="210" t="s">
        <v>7</v>
      </c>
      <c r="H8" s="210"/>
      <c r="I8" s="210"/>
      <c r="J8" s="211" t="s">
        <v>16</v>
      </c>
      <c r="K8" s="211"/>
      <c r="L8" s="211"/>
      <c r="M8" s="211"/>
      <c r="N8" s="211"/>
      <c r="O8" s="212" t="s">
        <v>13</v>
      </c>
      <c r="P8" s="213"/>
      <c r="Q8" s="213"/>
      <c r="R8" s="214"/>
      <c r="S8" s="215" t="s">
        <v>14</v>
      </c>
      <c r="T8" s="216"/>
      <c r="U8" s="217"/>
      <c r="V8" s="211" t="s">
        <v>16</v>
      </c>
      <c r="W8" s="211"/>
      <c r="X8" s="211"/>
      <c r="Y8" s="211"/>
      <c r="Z8" s="211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18" t="s">
        <v>26</v>
      </c>
      <c r="E9" s="219"/>
      <c r="F9" s="219"/>
      <c r="G9" s="210">
        <f t="array" ref="G9">heureConvert2Decimal(D9)</f>
        <v>11.983333333333333</v>
      </c>
      <c r="H9" s="210"/>
      <c r="I9" s="210"/>
      <c r="J9" s="220" t="str">
        <f t="array" ref="J9">heureDecimal2Txt(G9)</f>
        <v>11:59:00.00(11.9833)</v>
      </c>
      <c r="K9" s="220"/>
      <c r="L9" s="220"/>
      <c r="M9" s="220"/>
      <c r="N9" s="220"/>
      <c r="O9" s="229" t="s">
        <v>147</v>
      </c>
      <c r="P9" s="230"/>
      <c r="Q9" s="230"/>
      <c r="R9" s="231"/>
      <c r="S9" s="223">
        <f t="array" ref="S9">angleConvert2Decimal(O9)</f>
        <v>0.46666666666666667</v>
      </c>
      <c r="T9" s="224"/>
      <c r="U9" s="225"/>
      <c r="V9" s="220" t="str">
        <f t="array" ref="V9">angleDecimal2Txt(S9)</f>
        <v>+00°28.00 (+00.4666) [+00°28'00.00]</v>
      </c>
      <c r="W9" s="220"/>
      <c r="X9" s="220"/>
      <c r="Y9" s="220"/>
      <c r="Z9" s="220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19"/>
      <c r="E10" s="219"/>
      <c r="F10" s="219"/>
      <c r="G10" s="210"/>
      <c r="H10" s="210"/>
      <c r="I10" s="210"/>
      <c r="J10" s="220"/>
      <c r="K10" s="220"/>
      <c r="L10" s="220"/>
      <c r="M10" s="220"/>
      <c r="N10" s="220"/>
      <c r="O10" s="232"/>
      <c r="P10" s="233"/>
      <c r="Q10" s="233"/>
      <c r="R10" s="234"/>
      <c r="S10" s="226"/>
      <c r="T10" s="227"/>
      <c r="U10" s="228"/>
      <c r="V10" s="220"/>
      <c r="W10" s="220"/>
      <c r="X10" s="220"/>
      <c r="Y10" s="220"/>
      <c r="Z10" s="220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18"/>
      <c r="E11" s="219"/>
      <c r="F11" s="219"/>
      <c r="G11" s="210">
        <v>11.9</v>
      </c>
      <c r="H11" s="210"/>
      <c r="I11" s="210"/>
      <c r="J11" s="220" t="str">
        <f t="array" ref="J11">heureDecimal2Txt(G11)</f>
        <v>11:54:00.00(11.9000)</v>
      </c>
      <c r="K11" s="220"/>
      <c r="L11" s="220"/>
      <c r="M11" s="220"/>
      <c r="N11" s="220"/>
      <c r="O11" s="229"/>
      <c r="P11" s="230"/>
      <c r="Q11" s="230"/>
      <c r="R11" s="231"/>
      <c r="S11" s="223">
        <f>S9-59.2166667</f>
        <v>-58.750000033333329</v>
      </c>
      <c r="T11" s="224"/>
      <c r="U11" s="225"/>
      <c r="V11" s="220" t="str">
        <f t="array" ref="V11">angleDecimal2Txt(S11)</f>
        <v>-58°45.00 (-58.7500) [-58°45'00.00]</v>
      </c>
      <c r="W11" s="220"/>
      <c r="X11" s="220"/>
      <c r="Y11" s="220"/>
      <c r="Z11" s="220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19"/>
      <c r="E12" s="219"/>
      <c r="F12" s="219"/>
      <c r="G12" s="210"/>
      <c r="H12" s="210"/>
      <c r="I12" s="210"/>
      <c r="J12" s="220"/>
      <c r="K12" s="220"/>
      <c r="L12" s="220"/>
      <c r="M12" s="220"/>
      <c r="N12" s="220"/>
      <c r="O12" s="232"/>
      <c r="P12" s="233"/>
      <c r="Q12" s="233"/>
      <c r="R12" s="234"/>
      <c r="S12" s="226"/>
      <c r="T12" s="227"/>
      <c r="U12" s="228"/>
      <c r="V12" s="220"/>
      <c r="W12" s="220"/>
      <c r="X12" s="220"/>
      <c r="Y12" s="220"/>
      <c r="Z12" s="220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35" t="s">
        <v>17</v>
      </c>
      <c r="E14" s="236"/>
      <c r="F14" s="237"/>
      <c r="G14" s="14"/>
      <c r="H14" s="14"/>
      <c r="I14" s="235" t="s">
        <v>35</v>
      </c>
      <c r="J14" s="236"/>
      <c r="K14" s="237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21" t="s">
        <v>44</v>
      </c>
      <c r="X14" s="221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23</v>
      </c>
      <c r="J15" s="24" t="s">
        <v>30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21" t="s">
        <v>45</v>
      </c>
      <c r="X15" s="221"/>
      <c r="Y15" s="19" t="s">
        <v>46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30</v>
      </c>
      <c r="J16" s="27" t="s">
        <v>23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50" t="s">
        <v>50</v>
      </c>
      <c r="X16" s="250"/>
      <c r="Y16" s="29" t="s">
        <v>49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21" t="s">
        <v>47</v>
      </c>
      <c r="X17" s="222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21" t="s">
        <v>48</v>
      </c>
      <c r="X18" s="222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21" t="s">
        <v>53</v>
      </c>
      <c r="X19" s="221"/>
      <c r="Y19" s="37" t="s">
        <v>51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21" t="s">
        <v>52</v>
      </c>
      <c r="X20" s="222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21" t="s">
        <v>54</v>
      </c>
      <c r="X21" s="222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57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21" t="s">
        <v>55</v>
      </c>
      <c r="X22" s="221"/>
      <c r="Y22" s="194" t="s">
        <v>56</v>
      </c>
      <c r="Z22" s="194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193"/>
      <c r="X23" s="193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108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2:65" s="1" customFormat="1" ht="15" customHeight="1" thickTop="1">
      <c r="C33" s="146" t="s">
        <v>36</v>
      </c>
      <c r="D33" s="238" t="s">
        <v>20</v>
      </c>
      <c r="E33" s="169">
        <f t="array" ref="E33">angleConvert2Decimal(I33)*VLOOKUP(H33,$D$16:$F$17,3)</f>
        <v>49.1</v>
      </c>
      <c r="F33" s="169"/>
      <c r="G33" s="170"/>
      <c r="H33" s="242" t="s">
        <v>1</v>
      </c>
      <c r="I33" s="244">
        <v>49.1</v>
      </c>
      <c r="J33" s="245"/>
      <c r="K33" s="245"/>
      <c r="L33" s="245"/>
      <c r="M33" s="246"/>
      <c r="N33" s="157" t="str">
        <f t="array" ref="N33">angleDecimal2Txt(E33)</f>
        <v>+49°06.00 (+49.1000) [+49°06'00.00]</v>
      </c>
      <c r="O33" s="157"/>
      <c r="P33" s="157"/>
      <c r="Q33" s="157"/>
      <c r="R33" s="157"/>
      <c r="S33" s="157"/>
      <c r="T33" s="157"/>
      <c r="U33" s="157"/>
      <c r="V33" s="157"/>
      <c r="W33" s="158"/>
      <c r="AA33" s="17"/>
      <c r="AB33" s="40" t="s">
        <v>109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2:65" s="1" customFormat="1" ht="15" customHeight="1" thickBot="1">
      <c r="C34" s="164"/>
      <c r="D34" s="239"/>
      <c r="E34" s="171"/>
      <c r="F34" s="171"/>
      <c r="G34" s="172"/>
      <c r="H34" s="243"/>
      <c r="I34" s="247"/>
      <c r="J34" s="248"/>
      <c r="K34" s="248"/>
      <c r="L34" s="248"/>
      <c r="M34" s="249"/>
      <c r="N34" s="159"/>
      <c r="O34" s="159"/>
      <c r="P34" s="159"/>
      <c r="Q34" s="159"/>
      <c r="R34" s="159"/>
      <c r="S34" s="159"/>
      <c r="T34" s="159"/>
      <c r="U34" s="159"/>
      <c r="V34" s="159"/>
      <c r="W34" s="160"/>
      <c r="X34" s="1" t="s">
        <v>116</v>
      </c>
      <c r="AA34" s="17"/>
      <c r="AB34" s="41" t="s">
        <v>104</v>
      </c>
      <c r="AC34" s="14"/>
      <c r="AD34" s="42" t="s">
        <v>25</v>
      </c>
      <c r="AE34" s="42" t="s">
        <v>27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2:65" s="1" customFormat="1" ht="15" customHeight="1" thickTop="1">
      <c r="C35" s="164"/>
      <c r="D35" s="240" t="s">
        <v>21</v>
      </c>
      <c r="E35" s="169">
        <f t="array" ref="E35">angleConvert2Decimal(I35)*VLOOKUP(H35,$E$16:$F$17,2)</f>
        <v>2.5</v>
      </c>
      <c r="F35" s="169"/>
      <c r="G35" s="170"/>
      <c r="H35" s="173" t="s">
        <v>3</v>
      </c>
      <c r="I35" s="175">
        <v>2.5</v>
      </c>
      <c r="J35" s="176"/>
      <c r="K35" s="176"/>
      <c r="L35" s="176"/>
      <c r="M35" s="177"/>
      <c r="N35" s="157" t="str">
        <f t="array" ref="N35">angleDecimal2Txt(E35)</f>
        <v>+02°30.00 (+02.5000) [+02°30'00.00]</v>
      </c>
      <c r="O35" s="157"/>
      <c r="P35" s="157"/>
      <c r="Q35" s="157"/>
      <c r="R35" s="157"/>
      <c r="S35" s="157"/>
      <c r="T35" s="157"/>
      <c r="U35" s="157"/>
      <c r="V35" s="157"/>
      <c r="W35" s="158"/>
      <c r="AA35" s="17"/>
      <c r="AB35" s="14"/>
      <c r="AC35" s="43" t="s">
        <v>105</v>
      </c>
      <c r="AD35" s="16">
        <f>$E$41-$E$35</f>
        <v>136.6</v>
      </c>
      <c r="AE35" s="42">
        <f>AD35*AC33</f>
        <v>2.3841197582242541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2:65" s="1" customFormat="1" ht="15" customHeight="1" thickBot="1">
      <c r="C36" s="165"/>
      <c r="D36" s="241"/>
      <c r="E36" s="171"/>
      <c r="F36" s="171"/>
      <c r="G36" s="172"/>
      <c r="H36" s="174"/>
      <c r="I36" s="178"/>
      <c r="J36" s="179"/>
      <c r="K36" s="179"/>
      <c r="L36" s="179"/>
      <c r="M36" s="180"/>
      <c r="N36" s="159"/>
      <c r="O36" s="159"/>
      <c r="P36" s="159"/>
      <c r="Q36" s="159"/>
      <c r="R36" s="159"/>
      <c r="S36" s="159"/>
      <c r="T36" s="159"/>
      <c r="U36" s="159"/>
      <c r="V36" s="159"/>
      <c r="W36" s="160"/>
      <c r="Z36" s="12"/>
      <c r="AA36" s="44"/>
      <c r="AB36" s="14"/>
      <c r="AC36" s="43" t="s">
        <v>106</v>
      </c>
      <c r="AD36" s="16">
        <f>$E$39-$E$33</f>
        <v>-0.10000000000000142</v>
      </c>
      <c r="AE36" s="42">
        <f>AD36*AC33</f>
        <v>-1.7453292519943543E-3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2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107</v>
      </c>
      <c r="AD37" s="43">
        <f>(E39+E33)/2</f>
        <v>49.05</v>
      </c>
      <c r="AE37" s="42">
        <f>AD37*AC33</f>
        <v>0.85608399810321856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2:65" s="1" customFormat="1" ht="15" customHeight="1" thickBot="1">
      <c r="C38" s="14"/>
      <c r="Y38" s="14"/>
      <c r="Z38" s="12"/>
      <c r="AA38" s="44"/>
      <c r="AB38" s="14"/>
      <c r="AC38" s="43" t="s">
        <v>126</v>
      </c>
      <c r="AD38" s="43">
        <f>ABS(AE35/AE36)*COS(AE37)</f>
        <v>895.27663346549798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2:65" s="1" customFormat="1" ht="15" customHeight="1" thickTop="1">
      <c r="C39" s="146" t="s">
        <v>9</v>
      </c>
      <c r="D39" s="238" t="s">
        <v>20</v>
      </c>
      <c r="E39" s="169">
        <f t="array" ref="E39">angleConvert2Decimal(I39)</f>
        <v>49</v>
      </c>
      <c r="F39" s="169"/>
      <c r="G39" s="170"/>
      <c r="H39" s="242" t="s">
        <v>1</v>
      </c>
      <c r="I39" s="244">
        <v>49</v>
      </c>
      <c r="J39" s="245"/>
      <c r="K39" s="245"/>
      <c r="L39" s="245"/>
      <c r="M39" s="246"/>
      <c r="N39" s="157" t="str">
        <f t="array" ref="N39">angleDecimal2Txt(E39)</f>
        <v>+49°00.00 (+49.0000) [+49°00'00.00]</v>
      </c>
      <c r="O39" s="157"/>
      <c r="P39" s="157"/>
      <c r="Q39" s="157"/>
      <c r="R39" s="157"/>
      <c r="S39" s="157"/>
      <c r="T39" s="157"/>
      <c r="U39" s="157"/>
      <c r="V39" s="157"/>
      <c r="W39" s="158"/>
      <c r="Y39" s="14"/>
      <c r="Z39" s="12"/>
      <c r="AA39" s="44"/>
      <c r="AB39" s="14"/>
      <c r="AC39" s="45" t="s">
        <v>117</v>
      </c>
      <c r="AD39" s="45">
        <f>ATAN(AD38)*$AC$32</f>
        <v>89.936002176820651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2:65" s="1" customFormat="1" ht="15" customHeight="1" thickBot="1">
      <c r="C40" s="164"/>
      <c r="D40" s="239"/>
      <c r="E40" s="171"/>
      <c r="F40" s="171"/>
      <c r="G40" s="172"/>
      <c r="H40" s="243"/>
      <c r="I40" s="247"/>
      <c r="J40" s="248"/>
      <c r="K40" s="248"/>
      <c r="L40" s="248"/>
      <c r="M40" s="249"/>
      <c r="N40" s="159"/>
      <c r="O40" s="159"/>
      <c r="P40" s="159"/>
      <c r="Q40" s="159"/>
      <c r="R40" s="159"/>
      <c r="S40" s="159"/>
      <c r="T40" s="159"/>
      <c r="U40" s="159"/>
      <c r="V40" s="159"/>
      <c r="W40" s="160"/>
      <c r="X40" s="1" t="s">
        <v>115</v>
      </c>
      <c r="Y40" s="14"/>
      <c r="Z40" s="12"/>
      <c r="AA40" s="44"/>
      <c r="AB40" s="14"/>
      <c r="AC40" s="45" t="s">
        <v>118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2:65" s="1" customFormat="1" ht="15" customHeight="1" thickTop="1">
      <c r="C41" s="164"/>
      <c r="D41" s="240" t="s">
        <v>21</v>
      </c>
      <c r="E41" s="169">
        <f t="array" ref="E41">angleConvert2Decimal(I41)*VLOOKUP(H41,$E$16:$F$17,2)</f>
        <v>139.1</v>
      </c>
      <c r="F41" s="169"/>
      <c r="G41" s="170"/>
      <c r="H41" s="173" t="s">
        <v>3</v>
      </c>
      <c r="I41" s="175">
        <v>139.1</v>
      </c>
      <c r="J41" s="176"/>
      <c r="K41" s="176"/>
      <c r="L41" s="176"/>
      <c r="M41" s="177"/>
      <c r="N41" s="157" t="str">
        <f t="array" ref="N41">angleDecimal2Txt(E41)</f>
        <v>+139°06.00 (+139.0999) [+139°06'00.00]</v>
      </c>
      <c r="O41" s="157"/>
      <c r="P41" s="157"/>
      <c r="Q41" s="157"/>
      <c r="R41" s="157"/>
      <c r="S41" s="157"/>
      <c r="T41" s="157"/>
      <c r="U41" s="157"/>
      <c r="V41" s="157"/>
      <c r="W41" s="158"/>
      <c r="Y41" s="14"/>
      <c r="Z41" s="12"/>
      <c r="AA41" s="44"/>
      <c r="AB41" s="14"/>
      <c r="AC41" s="45" t="s">
        <v>39</v>
      </c>
      <c r="AD41" s="45">
        <f>IF(AD40="NE",AD39,IF(AD40="NW",360-AD39,IF(AD40="SE",180-AD39,180+AD39)))</f>
        <v>90.063997823179349</v>
      </c>
      <c r="AE41" s="14">
        <f>AD41*AC33</f>
        <v>1.5719132995234855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2:65" s="1" customFormat="1" ht="15" customHeight="1" thickBot="1">
      <c r="C42" s="165"/>
      <c r="D42" s="241"/>
      <c r="E42" s="171"/>
      <c r="F42" s="171"/>
      <c r="G42" s="172"/>
      <c r="H42" s="174"/>
      <c r="I42" s="178"/>
      <c r="J42" s="179"/>
      <c r="K42" s="179"/>
      <c r="L42" s="179"/>
      <c r="M42" s="180"/>
      <c r="N42" s="159"/>
      <c r="O42" s="159"/>
      <c r="P42" s="159"/>
      <c r="Q42" s="159"/>
      <c r="R42" s="159"/>
      <c r="S42" s="159"/>
      <c r="T42" s="159"/>
      <c r="U42" s="159"/>
      <c r="V42" s="159"/>
      <c r="W42" s="160"/>
      <c r="Y42" s="14"/>
      <c r="Z42" s="12"/>
      <c r="AA42" s="44"/>
      <c r="AB42" s="14"/>
      <c r="AC42" s="45" t="s">
        <v>110</v>
      </c>
      <c r="AD42" s="45">
        <f>60*AD36/COS(AE41)</f>
        <v>5371.6631517123951</v>
      </c>
      <c r="AE42" s="14">
        <f>AD42*1.852</f>
        <v>9948.3201569713565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2:65" ht="15" customHeight="1">
      <c r="Z43" s="12"/>
      <c r="AA43" s="44"/>
      <c r="AB43" s="46" t="s">
        <v>111</v>
      </c>
      <c r="AC43" s="14"/>
      <c r="AE43" s="12"/>
      <c r="AF43" s="12"/>
      <c r="AG43" s="12"/>
    </row>
    <row r="44" spans="2:65" ht="15" customHeight="1">
      <c r="Z44" s="12"/>
      <c r="AA44" s="44"/>
      <c r="AB44" s="14"/>
      <c r="AC44" s="47" t="s">
        <v>105</v>
      </c>
      <c r="AD44" s="48">
        <f>$E$41-$E$35</f>
        <v>136.6</v>
      </c>
      <c r="AE44" s="49">
        <f>AD44*AC33</f>
        <v>2.3841197582242541</v>
      </c>
      <c r="AF44" s="12"/>
      <c r="AG44" s="12"/>
    </row>
    <row r="45" spans="2:65" ht="15" customHeight="1">
      <c r="E45" s="198" t="s">
        <v>128</v>
      </c>
      <c r="F45" s="198"/>
      <c r="G45" s="198"/>
      <c r="H45" s="198"/>
      <c r="I45" s="198"/>
      <c r="J45" s="198"/>
      <c r="K45" s="198"/>
      <c r="L45" s="198"/>
      <c r="M45" s="198"/>
      <c r="N45" s="198"/>
      <c r="O45" s="198"/>
      <c r="P45" s="198"/>
      <c r="Q45" s="198"/>
      <c r="R45" s="198"/>
      <c r="S45" s="198"/>
      <c r="U45" s="252" t="s">
        <v>37</v>
      </c>
      <c r="V45" s="253"/>
      <c r="W45" s="253"/>
      <c r="X45" s="254"/>
      <c r="AB45" s="14"/>
      <c r="AC45" s="50" t="s">
        <v>106</v>
      </c>
      <c r="AD45" s="16">
        <f>$E$39-$E$33</f>
        <v>-0.10000000000000142</v>
      </c>
      <c r="AE45" s="51" t="s">
        <v>120</v>
      </c>
      <c r="AF45" s="51" t="s">
        <v>121</v>
      </c>
      <c r="AG45" s="51" t="s">
        <v>122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2:65" s="1" customFormat="1" ht="15" customHeight="1">
      <c r="B46" s="197" t="s">
        <v>127</v>
      </c>
      <c r="C46" s="197"/>
      <c r="D46" s="14"/>
      <c r="E46" s="275" t="str">
        <f t="array" ref="E46">angleDecimal2Txt(I46,0)</f>
        <v>+90°00.00</v>
      </c>
      <c r="F46" s="275"/>
      <c r="G46" s="275"/>
      <c r="H46" s="275"/>
      <c r="I46" s="138">
        <f>IF(OR(AF57,AE55),AD58,AD41)</f>
        <v>90</v>
      </c>
      <c r="J46" s="138"/>
      <c r="K46" s="138"/>
      <c r="L46" s="139" t="str">
        <f t="array" ref="L46">angleDecimal2Txt(I46)</f>
        <v>+90°00.00 (+90.0000) [+90°00'00.00]</v>
      </c>
      <c r="M46" s="139"/>
      <c r="N46" s="139"/>
      <c r="O46" s="139"/>
      <c r="P46" s="139"/>
      <c r="Q46" s="139"/>
      <c r="R46" s="139"/>
      <c r="S46" s="139"/>
      <c r="U46" s="140">
        <f>IF(OR(AF57,AE55),AD59,AD42)</f>
        <v>5371.6598007930643</v>
      </c>
      <c r="V46" s="141"/>
      <c r="W46" s="141"/>
      <c r="X46" s="142"/>
      <c r="AA46" s="17"/>
      <c r="AB46" s="14"/>
      <c r="AC46" s="50" t="s">
        <v>113</v>
      </c>
      <c r="AD46" s="11">
        <f>AG46</f>
        <v>0.98647087183363136</v>
      </c>
      <c r="AE46" s="51">
        <f>PI()/4 + E33*$AC$33/2</f>
        <v>1.2138764947620562</v>
      </c>
      <c r="AF46" s="51">
        <f>TAN(AE46)</f>
        <v>2.6817535005930826</v>
      </c>
      <c r="AG46" s="51">
        <f>LN(AF46)</f>
        <v>0.98647087183363136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2:65" s="1" customFormat="1" ht="15" customHeight="1">
      <c r="B47" s="197"/>
      <c r="C47" s="197"/>
      <c r="D47" s="14"/>
      <c r="E47" s="275"/>
      <c r="F47" s="275"/>
      <c r="G47" s="275"/>
      <c r="H47" s="275"/>
      <c r="I47" s="138"/>
      <c r="J47" s="138"/>
      <c r="K47" s="138"/>
      <c r="L47" s="139"/>
      <c r="M47" s="139"/>
      <c r="N47" s="139"/>
      <c r="O47" s="139"/>
      <c r="P47" s="139"/>
      <c r="Q47" s="139"/>
      <c r="R47" s="139"/>
      <c r="S47" s="139"/>
      <c r="U47" s="143"/>
      <c r="V47" s="144"/>
      <c r="W47" s="144"/>
      <c r="X47" s="145"/>
      <c r="AA47" s="17"/>
      <c r="AB47" s="14"/>
      <c r="AC47" s="50" t="s">
        <v>112</v>
      </c>
      <c r="AD47" s="11">
        <f>AG47</f>
        <v>0.98380787273879144</v>
      </c>
      <c r="AE47" s="51">
        <f>PI()/4 + E39*$AC$33/2</f>
        <v>1.2130038301360591</v>
      </c>
      <c r="AF47" s="51">
        <f>TAN(AE47)</f>
        <v>2.674621493926824</v>
      </c>
      <c r="AG47" s="51">
        <f>LN(AF47)</f>
        <v>0.98380787273879144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2:65" ht="15" customHeight="1">
      <c r="AB48" s="14"/>
      <c r="AC48" s="50" t="s">
        <v>114</v>
      </c>
      <c r="AD48" s="11">
        <f>AD47-AD46</f>
        <v>-2.6629990948399129E-3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153" t="s">
        <v>111</v>
      </c>
      <c r="C49" s="153"/>
      <c r="E49" s="275" t="str">
        <f t="array" ref="E49">angleDecimal2Txt(I49,0)</f>
        <v>+90°03.83</v>
      </c>
      <c r="F49" s="275"/>
      <c r="G49" s="275"/>
      <c r="H49" s="275"/>
      <c r="I49" s="138">
        <f>AD52</f>
        <v>90.063997852876852</v>
      </c>
      <c r="J49" s="138"/>
      <c r="K49" s="138"/>
      <c r="L49" s="139" t="str">
        <f t="array" ref="L49">angleDecimal2Txt(I49)</f>
        <v>+90°03.83 (+90.0639) [+90°03'50.39]</v>
      </c>
      <c r="M49" s="139"/>
      <c r="N49" s="139"/>
      <c r="O49" s="139"/>
      <c r="P49" s="139"/>
      <c r="Q49" s="139"/>
      <c r="R49" s="139"/>
      <c r="S49" s="139"/>
      <c r="T49" s="1"/>
      <c r="U49" s="140">
        <f>AD53</f>
        <v>5371.6606590521533</v>
      </c>
      <c r="V49" s="141"/>
      <c r="W49" s="141"/>
      <c r="X49" s="142"/>
      <c r="AB49" s="14"/>
      <c r="AC49" s="43" t="s">
        <v>126</v>
      </c>
      <c r="AD49" s="42">
        <f>ABS(AE44/AD48)</f>
        <v>895.2762180219878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153"/>
      <c r="C50" s="153"/>
      <c r="E50" s="275"/>
      <c r="F50" s="275"/>
      <c r="G50" s="275"/>
      <c r="H50" s="275"/>
      <c r="I50" s="138"/>
      <c r="J50" s="138"/>
      <c r="K50" s="138"/>
      <c r="L50" s="139"/>
      <c r="M50" s="139"/>
      <c r="N50" s="139"/>
      <c r="O50" s="139"/>
      <c r="P50" s="139"/>
      <c r="Q50" s="139"/>
      <c r="R50" s="139"/>
      <c r="S50" s="139"/>
      <c r="T50" s="1"/>
      <c r="U50" s="143"/>
      <c r="V50" s="144"/>
      <c r="W50" s="144"/>
      <c r="X50" s="145"/>
      <c r="AA50" s="17"/>
      <c r="AB50" s="14"/>
      <c r="AC50" s="45" t="s">
        <v>117</v>
      </c>
      <c r="AD50" s="52">
        <f>ATAN(AD49)*$AC$32</f>
        <v>89.936002147123148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118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39</v>
      </c>
      <c r="AD52" s="45">
        <f>IF(AD51="NE",AD50,IF(AD51="NW",360-AD50,IF(AD51="SE",180-AD50,180+AD50)))</f>
        <v>90.063997852876852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110</v>
      </c>
      <c r="AD53" s="45">
        <f>ABS(60*AD45/COS(AD52*$AC$33))</f>
        <v>5371.6606590521533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119</v>
      </c>
      <c r="AC54" s="12"/>
      <c r="AD54" s="12"/>
      <c r="AE54" s="12" t="s">
        <v>124</v>
      </c>
      <c r="AF54" s="12" t="s">
        <v>125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123</v>
      </c>
      <c r="AD55" s="54">
        <f>E39-E33</f>
        <v>-0.10000000000000142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105</v>
      </c>
      <c r="AD56" s="48">
        <f>$E$41-$E$35</f>
        <v>136.6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126</v>
      </c>
      <c r="AD57" s="12">
        <f>ABS(AE35/AE36)*COS(AE37)</f>
        <v>895.27663346549798</v>
      </c>
      <c r="AF57" s="14" t="b">
        <f>IF(IFERROR(AD57,TRUE), TRUE, IF((AD57&gt;AF55),TRUE,FALSE))</f>
        <v>1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39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198" t="s">
        <v>129</v>
      </c>
      <c r="F59" s="198"/>
      <c r="G59" s="198"/>
      <c r="H59" s="198"/>
      <c r="I59" s="198"/>
      <c r="J59" s="198"/>
      <c r="K59" s="198"/>
      <c r="L59" s="198"/>
      <c r="M59" s="198"/>
      <c r="N59" s="198"/>
      <c r="O59" s="198"/>
      <c r="P59" s="198"/>
      <c r="Q59" s="198"/>
      <c r="R59" s="198"/>
      <c r="S59" s="198"/>
      <c r="U59" s="252" t="s">
        <v>37</v>
      </c>
      <c r="V59" s="253"/>
      <c r="W59" s="253"/>
      <c r="X59" s="254"/>
      <c r="AB59" s="12"/>
      <c r="AC59" s="57" t="s">
        <v>110</v>
      </c>
      <c r="AD59" s="57">
        <f>60 * ABS(AD56 * COS(AE37))</f>
        <v>5371.6598007930643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197" t="s">
        <v>111</v>
      </c>
      <c r="C60" s="197"/>
      <c r="E60" s="275" t="str">
        <f t="array" ref="E60">angleDecimal2Txt(I60,0)</f>
        <v>+67°43.11</v>
      </c>
      <c r="F60" s="275"/>
      <c r="G60" s="275"/>
      <c r="H60" s="275"/>
      <c r="I60" s="138">
        <f>AD66</f>
        <v>67.718563531590618</v>
      </c>
      <c r="J60" s="138"/>
      <c r="K60" s="138"/>
      <c r="L60" s="139" t="str">
        <f t="array" ref="L60">angleDecimal2Txt(I60)</f>
        <v>+67°43.11 (+67.7185) [+67°43'06.82]</v>
      </c>
      <c r="M60" s="139"/>
      <c r="N60" s="139"/>
      <c r="O60" s="139"/>
      <c r="P60" s="139"/>
      <c r="Q60" s="139"/>
      <c r="R60" s="139"/>
      <c r="S60" s="139"/>
      <c r="T60" s="1"/>
      <c r="U60" s="140">
        <f>AD64</f>
        <v>4501.6667210167871</v>
      </c>
      <c r="V60" s="141"/>
      <c r="W60" s="141"/>
      <c r="X60" s="142"/>
      <c r="AB60" s="41" t="s">
        <v>130</v>
      </c>
      <c r="AC60" s="12"/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197"/>
      <c r="C61" s="197"/>
      <c r="E61" s="275"/>
      <c r="F61" s="275"/>
      <c r="G61" s="275"/>
      <c r="H61" s="275"/>
      <c r="I61" s="138"/>
      <c r="J61" s="138"/>
      <c r="K61" s="138"/>
      <c r="L61" s="139"/>
      <c r="M61" s="139"/>
      <c r="N61" s="139"/>
      <c r="O61" s="139"/>
      <c r="P61" s="139"/>
      <c r="Q61" s="139"/>
      <c r="R61" s="139"/>
      <c r="S61" s="139"/>
      <c r="T61" s="1"/>
      <c r="U61" s="143"/>
      <c r="V61" s="144"/>
      <c r="W61" s="144"/>
      <c r="X61" s="145"/>
      <c r="AB61" s="12"/>
      <c r="AC61" s="12" t="s">
        <v>131</v>
      </c>
      <c r="AD61" s="54">
        <f>E41-E35</f>
        <v>136.6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132</v>
      </c>
      <c r="AD62" s="12">
        <f>SIN(E39*AC33)*SIN(E33*AC33)+COS(E39*AC33)*COS(E33*AC33)*COS(AD61*AC33)</f>
        <v>0.25835070537528781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AB63" s="12"/>
      <c r="AC63" s="14" t="s">
        <v>45</v>
      </c>
      <c r="AD63" s="14">
        <f>AE63*AC32</f>
        <v>75.027778683613121</v>
      </c>
      <c r="AE63" s="14">
        <f>ACOS(AD62)</f>
        <v>1.309481768486666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AB64" s="12"/>
      <c r="AC64" s="58" t="s">
        <v>134</v>
      </c>
      <c r="AD64" s="56">
        <f>60*ACOS(AD62)*AC32</f>
        <v>4501.6667210167871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AB65" s="12"/>
      <c r="AC65" s="12" t="s">
        <v>133</v>
      </c>
      <c r="AD65" s="12">
        <f>((SIN(E39*AC33)-SIN(E33*AC33)*AD62)/SIN(AE63)*COS(E33*AC33))</f>
        <v>0.37915637652931999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135</v>
      </c>
      <c r="AD66" s="56">
        <f>AE66*AC32</f>
        <v>67.718563531590618</v>
      </c>
      <c r="AE66" s="14">
        <f>ACOS(AD65)</f>
        <v>1.1819118983472154</v>
      </c>
      <c r="AF66" s="12"/>
      <c r="AG66" s="12"/>
    </row>
    <row r="67" spans="2:65" s="1" customFormat="1" ht="15" customHeight="1" thickBot="1">
      <c r="B67" s="2" t="s">
        <v>38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146" t="s">
        <v>36</v>
      </c>
      <c r="D69" s="199" t="s">
        <v>20</v>
      </c>
      <c r="E69" s="169">
        <f t="array" ref="E69">angleConvert2Decimal(I69)*VLOOKUP(H69,D16:F17,3)</f>
        <v>40.016666666666666</v>
      </c>
      <c r="F69" s="169"/>
      <c r="G69" s="170"/>
      <c r="H69" s="242" t="s">
        <v>1</v>
      </c>
      <c r="I69" s="244" t="s">
        <v>102</v>
      </c>
      <c r="J69" s="245"/>
      <c r="K69" s="245"/>
      <c r="L69" s="245"/>
      <c r="M69" s="246"/>
      <c r="N69" s="157" t="str">
        <f t="array" ref="N69">angleDecimal2Txt(E69)</f>
        <v>+40°01.00 (+40.0166) [+40°01'00.00]</v>
      </c>
      <c r="O69" s="157"/>
      <c r="P69" s="157"/>
      <c r="Q69" s="157"/>
      <c r="R69" s="157"/>
      <c r="S69" s="157"/>
      <c r="T69" s="157"/>
      <c r="U69" s="157"/>
      <c r="V69" s="157"/>
      <c r="W69" s="158"/>
      <c r="AA69" s="17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164"/>
      <c r="D70" s="200"/>
      <c r="E70" s="171"/>
      <c r="F70" s="171"/>
      <c r="G70" s="172"/>
      <c r="H70" s="243"/>
      <c r="I70" s="247"/>
      <c r="J70" s="248"/>
      <c r="K70" s="248"/>
      <c r="L70" s="248"/>
      <c r="M70" s="249"/>
      <c r="N70" s="159"/>
      <c r="O70" s="159"/>
      <c r="P70" s="159"/>
      <c r="Q70" s="159"/>
      <c r="R70" s="159"/>
      <c r="S70" s="159"/>
      <c r="T70" s="159"/>
      <c r="U70" s="159"/>
      <c r="V70" s="159"/>
      <c r="W70" s="160"/>
      <c r="AA70" s="17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164"/>
      <c r="D71" s="200" t="s">
        <v>21</v>
      </c>
      <c r="E71" s="169">
        <f t="array" ref="E71">angleConvert2Decimal(I71)*VLOOKUP(H71,E16:F18,2)</f>
        <v>5.7166666666666668</v>
      </c>
      <c r="F71" s="169"/>
      <c r="G71" s="170"/>
      <c r="H71" s="173" t="s">
        <v>3</v>
      </c>
      <c r="I71" s="175" t="s">
        <v>103</v>
      </c>
      <c r="J71" s="176"/>
      <c r="K71" s="176"/>
      <c r="L71" s="176"/>
      <c r="M71" s="177"/>
      <c r="N71" s="157" t="str">
        <f t="array" ref="N71">angleDecimal2Txt(E71)</f>
        <v>+05°43.00 (+05.7166) [+05°43'00.00]</v>
      </c>
      <c r="O71" s="157"/>
      <c r="P71" s="157"/>
      <c r="Q71" s="157"/>
      <c r="R71" s="157"/>
      <c r="S71" s="157"/>
      <c r="T71" s="157"/>
      <c r="U71" s="157"/>
      <c r="V71" s="157"/>
      <c r="W71" s="158"/>
      <c r="AA71" s="17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165"/>
      <c r="D72" s="201"/>
      <c r="E72" s="171"/>
      <c r="F72" s="171"/>
      <c r="G72" s="172"/>
      <c r="H72" s="174"/>
      <c r="I72" s="178"/>
      <c r="J72" s="179"/>
      <c r="K72" s="179"/>
      <c r="L72" s="179"/>
      <c r="M72" s="180"/>
      <c r="N72" s="159"/>
      <c r="O72" s="159"/>
      <c r="P72" s="159"/>
      <c r="Q72" s="159"/>
      <c r="R72" s="159"/>
      <c r="S72" s="159"/>
      <c r="T72" s="159"/>
      <c r="U72" s="159"/>
      <c r="V72" s="159"/>
      <c r="W72" s="160"/>
      <c r="AA72" s="17"/>
      <c r="AB72" s="12" t="s">
        <v>137</v>
      </c>
      <c r="AC72" s="12">
        <f>F75*K15</f>
        <v>2.0943951023931953</v>
      </c>
      <c r="AD72" s="12" t="s">
        <v>27</v>
      </c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110</v>
      </c>
      <c r="AC73" s="12">
        <f>F77*F79/60</f>
        <v>0.33333333333333331</v>
      </c>
      <c r="AD73" s="12" t="s">
        <v>25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146" t="s">
        <v>40</v>
      </c>
      <c r="D75" s="151" t="s">
        <v>41</v>
      </c>
      <c r="E75" s="152"/>
      <c r="F75" s="167">
        <v>120</v>
      </c>
      <c r="G75" s="168"/>
      <c r="H75" s="168"/>
      <c r="I75" s="204">
        <v>120</v>
      </c>
      <c r="J75" s="204"/>
      <c r="K75" s="204"/>
      <c r="L75" s="204"/>
      <c r="M75" s="204"/>
      <c r="N75" s="157" t="str">
        <f t="array" ref="N75">angleDecimal2Txt(F75)</f>
        <v>+120°00.00 (+120.0000) [+120°00'00.00]</v>
      </c>
      <c r="O75" s="157"/>
      <c r="P75" s="157"/>
      <c r="Q75" s="157"/>
      <c r="R75" s="157"/>
      <c r="S75" s="157"/>
      <c r="T75" s="157"/>
      <c r="U75" s="157"/>
      <c r="V75" s="157"/>
      <c r="W75" s="158"/>
      <c r="AA75" s="17"/>
      <c r="AB75" s="12" t="s">
        <v>138</v>
      </c>
      <c r="AC75" s="12">
        <f>E69+AC73*COS(AC72)</f>
        <v>39.85</v>
      </c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147"/>
      <c r="D76" s="153"/>
      <c r="E76" s="154"/>
      <c r="F76" s="167"/>
      <c r="G76" s="168"/>
      <c r="H76" s="168"/>
      <c r="I76" s="204"/>
      <c r="J76" s="204"/>
      <c r="K76" s="204"/>
      <c r="L76" s="204"/>
      <c r="M76" s="204"/>
      <c r="N76" s="159"/>
      <c r="O76" s="159"/>
      <c r="P76" s="159"/>
      <c r="Q76" s="159"/>
      <c r="R76" s="159"/>
      <c r="S76" s="159"/>
      <c r="T76" s="159"/>
      <c r="U76" s="159"/>
      <c r="V76" s="159"/>
      <c r="W76" s="160"/>
      <c r="AA76" s="17"/>
      <c r="AB76" s="12" t="s">
        <v>139</v>
      </c>
      <c r="AC76" s="12">
        <f>(AC75+E69)/2</f>
        <v>39.933333333333337</v>
      </c>
      <c r="AD76" s="12">
        <f>AC76*K15</f>
        <v>0.69696814796306905</v>
      </c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147"/>
      <c r="D77" s="153" t="s">
        <v>40</v>
      </c>
      <c r="E77" s="154"/>
      <c r="F77" s="167">
        <f>I77</f>
        <v>10</v>
      </c>
      <c r="G77" s="168"/>
      <c r="H77" s="168"/>
      <c r="I77" s="204">
        <v>10</v>
      </c>
      <c r="J77" s="204"/>
      <c r="K77" s="204"/>
      <c r="L77" s="204"/>
      <c r="M77" s="204"/>
      <c r="N77" s="276"/>
      <c r="O77" s="276"/>
      <c r="P77" s="276"/>
      <c r="Q77" s="276"/>
      <c r="R77" s="276"/>
      <c r="S77" s="276"/>
      <c r="T77" s="276"/>
      <c r="U77" s="276"/>
      <c r="V77" s="276"/>
      <c r="W77" s="276"/>
      <c r="AA77" s="17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147"/>
      <c r="D78" s="153"/>
      <c r="E78" s="154"/>
      <c r="F78" s="167"/>
      <c r="G78" s="168"/>
      <c r="H78" s="168"/>
      <c r="I78" s="204"/>
      <c r="J78" s="204"/>
      <c r="K78" s="204"/>
      <c r="L78" s="204"/>
      <c r="M78" s="204"/>
      <c r="N78" s="276"/>
      <c r="O78" s="276"/>
      <c r="P78" s="276"/>
      <c r="Q78" s="276"/>
      <c r="R78" s="276"/>
      <c r="S78" s="276"/>
      <c r="T78" s="276"/>
      <c r="U78" s="276"/>
      <c r="V78" s="276"/>
      <c r="W78" s="276"/>
      <c r="AA78" s="17"/>
      <c r="AB78" s="1" t="s">
        <v>55</v>
      </c>
      <c r="AC78" s="1">
        <f>E71+AC73*SIN(AC72)/COS(AD76)</f>
        <v>6.0931379837585844</v>
      </c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147"/>
      <c r="D79" s="153" t="s">
        <v>43</v>
      </c>
      <c r="E79" s="154"/>
      <c r="F79" s="167">
        <v>2</v>
      </c>
      <c r="G79" s="168"/>
      <c r="H79" s="168"/>
      <c r="I79" s="166" t="s">
        <v>136</v>
      </c>
      <c r="J79" s="166"/>
      <c r="K79" s="166"/>
      <c r="L79" s="166"/>
      <c r="M79" s="166"/>
      <c r="N79" s="157" t="str">
        <f t="array" ref="N79">heureDecimal2Txt(F79)</f>
        <v>02:00:00.00(02.0000)</v>
      </c>
      <c r="O79" s="157"/>
      <c r="P79" s="157"/>
      <c r="Q79" s="157"/>
      <c r="R79" s="157"/>
      <c r="S79" s="157"/>
      <c r="T79" s="157"/>
      <c r="U79" s="157"/>
      <c r="V79" s="157"/>
      <c r="W79" s="158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148"/>
      <c r="D80" s="181"/>
      <c r="E80" s="182"/>
      <c r="F80" s="167"/>
      <c r="G80" s="168"/>
      <c r="H80" s="168"/>
      <c r="I80" s="166"/>
      <c r="J80" s="166"/>
      <c r="K80" s="166"/>
      <c r="L80" s="166"/>
      <c r="M80" s="166"/>
      <c r="N80" s="159"/>
      <c r="O80" s="159"/>
      <c r="P80" s="159"/>
      <c r="Q80" s="159"/>
      <c r="R80" s="159"/>
      <c r="S80" s="159"/>
      <c r="T80" s="159"/>
      <c r="U80" s="159"/>
      <c r="V80" s="159"/>
      <c r="W80" s="160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161" t="s">
        <v>42</v>
      </c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3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02" t="s">
        <v>20</v>
      </c>
      <c r="G84" s="149">
        <f>E69+F77*F79*COS(F75*K15)/60</f>
        <v>39.85</v>
      </c>
      <c r="H84" s="149"/>
      <c r="I84" s="149"/>
      <c r="J84" s="149"/>
      <c r="K84" s="149"/>
      <c r="L84" s="149"/>
      <c r="M84" s="149"/>
      <c r="N84" s="149"/>
      <c r="O84" s="149"/>
      <c r="P84" s="277" t="str">
        <f t="array" ref="P84">angleDecimal2Txt(G84)</f>
        <v>+39°51.00 (+39.8500) [+39°51'00.00]</v>
      </c>
      <c r="Q84" s="277"/>
      <c r="R84" s="277"/>
      <c r="S84" s="277"/>
      <c r="T84" s="277"/>
      <c r="U84" s="277"/>
      <c r="V84" s="277"/>
      <c r="W84" s="277"/>
      <c r="X84" s="277"/>
      <c r="Y84" s="278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03"/>
      <c r="G85" s="149"/>
      <c r="H85" s="149"/>
      <c r="I85" s="149"/>
      <c r="J85" s="149"/>
      <c r="K85" s="149"/>
      <c r="L85" s="149"/>
      <c r="M85" s="149"/>
      <c r="N85" s="149"/>
      <c r="O85" s="149"/>
      <c r="P85" s="159"/>
      <c r="Q85" s="159"/>
      <c r="R85" s="159"/>
      <c r="S85" s="159"/>
      <c r="T85" s="159"/>
      <c r="U85" s="159"/>
      <c r="V85" s="159"/>
      <c r="W85" s="159"/>
      <c r="X85" s="159"/>
      <c r="Y85" s="160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155" t="s">
        <v>21</v>
      </c>
      <c r="G86" s="150">
        <f>AC78</f>
        <v>6.0931379837585844</v>
      </c>
      <c r="H86" s="149"/>
      <c r="I86" s="149"/>
      <c r="J86" s="149"/>
      <c r="K86" s="149"/>
      <c r="L86" s="149"/>
      <c r="M86" s="149"/>
      <c r="N86" s="149"/>
      <c r="O86" s="149"/>
      <c r="P86" s="157" t="str">
        <f t="array" ref="P86">angleDecimal2Txt(G86)</f>
        <v>+06°05.58 (+06.0931) [+06°05'35.29]</v>
      </c>
      <c r="Q86" s="157"/>
      <c r="R86" s="157"/>
      <c r="S86" s="157"/>
      <c r="T86" s="157"/>
      <c r="U86" s="157"/>
      <c r="V86" s="157"/>
      <c r="W86" s="157"/>
      <c r="X86" s="157"/>
      <c r="Y86" s="158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156"/>
      <c r="G87" s="149"/>
      <c r="H87" s="149"/>
      <c r="I87" s="149"/>
      <c r="J87" s="149"/>
      <c r="K87" s="149"/>
      <c r="L87" s="149"/>
      <c r="M87" s="149"/>
      <c r="N87" s="149"/>
      <c r="O87" s="149"/>
      <c r="P87" s="159"/>
      <c r="Q87" s="159"/>
      <c r="R87" s="159"/>
      <c r="S87" s="159"/>
      <c r="T87" s="159"/>
      <c r="U87" s="159"/>
      <c r="V87" s="159"/>
      <c r="W87" s="159"/>
      <c r="X87" s="159"/>
      <c r="Y87" s="160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106</v>
      </c>
      <c r="G89" s="60"/>
      <c r="H89" s="195">
        <f>G84-E69</f>
        <v>-0.1666666666666643</v>
      </c>
      <c r="I89" s="196"/>
      <c r="J89" s="196" t="str">
        <f t="array" ref="J89">angleDecimal2Txt(H89)</f>
        <v>-00°09.99 (-00.1666) [-00°09'59.99]</v>
      </c>
      <c r="K89" s="196"/>
      <c r="L89" s="196"/>
      <c r="M89" s="196"/>
      <c r="N89" s="196"/>
      <c r="O89" s="196"/>
      <c r="AB89" s="12"/>
      <c r="AC89" s="12"/>
      <c r="AD89" s="12"/>
    </row>
    <row r="90" spans="2:61" ht="15" customHeight="1">
      <c r="F90" s="60" t="s">
        <v>140</v>
      </c>
      <c r="G90" s="60"/>
      <c r="H90" s="195">
        <f>G86-E71</f>
        <v>0.37647131709191761</v>
      </c>
      <c r="I90" s="196"/>
      <c r="J90" s="196" t="str">
        <f t="array" ref="J90">angleDecimal2Txt(H90)</f>
        <v>+00°22.58 (+00.3764) [+00°22'35.29]</v>
      </c>
      <c r="K90" s="196"/>
      <c r="L90" s="196"/>
      <c r="M90" s="196"/>
      <c r="N90" s="196"/>
      <c r="O90" s="196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149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56" t="s">
        <v>10</v>
      </c>
      <c r="D96" s="257"/>
      <c r="E96" s="257"/>
      <c r="F96" s="257"/>
      <c r="G96" s="257"/>
      <c r="H96" s="258"/>
      <c r="I96" s="262">
        <f>AB96</f>
        <v>-0.05</v>
      </c>
      <c r="J96" s="263"/>
      <c r="K96" s="263"/>
      <c r="L96" s="264" t="s">
        <v>59</v>
      </c>
      <c r="M96" s="265"/>
      <c r="N96" s="265"/>
      <c r="O96" s="192">
        <f>AB96</f>
        <v>-0.05</v>
      </c>
      <c r="P96" s="192"/>
      <c r="Q96" s="192"/>
      <c r="R96" s="192"/>
      <c r="S96" s="192"/>
      <c r="T96" s="192"/>
      <c r="U96" s="192"/>
      <c r="V96" s="192"/>
      <c r="W96" s="192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1:60" s="1" customFormat="1" ht="15" customHeight="1" thickTop="1" thickBot="1">
      <c r="C97" s="189" t="s">
        <v>15</v>
      </c>
      <c r="D97" s="189"/>
      <c r="E97" s="189"/>
      <c r="F97" s="189"/>
      <c r="G97" s="189"/>
      <c r="H97" s="189"/>
      <c r="I97" s="190">
        <f>AB97</f>
        <v>2.5833333333333335</v>
      </c>
      <c r="J97" s="191"/>
      <c r="K97" s="191"/>
      <c r="L97" s="259" t="s">
        <v>148</v>
      </c>
      <c r="M97" s="260"/>
      <c r="N97" s="261"/>
      <c r="O97" s="192">
        <f>AB97</f>
        <v>2.5833333333333335</v>
      </c>
      <c r="P97" s="192"/>
      <c r="Q97" s="192"/>
      <c r="R97" s="192"/>
      <c r="S97" s="192"/>
      <c r="T97" s="192"/>
      <c r="U97" s="192"/>
      <c r="V97" s="192"/>
      <c r="W97" s="192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1:60" s="1" customFormat="1" ht="15" customHeight="1" thickTop="1" thickBot="1">
      <c r="C98" s="189" t="s">
        <v>60</v>
      </c>
      <c r="D98" s="189"/>
      <c r="E98" s="189"/>
      <c r="F98" s="189"/>
      <c r="G98" s="189"/>
      <c r="H98" s="189"/>
      <c r="I98" s="190">
        <f>AB98</f>
        <v>2.5333333333333337</v>
      </c>
      <c r="J98" s="191"/>
      <c r="K98" s="191"/>
      <c r="L98" s="259" t="s">
        <v>148</v>
      </c>
      <c r="M98" s="260"/>
      <c r="N98" s="261"/>
      <c r="O98" s="192" t="str">
        <f t="array" ref="O98">angleDecimal2Txt(AC98)</f>
        <v>+00°00.00 (+00.0000) [+00°00'00.00]</v>
      </c>
      <c r="P98" s="192"/>
      <c r="Q98" s="192"/>
      <c r="R98" s="192"/>
      <c r="S98" s="192"/>
      <c r="T98" s="192"/>
      <c r="U98" s="192"/>
      <c r="V98" s="192"/>
      <c r="W98" s="192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1:60" s="1" customFormat="1" ht="15" customHeight="1" thickTop="1">
      <c r="C99" s="189" t="s">
        <v>61</v>
      </c>
      <c r="D99" s="189"/>
      <c r="E99" s="189"/>
      <c r="F99" s="189"/>
      <c r="G99" s="189"/>
      <c r="H99" s="189"/>
      <c r="I99" s="190">
        <v>13</v>
      </c>
      <c r="J99" s="191"/>
      <c r="K99" s="191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1:60" ht="15" customHeight="1">
      <c r="AA100" s="14"/>
      <c r="AB100" s="14"/>
      <c r="AC100" s="14"/>
    </row>
    <row r="101" spans="1:60" ht="15" customHeight="1">
      <c r="AA101" s="14"/>
      <c r="AB101" s="14"/>
      <c r="AC101" s="14"/>
    </row>
    <row r="102" spans="1:60" ht="15" customHeight="1">
      <c r="I102" s="255" t="s">
        <v>62</v>
      </c>
      <c r="J102" s="255"/>
      <c r="K102" s="255"/>
      <c r="L102" s="255">
        <f>I99/TAN(I98*PI()/180)</f>
        <v>293.82619257974028</v>
      </c>
      <c r="M102" s="255"/>
      <c r="AA102" s="14"/>
      <c r="AB102" s="14"/>
      <c r="AC102" s="14"/>
    </row>
    <row r="103" spans="1:60" ht="15" customHeight="1">
      <c r="I103" s="255" t="s">
        <v>37</v>
      </c>
      <c r="J103" s="255"/>
      <c r="K103" s="255"/>
      <c r="L103" s="255">
        <f>L102/1852</f>
        <v>0.15865345171692238</v>
      </c>
      <c r="M103" s="255"/>
      <c r="AA103" s="14"/>
      <c r="AB103" s="14"/>
      <c r="AC103" s="14"/>
    </row>
    <row r="104" spans="1:60" ht="15" customHeight="1">
      <c r="AA104" s="14"/>
      <c r="AB104" s="14"/>
      <c r="AC104" s="14"/>
    </row>
    <row r="105" spans="1:60" ht="15" customHeight="1">
      <c r="AA105" s="14"/>
      <c r="AB105" s="14"/>
      <c r="AC105" s="14"/>
    </row>
    <row r="106" spans="1:60" ht="15" customHeight="1">
      <c r="AA106" s="14"/>
      <c r="AB106" s="14"/>
      <c r="AC106" s="14"/>
    </row>
    <row r="107" spans="1:60" ht="15" customHeight="1" thickBot="1">
      <c r="AA107" s="14"/>
      <c r="AB107" s="14"/>
      <c r="AC107" s="14"/>
    </row>
    <row r="108" spans="1:60" ht="15" customHeight="1" thickBot="1">
      <c r="A108" s="1"/>
      <c r="B108" s="2" t="s">
        <v>141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8"/>
      <c r="AB108" s="14"/>
      <c r="AC108" s="14"/>
    </row>
    <row r="109" spans="1:60" ht="1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14"/>
      <c r="AC109" s="14"/>
    </row>
    <row r="110" spans="1:60" ht="15" customHeight="1">
      <c r="A110" s="1"/>
      <c r="C110" s="12"/>
      <c r="D110" s="12"/>
      <c r="E110" s="51" t="s">
        <v>29</v>
      </c>
      <c r="F110" s="51" t="s">
        <v>166</v>
      </c>
      <c r="G110" s="51" t="s">
        <v>22</v>
      </c>
      <c r="H110" s="12"/>
      <c r="I110" s="12"/>
      <c r="J110" s="12"/>
      <c r="K110" s="12"/>
      <c r="L110" s="62"/>
      <c r="M110" s="12"/>
      <c r="N110" s="12"/>
      <c r="O110" s="12"/>
      <c r="P110" s="12" t="s">
        <v>33</v>
      </c>
      <c r="Q110" s="12" t="s">
        <v>145</v>
      </c>
      <c r="R110" s="12" t="s">
        <v>146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4"/>
    </row>
    <row r="111" spans="1:60" ht="15" customHeight="1">
      <c r="A111" s="1"/>
      <c r="B111" s="1"/>
      <c r="C111" s="12"/>
      <c r="D111" s="12"/>
      <c r="E111" s="51">
        <v>23.13</v>
      </c>
      <c r="F111" s="51">
        <v>27.25</v>
      </c>
      <c r="G111" s="51">
        <v>328.93</v>
      </c>
      <c r="H111" s="12"/>
      <c r="I111" s="63" t="s">
        <v>143</v>
      </c>
      <c r="J111" s="63">
        <f>SIN(E112)*SIN(F112)+COS(E112)*COS(G112)*COS(F112)</f>
        <v>0.88012731306072611</v>
      </c>
      <c r="K111" s="12"/>
      <c r="L111" s="64" t="s">
        <v>142</v>
      </c>
      <c r="M111" s="65">
        <f>ASIN(J111)*$K$16</f>
        <v>61.657724934347911</v>
      </c>
      <c r="N111" s="12"/>
      <c r="O111" s="12"/>
      <c r="P111" s="12">
        <v>72.890799999999999</v>
      </c>
      <c r="Q111" s="12">
        <f>P111-M111</f>
        <v>11.233075065652088</v>
      </c>
      <c r="R111" s="12">
        <f>Q111*60</f>
        <v>673.98450393912526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4"/>
    </row>
    <row r="112" spans="1:60" ht="15" customHeight="1">
      <c r="A112" s="1"/>
      <c r="B112" s="1"/>
      <c r="C112" s="12"/>
      <c r="D112" s="12"/>
      <c r="E112" s="66">
        <f>E111*$K$15</f>
        <v>0.4036946559862884</v>
      </c>
      <c r="F112" s="66">
        <f>F111*$K$15</f>
        <v>0.4756022211684548</v>
      </c>
      <c r="G112" s="66">
        <f>G111*$K$15</f>
        <v>5.740911508584948</v>
      </c>
      <c r="H112" s="12"/>
      <c r="I112" s="12"/>
      <c r="J112" s="12"/>
      <c r="K112" s="12"/>
      <c r="L112" s="67"/>
      <c r="M112" s="63">
        <f>M111*$K$15</f>
        <v>1.0761303093933756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4"/>
    </row>
    <row r="113" spans="1:29" ht="15" customHeight="1">
      <c r="A113" s="1"/>
      <c r="B113" s="1"/>
      <c r="C113" s="12"/>
      <c r="D113" s="12"/>
      <c r="E113" s="12"/>
      <c r="F113" s="12"/>
      <c r="G113" s="12"/>
      <c r="H113" s="12"/>
      <c r="I113" s="63" t="s">
        <v>144</v>
      </c>
      <c r="J113" s="63">
        <f>((SIN(E112)-SIN(F112)*SIN(M112))/(COS(F112)*COS(M112)))</f>
        <v>-2.4093493424369321E-2</v>
      </c>
      <c r="K113" s="12"/>
      <c r="L113" s="60" t="s">
        <v>31</v>
      </c>
      <c r="M113" s="60">
        <f>ACOS(J113)*$K$16</f>
        <v>91.380589080089095</v>
      </c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4"/>
    </row>
    <row r="114" spans="1:29" ht="15" customHeight="1">
      <c r="H114" s="12"/>
      <c r="I114" s="12"/>
      <c r="J114" s="12"/>
      <c r="K114" s="12"/>
      <c r="L114" s="12"/>
      <c r="M114" s="12"/>
      <c r="N114" s="12"/>
      <c r="R114" s="14">
        <f>360-M113</f>
        <v>268.61941091991093</v>
      </c>
      <c r="AA114" s="14"/>
      <c r="AB114" s="14"/>
      <c r="AC114" s="14"/>
    </row>
    <row r="115" spans="1:29" ht="15" customHeight="1">
      <c r="H115" s="12"/>
      <c r="I115" s="12"/>
      <c r="J115" s="12"/>
      <c r="K115" s="12"/>
      <c r="L115" s="12"/>
      <c r="M115" s="12"/>
      <c r="N115" s="12"/>
      <c r="AA115" s="14"/>
      <c r="AB115" s="14"/>
      <c r="AC115" s="14"/>
    </row>
    <row r="116" spans="1:29" ht="15" customHeight="1">
      <c r="H116" s="12"/>
      <c r="I116" s="12"/>
      <c r="J116" s="12"/>
      <c r="K116" s="12"/>
      <c r="L116" s="12"/>
      <c r="M116" s="12"/>
      <c r="N116" s="12"/>
      <c r="AA116" s="14"/>
    </row>
    <row r="117" spans="1:29" ht="15" customHeight="1" thickBot="1">
      <c r="H117" s="12"/>
      <c r="I117" s="12"/>
      <c r="J117" s="12"/>
      <c r="K117" s="12"/>
      <c r="L117" s="12"/>
      <c r="M117" s="12"/>
      <c r="N117" s="12"/>
      <c r="AA117" s="14"/>
    </row>
    <row r="118" spans="1:29" ht="15" customHeight="1" thickBot="1">
      <c r="B118" s="2" t="s">
        <v>151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8"/>
    </row>
    <row r="119" spans="1:29" ht="15" customHeight="1">
      <c r="H119" s="12"/>
      <c r="I119" s="12"/>
      <c r="J119" s="12"/>
      <c r="K119" s="12"/>
      <c r="L119" s="12"/>
      <c r="M119" s="12"/>
      <c r="N119" s="12"/>
    </row>
    <row r="120" spans="1:29" ht="15" customHeight="1" thickBot="1">
      <c r="B120" s="14" t="s">
        <v>152</v>
      </c>
      <c r="O120" s="14" t="s">
        <v>153</v>
      </c>
    </row>
    <row r="121" spans="1:29" ht="15" customHeight="1" thickTop="1" thickBot="1">
      <c r="C121" s="251" t="s">
        <v>8</v>
      </c>
      <c r="D121" s="251"/>
      <c r="E121" s="251"/>
      <c r="F121" s="210" t="s">
        <v>7</v>
      </c>
      <c r="G121" s="210"/>
      <c r="H121" s="210"/>
      <c r="I121" s="211" t="s">
        <v>16</v>
      </c>
      <c r="J121" s="211"/>
      <c r="K121" s="211"/>
      <c r="L121" s="211"/>
      <c r="M121" s="211"/>
      <c r="N121" s="10"/>
      <c r="O121" s="282" t="s">
        <v>13</v>
      </c>
      <c r="P121" s="283"/>
      <c r="Q121" s="283"/>
      <c r="R121" s="284"/>
      <c r="S121" s="215" t="s">
        <v>14</v>
      </c>
      <c r="T121" s="216"/>
      <c r="U121" s="217"/>
      <c r="V121" s="211" t="s">
        <v>16</v>
      </c>
      <c r="W121" s="211"/>
      <c r="X121" s="211"/>
      <c r="Y121" s="211"/>
      <c r="Z121" s="211"/>
    </row>
    <row r="122" spans="1:29" ht="15" customHeight="1" thickTop="1" thickBot="1">
      <c r="C122" s="266" t="s">
        <v>26</v>
      </c>
      <c r="D122" s="267"/>
      <c r="E122" s="268"/>
      <c r="F122" s="269">
        <f t="array" ref="F122">heureConvert2Decimal(C122)</f>
        <v>11.983333333333333</v>
      </c>
      <c r="G122" s="270"/>
      <c r="H122" s="271"/>
      <c r="I122" s="272" t="str">
        <f t="array" ref="I122">heureDecimal2Txt(F122)</f>
        <v>11:59:00.00(11.9833)</v>
      </c>
      <c r="J122" s="273"/>
      <c r="K122" s="273"/>
      <c r="L122" s="273"/>
      <c r="M122" s="274"/>
      <c r="O122" s="229" t="s">
        <v>165</v>
      </c>
      <c r="P122" s="230"/>
      <c r="Q122" s="230"/>
      <c r="R122" s="231"/>
      <c r="S122" s="279">
        <f t="array" ref="S122">angleConvert2Decimal(O122)</f>
        <v>1</v>
      </c>
      <c r="T122" s="280"/>
      <c r="U122" s="281"/>
      <c r="V122" s="272" t="str">
        <f t="array" ref="V122">angleDecimal2Txt(S122)</f>
        <v>+01°00.00 (+01.0000) [+01°00'00.00]</v>
      </c>
      <c r="W122" s="273"/>
      <c r="X122" s="273"/>
      <c r="Y122" s="273"/>
      <c r="Z122" s="274"/>
    </row>
    <row r="123" spans="1:29" ht="15" customHeight="1" thickTop="1" thickBot="1">
      <c r="C123" s="266" t="s">
        <v>26</v>
      </c>
      <c r="D123" s="267"/>
      <c r="E123" s="268"/>
      <c r="F123" s="269">
        <f t="array" ref="F123">heureConvert2Decimal(C123)</f>
        <v>11.983333333333333</v>
      </c>
      <c r="G123" s="270"/>
      <c r="H123" s="271"/>
      <c r="I123" s="272" t="str">
        <f t="array" ref="I123">heureDecimal2Txt(F123)</f>
        <v>11:59:00.00(11.9833)</v>
      </c>
      <c r="J123" s="273"/>
      <c r="K123" s="273"/>
      <c r="L123" s="273"/>
      <c r="M123" s="274"/>
      <c r="O123" s="229" t="s">
        <v>147</v>
      </c>
      <c r="P123" s="230"/>
      <c r="Q123" s="230"/>
      <c r="R123" s="231"/>
      <c r="S123" s="279">
        <f t="array" ref="S123">angleConvert2Decimal(O123)</f>
        <v>0.46666666666666667</v>
      </c>
      <c r="T123" s="280"/>
      <c r="U123" s="281"/>
      <c r="V123" s="272" t="str">
        <f t="array" ref="V123">angleDecimal2Txt(S123)</f>
        <v>+00°28.00 (+00.4666) [+00°28'00.00]</v>
      </c>
      <c r="W123" s="273"/>
      <c r="X123" s="273"/>
      <c r="Y123" s="273"/>
      <c r="Z123" s="274"/>
    </row>
    <row r="124" spans="1:29" ht="15" customHeight="1" thickTop="1" thickBot="1">
      <c r="C124" s="266" t="s">
        <v>26</v>
      </c>
      <c r="D124" s="267"/>
      <c r="E124" s="268"/>
      <c r="F124" s="269">
        <f t="array" ref="F124">heureConvert2Decimal(C124)</f>
        <v>11.983333333333333</v>
      </c>
      <c r="G124" s="270"/>
      <c r="H124" s="271"/>
      <c r="I124" s="272" t="str">
        <f t="array" ref="I124">heureDecimal2Txt(F124)</f>
        <v>11:59:00.00(11.9833)</v>
      </c>
      <c r="J124" s="273"/>
      <c r="K124" s="273"/>
      <c r="L124" s="273"/>
      <c r="M124" s="274"/>
      <c r="O124" s="229" t="s">
        <v>147</v>
      </c>
      <c r="P124" s="230"/>
      <c r="Q124" s="230"/>
      <c r="R124" s="231"/>
      <c r="S124" s="279">
        <f t="array" ref="S124">angleConvert2Decimal(O124)</f>
        <v>0.46666666666666667</v>
      </c>
      <c r="T124" s="280"/>
      <c r="U124" s="281"/>
      <c r="V124" s="272" t="str">
        <f t="array" ref="V124">angleDecimal2Txt(S124)</f>
        <v>+00°28.00 (+00.4666) [+00°28'00.00]</v>
      </c>
      <c r="W124" s="273"/>
      <c r="X124" s="273"/>
      <c r="Y124" s="273"/>
      <c r="Z124" s="274"/>
    </row>
    <row r="125" spans="1:29" ht="15" customHeight="1" thickTop="1" thickBot="1">
      <c r="C125" s="266" t="s">
        <v>26</v>
      </c>
      <c r="D125" s="267"/>
      <c r="E125" s="268"/>
      <c r="F125" s="269">
        <f t="array" ref="F125">heureConvert2Decimal(C125)</f>
        <v>11.983333333333333</v>
      </c>
      <c r="G125" s="270"/>
      <c r="H125" s="271"/>
      <c r="I125" s="272" t="str">
        <f t="array" ref="I125">heureDecimal2Txt(F125)</f>
        <v>11:59:00.00(11.9833)</v>
      </c>
      <c r="J125" s="273"/>
      <c r="K125" s="273"/>
      <c r="L125" s="273"/>
      <c r="M125" s="274"/>
      <c r="O125" s="229" t="s">
        <v>147</v>
      </c>
      <c r="P125" s="230"/>
      <c r="Q125" s="230"/>
      <c r="R125" s="231"/>
      <c r="S125" s="279">
        <f t="array" ref="S125">angleConvert2Decimal(O125)</f>
        <v>0.46666666666666667</v>
      </c>
      <c r="T125" s="280"/>
      <c r="U125" s="281"/>
      <c r="V125" s="272" t="str">
        <f t="array" ref="V125">angleDecimal2Txt(S125)</f>
        <v>+00°28.00 (+00.4666) [+00°28'00.00]</v>
      </c>
      <c r="W125" s="273"/>
      <c r="X125" s="273"/>
      <c r="Y125" s="273"/>
      <c r="Z125" s="274"/>
    </row>
    <row r="126" spans="1:29" ht="15" customHeight="1" thickTop="1" thickBot="1">
      <c r="C126" s="266" t="s">
        <v>26</v>
      </c>
      <c r="D126" s="267"/>
      <c r="E126" s="268"/>
      <c r="F126" s="269">
        <f t="array" ref="F126">heureConvert2Decimal(C126)</f>
        <v>11.983333333333333</v>
      </c>
      <c r="G126" s="270"/>
      <c r="H126" s="271"/>
      <c r="I126" s="272" t="str">
        <f t="array" ref="I126">heureDecimal2Txt(F126)</f>
        <v>11:59:00.00(11.9833)</v>
      </c>
      <c r="J126" s="273"/>
      <c r="K126" s="273"/>
      <c r="L126" s="273"/>
      <c r="M126" s="274"/>
      <c r="O126" s="229" t="s">
        <v>147</v>
      </c>
      <c r="P126" s="230"/>
      <c r="Q126" s="230"/>
      <c r="R126" s="231"/>
      <c r="S126" s="279">
        <f t="array" ref="S126">angleConvert2Decimal(O126)</f>
        <v>0.46666666666666667</v>
      </c>
      <c r="T126" s="280"/>
      <c r="U126" s="281"/>
      <c r="V126" s="272" t="str">
        <f t="array" ref="V126">angleDecimal2Txt(S126)</f>
        <v>+00°28.00 (+00.4666) [+00°28'00.00]</v>
      </c>
      <c r="W126" s="273"/>
      <c r="X126" s="273"/>
      <c r="Y126" s="273"/>
      <c r="Z126" s="274"/>
    </row>
    <row r="127" spans="1:29" ht="15" customHeight="1" thickTop="1" thickBot="1">
      <c r="C127" s="266" t="s">
        <v>26</v>
      </c>
      <c r="D127" s="267"/>
      <c r="E127" s="268"/>
      <c r="F127" s="269">
        <f t="array" ref="F127">heureConvert2Decimal(C127)</f>
        <v>11.983333333333333</v>
      </c>
      <c r="G127" s="270"/>
      <c r="H127" s="271"/>
      <c r="I127" s="272" t="str">
        <f t="array" ref="I127">heureDecimal2Txt(F127)</f>
        <v>11:59:00.00(11.9833)</v>
      </c>
      <c r="J127" s="273"/>
      <c r="K127" s="273"/>
      <c r="L127" s="273"/>
      <c r="M127" s="274"/>
      <c r="O127" s="229" t="s">
        <v>147</v>
      </c>
      <c r="P127" s="230"/>
      <c r="Q127" s="230"/>
      <c r="R127" s="231"/>
      <c r="S127" s="279">
        <f t="array" ref="S127">angleConvert2Decimal(O127)</f>
        <v>0.46666666666666667</v>
      </c>
      <c r="T127" s="280"/>
      <c r="U127" s="281"/>
      <c r="V127" s="272" t="str">
        <f t="array" ref="V127">angleDecimal2Txt(S127)</f>
        <v>+00°28.00 (+00.4666) [+00°28'00.00]</v>
      </c>
      <c r="W127" s="273"/>
      <c r="X127" s="273"/>
      <c r="Y127" s="273"/>
      <c r="Z127" s="274"/>
    </row>
    <row r="128" spans="1:29" ht="15" customHeight="1" thickTop="1" thickBot="1">
      <c r="C128" s="266" t="s">
        <v>26</v>
      </c>
      <c r="D128" s="267"/>
      <c r="E128" s="268"/>
      <c r="F128" s="269">
        <f t="array" ref="F128">heureConvert2Decimal(C128)</f>
        <v>11.983333333333333</v>
      </c>
      <c r="G128" s="270"/>
      <c r="H128" s="271"/>
      <c r="I128" s="272" t="str">
        <f t="array" ref="I128">heureDecimal2Txt(F128)</f>
        <v>11:59:00.00(11.9833)</v>
      </c>
      <c r="J128" s="273"/>
      <c r="K128" s="273"/>
      <c r="L128" s="273"/>
      <c r="M128" s="274"/>
      <c r="O128" s="229" t="s">
        <v>147</v>
      </c>
      <c r="P128" s="230"/>
      <c r="Q128" s="230"/>
      <c r="R128" s="231"/>
      <c r="S128" s="279">
        <f t="array" ref="S128">angleConvert2Decimal(O128)</f>
        <v>0.46666666666666667</v>
      </c>
      <c r="T128" s="280"/>
      <c r="U128" s="281"/>
      <c r="V128" s="272" t="str">
        <f t="array" ref="V128">angleDecimal2Txt(S128)</f>
        <v>+00°28.00 (+00.4666) [+00°28'00.00]</v>
      </c>
      <c r="W128" s="273"/>
      <c r="X128" s="273"/>
      <c r="Y128" s="273"/>
      <c r="Z128" s="274"/>
    </row>
    <row r="129" spans="2:27" ht="15" customHeight="1" thickTop="1" thickBot="1">
      <c r="O129" s="229" t="s">
        <v>147</v>
      </c>
      <c r="P129" s="230"/>
      <c r="Q129" s="230"/>
      <c r="R129" s="231"/>
      <c r="S129" s="279">
        <f t="array" ref="S129">angleConvert2Decimal(O129)</f>
        <v>0.46666666666666667</v>
      </c>
      <c r="T129" s="280"/>
      <c r="U129" s="281"/>
      <c r="V129" s="272" t="str">
        <f t="array" ref="V129">angleDecimal2Txt(S129)</f>
        <v>+00°28.00 (+00.4666) [+00°28'00.00]</v>
      </c>
      <c r="W129" s="273"/>
      <c r="X129" s="273"/>
      <c r="Y129" s="273"/>
      <c r="Z129" s="274"/>
    </row>
    <row r="130" spans="2:27" ht="15" customHeight="1" thickTop="1" thickBot="1">
      <c r="O130" s="229" t="s">
        <v>147</v>
      </c>
      <c r="P130" s="230"/>
      <c r="Q130" s="230"/>
      <c r="R130" s="231"/>
      <c r="S130" s="279">
        <f t="array" ref="S130">angleConvert2Decimal(O130)</f>
        <v>0.46666666666666667</v>
      </c>
      <c r="T130" s="280"/>
      <c r="U130" s="281"/>
      <c r="V130" s="272" t="str">
        <f t="array" ref="V130">angleDecimal2Txt(S130)</f>
        <v>+00°28.00 (+00.4666) [+00°28'00.00]</v>
      </c>
      <c r="W130" s="273"/>
      <c r="X130" s="273"/>
      <c r="Y130" s="273"/>
      <c r="Z130" s="274"/>
    </row>
    <row r="131" spans="2:27" ht="15" customHeight="1" thickTop="1" thickBot="1">
      <c r="O131" s="229" t="s">
        <v>147</v>
      </c>
      <c r="P131" s="230"/>
      <c r="Q131" s="230"/>
      <c r="R131" s="231"/>
      <c r="S131" s="279">
        <f t="array" ref="S131">angleConvert2Decimal(O131)</f>
        <v>0.46666666666666667</v>
      </c>
      <c r="T131" s="280"/>
      <c r="U131" s="281"/>
      <c r="V131" s="272" t="str">
        <f t="array" ref="V131">angleDecimal2Txt(S131)</f>
        <v>+00°28.00 (+00.4666) [+00°28'00.00]</v>
      </c>
      <c r="W131" s="273"/>
      <c r="X131" s="273"/>
      <c r="Y131" s="273"/>
      <c r="Z131" s="274"/>
    </row>
    <row r="132" spans="2:27" ht="15" customHeight="1" thickTop="1" thickBot="1">
      <c r="O132" s="229" t="s">
        <v>147</v>
      </c>
      <c r="P132" s="230"/>
      <c r="Q132" s="230"/>
      <c r="R132" s="231"/>
      <c r="S132" s="279">
        <f t="array" ref="S132">angleConvert2Decimal(O132)</f>
        <v>0.46666666666666667</v>
      </c>
      <c r="T132" s="280"/>
      <c r="U132" s="281"/>
      <c r="V132" s="272" t="str">
        <f t="array" ref="V132">angleDecimal2Txt(S132)</f>
        <v>+00°28.00 (+00.4666) [+00°28'00.00]</v>
      </c>
      <c r="W132" s="273"/>
      <c r="X132" s="273"/>
      <c r="Y132" s="273"/>
      <c r="Z132" s="274"/>
    </row>
    <row r="133" spans="2:27" ht="15" customHeight="1" thickTop="1" thickBot="1">
      <c r="O133" s="229" t="s">
        <v>147</v>
      </c>
      <c r="P133" s="230"/>
      <c r="Q133" s="230"/>
      <c r="R133" s="231"/>
      <c r="S133" s="279">
        <f t="array" ref="S133">angleConvert2Decimal(O133)</f>
        <v>0.46666666666666667</v>
      </c>
      <c r="T133" s="280"/>
      <c r="U133" s="281"/>
      <c r="V133" s="272" t="str">
        <f t="array" ref="V133">angleDecimal2Txt(S133)</f>
        <v>+00°28.00 (+00.4666) [+00°28'00.00]</v>
      </c>
      <c r="W133" s="273"/>
      <c r="X133" s="273"/>
      <c r="Y133" s="273"/>
      <c r="Z133" s="274"/>
    </row>
    <row r="134" spans="2:27" ht="15" customHeight="1" thickTop="1" thickBot="1">
      <c r="O134" s="229" t="s">
        <v>147</v>
      </c>
      <c r="P134" s="230"/>
      <c r="Q134" s="230"/>
      <c r="R134" s="231"/>
      <c r="S134" s="279">
        <f t="array" ref="S134">angleConvert2Decimal(O134)</f>
        <v>0.46666666666666667</v>
      </c>
      <c r="T134" s="280"/>
      <c r="U134" s="281"/>
      <c r="V134" s="272" t="str">
        <f t="array" ref="V134">angleDecimal2Txt(S134)</f>
        <v>+00°28.00 (+00.4666) [+00°28'00.00]</v>
      </c>
      <c r="W134" s="273"/>
      <c r="X134" s="273"/>
      <c r="Y134" s="273"/>
      <c r="Z134" s="274"/>
    </row>
    <row r="135" spans="2:27" ht="15" customHeight="1" thickTop="1" thickBot="1">
      <c r="B135" s="2" t="s">
        <v>164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2"/>
    </row>
    <row r="136" spans="2:27" ht="15" customHeight="1">
      <c r="C136" s="285" t="s">
        <v>160</v>
      </c>
      <c r="D136" s="68" t="s">
        <v>154</v>
      </c>
      <c r="E136" s="69">
        <v>5</v>
      </c>
      <c r="F136" s="70"/>
      <c r="G136" s="255" t="s">
        <v>162</v>
      </c>
      <c r="H136" s="255"/>
      <c r="I136" s="255"/>
      <c r="J136" s="255"/>
      <c r="L136" s="14" t="s">
        <v>158</v>
      </c>
      <c r="M136" s="14">
        <f>(E137-E139)/(E136-E138)</f>
        <v>4.9616666666666669</v>
      </c>
    </row>
    <row r="137" spans="2:27" ht="15" customHeight="1">
      <c r="C137" s="285"/>
      <c r="D137" s="68" t="s">
        <v>155</v>
      </c>
      <c r="E137" s="69">
        <v>23.23</v>
      </c>
      <c r="F137" s="71" t="s">
        <v>163</v>
      </c>
      <c r="G137" s="68" t="s">
        <v>58</v>
      </c>
      <c r="H137" s="69">
        <v>10.5</v>
      </c>
      <c r="I137" s="72" t="s">
        <v>150</v>
      </c>
      <c r="J137" s="73">
        <f>M136*H137+M137</f>
        <v>50.519166666666671</v>
      </c>
      <c r="L137" s="14" t="s">
        <v>159</v>
      </c>
      <c r="M137" s="14">
        <f>E137-M136*(E136)</f>
        <v>-1.5783333333333331</v>
      </c>
    </row>
    <row r="138" spans="2:27" ht="15" customHeight="1">
      <c r="C138" s="286" t="s">
        <v>161</v>
      </c>
      <c r="D138" s="74" t="s">
        <v>156</v>
      </c>
      <c r="E138" s="69">
        <v>11</v>
      </c>
      <c r="F138" s="70"/>
      <c r="G138" s="70"/>
      <c r="H138" s="70"/>
      <c r="I138" s="70"/>
      <c r="J138" s="70"/>
    </row>
    <row r="139" spans="2:27" ht="15" customHeight="1">
      <c r="C139" s="286"/>
      <c r="D139" s="74" t="s">
        <v>157</v>
      </c>
      <c r="E139" s="69">
        <v>53</v>
      </c>
      <c r="F139" s="70"/>
      <c r="G139" s="70"/>
      <c r="H139" s="70"/>
      <c r="I139" s="70"/>
      <c r="J139" s="70"/>
    </row>
    <row r="141" spans="2:27" ht="15" customHeight="1">
      <c r="C141" s="285" t="s">
        <v>160</v>
      </c>
      <c r="D141" s="68" t="s">
        <v>154</v>
      </c>
      <c r="E141" s="69">
        <v>0</v>
      </c>
      <c r="F141" s="70"/>
      <c r="G141" s="255" t="s">
        <v>162</v>
      </c>
      <c r="H141" s="255"/>
      <c r="I141" s="255"/>
      <c r="J141" s="255"/>
      <c r="L141" s="14" t="s">
        <v>158</v>
      </c>
      <c r="M141" s="14">
        <f>(E142-E144)/(E141-E143)</f>
        <v>1</v>
      </c>
    </row>
    <row r="142" spans="2:27" ht="15" customHeight="1">
      <c r="C142" s="285"/>
      <c r="D142" s="68" t="s">
        <v>155</v>
      </c>
      <c r="E142" s="69">
        <v>0</v>
      </c>
      <c r="F142" s="71" t="s">
        <v>163</v>
      </c>
      <c r="G142" s="68" t="s">
        <v>58</v>
      </c>
      <c r="H142" s="69">
        <v>10.5</v>
      </c>
      <c r="I142" s="72" t="s">
        <v>150</v>
      </c>
      <c r="J142" s="73">
        <f>M141*H142+M142</f>
        <v>10.5</v>
      </c>
      <c r="L142" s="14" t="s">
        <v>159</v>
      </c>
      <c r="M142" s="14">
        <f>E142-M141*(E141)</f>
        <v>0</v>
      </c>
    </row>
    <row r="143" spans="2:27" ht="15" customHeight="1">
      <c r="C143" s="286" t="s">
        <v>161</v>
      </c>
      <c r="D143" s="74" t="s">
        <v>156</v>
      </c>
      <c r="E143" s="69">
        <v>11</v>
      </c>
      <c r="F143" s="70"/>
      <c r="G143" s="70"/>
      <c r="H143" s="70"/>
      <c r="I143" s="70"/>
      <c r="J143" s="70"/>
    </row>
    <row r="144" spans="2:27" ht="15" customHeight="1">
      <c r="C144" s="286"/>
      <c r="D144" s="74" t="s">
        <v>157</v>
      </c>
      <c r="E144" s="69">
        <v>11</v>
      </c>
      <c r="F144" s="70"/>
      <c r="G144" s="70"/>
      <c r="H144" s="70"/>
      <c r="I144" s="70"/>
      <c r="J144" s="70"/>
    </row>
    <row r="146" spans="3:13" ht="15" customHeight="1">
      <c r="C146" s="285" t="s">
        <v>160</v>
      </c>
      <c r="D146" s="68" t="s">
        <v>154</v>
      </c>
      <c r="E146" s="69">
        <v>0</v>
      </c>
      <c r="F146" s="70"/>
      <c r="G146" s="255" t="s">
        <v>162</v>
      </c>
      <c r="H146" s="255"/>
      <c r="I146" s="255"/>
      <c r="J146" s="255"/>
      <c r="L146" s="14" t="s">
        <v>158</v>
      </c>
      <c r="M146" s="14">
        <f>(E147-E149)/(E146-E148)</f>
        <v>-1</v>
      </c>
    </row>
    <row r="147" spans="3:13" ht="15" customHeight="1">
      <c r="C147" s="285"/>
      <c r="D147" s="68" t="s">
        <v>155</v>
      </c>
      <c r="E147" s="69">
        <v>11</v>
      </c>
      <c r="F147" s="71" t="s">
        <v>163</v>
      </c>
      <c r="G147" s="68" t="s">
        <v>58</v>
      </c>
      <c r="H147" s="69">
        <v>10.5</v>
      </c>
      <c r="I147" s="72" t="s">
        <v>150</v>
      </c>
      <c r="J147" s="73">
        <f>M146*H147+M147</f>
        <v>0.5</v>
      </c>
      <c r="L147" s="14" t="s">
        <v>159</v>
      </c>
      <c r="M147" s="14">
        <f>E147-M146*(E146)</f>
        <v>11</v>
      </c>
    </row>
    <row r="148" spans="3:13" ht="15" customHeight="1">
      <c r="C148" s="286" t="s">
        <v>161</v>
      </c>
      <c r="D148" s="74" t="s">
        <v>156</v>
      </c>
      <c r="E148" s="69">
        <v>11</v>
      </c>
      <c r="F148" s="70"/>
      <c r="G148" s="70"/>
      <c r="H148" s="70"/>
      <c r="I148" s="70"/>
      <c r="J148" s="70"/>
    </row>
    <row r="149" spans="3:13" ht="15" customHeight="1">
      <c r="C149" s="286"/>
      <c r="D149" s="74" t="s">
        <v>157</v>
      </c>
      <c r="E149" s="69">
        <v>0</v>
      </c>
      <c r="F149" s="70"/>
      <c r="G149" s="70"/>
      <c r="H149" s="70"/>
      <c r="I149" s="70"/>
      <c r="J149" s="70"/>
    </row>
  </sheetData>
  <mergeCells count="206"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abSelected="1" topLeftCell="H67" zoomScaleNormal="100" workbookViewId="0">
      <selection activeCell="A17" sqref="A17"/>
    </sheetView>
  </sheetViews>
  <sheetFormatPr baseColWidth="10"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9" width="10.140625" customWidth="1"/>
    <col min="10" max="10" width="12.140625" customWidth="1"/>
    <col min="11" max="15" width="10.140625" customWidth="1"/>
    <col min="16" max="17" width="10.140625" style="77" customWidth="1"/>
    <col min="18" max="20" width="10.42578125" customWidth="1"/>
    <col min="21" max="26" width="2" customWidth="1"/>
    <col min="27" max="27" width="2" style="84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6" customFormat="1" ht="17.25" customHeight="1">
      <c r="C1" s="323" t="s">
        <v>79</v>
      </c>
      <c r="D1" s="323"/>
      <c r="E1" s="323"/>
      <c r="F1" s="323"/>
      <c r="G1" s="324" t="s">
        <v>80</v>
      </c>
      <c r="H1" s="324"/>
      <c r="I1" s="324"/>
      <c r="J1" s="324"/>
      <c r="K1" s="324"/>
      <c r="L1" s="324"/>
      <c r="M1" s="324"/>
      <c r="N1" s="324"/>
      <c r="O1" s="324"/>
      <c r="P1" s="324"/>
      <c r="Q1" s="324"/>
      <c r="R1" s="324"/>
      <c r="S1" s="324"/>
      <c r="T1" s="324"/>
      <c r="U1" s="324"/>
      <c r="V1" s="324"/>
      <c r="W1" s="324"/>
      <c r="X1" s="324"/>
      <c r="Y1" s="324"/>
      <c r="AB1" s="309" t="s">
        <v>167</v>
      </c>
      <c r="AC1" s="309"/>
      <c r="AD1" s="309"/>
      <c r="AM1" s="78"/>
    </row>
    <row r="2" spans="2:48" s="76" customFormat="1" ht="17.25" customHeight="1">
      <c r="C2" s="323"/>
      <c r="D2" s="323"/>
      <c r="E2" s="323"/>
      <c r="F2" s="323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AB2" s="79" t="s">
        <v>85</v>
      </c>
      <c r="AC2"/>
      <c r="AD2"/>
      <c r="AM2" s="78"/>
    </row>
    <row r="3" spans="2:48" s="76" customFormat="1" ht="17.25" customHeight="1">
      <c r="C3" s="323"/>
      <c r="D3" s="323"/>
      <c r="E3" s="323"/>
      <c r="F3" s="323"/>
      <c r="G3" s="325" t="s">
        <v>82</v>
      </c>
      <c r="H3" s="325"/>
      <c r="I3" s="325"/>
      <c r="J3" s="327" t="s">
        <v>81</v>
      </c>
      <c r="K3" s="327"/>
      <c r="L3" s="327"/>
      <c r="P3" s="298" t="s">
        <v>221</v>
      </c>
      <c r="Q3" s="299"/>
      <c r="R3" s="299"/>
      <c r="S3" s="299"/>
      <c r="T3" s="299"/>
      <c r="AB3" s="80" t="s">
        <v>70</v>
      </c>
      <c r="AC3"/>
      <c r="AD3"/>
      <c r="AM3" s="78"/>
    </row>
    <row r="4" spans="2:48" s="76" customFormat="1" ht="17.25" customHeight="1">
      <c r="C4" s="323"/>
      <c r="D4" s="323"/>
      <c r="E4" s="323"/>
      <c r="F4" s="323"/>
      <c r="G4" s="326"/>
      <c r="H4" s="326"/>
      <c r="I4" s="326"/>
      <c r="J4" s="328"/>
      <c r="K4" s="328"/>
      <c r="L4" s="328"/>
      <c r="P4" s="298" t="s">
        <v>223</v>
      </c>
      <c r="Q4" s="299"/>
      <c r="R4" s="299"/>
      <c r="S4" s="299"/>
      <c r="T4" s="299"/>
      <c r="AB4" s="80" t="s">
        <v>71</v>
      </c>
      <c r="AC4"/>
      <c r="AD4"/>
      <c r="AM4" s="78"/>
    </row>
    <row r="5" spans="2:48" s="76" customFormat="1" ht="17.25" customHeight="1" thickBot="1">
      <c r="C5" s="81"/>
      <c r="D5" s="81"/>
      <c r="E5" s="81"/>
      <c r="F5" s="81"/>
      <c r="G5" s="81"/>
      <c r="P5" s="300" t="s">
        <v>224</v>
      </c>
      <c r="Q5" s="301"/>
      <c r="R5" s="301"/>
      <c r="S5" s="301"/>
      <c r="T5" s="301"/>
      <c r="AB5"/>
      <c r="AC5"/>
      <c r="AD5"/>
      <c r="AM5" s="78"/>
    </row>
    <row r="6" spans="2:48" s="76" customFormat="1" ht="17.25" customHeight="1" thickBot="1">
      <c r="B6" s="82" t="s">
        <v>168</v>
      </c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B6"/>
      <c r="AC6"/>
      <c r="AD6"/>
      <c r="AM6" s="78"/>
    </row>
    <row r="7" spans="2:48">
      <c r="AC7" t="s">
        <v>90</v>
      </c>
      <c r="AD7" s="85">
        <f ca="1">TODAY()</f>
        <v>45548</v>
      </c>
      <c r="AI7" s="86">
        <f ca="1">AD7</f>
        <v>45548</v>
      </c>
      <c r="AQ7" t="s">
        <v>93</v>
      </c>
      <c r="AR7" t="s">
        <v>28</v>
      </c>
      <c r="AS7" t="s">
        <v>94</v>
      </c>
      <c r="AT7" t="s">
        <v>24</v>
      </c>
      <c r="AU7" t="s">
        <v>94</v>
      </c>
    </row>
    <row r="8" spans="2:48">
      <c r="B8" t="s">
        <v>209</v>
      </c>
      <c r="C8" t="b">
        <f>D8</f>
        <v>1</v>
      </c>
      <c r="D8" t="b">
        <f>TRUE</f>
        <v>1</v>
      </c>
      <c r="F8" s="339" t="s">
        <v>32</v>
      </c>
      <c r="G8" s="339"/>
      <c r="H8" s="339"/>
      <c r="I8" s="339"/>
      <c r="J8" s="339"/>
      <c r="K8" s="339"/>
      <c r="L8" s="339"/>
      <c r="M8" s="339"/>
      <c r="P8"/>
      <c r="R8" s="77"/>
      <c r="AA8"/>
      <c r="AB8" s="84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39" t="s">
        <v>69</v>
      </c>
      <c r="G9" s="339"/>
      <c r="H9" s="339"/>
      <c r="I9" s="339"/>
      <c r="J9" s="339" t="s">
        <v>72</v>
      </c>
      <c r="K9" s="339"/>
      <c r="L9" s="339"/>
      <c r="M9" s="339"/>
      <c r="P9"/>
      <c r="R9" s="77"/>
      <c r="AA9"/>
      <c r="AB9" s="84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39" t="s">
        <v>70</v>
      </c>
      <c r="G10" s="339"/>
      <c r="H10" s="339" t="s">
        <v>71</v>
      </c>
      <c r="I10" s="339"/>
      <c r="J10" s="339" t="s">
        <v>70</v>
      </c>
      <c r="K10" s="339"/>
      <c r="L10" s="339" t="s">
        <v>71</v>
      </c>
      <c r="M10" s="339"/>
      <c r="P10"/>
      <c r="Q10"/>
      <c r="AA10"/>
      <c r="AB10" s="84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13" t="s">
        <v>66</v>
      </c>
      <c r="C11" s="313"/>
      <c r="D11" s="329" t="s">
        <v>68</v>
      </c>
      <c r="E11" s="330"/>
      <c r="F11" s="87" t="s">
        <v>73</v>
      </c>
      <c r="G11" s="90" t="s">
        <v>208</v>
      </c>
      <c r="H11" s="87" t="s">
        <v>73</v>
      </c>
      <c r="I11" s="90" t="s">
        <v>208</v>
      </c>
      <c r="J11" s="87" t="s">
        <v>73</v>
      </c>
      <c r="K11" s="90" t="s">
        <v>208</v>
      </c>
      <c r="L11" s="87" t="s">
        <v>73</v>
      </c>
      <c r="M11" s="90" t="s">
        <v>208</v>
      </c>
      <c r="P11"/>
      <c r="Q11"/>
      <c r="AA11"/>
      <c r="AB11" s="84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10" t="s">
        <v>67</v>
      </c>
      <c r="C12" s="310"/>
      <c r="D12" s="331" t="s">
        <v>58</v>
      </c>
      <c r="E12" s="332"/>
      <c r="F12" s="91">
        <v>0.23</v>
      </c>
      <c r="G12" s="92" t="s">
        <v>75</v>
      </c>
      <c r="H12" s="91">
        <v>-2.1</v>
      </c>
      <c r="I12" s="93" t="s">
        <v>74</v>
      </c>
      <c r="J12" s="91">
        <v>0.13</v>
      </c>
      <c r="K12" s="92" t="s">
        <v>75</v>
      </c>
      <c r="L12" s="91">
        <v>-0.78</v>
      </c>
      <c r="M12" s="93" t="s">
        <v>77</v>
      </c>
      <c r="P12"/>
      <c r="Q12"/>
      <c r="AA12"/>
      <c r="AB12" s="84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10"/>
      <c r="C13" s="310"/>
      <c r="D13" s="331" t="s">
        <v>58</v>
      </c>
      <c r="E13" s="332"/>
      <c r="F13" s="91">
        <v>0.23</v>
      </c>
      <c r="G13" s="92" t="s">
        <v>75</v>
      </c>
      <c r="H13" s="91">
        <v>-2.1</v>
      </c>
      <c r="I13" s="93" t="s">
        <v>95</v>
      </c>
      <c r="J13" s="91">
        <v>0.13</v>
      </c>
      <c r="K13" s="92" t="s">
        <v>75</v>
      </c>
      <c r="L13" s="91">
        <v>-0.78</v>
      </c>
      <c r="M13" s="93" t="s">
        <v>77</v>
      </c>
      <c r="P13"/>
      <c r="Q13"/>
      <c r="AA13"/>
      <c r="AB13" s="84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11"/>
      <c r="C14" s="311"/>
      <c r="D14" s="333" t="s">
        <v>58</v>
      </c>
      <c r="E14" s="334"/>
      <c r="F14" s="94">
        <v>0.23</v>
      </c>
      <c r="G14" s="95" t="s">
        <v>75</v>
      </c>
      <c r="H14" s="94">
        <v>-2.1</v>
      </c>
      <c r="I14" s="96" t="s">
        <v>74</v>
      </c>
      <c r="J14" s="94">
        <v>0.13</v>
      </c>
      <c r="K14" s="95" t="s">
        <v>75</v>
      </c>
      <c r="L14" s="94">
        <v>-0.78</v>
      </c>
      <c r="M14" s="96" t="s">
        <v>77</v>
      </c>
      <c r="P14"/>
      <c r="Q14"/>
      <c r="AA14"/>
      <c r="AB14" s="84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14" t="s">
        <v>83</v>
      </c>
      <c r="C15" s="315"/>
      <c r="D15" s="335" t="s">
        <v>195</v>
      </c>
      <c r="E15" s="336"/>
      <c r="F15" s="97">
        <v>-0.25</v>
      </c>
      <c r="G15" s="98">
        <v>0</v>
      </c>
      <c r="H15" s="97">
        <v>0</v>
      </c>
      <c r="I15" s="98">
        <v>-0.05</v>
      </c>
      <c r="J15" s="97">
        <v>-0.15</v>
      </c>
      <c r="K15" s="98">
        <v>0</v>
      </c>
      <c r="L15" s="97">
        <v>-0.1</v>
      </c>
      <c r="M15" s="99">
        <v>0</v>
      </c>
      <c r="P15"/>
      <c r="Q15"/>
      <c r="AA15"/>
      <c r="AB15" s="84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16"/>
      <c r="C16" s="310"/>
      <c r="D16" s="331" t="s">
        <v>196</v>
      </c>
      <c r="E16" s="332"/>
      <c r="F16" s="100">
        <v>-0.85</v>
      </c>
      <c r="G16" s="101">
        <v>-0.1</v>
      </c>
      <c r="H16" s="100">
        <v>-0.05</v>
      </c>
      <c r="I16" s="101">
        <v>-0.2</v>
      </c>
      <c r="J16" s="100">
        <v>-0.6</v>
      </c>
      <c r="K16" s="101">
        <v>0</v>
      </c>
      <c r="L16" s="100">
        <v>-0.15</v>
      </c>
      <c r="M16" s="102">
        <v>-0.2</v>
      </c>
      <c r="P16"/>
      <c r="Q16"/>
      <c r="AA16"/>
      <c r="AB16" s="84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16"/>
      <c r="C17" s="310"/>
      <c r="D17" s="337" t="s">
        <v>197</v>
      </c>
      <c r="E17" s="338"/>
      <c r="F17" s="100">
        <v>-0.25</v>
      </c>
      <c r="G17" s="101">
        <v>0</v>
      </c>
      <c r="H17" s="100">
        <v>-0.05</v>
      </c>
      <c r="I17" s="101">
        <v>-0.15</v>
      </c>
      <c r="J17" s="100">
        <v>-0.2</v>
      </c>
      <c r="K17" s="101">
        <v>0</v>
      </c>
      <c r="L17" s="100">
        <v>-0.05</v>
      </c>
      <c r="M17" s="102">
        <v>-0.1</v>
      </c>
      <c r="P17"/>
      <c r="Q17"/>
      <c r="AA17"/>
      <c r="AB17" s="84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16"/>
      <c r="C18" s="310"/>
      <c r="D18" s="337" t="s">
        <v>198</v>
      </c>
      <c r="E18" s="338"/>
      <c r="F18" s="100">
        <v>-0.75</v>
      </c>
      <c r="G18" s="101">
        <v>-0.05</v>
      </c>
      <c r="H18" s="100">
        <v>0.1</v>
      </c>
      <c r="I18" s="101">
        <v>-0.25</v>
      </c>
      <c r="J18" s="100">
        <v>-0.45</v>
      </c>
      <c r="K18" s="101">
        <v>-0.05</v>
      </c>
      <c r="L18" s="100">
        <v>-0.1</v>
      </c>
      <c r="M18" s="102">
        <v>-0.25</v>
      </c>
      <c r="P18" s="120"/>
      <c r="Q18"/>
      <c r="AA18"/>
      <c r="AB18" s="84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16"/>
      <c r="C19" s="310"/>
      <c r="D19" s="337" t="s">
        <v>199</v>
      </c>
      <c r="E19" s="338"/>
      <c r="F19" s="100">
        <v>0.7</v>
      </c>
      <c r="G19" s="101">
        <v>0.05</v>
      </c>
      <c r="H19" s="100">
        <v>0.1</v>
      </c>
      <c r="I19" s="101">
        <v>0.1</v>
      </c>
      <c r="J19" s="100">
        <v>0.45</v>
      </c>
      <c r="K19" s="101">
        <v>0</v>
      </c>
      <c r="L19" s="100">
        <v>0.25</v>
      </c>
      <c r="M19" s="102">
        <v>0.05</v>
      </c>
      <c r="P19"/>
      <c r="Q19"/>
      <c r="AA19"/>
      <c r="AB19" s="84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16"/>
      <c r="C20" s="310"/>
      <c r="D20" s="337" t="s">
        <v>200</v>
      </c>
      <c r="E20" s="338"/>
      <c r="F20" s="100">
        <v>-1.45</v>
      </c>
      <c r="G20" s="101">
        <v>-0.25</v>
      </c>
      <c r="H20" s="100">
        <v>-0.05</v>
      </c>
      <c r="I20" s="101">
        <v>-0.45</v>
      </c>
      <c r="J20" s="100">
        <v>-0.95</v>
      </c>
      <c r="K20" s="101">
        <v>-0.2</v>
      </c>
      <c r="L20" s="100">
        <v>-0.3</v>
      </c>
      <c r="M20" s="102">
        <v>-0.4</v>
      </c>
      <c r="P20" s="121"/>
      <c r="Q20"/>
      <c r="AA20"/>
      <c r="AB20" s="84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16"/>
      <c r="C21" s="310"/>
      <c r="D21" s="337" t="s">
        <v>201</v>
      </c>
      <c r="E21" s="338"/>
      <c r="F21" s="100">
        <v>-0.05</v>
      </c>
      <c r="G21" s="101">
        <v>-0.05</v>
      </c>
      <c r="H21" s="100">
        <v>0</v>
      </c>
      <c r="I21" s="101">
        <v>-0.35</v>
      </c>
      <c r="J21" s="100">
        <v>-0.65</v>
      </c>
      <c r="K21" s="101">
        <v>-0.1</v>
      </c>
      <c r="L21" s="100">
        <v>-0.25</v>
      </c>
      <c r="M21" s="102">
        <v>-0.3</v>
      </c>
      <c r="P21"/>
      <c r="Q21"/>
      <c r="AA21"/>
      <c r="AB21" s="84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16"/>
      <c r="C22" s="310"/>
      <c r="D22" s="331" t="s">
        <v>202</v>
      </c>
      <c r="E22" s="332"/>
      <c r="F22" s="100">
        <v>-1.5</v>
      </c>
      <c r="G22" s="101">
        <v>-0.25</v>
      </c>
      <c r="H22" s="100">
        <v>0</v>
      </c>
      <c r="I22" s="101">
        <v>-0.45</v>
      </c>
      <c r="J22" s="100">
        <v>-0.95</v>
      </c>
      <c r="K22" s="101">
        <v>-0.2</v>
      </c>
      <c r="L22" s="100">
        <v>-0.3</v>
      </c>
      <c r="M22" s="102">
        <v>-0.4</v>
      </c>
      <c r="P22" s="121"/>
      <c r="Q22"/>
      <c r="AA22"/>
      <c r="AB22" s="84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16"/>
      <c r="C23" s="310"/>
      <c r="D23" s="331" t="s">
        <v>203</v>
      </c>
      <c r="E23" s="332"/>
      <c r="F23" s="93">
        <v>0.5</v>
      </c>
      <c r="G23" s="101" t="s">
        <v>205</v>
      </c>
      <c r="H23" s="91">
        <v>0.14000000000000001</v>
      </c>
      <c r="I23" s="93" t="s">
        <v>204</v>
      </c>
      <c r="J23" s="91">
        <v>0.32</v>
      </c>
      <c r="K23" s="92" t="s">
        <v>205</v>
      </c>
      <c r="L23" s="91">
        <v>0.1</v>
      </c>
      <c r="M23" s="103" t="s">
        <v>206</v>
      </c>
      <c r="P23"/>
      <c r="Q23"/>
      <c r="AA23"/>
      <c r="AB23" s="84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17"/>
      <c r="C24" s="318"/>
      <c r="D24" s="347" t="s">
        <v>83</v>
      </c>
      <c r="E24" s="348"/>
      <c r="F24" s="104">
        <v>0</v>
      </c>
      <c r="G24" s="105">
        <v>0</v>
      </c>
      <c r="H24" s="104">
        <v>0</v>
      </c>
      <c r="I24" s="105">
        <v>0</v>
      </c>
      <c r="J24" s="104">
        <v>0</v>
      </c>
      <c r="K24" s="105">
        <v>0</v>
      </c>
      <c r="L24" s="104">
        <v>0</v>
      </c>
      <c r="M24" s="106">
        <v>0</v>
      </c>
      <c r="P24"/>
      <c r="Q24"/>
      <c r="AA24"/>
      <c r="AB24" s="84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12" t="s">
        <v>84</v>
      </c>
      <c r="C25" s="312"/>
      <c r="D25" s="349" t="s">
        <v>58</v>
      </c>
      <c r="E25" s="350"/>
      <c r="F25" s="107">
        <v>0.1</v>
      </c>
      <c r="G25" s="108" t="s">
        <v>75</v>
      </c>
      <c r="H25" s="107">
        <v>-2.1</v>
      </c>
      <c r="I25" s="109" t="s">
        <v>74</v>
      </c>
      <c r="J25" s="107">
        <v>0.13</v>
      </c>
      <c r="K25" s="108" t="s">
        <v>75</v>
      </c>
      <c r="L25" s="107">
        <v>-0.78</v>
      </c>
      <c r="M25" s="109" t="s">
        <v>77</v>
      </c>
      <c r="P25"/>
      <c r="Q25"/>
      <c r="AA25"/>
      <c r="AB25" s="84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10"/>
      <c r="C26" s="310"/>
      <c r="D26" s="331" t="s">
        <v>58</v>
      </c>
      <c r="E26" s="332"/>
      <c r="F26" s="91">
        <v>0.23</v>
      </c>
      <c r="G26" s="92" t="s">
        <v>75</v>
      </c>
      <c r="H26" s="91">
        <v>-2.1</v>
      </c>
      <c r="I26" s="93" t="s">
        <v>74</v>
      </c>
      <c r="J26" s="91">
        <v>0.13</v>
      </c>
      <c r="K26" s="92" t="s">
        <v>75</v>
      </c>
      <c r="L26" s="91">
        <v>-0.78</v>
      </c>
      <c r="M26" s="93" t="s">
        <v>77</v>
      </c>
      <c r="P26"/>
      <c r="Q26"/>
      <c r="AA26"/>
      <c r="AB26" s="84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10"/>
      <c r="C27" s="310"/>
      <c r="D27" s="331" t="s">
        <v>58</v>
      </c>
      <c r="E27" s="332"/>
      <c r="F27" s="91">
        <v>0.23</v>
      </c>
      <c r="G27" s="92" t="s">
        <v>75</v>
      </c>
      <c r="H27" s="91">
        <v>-2.1</v>
      </c>
      <c r="I27" s="93" t="s">
        <v>74</v>
      </c>
      <c r="J27" s="91">
        <v>0.13</v>
      </c>
      <c r="K27" s="92" t="s">
        <v>75</v>
      </c>
      <c r="L27" s="91">
        <v>-0.78</v>
      </c>
      <c r="M27" s="93" t="s">
        <v>77</v>
      </c>
      <c r="P27"/>
      <c r="Q27"/>
      <c r="AA27"/>
      <c r="AB27" s="84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10" t="s">
        <v>215</v>
      </c>
      <c r="C28" s="310"/>
      <c r="D28" s="310" t="s">
        <v>215</v>
      </c>
      <c r="E28" s="310"/>
      <c r="F28" s="91">
        <v>0</v>
      </c>
      <c r="G28" s="92" t="s">
        <v>169</v>
      </c>
      <c r="H28" s="91">
        <v>0</v>
      </c>
      <c r="I28" s="92" t="s">
        <v>169</v>
      </c>
      <c r="J28" s="91">
        <v>0</v>
      </c>
      <c r="K28" s="92" t="s">
        <v>169</v>
      </c>
      <c r="L28" s="91">
        <v>0</v>
      </c>
      <c r="M28" s="92" t="s">
        <v>169</v>
      </c>
      <c r="P28"/>
      <c r="Q28"/>
      <c r="AA28"/>
      <c r="AB28" s="84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9" t="s">
        <v>68</v>
      </c>
      <c r="D30" s="110" t="s">
        <v>207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171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9" t="s">
        <v>66</v>
      </c>
      <c r="D31" s="110" t="s">
        <v>219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170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82" t="s">
        <v>172</v>
      </c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K34" t="s">
        <v>217</v>
      </c>
      <c r="AL34">
        <v>5.39</v>
      </c>
    </row>
    <row r="35" spans="2:54">
      <c r="H35" s="340" t="s">
        <v>101</v>
      </c>
      <c r="I35" s="340"/>
      <c r="J35" s="340"/>
      <c r="K35" s="340"/>
      <c r="L35" s="340"/>
      <c r="M35" s="341"/>
      <c r="N35" s="341"/>
      <c r="O35" s="341"/>
      <c r="P35"/>
      <c r="Q35"/>
      <c r="AK35" t="s">
        <v>218</v>
      </c>
      <c r="AL35">
        <v>7.31</v>
      </c>
    </row>
    <row r="36" spans="2:54">
      <c r="C36" s="313" t="s">
        <v>78</v>
      </c>
      <c r="D36" s="313"/>
      <c r="E36" s="313"/>
      <c r="F36" s="313"/>
      <c r="G36" s="313"/>
      <c r="H36" s="342" t="s">
        <v>86</v>
      </c>
      <c r="I36" s="344" t="s">
        <v>211</v>
      </c>
      <c r="J36" s="321" t="s">
        <v>190</v>
      </c>
      <c r="K36" s="321"/>
      <c r="L36" s="322"/>
      <c r="M36" s="302" t="s">
        <v>191</v>
      </c>
      <c r="N36" s="302"/>
      <c r="O36" s="302"/>
      <c r="P36" s="302"/>
      <c r="Q36" s="302"/>
    </row>
    <row r="37" spans="2:54">
      <c r="C37" s="88" t="s">
        <v>85</v>
      </c>
      <c r="D37" s="88" t="s">
        <v>0</v>
      </c>
      <c r="E37" s="88" t="s">
        <v>6</v>
      </c>
      <c r="F37" s="88" t="s">
        <v>63</v>
      </c>
      <c r="G37" s="88" t="s">
        <v>98</v>
      </c>
      <c r="H37" s="343"/>
      <c r="I37" s="345"/>
      <c r="J37" s="113" t="s">
        <v>64</v>
      </c>
      <c r="K37" s="319" t="s">
        <v>6</v>
      </c>
      <c r="L37" s="320"/>
      <c r="M37" s="112" t="s">
        <v>186</v>
      </c>
      <c r="N37" s="302" t="s">
        <v>187</v>
      </c>
      <c r="O37" s="302"/>
      <c r="P37" s="302" t="s">
        <v>193</v>
      </c>
      <c r="Q37" s="302"/>
      <c r="AB37" t="s">
        <v>87</v>
      </c>
      <c r="AC37" t="s">
        <v>0</v>
      </c>
      <c r="AD37" t="s">
        <v>174</v>
      </c>
      <c r="AE37" t="s">
        <v>175</v>
      </c>
      <c r="AF37" t="s">
        <v>173</v>
      </c>
      <c r="AG37" t="s">
        <v>88</v>
      </c>
      <c r="AH37" t="s">
        <v>89</v>
      </c>
      <c r="AI37" t="s">
        <v>91</v>
      </c>
      <c r="AJ37" t="s">
        <v>92</v>
      </c>
      <c r="AK37" t="s">
        <v>96</v>
      </c>
      <c r="AL37" t="s">
        <v>185</v>
      </c>
      <c r="AM37" t="s">
        <v>63</v>
      </c>
      <c r="AN37" t="s">
        <v>76</v>
      </c>
      <c r="AO37" t="s">
        <v>183</v>
      </c>
      <c r="AP37" t="s">
        <v>184</v>
      </c>
      <c r="AQ37" t="s">
        <v>188</v>
      </c>
      <c r="AR37" t="s">
        <v>189</v>
      </c>
      <c r="AS37" s="114" t="s">
        <v>176</v>
      </c>
      <c r="AT37" s="114" t="s">
        <v>177</v>
      </c>
      <c r="AU37" s="295" t="s">
        <v>178</v>
      </c>
      <c r="AV37" s="295"/>
      <c r="AW37" s="295"/>
      <c r="AX37" s="295"/>
      <c r="AY37" s="295"/>
      <c r="AZ37" s="295"/>
      <c r="BA37" s="295"/>
      <c r="BB37" s="295"/>
    </row>
    <row r="38" spans="2:54">
      <c r="B38">
        <v>1</v>
      </c>
      <c r="C38" s="115" t="str">
        <f>IF(G38&gt;G39,"PM","BM")</f>
        <v>BM</v>
      </c>
      <c r="D38" s="370" t="s">
        <v>283</v>
      </c>
      <c r="E38" s="371" t="s">
        <v>284</v>
      </c>
      <c r="F38" s="368"/>
      <c r="G38" s="372">
        <v>4.07</v>
      </c>
      <c r="H38" s="111" t="str">
        <f t="shared" ref="H38:H64" si="8">IF(AL38,"Y","N")</f>
        <v>Y</v>
      </c>
      <c r="I38" s="111" t="str">
        <f t="shared" ref="I38:I64" si="9">IF(AN38,"Y","N")</f>
        <v>N</v>
      </c>
      <c r="J38" s="116">
        <f t="shared" ref="J38:J63" si="10">IF(AL38,AO38,NA())</f>
        <v>0</v>
      </c>
      <c r="K38" s="321" t="str">
        <f t="array" ref="K38">IF(AL38,heureDecimal2Txt(AP38),NA())</f>
        <v>00:00:00.00(00.0000)</v>
      </c>
      <c r="L38" s="322"/>
      <c r="M38" s="112">
        <f t="shared" ref="M38:M64" si="11">G38+J38</f>
        <v>4.07</v>
      </c>
      <c r="N38" s="302" t="str">
        <f t="array" ref="N38">IF(AL38,dateEpoch2Txt(AR38),NA())</f>
        <v>2024/09/11 04:01</v>
      </c>
      <c r="O38" s="302"/>
      <c r="P38" s="303">
        <f t="shared" ref="P38:P64" si="12">IF(AL38,AR38/3600, NA())</f>
        <v>479452.01666666666</v>
      </c>
      <c r="Q38" s="304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7" t="b">
        <f t="shared" ref="AF38:AF63" si="15">IF(AB38, IF(ISNUMBER(F38), TRUE, FALSE), IF(AF39,AF39,AF37))</f>
        <v>1</v>
      </c>
      <c r="AG38" s="117" t="b">
        <f t="shared" ref="AG38:AG63" si="16">ISNUMBER(G38)</f>
        <v>1</v>
      </c>
      <c r="AH38" s="117" t="b">
        <f t="shared" ref="AH38:AH63" si="17">AC38&gt;0</f>
        <v>1</v>
      </c>
      <c r="AI38" s="117" t="b">
        <f t="shared" ref="AI38:AI63" si="18">AD38&gt;0</f>
        <v>1</v>
      </c>
      <c r="AJ38" s="117" t="b">
        <f t="shared" ref="AJ38:AJ63" si="19">IF(AG38,IF(G38&gt;0,TRUE,FALSE),FALSE)</f>
        <v>1</v>
      </c>
      <c r="AK38">
        <f>IF(AND(AI38,AH38),6,0)</f>
        <v>6</v>
      </c>
      <c r="AL38" s="117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08" t="b">
        <f>ISNUMBER($AD$30)</f>
        <v>0</v>
      </c>
      <c r="AT38" s="308" t="e">
        <f>$AE$30</f>
        <v>#N/A</v>
      </c>
      <c r="AU38" s="295" t="s">
        <v>179</v>
      </c>
      <c r="AV38" s="295"/>
      <c r="AW38" s="295" t="s">
        <v>180</v>
      </c>
      <c r="AX38" s="295"/>
      <c r="AY38" s="295" t="s">
        <v>181</v>
      </c>
      <c r="AZ38" s="295"/>
      <c r="BA38" s="295" t="s">
        <v>182</v>
      </c>
      <c r="BB38" s="295"/>
    </row>
    <row r="39" spans="2:54">
      <c r="B39">
        <v>2</v>
      </c>
      <c r="C39" s="115" t="str">
        <f t="shared" ref="C39:C64" si="27">IF(C38=$AB$3,$AB$4,$AB$3)</f>
        <v>PM</v>
      </c>
      <c r="D39" s="373" t="s">
        <v>283</v>
      </c>
      <c r="E39" s="374" t="s">
        <v>285</v>
      </c>
      <c r="F39" s="369">
        <v>39</v>
      </c>
      <c r="G39" s="375">
        <v>8.3699999999999992</v>
      </c>
      <c r="H39" s="111" t="str">
        <f t="shared" si="8"/>
        <v>Y</v>
      </c>
      <c r="I39" s="111" t="str">
        <f t="shared" si="9"/>
        <v>N</v>
      </c>
      <c r="J39" s="116">
        <f t="shared" si="10"/>
        <v>0</v>
      </c>
      <c r="K39" s="321" t="str">
        <f t="array" ref="K39">IF(AL39,heureDecimal2Txt(AP39),NA())</f>
        <v>00:00:00.00(00.0000)</v>
      </c>
      <c r="L39" s="322"/>
      <c r="M39" s="112">
        <f t="shared" si="11"/>
        <v>8.3699999999999992</v>
      </c>
      <c r="N39" s="302" t="str">
        <f t="array" ref="N39">IF(AL39,dateEpoch2Txt(AR39),NA())</f>
        <v>2024/09/11 09:49</v>
      </c>
      <c r="O39" s="302"/>
      <c r="P39" s="303">
        <f t="shared" si="12"/>
        <v>479457.81666666665</v>
      </c>
      <c r="Q39" s="304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7" t="b">
        <f t="shared" si="15"/>
        <v>1</v>
      </c>
      <c r="AG39" s="117" t="b">
        <f t="shared" si="16"/>
        <v>1</v>
      </c>
      <c r="AH39" s="117" t="b">
        <f t="shared" si="17"/>
        <v>1</v>
      </c>
      <c r="AI39" s="117" t="b">
        <f t="shared" si="18"/>
        <v>1</v>
      </c>
      <c r="AJ39" s="117" t="b">
        <f t="shared" si="19"/>
        <v>1</v>
      </c>
      <c r="AK39">
        <f t="shared" ref="AK39:AK63" si="28">IF(AND(AI39,AH39),(AE39-AE38)/3600,0)</f>
        <v>5.8</v>
      </c>
      <c r="AL39" s="117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08"/>
      <c r="AT39" s="308"/>
      <c r="AU39" s="114">
        <v>3</v>
      </c>
      <c r="AV39" s="114">
        <v>4</v>
      </c>
      <c r="AW39" s="114">
        <v>5</v>
      </c>
      <c r="AX39" s="114">
        <v>6</v>
      </c>
      <c r="AY39" s="114">
        <v>7</v>
      </c>
      <c r="AZ39" s="114">
        <v>8</v>
      </c>
      <c r="BA39" s="114">
        <v>9</v>
      </c>
      <c r="BB39" s="114">
        <v>10</v>
      </c>
    </row>
    <row r="40" spans="2:54">
      <c r="B40">
        <v>3</v>
      </c>
      <c r="C40" s="115" t="str">
        <f t="shared" si="27"/>
        <v>BM</v>
      </c>
      <c r="D40" s="370" t="s">
        <v>283</v>
      </c>
      <c r="E40" s="371" t="s">
        <v>286</v>
      </c>
      <c r="F40" s="368"/>
      <c r="G40" s="372">
        <v>4.3899999999999997</v>
      </c>
      <c r="H40" s="111" t="str">
        <f t="shared" si="8"/>
        <v>Y</v>
      </c>
      <c r="I40" s="111" t="str">
        <f t="shared" si="9"/>
        <v>N</v>
      </c>
      <c r="J40" s="116">
        <f t="shared" si="10"/>
        <v>0</v>
      </c>
      <c r="K40" s="321" t="str">
        <f t="array" ref="K40">IF(AL40,heureDecimal2Txt(AP40),NA())</f>
        <v>00:00:00.00(00.0000)</v>
      </c>
      <c r="L40" s="322"/>
      <c r="M40" s="112">
        <f t="shared" si="11"/>
        <v>4.3899999999999997</v>
      </c>
      <c r="N40" s="302" t="str">
        <f t="array" ref="N40">IF(AL40,dateEpoch2Txt(AR40),NA())</f>
        <v>2024/09/11 16:30</v>
      </c>
      <c r="O40" s="302"/>
      <c r="P40" s="303">
        <f t="shared" si="12"/>
        <v>479464.5</v>
      </c>
      <c r="Q40" s="304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7" t="b">
        <f t="shared" si="15"/>
        <v>1</v>
      </c>
      <c r="AG40" s="117" t="b">
        <f t="shared" si="16"/>
        <v>1</v>
      </c>
      <c r="AH40" s="117" t="b">
        <f t="shared" si="17"/>
        <v>1</v>
      </c>
      <c r="AI40" s="117" t="b">
        <f t="shared" si="18"/>
        <v>1</v>
      </c>
      <c r="AJ40" s="117" t="b">
        <f t="shared" si="19"/>
        <v>1</v>
      </c>
      <c r="AK40">
        <f t="shared" si="28"/>
        <v>6.6833333333333336</v>
      </c>
      <c r="AL40" s="117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08"/>
      <c r="AT40" s="308"/>
      <c r="AU40" s="308" t="e">
        <f t="shared" ref="AU40:BB40" si="29">VLOOKUP($AT$38,$AG$12:$AP$28,AU39, FALSE)</f>
        <v>#N/A</v>
      </c>
      <c r="AV40" s="308" t="e">
        <f t="shared" si="29"/>
        <v>#N/A</v>
      </c>
      <c r="AW40" s="308" t="e">
        <f t="shared" si="29"/>
        <v>#N/A</v>
      </c>
      <c r="AX40" s="308" t="e">
        <f t="shared" si="29"/>
        <v>#N/A</v>
      </c>
      <c r="AY40" s="308" t="e">
        <f t="shared" si="29"/>
        <v>#N/A</v>
      </c>
      <c r="AZ40" s="308" t="e">
        <f t="shared" si="29"/>
        <v>#N/A</v>
      </c>
      <c r="BA40" s="308" t="e">
        <f t="shared" si="29"/>
        <v>#N/A</v>
      </c>
      <c r="BB40" s="308" t="e">
        <f t="shared" si="29"/>
        <v>#N/A</v>
      </c>
    </row>
    <row r="41" spans="2:54">
      <c r="B41">
        <v>4</v>
      </c>
      <c r="C41" s="115" t="str">
        <f t="shared" si="27"/>
        <v>PM</v>
      </c>
      <c r="D41" s="373" t="s">
        <v>283</v>
      </c>
      <c r="E41" s="374" t="s">
        <v>287</v>
      </c>
      <c r="F41" s="369">
        <v>33</v>
      </c>
      <c r="G41" s="375">
        <v>7.95</v>
      </c>
      <c r="H41" s="111" t="str">
        <f t="shared" si="8"/>
        <v>Y</v>
      </c>
      <c r="I41" s="111" t="str">
        <f t="shared" si="9"/>
        <v>N</v>
      </c>
      <c r="J41" s="116">
        <f t="shared" si="10"/>
        <v>0</v>
      </c>
      <c r="K41" s="321" t="str">
        <f t="array" ref="K41">IF(AL41,heureDecimal2Txt(AP41),NA())</f>
        <v>00:00:00.00(00.0000)</v>
      </c>
      <c r="L41" s="322"/>
      <c r="M41" s="112">
        <f t="shared" si="11"/>
        <v>7.95</v>
      </c>
      <c r="N41" s="302" t="str">
        <f t="array" ref="N41">IF(AL41,dateEpoch2Txt(AR41),NA())</f>
        <v>2024/09/11 22:16</v>
      </c>
      <c r="O41" s="302"/>
      <c r="P41" s="303">
        <f t="shared" si="12"/>
        <v>479470.26666666666</v>
      </c>
      <c r="Q41" s="304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7" t="b">
        <f t="shared" si="15"/>
        <v>1</v>
      </c>
      <c r="AG41" s="117" t="b">
        <f t="shared" si="16"/>
        <v>1</v>
      </c>
      <c r="AH41" s="117" t="b">
        <f t="shared" si="17"/>
        <v>1</v>
      </c>
      <c r="AI41" s="117" t="b">
        <f t="shared" si="18"/>
        <v>1</v>
      </c>
      <c r="AJ41" s="117" t="b">
        <f t="shared" si="19"/>
        <v>1</v>
      </c>
      <c r="AK41">
        <f t="shared" si="28"/>
        <v>5.7666666666666666</v>
      </c>
      <c r="AL41" s="117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08"/>
      <c r="AT41" s="308"/>
      <c r="AU41" s="308"/>
      <c r="AV41" s="308"/>
      <c r="AW41" s="308"/>
      <c r="AX41" s="308"/>
      <c r="AY41" s="308"/>
      <c r="AZ41" s="308"/>
      <c r="BA41" s="308"/>
      <c r="BB41" s="308"/>
    </row>
    <row r="42" spans="2:54">
      <c r="B42">
        <v>5</v>
      </c>
      <c r="C42" s="115" t="str">
        <f t="shared" si="27"/>
        <v>BM</v>
      </c>
      <c r="D42" s="370" t="s">
        <v>288</v>
      </c>
      <c r="E42" s="371" t="s">
        <v>289</v>
      </c>
      <c r="F42" s="368"/>
      <c r="G42" s="372">
        <v>4.68</v>
      </c>
      <c r="H42" s="111" t="str">
        <f t="shared" si="8"/>
        <v>Y</v>
      </c>
      <c r="I42" s="111" t="str">
        <f t="shared" si="9"/>
        <v>N</v>
      </c>
      <c r="J42" s="116">
        <f t="shared" si="10"/>
        <v>0</v>
      </c>
      <c r="K42" s="321" t="str">
        <f t="array" ref="K42">IF(AL42,heureDecimal2Txt(AP42),NA())</f>
        <v>00:00:00.00(00.0000)</v>
      </c>
      <c r="L42" s="322"/>
      <c r="M42" s="112">
        <f t="shared" si="11"/>
        <v>4.68</v>
      </c>
      <c r="N42" s="302" t="str">
        <f t="array" ref="N42">IF(AL42,dateEpoch2Txt(AR42),NA())</f>
        <v>2024/09/12 04:49</v>
      </c>
      <c r="O42" s="302"/>
      <c r="P42" s="303">
        <f t="shared" si="12"/>
        <v>479476.81666666665</v>
      </c>
      <c r="Q42" s="304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7" t="b">
        <f t="shared" si="15"/>
        <v>1</v>
      </c>
      <c r="AG42" s="117" t="b">
        <f t="shared" si="16"/>
        <v>1</v>
      </c>
      <c r="AH42" s="117" t="b">
        <f t="shared" si="17"/>
        <v>1</v>
      </c>
      <c r="AI42" s="117" t="b">
        <f t="shared" si="18"/>
        <v>1</v>
      </c>
      <c r="AJ42" s="117" t="b">
        <f t="shared" si="19"/>
        <v>1</v>
      </c>
      <c r="AK42">
        <f t="shared" si="28"/>
        <v>6.55</v>
      </c>
      <c r="AL42" s="117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08"/>
      <c r="AT42" s="308"/>
      <c r="AU42" s="308"/>
      <c r="AV42" s="308"/>
      <c r="AW42" s="308"/>
      <c r="AX42" s="308"/>
      <c r="AY42" s="308"/>
      <c r="AZ42" s="308"/>
      <c r="BA42" s="308"/>
      <c r="BB42" s="308"/>
    </row>
    <row r="43" spans="2:54">
      <c r="C43" s="115" t="str">
        <f t="shared" si="27"/>
        <v>PM</v>
      </c>
      <c r="D43" s="373" t="s">
        <v>288</v>
      </c>
      <c r="E43" s="374" t="s">
        <v>290</v>
      </c>
      <c r="F43" s="369">
        <v>29</v>
      </c>
      <c r="G43" s="375">
        <v>7.79</v>
      </c>
      <c r="H43" s="111" t="str">
        <f t="shared" si="8"/>
        <v>Y</v>
      </c>
      <c r="I43" s="111" t="str">
        <f t="shared" si="9"/>
        <v>N</v>
      </c>
      <c r="J43" s="116">
        <f t="shared" si="10"/>
        <v>0</v>
      </c>
      <c r="K43" s="321" t="str">
        <f t="array" ref="K43">IF(AL43,heureDecimal2Txt(AP43),NA())</f>
        <v>00:00:00.00(00.0000)</v>
      </c>
      <c r="L43" s="322"/>
      <c r="M43" s="112">
        <f t="shared" si="11"/>
        <v>7.79</v>
      </c>
      <c r="N43" s="302" t="str">
        <f t="array" ref="N43">IF(AL43,dateEpoch2Txt(AR43),NA())</f>
        <v>2024/09/12 10:47</v>
      </c>
      <c r="O43" s="302"/>
      <c r="P43" s="303">
        <f t="shared" si="12"/>
        <v>479482.78333333333</v>
      </c>
      <c r="Q43" s="304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7" t="b">
        <f t="shared" si="15"/>
        <v>1</v>
      </c>
      <c r="AG43" s="117" t="b">
        <f t="shared" si="16"/>
        <v>1</v>
      </c>
      <c r="AH43" s="117" t="b">
        <f t="shared" si="17"/>
        <v>1</v>
      </c>
      <c r="AI43" s="117" t="b">
        <f t="shared" si="18"/>
        <v>1</v>
      </c>
      <c r="AJ43" s="117" t="b">
        <f t="shared" si="19"/>
        <v>1</v>
      </c>
      <c r="AK43">
        <f t="shared" si="28"/>
        <v>5.9666666666666668</v>
      </c>
      <c r="AL43" s="117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08"/>
      <c r="AT43" s="308"/>
      <c r="AU43" s="308"/>
      <c r="AV43" s="308"/>
      <c r="AW43" s="308"/>
      <c r="AX43" s="308"/>
      <c r="AY43" s="308"/>
      <c r="AZ43" s="308"/>
      <c r="BA43" s="308"/>
      <c r="BB43" s="308"/>
    </row>
    <row r="44" spans="2:54">
      <c r="C44" s="115" t="str">
        <f t="shared" si="27"/>
        <v>BM</v>
      </c>
      <c r="D44" s="370" t="s">
        <v>288</v>
      </c>
      <c r="E44" s="371" t="s">
        <v>291</v>
      </c>
      <c r="F44" s="368"/>
      <c r="G44" s="372">
        <v>4.8600000000000003</v>
      </c>
      <c r="H44" s="111" t="str">
        <f t="shared" si="8"/>
        <v>Y</v>
      </c>
      <c r="I44" s="111" t="str">
        <f t="shared" si="9"/>
        <v>N</v>
      </c>
      <c r="J44" s="116">
        <f t="shared" si="10"/>
        <v>0</v>
      </c>
      <c r="K44" s="321" t="str">
        <f t="array" ref="K44">IF(AL44,heureDecimal2Txt(AP44),NA())</f>
        <v>00:00:00.00(00.0000)</v>
      </c>
      <c r="L44" s="322"/>
      <c r="M44" s="112">
        <f t="shared" si="11"/>
        <v>4.8600000000000003</v>
      </c>
      <c r="N44" s="302" t="str">
        <f t="array" ref="N44">IF(AL44,dateEpoch2Txt(AR44),NA())</f>
        <v>2024/09/12 17:43</v>
      </c>
      <c r="O44" s="302"/>
      <c r="P44" s="303">
        <f t="shared" si="12"/>
        <v>479489.71666666667</v>
      </c>
      <c r="Q44" s="304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7" t="b">
        <f t="shared" si="15"/>
        <v>1</v>
      </c>
      <c r="AG44" s="117" t="b">
        <f t="shared" si="16"/>
        <v>1</v>
      </c>
      <c r="AH44" s="117" t="b">
        <f t="shared" si="17"/>
        <v>1</v>
      </c>
      <c r="AI44" s="117" t="b">
        <f t="shared" si="18"/>
        <v>1</v>
      </c>
      <c r="AJ44" s="117" t="b">
        <f t="shared" si="19"/>
        <v>1</v>
      </c>
      <c r="AK44">
        <f t="shared" si="28"/>
        <v>6.9333333333333336</v>
      </c>
      <c r="AL44" s="117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08"/>
      <c r="AT44" s="308"/>
      <c r="AU44" s="308"/>
      <c r="AV44" s="308"/>
      <c r="AW44" s="308"/>
      <c r="AX44" s="308"/>
      <c r="AY44" s="308"/>
      <c r="AZ44" s="308"/>
      <c r="BA44" s="308"/>
      <c r="BB44" s="308"/>
    </row>
    <row r="45" spans="2:54">
      <c r="C45" s="115" t="str">
        <f t="shared" si="27"/>
        <v>PM</v>
      </c>
      <c r="D45" s="373" t="s">
        <v>288</v>
      </c>
      <c r="E45" s="374" t="s">
        <v>292</v>
      </c>
      <c r="F45" s="369">
        <v>28</v>
      </c>
      <c r="G45" s="375">
        <v>7.45</v>
      </c>
      <c r="H45" s="111" t="str">
        <f t="shared" si="8"/>
        <v>Y</v>
      </c>
      <c r="I45" s="111" t="str">
        <f t="shared" si="9"/>
        <v>N</v>
      </c>
      <c r="J45" s="116">
        <f t="shared" si="10"/>
        <v>0</v>
      </c>
      <c r="K45" s="321" t="str">
        <f t="array" ref="K45">IF(AL45,heureDecimal2Txt(AP45),NA())</f>
        <v>00:00:00.00(00.0000)</v>
      </c>
      <c r="L45" s="322"/>
      <c r="M45" s="112">
        <f t="shared" si="11"/>
        <v>7.45</v>
      </c>
      <c r="N45" s="302" t="str">
        <f t="array" ref="N45">IF(AL45,dateEpoch2Txt(AR45),NA())</f>
        <v>2024/09/12 23:48</v>
      </c>
      <c r="O45" s="302"/>
      <c r="P45" s="303">
        <f t="shared" si="12"/>
        <v>479495.8</v>
      </c>
      <c r="Q45" s="304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7" t="b">
        <f t="shared" si="15"/>
        <v>1</v>
      </c>
      <c r="AG45" s="117" t="b">
        <f t="shared" si="16"/>
        <v>1</v>
      </c>
      <c r="AH45" s="117" t="b">
        <f t="shared" si="17"/>
        <v>1</v>
      </c>
      <c r="AI45" s="117" t="b">
        <f t="shared" si="18"/>
        <v>1</v>
      </c>
      <c r="AJ45" s="117" t="b">
        <f t="shared" si="19"/>
        <v>1</v>
      </c>
      <c r="AK45">
        <f t="shared" si="28"/>
        <v>6.083333333333333</v>
      </c>
      <c r="AL45" s="117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08"/>
      <c r="AT45" s="308"/>
      <c r="AU45" s="308"/>
      <c r="AV45" s="308"/>
      <c r="AW45" s="308"/>
      <c r="AX45" s="308"/>
      <c r="AY45" s="308"/>
      <c r="AZ45" s="308"/>
      <c r="BA45" s="308"/>
      <c r="BB45" s="308"/>
    </row>
    <row r="46" spans="2:54">
      <c r="C46" s="115" t="str">
        <f t="shared" si="27"/>
        <v>BM</v>
      </c>
      <c r="D46" s="370" t="s">
        <v>293</v>
      </c>
      <c r="E46" s="371" t="s">
        <v>294</v>
      </c>
      <c r="F46" s="368"/>
      <c r="G46" s="372">
        <v>5.08</v>
      </c>
      <c r="H46" s="111" t="str">
        <f t="shared" si="8"/>
        <v>Y</v>
      </c>
      <c r="I46" s="111" t="str">
        <f t="shared" si="9"/>
        <v>N</v>
      </c>
      <c r="J46" s="116">
        <f t="shared" si="10"/>
        <v>0</v>
      </c>
      <c r="K46" s="321" t="str">
        <f t="array" ref="K46">IF(AL46,heureDecimal2Txt(AP46),NA())</f>
        <v>00:00:00.00(00.0000)</v>
      </c>
      <c r="L46" s="322"/>
      <c r="M46" s="112">
        <f t="shared" si="11"/>
        <v>5.08</v>
      </c>
      <c r="N46" s="302" t="str">
        <f t="array" ref="N46">IF(AL46,dateEpoch2Txt(AR46),NA())</f>
        <v>2024/09/13 06:24</v>
      </c>
      <c r="O46" s="302"/>
      <c r="P46" s="303">
        <f t="shared" si="12"/>
        <v>479502.4</v>
      </c>
      <c r="Q46" s="304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7" t="b">
        <f t="shared" si="15"/>
        <v>1</v>
      </c>
      <c r="AG46" s="117" t="b">
        <f t="shared" si="16"/>
        <v>1</v>
      </c>
      <c r="AH46" s="117" t="b">
        <f t="shared" si="17"/>
        <v>1</v>
      </c>
      <c r="AI46" s="117" t="b">
        <f t="shared" si="18"/>
        <v>1</v>
      </c>
      <c r="AJ46" s="117" t="b">
        <f t="shared" si="19"/>
        <v>1</v>
      </c>
      <c r="AK46">
        <f t="shared" si="28"/>
        <v>6.6</v>
      </c>
      <c r="AL46" s="117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08"/>
      <c r="AT46" s="308"/>
      <c r="AU46" s="308"/>
      <c r="AV46" s="308"/>
      <c r="AW46" s="308"/>
      <c r="AX46" s="308"/>
      <c r="AY46" s="308"/>
      <c r="AZ46" s="308"/>
      <c r="BA46" s="308"/>
      <c r="BB46" s="308"/>
    </row>
    <row r="47" spans="2:54">
      <c r="B47">
        <v>10</v>
      </c>
      <c r="C47" s="115" t="str">
        <f t="shared" si="27"/>
        <v>PM</v>
      </c>
      <c r="D47" s="373" t="s">
        <v>293</v>
      </c>
      <c r="E47" s="374" t="s">
        <v>295</v>
      </c>
      <c r="F47" s="369">
        <v>31</v>
      </c>
      <c r="G47" s="375">
        <v>7.59</v>
      </c>
      <c r="H47" s="111" t="str">
        <f t="shared" si="8"/>
        <v>Y</v>
      </c>
      <c r="I47" s="111" t="str">
        <f t="shared" si="9"/>
        <v>N</v>
      </c>
      <c r="J47" s="116">
        <f t="shared" si="10"/>
        <v>0</v>
      </c>
      <c r="K47" s="321" t="str">
        <f t="array" ref="K47">IF(AL47,heureDecimal2Txt(AP47),NA())</f>
        <v>00:00:00.00(00.0000)</v>
      </c>
      <c r="L47" s="322"/>
      <c r="M47" s="112">
        <f t="shared" si="11"/>
        <v>7.59</v>
      </c>
      <c r="N47" s="302" t="str">
        <f t="array" ref="N47">IF(AL47,dateEpoch2Txt(AR47),NA())</f>
        <v>2024/09/13 12:55</v>
      </c>
      <c r="O47" s="302"/>
      <c r="P47" s="303">
        <f t="shared" si="12"/>
        <v>479508.91666666669</v>
      </c>
      <c r="Q47" s="304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7" t="b">
        <f t="shared" si="15"/>
        <v>1</v>
      </c>
      <c r="AG47" s="117" t="b">
        <f t="shared" si="16"/>
        <v>1</v>
      </c>
      <c r="AH47" s="117" t="b">
        <f t="shared" si="17"/>
        <v>1</v>
      </c>
      <c r="AI47" s="117" t="b">
        <f t="shared" si="18"/>
        <v>1</v>
      </c>
      <c r="AJ47" s="117" t="b">
        <f t="shared" si="19"/>
        <v>1</v>
      </c>
      <c r="AK47">
        <f t="shared" si="28"/>
        <v>6.5166666666666666</v>
      </c>
      <c r="AL47" s="117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08"/>
      <c r="AT47" s="308"/>
      <c r="AU47" s="308"/>
      <c r="AV47" s="308"/>
      <c r="AW47" s="308"/>
      <c r="AX47" s="308"/>
      <c r="AY47" s="308"/>
      <c r="AZ47" s="308"/>
      <c r="BA47" s="308"/>
      <c r="BB47" s="308"/>
    </row>
    <row r="48" spans="2:54">
      <c r="C48" s="115" t="str">
        <f t="shared" si="27"/>
        <v>BM</v>
      </c>
      <c r="D48" s="370" t="s">
        <v>293</v>
      </c>
      <c r="E48" s="371" t="s">
        <v>296</v>
      </c>
      <c r="F48" s="368"/>
      <c r="G48" s="372">
        <v>4.7300000000000004</v>
      </c>
      <c r="H48" s="111" t="str">
        <f t="shared" si="8"/>
        <v>Y</v>
      </c>
      <c r="I48" s="111" t="str">
        <f t="shared" si="9"/>
        <v>N</v>
      </c>
      <c r="J48" s="116">
        <f t="shared" si="10"/>
        <v>0</v>
      </c>
      <c r="K48" s="321" t="str">
        <f t="array" ref="K48">IF(AL48,heureDecimal2Txt(AP48),NA())</f>
        <v>00:00:00.00(00.0000)</v>
      </c>
      <c r="L48" s="322"/>
      <c r="M48" s="112">
        <f t="shared" si="11"/>
        <v>4.7300000000000004</v>
      </c>
      <c r="N48" s="302" t="str">
        <f t="array" ref="N48">IF(AL48,dateEpoch2Txt(AR48),NA())</f>
        <v>2024/09/13 19:44</v>
      </c>
      <c r="O48" s="302"/>
      <c r="P48" s="303">
        <f t="shared" si="12"/>
        <v>479515.73333333334</v>
      </c>
      <c r="Q48" s="304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7" t="b">
        <f t="shared" si="15"/>
        <v>1</v>
      </c>
      <c r="AG48" s="117" t="b">
        <f t="shared" si="16"/>
        <v>1</v>
      </c>
      <c r="AH48" s="117" t="b">
        <f t="shared" si="17"/>
        <v>1</v>
      </c>
      <c r="AI48" s="117" t="b">
        <f t="shared" si="18"/>
        <v>1</v>
      </c>
      <c r="AJ48" s="117" t="b">
        <f t="shared" si="19"/>
        <v>1</v>
      </c>
      <c r="AK48">
        <f t="shared" si="28"/>
        <v>6.8166666666666664</v>
      </c>
      <c r="AL48" s="117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08"/>
      <c r="AT48" s="308"/>
      <c r="AU48" s="308"/>
      <c r="AV48" s="308"/>
      <c r="AW48" s="308"/>
      <c r="AX48" s="308"/>
      <c r="AY48" s="308"/>
      <c r="AZ48" s="308"/>
      <c r="BA48" s="308"/>
      <c r="BB48" s="308"/>
    </row>
    <row r="49" spans="2:54">
      <c r="C49" s="115" t="str">
        <f t="shared" si="27"/>
        <v>PM</v>
      </c>
      <c r="D49" s="373" t="s">
        <v>297</v>
      </c>
      <c r="E49" s="374" t="s">
        <v>298</v>
      </c>
      <c r="F49" s="369">
        <v>37</v>
      </c>
      <c r="G49" s="375">
        <v>7.73</v>
      </c>
      <c r="H49" s="111" t="str">
        <f t="shared" si="8"/>
        <v>Y</v>
      </c>
      <c r="I49" s="111" t="str">
        <f t="shared" si="9"/>
        <v>N</v>
      </c>
      <c r="J49" s="116">
        <f t="shared" si="10"/>
        <v>0</v>
      </c>
      <c r="K49" s="321" t="str">
        <f t="array" ref="K49">IF(AL49,heureDecimal2Txt(AP49),NA())</f>
        <v>00:00:00.00(00.0000)</v>
      </c>
      <c r="L49" s="322"/>
      <c r="M49" s="112">
        <f t="shared" si="11"/>
        <v>7.73</v>
      </c>
      <c r="N49" s="302" t="str">
        <f t="array" ref="N49">IF(AL49,dateEpoch2Txt(AR49),NA())</f>
        <v>2024/09/14 02:04</v>
      </c>
      <c r="O49" s="302"/>
      <c r="P49" s="303">
        <f t="shared" si="12"/>
        <v>479522.06666666665</v>
      </c>
      <c r="Q49" s="304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7" t="b">
        <f t="shared" si="15"/>
        <v>1</v>
      </c>
      <c r="AG49" s="117" t="b">
        <f t="shared" si="16"/>
        <v>1</v>
      </c>
      <c r="AH49" s="117" t="b">
        <f t="shared" si="17"/>
        <v>1</v>
      </c>
      <c r="AI49" s="117" t="b">
        <f t="shared" si="18"/>
        <v>1</v>
      </c>
      <c r="AJ49" s="117" t="b">
        <f t="shared" si="19"/>
        <v>1</v>
      </c>
      <c r="AK49">
        <f t="shared" si="28"/>
        <v>6.333333333333333</v>
      </c>
      <c r="AL49" s="117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08"/>
      <c r="AT49" s="308"/>
      <c r="AU49" s="308"/>
      <c r="AV49" s="308"/>
      <c r="AW49" s="308"/>
      <c r="AX49" s="308"/>
      <c r="AY49" s="308"/>
      <c r="AZ49" s="308"/>
      <c r="BA49" s="308"/>
      <c r="BB49" s="308"/>
    </row>
    <row r="50" spans="2:54">
      <c r="C50" s="115" t="str">
        <f t="shared" si="27"/>
        <v>BM</v>
      </c>
      <c r="D50" s="370" t="s">
        <v>297</v>
      </c>
      <c r="E50" s="371" t="s">
        <v>299</v>
      </c>
      <c r="F50" s="368"/>
      <c r="G50" s="372">
        <v>4.68</v>
      </c>
      <c r="H50" s="111" t="str">
        <f t="shared" si="8"/>
        <v>Y</v>
      </c>
      <c r="I50" s="111" t="str">
        <f t="shared" si="9"/>
        <v>N</v>
      </c>
      <c r="J50" s="116">
        <f t="shared" si="10"/>
        <v>0</v>
      </c>
      <c r="K50" s="321" t="str">
        <f t="array" ref="K50">IF(AL50,heureDecimal2Txt(AP50),NA())</f>
        <v>00:00:00.00(00.0000)</v>
      </c>
      <c r="L50" s="322"/>
      <c r="M50" s="112">
        <f t="shared" si="11"/>
        <v>4.68</v>
      </c>
      <c r="N50" s="302" t="str">
        <f>IF(AL50,dateEpoch2Txt(AR50),NA())</f>
        <v>2024/09/14 08:29</v>
      </c>
      <c r="O50" s="302"/>
      <c r="P50" s="303">
        <f t="shared" si="12"/>
        <v>479528.48333333334</v>
      </c>
      <c r="Q50" s="304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7" t="b">
        <f t="shared" si="15"/>
        <v>1</v>
      </c>
      <c r="AG50" s="117" t="b">
        <f t="shared" si="16"/>
        <v>1</v>
      </c>
      <c r="AH50" s="117" t="b">
        <f t="shared" si="17"/>
        <v>1</v>
      </c>
      <c r="AI50" s="117" t="b">
        <f t="shared" si="18"/>
        <v>1</v>
      </c>
      <c r="AJ50" s="117" t="b">
        <f t="shared" si="19"/>
        <v>1</v>
      </c>
      <c r="AK50">
        <f t="shared" si="28"/>
        <v>6.416666666666667</v>
      </c>
      <c r="AL50" s="117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08"/>
      <c r="AT50" s="308"/>
      <c r="AU50" s="308"/>
      <c r="AV50" s="308"/>
      <c r="AW50" s="308"/>
      <c r="AX50" s="308"/>
      <c r="AY50" s="308"/>
      <c r="AZ50" s="308"/>
      <c r="BA50" s="308"/>
      <c r="BB50" s="308"/>
    </row>
    <row r="51" spans="2:54">
      <c r="C51" s="115" t="str">
        <f t="shared" si="27"/>
        <v>PM</v>
      </c>
      <c r="D51" s="373" t="s">
        <v>297</v>
      </c>
      <c r="E51" s="374" t="s">
        <v>300</v>
      </c>
      <c r="F51" s="369">
        <v>45</v>
      </c>
      <c r="G51" s="375">
        <v>8.24</v>
      </c>
      <c r="H51" s="111" t="str">
        <f t="shared" si="8"/>
        <v>Y</v>
      </c>
      <c r="I51" s="111" t="str">
        <f t="shared" si="9"/>
        <v>N</v>
      </c>
      <c r="J51" s="116">
        <f t="shared" si="10"/>
        <v>0</v>
      </c>
      <c r="K51" s="321" t="str">
        <f t="array" ref="K51">IF(AL51,heureDecimal2Txt(AP51),NA())</f>
        <v>00:00:00.00(00.0000)</v>
      </c>
      <c r="L51" s="322"/>
      <c r="M51" s="112">
        <f t="shared" si="11"/>
        <v>8.24</v>
      </c>
      <c r="N51" s="302" t="str">
        <f t="array" ref="N51">IF(AL51,dateEpoch2Txt(AR51),NA())</f>
        <v>2024/09/14 14:43</v>
      </c>
      <c r="O51" s="302"/>
      <c r="P51" s="303">
        <f t="shared" si="12"/>
        <v>479534.71666666667</v>
      </c>
      <c r="Q51" s="304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7" t="b">
        <f t="shared" si="15"/>
        <v>1</v>
      </c>
      <c r="AG51" s="117" t="b">
        <f t="shared" si="16"/>
        <v>1</v>
      </c>
      <c r="AH51" s="117" t="b">
        <f t="shared" si="17"/>
        <v>1</v>
      </c>
      <c r="AI51" s="117" t="b">
        <f t="shared" si="18"/>
        <v>1</v>
      </c>
      <c r="AJ51" s="117" t="b">
        <f t="shared" si="19"/>
        <v>1</v>
      </c>
      <c r="AK51">
        <f t="shared" si="28"/>
        <v>6.2333333333333334</v>
      </c>
      <c r="AL51" s="117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08"/>
      <c r="AT51" s="308"/>
      <c r="AU51" s="308"/>
      <c r="AV51" s="308"/>
      <c r="AW51" s="308"/>
      <c r="AX51" s="308"/>
      <c r="AY51" s="308"/>
      <c r="AZ51" s="308"/>
      <c r="BA51" s="308"/>
      <c r="BB51" s="308"/>
    </row>
    <row r="52" spans="2:54">
      <c r="B52">
        <v>15</v>
      </c>
      <c r="C52" s="115" t="str">
        <f t="shared" si="27"/>
        <v>BM</v>
      </c>
      <c r="D52" s="370" t="s">
        <v>297</v>
      </c>
      <c r="E52" s="371" t="s">
        <v>301</v>
      </c>
      <c r="F52" s="368"/>
      <c r="G52" s="372">
        <v>3.9</v>
      </c>
      <c r="H52" s="111" t="str">
        <f t="shared" si="8"/>
        <v>Y</v>
      </c>
      <c r="I52" s="111" t="str">
        <f t="shared" si="9"/>
        <v>N</v>
      </c>
      <c r="J52" s="116">
        <f t="shared" si="10"/>
        <v>0</v>
      </c>
      <c r="K52" s="321" t="str">
        <f t="array" ref="K52">IF(AL52,heureDecimal2Txt(AP52),NA())</f>
        <v>00:00:00.00(00.0000)</v>
      </c>
      <c r="L52" s="322"/>
      <c r="M52" s="112">
        <f t="shared" si="11"/>
        <v>3.9</v>
      </c>
      <c r="N52" s="302" t="str">
        <f t="array" ref="N52">IF(AL52,dateEpoch2Txt(AR52),NA())</f>
        <v>2024/09/14 21:15</v>
      </c>
      <c r="O52" s="302"/>
      <c r="P52" s="303">
        <f t="shared" si="12"/>
        <v>479541.25</v>
      </c>
      <c r="Q52" s="304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7" t="b">
        <f t="shared" si="15"/>
        <v>1</v>
      </c>
      <c r="AG52" s="117" t="b">
        <f t="shared" si="16"/>
        <v>1</v>
      </c>
      <c r="AH52" s="117" t="b">
        <f t="shared" si="17"/>
        <v>1</v>
      </c>
      <c r="AI52" s="117" t="b">
        <f t="shared" si="18"/>
        <v>1</v>
      </c>
      <c r="AJ52" s="117" t="b">
        <f t="shared" si="19"/>
        <v>1</v>
      </c>
      <c r="AK52">
        <f t="shared" si="28"/>
        <v>6.5333333333333332</v>
      </c>
      <c r="AL52" s="117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08"/>
      <c r="AT52" s="308"/>
      <c r="AU52" s="308"/>
      <c r="AV52" s="308"/>
      <c r="AW52" s="308"/>
      <c r="AX52" s="308"/>
      <c r="AY52" s="308"/>
      <c r="AZ52" s="308"/>
      <c r="BA52" s="308"/>
      <c r="BB52" s="308"/>
    </row>
    <row r="53" spans="2:54">
      <c r="C53" s="115" t="str">
        <f t="shared" si="27"/>
        <v>PM</v>
      </c>
      <c r="D53" s="373" t="s">
        <v>302</v>
      </c>
      <c r="E53" s="374" t="s">
        <v>303</v>
      </c>
      <c r="F53" s="369">
        <v>54</v>
      </c>
      <c r="G53" s="375">
        <v>8.6199999999999992</v>
      </c>
      <c r="H53" s="111" t="str">
        <f t="shared" si="8"/>
        <v>Y</v>
      </c>
      <c r="I53" s="111" t="str">
        <f t="shared" si="9"/>
        <v>N</v>
      </c>
      <c r="J53" s="116">
        <f t="shared" si="10"/>
        <v>0</v>
      </c>
      <c r="K53" s="321" t="str">
        <f t="array" ref="K53">IF(AL53,heureDecimal2Txt(AP53),NA())</f>
        <v>00:00:00.00(00.0000)</v>
      </c>
      <c r="L53" s="322"/>
      <c r="M53" s="112">
        <f t="shared" si="11"/>
        <v>8.6199999999999992</v>
      </c>
      <c r="N53" s="302" t="str">
        <f t="array" ref="N53">IF(AL53,dateEpoch2Txt(AR53),NA())</f>
        <v>2024/09/15 03:23</v>
      </c>
      <c r="O53" s="302"/>
      <c r="P53" s="303">
        <f t="shared" si="12"/>
        <v>479547.38333333336</v>
      </c>
      <c r="Q53" s="304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7" t="b">
        <f t="shared" si="15"/>
        <v>1</v>
      </c>
      <c r="AG53" s="117" t="b">
        <f t="shared" si="16"/>
        <v>1</v>
      </c>
      <c r="AH53" s="117" t="b">
        <f t="shared" si="17"/>
        <v>1</v>
      </c>
      <c r="AI53" s="117" t="b">
        <f t="shared" si="18"/>
        <v>1</v>
      </c>
      <c r="AJ53" s="117" t="b">
        <f t="shared" si="19"/>
        <v>1</v>
      </c>
      <c r="AK53">
        <f t="shared" si="28"/>
        <v>6.1333333333333337</v>
      </c>
      <c r="AL53" s="117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08"/>
      <c r="AT53" s="308"/>
      <c r="AU53" s="308"/>
      <c r="AV53" s="308"/>
      <c r="AW53" s="308"/>
      <c r="AX53" s="308"/>
      <c r="AY53" s="308"/>
      <c r="AZ53" s="308"/>
      <c r="BA53" s="308"/>
      <c r="BB53" s="308"/>
    </row>
    <row r="54" spans="2:54">
      <c r="C54" s="115" t="str">
        <f t="shared" si="27"/>
        <v>BM</v>
      </c>
      <c r="D54" s="370" t="s">
        <v>302</v>
      </c>
      <c r="E54" s="371" t="s">
        <v>304</v>
      </c>
      <c r="F54" s="368"/>
      <c r="G54" s="372">
        <v>3.74</v>
      </c>
      <c r="H54" s="111" t="str">
        <f t="shared" si="8"/>
        <v>Y</v>
      </c>
      <c r="I54" s="111" t="str">
        <f t="shared" si="9"/>
        <v>N</v>
      </c>
      <c r="J54" s="116">
        <f t="shared" si="10"/>
        <v>0</v>
      </c>
      <c r="K54" s="321" t="str">
        <f t="array" ref="K54">IF(AL54,heureDecimal2Txt(AP54),NA())</f>
        <v>00:00:00.00(00.0000)</v>
      </c>
      <c r="L54" s="322"/>
      <c r="M54" s="112">
        <f t="shared" si="11"/>
        <v>3.74</v>
      </c>
      <c r="N54" s="302" t="str">
        <f t="array" ref="N54">IF(AL54,dateEpoch2Txt(AR54),NA())</f>
        <v>2024/09/15 09:48</v>
      </c>
      <c r="O54" s="302"/>
      <c r="P54" s="303">
        <f t="shared" si="12"/>
        <v>479553.8</v>
      </c>
      <c r="Q54" s="304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7" t="b">
        <f t="shared" si="15"/>
        <v>1</v>
      </c>
      <c r="AG54" s="117" t="b">
        <f t="shared" si="16"/>
        <v>1</v>
      </c>
      <c r="AH54" s="117" t="b">
        <f t="shared" si="17"/>
        <v>1</v>
      </c>
      <c r="AI54" s="117" t="b">
        <f t="shared" si="18"/>
        <v>1</v>
      </c>
      <c r="AJ54" s="117" t="b">
        <f t="shared" si="19"/>
        <v>1</v>
      </c>
      <c r="AK54">
        <f t="shared" si="28"/>
        <v>6.416666666666667</v>
      </c>
      <c r="AL54" s="117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08"/>
      <c r="AT54" s="308"/>
      <c r="AU54" s="308"/>
      <c r="AV54" s="308"/>
      <c r="AW54" s="308"/>
      <c r="AX54" s="308"/>
      <c r="AY54" s="308"/>
      <c r="AZ54" s="308"/>
      <c r="BA54" s="308"/>
      <c r="BB54" s="308"/>
    </row>
    <row r="55" spans="2:54">
      <c r="C55" s="115" t="str">
        <f t="shared" si="27"/>
        <v>PM</v>
      </c>
      <c r="D55" s="373" t="s">
        <v>302</v>
      </c>
      <c r="E55" s="374" t="s">
        <v>305</v>
      </c>
      <c r="F55" s="369">
        <v>64</v>
      </c>
      <c r="G55" s="375">
        <v>9.2200000000000006</v>
      </c>
      <c r="H55" s="111" t="str">
        <f t="shared" si="8"/>
        <v>Y</v>
      </c>
      <c r="I55" s="111" t="str">
        <f t="shared" si="9"/>
        <v>N</v>
      </c>
      <c r="J55" s="116">
        <f t="shared" si="10"/>
        <v>0</v>
      </c>
      <c r="K55" s="321" t="str">
        <f t="array" ref="K55">IF(AL55,heureDecimal2Txt(AP55),NA())</f>
        <v>00:00:00.00(00.0000)</v>
      </c>
      <c r="L55" s="322"/>
      <c r="M55" s="112">
        <f t="shared" si="11"/>
        <v>9.2200000000000006</v>
      </c>
      <c r="N55" s="302" t="str">
        <f t="array" ref="N55">IF(AL55,dateEpoch2Txt(AR55),NA())</f>
        <v>2024/09/15 15:49</v>
      </c>
      <c r="O55" s="302"/>
      <c r="P55" s="303">
        <f t="shared" si="12"/>
        <v>479559.81666666665</v>
      </c>
      <c r="Q55" s="304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7" t="b">
        <f t="shared" si="15"/>
        <v>1</v>
      </c>
      <c r="AG55" s="117" t="b">
        <f t="shared" si="16"/>
        <v>1</v>
      </c>
      <c r="AH55" s="117" t="b">
        <f t="shared" si="17"/>
        <v>1</v>
      </c>
      <c r="AI55" s="117" t="b">
        <f t="shared" si="18"/>
        <v>1</v>
      </c>
      <c r="AJ55" s="117" t="b">
        <f t="shared" si="19"/>
        <v>1</v>
      </c>
      <c r="AK55">
        <f t="shared" si="28"/>
        <v>6.0166666666666666</v>
      </c>
      <c r="AL55" s="117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08"/>
      <c r="AT55" s="308"/>
      <c r="AU55" s="308"/>
      <c r="AV55" s="308"/>
      <c r="AW55" s="308"/>
      <c r="AX55" s="308"/>
      <c r="AY55" s="308"/>
      <c r="AZ55" s="308"/>
      <c r="BA55" s="308"/>
      <c r="BB55" s="308"/>
    </row>
    <row r="56" spans="2:54">
      <c r="C56" s="115" t="str">
        <f t="shared" si="27"/>
        <v>BM</v>
      </c>
      <c r="D56" s="370" t="s">
        <v>302</v>
      </c>
      <c r="E56" s="371" t="s">
        <v>306</v>
      </c>
      <c r="F56" s="368"/>
      <c r="G56" s="372">
        <v>2.86</v>
      </c>
      <c r="H56" s="111" t="str">
        <f t="shared" si="8"/>
        <v>Y</v>
      </c>
      <c r="I56" s="111" t="str">
        <f t="shared" si="9"/>
        <v>Y</v>
      </c>
      <c r="J56" s="116">
        <f t="shared" si="10"/>
        <v>0</v>
      </c>
      <c r="K56" s="321" t="str">
        <f t="array" ref="K56">IF(AL56,heureDecimal2Txt(AP56),NA())</f>
        <v>00:00:00.00(00.0000)</v>
      </c>
      <c r="L56" s="322"/>
      <c r="M56" s="112">
        <f t="shared" si="11"/>
        <v>2.86</v>
      </c>
      <c r="N56" s="302" t="str">
        <f t="array" ref="N56">IF(AL56,dateEpoch2Txt(AR56),NA())</f>
        <v>2024/09/15 22:19</v>
      </c>
      <c r="O56" s="302"/>
      <c r="P56" s="303">
        <f t="shared" si="12"/>
        <v>479566.31666666665</v>
      </c>
      <c r="Q56" s="304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7" t="b">
        <f t="shared" si="15"/>
        <v>1</v>
      </c>
      <c r="AG56" s="117" t="b">
        <f t="shared" si="16"/>
        <v>1</v>
      </c>
      <c r="AH56" s="117" t="b">
        <f t="shared" si="17"/>
        <v>1</v>
      </c>
      <c r="AI56" s="117" t="b">
        <f t="shared" si="18"/>
        <v>1</v>
      </c>
      <c r="AJ56" s="117" t="b">
        <f t="shared" si="19"/>
        <v>1</v>
      </c>
      <c r="AK56">
        <f t="shared" si="28"/>
        <v>6.5</v>
      </c>
      <c r="AL56" s="117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08"/>
      <c r="AT56" s="308"/>
      <c r="AU56" s="308"/>
      <c r="AV56" s="308"/>
      <c r="AW56" s="308"/>
      <c r="AX56" s="308"/>
      <c r="AY56" s="308"/>
      <c r="AZ56" s="308"/>
      <c r="BA56" s="308"/>
      <c r="BB56" s="308"/>
    </row>
    <row r="57" spans="2:54">
      <c r="B57">
        <v>20</v>
      </c>
      <c r="C57" s="115" t="str">
        <f t="shared" si="27"/>
        <v>PM</v>
      </c>
      <c r="D57" s="373" t="s">
        <v>307</v>
      </c>
      <c r="E57" s="374" t="s">
        <v>308</v>
      </c>
      <c r="F57" s="369">
        <v>74</v>
      </c>
      <c r="G57" s="375">
        <v>9.6199999999999992</v>
      </c>
      <c r="H57" s="111" t="str">
        <f t="shared" si="8"/>
        <v>Y</v>
      </c>
      <c r="I57" s="111" t="str">
        <f t="shared" si="9"/>
        <v>Y</v>
      </c>
      <c r="J57" s="116">
        <f t="shared" si="10"/>
        <v>0</v>
      </c>
      <c r="K57" s="321" t="str">
        <f t="array" ref="K57">IF(AL57,heureDecimal2Txt(AP57),NA())</f>
        <v>00:00:00.00(00.0000)</v>
      </c>
      <c r="L57" s="322"/>
      <c r="M57" s="112">
        <f t="shared" si="11"/>
        <v>9.6199999999999992</v>
      </c>
      <c r="N57" s="302" t="str">
        <f t="array" ref="N57">IF(AL57,dateEpoch2Txt(AR57),NA())</f>
        <v>2024/09/16 04:21</v>
      </c>
      <c r="O57" s="302"/>
      <c r="P57" s="303">
        <f t="shared" si="12"/>
        <v>479572.35</v>
      </c>
      <c r="Q57" s="304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7" t="b">
        <f t="shared" si="15"/>
        <v>1</v>
      </c>
      <c r="AG57" s="117" t="b">
        <f t="shared" si="16"/>
        <v>1</v>
      </c>
      <c r="AH57" s="117" t="b">
        <f t="shared" si="17"/>
        <v>1</v>
      </c>
      <c r="AI57" s="117" t="b">
        <f t="shared" si="18"/>
        <v>1</v>
      </c>
      <c r="AJ57" s="117" t="b">
        <f t="shared" si="19"/>
        <v>1</v>
      </c>
      <c r="AK57">
        <f t="shared" si="28"/>
        <v>6.0333333333333332</v>
      </c>
      <c r="AL57" s="117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08"/>
      <c r="AT57" s="308"/>
      <c r="AU57" s="308"/>
      <c r="AV57" s="308"/>
      <c r="AW57" s="308"/>
      <c r="AX57" s="308"/>
      <c r="AY57" s="308"/>
      <c r="AZ57" s="308"/>
      <c r="BA57" s="308"/>
      <c r="BB57" s="308"/>
    </row>
    <row r="58" spans="2:54">
      <c r="C58" s="115" t="str">
        <f t="shared" si="27"/>
        <v>BM</v>
      </c>
      <c r="D58" s="370" t="s">
        <v>307</v>
      </c>
      <c r="E58" s="371" t="s">
        <v>309</v>
      </c>
      <c r="F58" s="368"/>
      <c r="G58" s="372">
        <v>2.72</v>
      </c>
      <c r="H58" s="111" t="str">
        <f t="shared" si="8"/>
        <v>Y</v>
      </c>
      <c r="I58" s="111" t="str">
        <f t="shared" si="9"/>
        <v>Y</v>
      </c>
      <c r="J58" s="116">
        <f t="shared" si="10"/>
        <v>0</v>
      </c>
      <c r="K58" s="321" t="str">
        <f t="array" ref="K58">IF(AL58,heureDecimal2Txt(AP58),NA())</f>
        <v>00:00:00.00(00.0000)</v>
      </c>
      <c r="L58" s="322"/>
      <c r="M58" s="112">
        <f t="shared" si="11"/>
        <v>2.72</v>
      </c>
      <c r="N58" s="302" t="str">
        <f t="array" ref="N58">IF(AL58,dateEpoch2Txt(AR58),NA())</f>
        <v>2024/09/16 10:46</v>
      </c>
      <c r="O58" s="302"/>
      <c r="P58" s="303">
        <f t="shared" si="12"/>
        <v>479578.76666666666</v>
      </c>
      <c r="Q58" s="304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7" t="b">
        <f t="shared" si="15"/>
        <v>1</v>
      </c>
      <c r="AG58" s="117" t="b">
        <f t="shared" si="16"/>
        <v>1</v>
      </c>
      <c r="AH58" s="117" t="b">
        <f t="shared" si="17"/>
        <v>1</v>
      </c>
      <c r="AI58" s="117" t="b">
        <f t="shared" si="18"/>
        <v>1</v>
      </c>
      <c r="AJ58" s="117" t="b">
        <f t="shared" si="19"/>
        <v>1</v>
      </c>
      <c r="AK58">
        <f t="shared" si="28"/>
        <v>6.416666666666667</v>
      </c>
      <c r="AL58" s="117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08"/>
      <c r="AT58" s="308"/>
      <c r="AU58" s="308"/>
      <c r="AV58" s="308"/>
      <c r="AW58" s="308"/>
      <c r="AX58" s="308"/>
      <c r="AY58" s="308"/>
      <c r="AZ58" s="308"/>
      <c r="BA58" s="308"/>
      <c r="BB58" s="308"/>
    </row>
    <row r="59" spans="2:54">
      <c r="C59" s="115" t="str">
        <f t="shared" si="27"/>
        <v>PM</v>
      </c>
      <c r="D59" s="373" t="s">
        <v>307</v>
      </c>
      <c r="E59" s="374" t="s">
        <v>310</v>
      </c>
      <c r="F59" s="369">
        <v>83</v>
      </c>
      <c r="G59" s="375">
        <v>10.210000000000001</v>
      </c>
      <c r="H59" s="111" t="str">
        <f t="shared" si="8"/>
        <v>Y</v>
      </c>
      <c r="I59" s="111" t="str">
        <f t="shared" si="9"/>
        <v>Y</v>
      </c>
      <c r="J59" s="116">
        <f t="shared" si="10"/>
        <v>0</v>
      </c>
      <c r="K59" s="321" t="str">
        <f t="array" ref="K59">IF(AL59,heureDecimal2Txt(AP59),NA())</f>
        <v>00:00:00.00(00.0000)</v>
      </c>
      <c r="L59" s="322"/>
      <c r="M59" s="112">
        <f t="shared" si="11"/>
        <v>10.210000000000001</v>
      </c>
      <c r="N59" s="302" t="str">
        <f t="array" ref="N59">IF(AL59,dateEpoch2Txt(AR59),NA())</f>
        <v>2024/09/16 16:43</v>
      </c>
      <c r="O59" s="302"/>
      <c r="P59" s="303">
        <f t="shared" si="12"/>
        <v>479584.71666666667</v>
      </c>
      <c r="Q59" s="304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7" t="b">
        <f t="shared" si="15"/>
        <v>1</v>
      </c>
      <c r="AG59" s="117" t="b">
        <f t="shared" si="16"/>
        <v>1</v>
      </c>
      <c r="AH59" s="117" t="b">
        <f t="shared" si="17"/>
        <v>1</v>
      </c>
      <c r="AI59" s="117" t="b">
        <f t="shared" si="18"/>
        <v>1</v>
      </c>
      <c r="AJ59" s="117" t="b">
        <f t="shared" si="19"/>
        <v>1</v>
      </c>
      <c r="AK59">
        <f t="shared" si="28"/>
        <v>5.95</v>
      </c>
      <c r="AL59" s="117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08"/>
      <c r="AT59" s="308"/>
      <c r="AU59" s="308"/>
      <c r="AV59" s="308"/>
      <c r="AW59" s="308"/>
      <c r="AX59" s="308"/>
      <c r="AY59" s="308"/>
      <c r="AZ59" s="308"/>
      <c r="BA59" s="308"/>
      <c r="BB59" s="308"/>
    </row>
    <row r="60" spans="2:54">
      <c r="C60" s="115" t="str">
        <f t="shared" si="27"/>
        <v>BM</v>
      </c>
      <c r="D60" s="370" t="s">
        <v>307</v>
      </c>
      <c r="E60" s="371" t="s">
        <v>311</v>
      </c>
      <c r="F60" s="368"/>
      <c r="G60" s="372">
        <v>1.91</v>
      </c>
      <c r="H60" s="111" t="str">
        <f t="shared" si="8"/>
        <v>Y</v>
      </c>
      <c r="I60" s="111" t="str">
        <f t="shared" si="9"/>
        <v>Y</v>
      </c>
      <c r="J60" s="116">
        <f t="shared" si="10"/>
        <v>0</v>
      </c>
      <c r="K60" s="321" t="str">
        <f t="array" ref="K60">IF(AL60,heureDecimal2Txt(AP60),NA())</f>
        <v>00:00:00.00(00.0000)</v>
      </c>
      <c r="L60" s="322"/>
      <c r="M60" s="112">
        <f t="shared" si="11"/>
        <v>1.91</v>
      </c>
      <c r="N60" s="302" t="str">
        <f t="array" ref="N60">IF(AL60,dateEpoch2Txt(AR60),NA())</f>
        <v>2024/09/16 23:13</v>
      </c>
      <c r="O60" s="302"/>
      <c r="P60" s="303">
        <f t="shared" si="12"/>
        <v>479591.21666666667</v>
      </c>
      <c r="Q60" s="304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7" t="b">
        <f t="shared" si="15"/>
        <v>1</v>
      </c>
      <c r="AG60" s="117" t="b">
        <f t="shared" si="16"/>
        <v>1</v>
      </c>
      <c r="AH60" s="117" t="b">
        <f t="shared" si="17"/>
        <v>1</v>
      </c>
      <c r="AI60" s="117" t="b">
        <f t="shared" si="18"/>
        <v>1</v>
      </c>
      <c r="AJ60" s="117" t="b">
        <f t="shared" si="19"/>
        <v>1</v>
      </c>
      <c r="AK60">
        <f t="shared" si="28"/>
        <v>6.5</v>
      </c>
      <c r="AL60" s="117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08"/>
      <c r="AT60" s="308"/>
      <c r="AU60" s="308"/>
      <c r="AV60" s="308"/>
      <c r="AW60" s="308"/>
      <c r="AX60" s="308"/>
      <c r="AY60" s="308"/>
      <c r="AZ60" s="308"/>
      <c r="BA60" s="308"/>
      <c r="BB60" s="308"/>
    </row>
    <row r="61" spans="2:54">
      <c r="C61" s="115" t="str">
        <f t="shared" si="27"/>
        <v>PM</v>
      </c>
      <c r="D61" s="373" t="s">
        <v>312</v>
      </c>
      <c r="E61" s="374" t="s">
        <v>313</v>
      </c>
      <c r="F61" s="369">
        <v>91</v>
      </c>
      <c r="G61" s="375">
        <v>10.51</v>
      </c>
      <c r="H61" s="111" t="str">
        <f t="shared" si="8"/>
        <v>Y</v>
      </c>
      <c r="I61" s="111" t="str">
        <f t="shared" si="9"/>
        <v>Y</v>
      </c>
      <c r="J61" s="116">
        <f t="shared" si="10"/>
        <v>0</v>
      </c>
      <c r="K61" s="321" t="str">
        <f t="array" ref="K61">IF(AL61,heureDecimal2Txt(AP61),NA())</f>
        <v>00:00:00.00(00.0000)</v>
      </c>
      <c r="L61" s="322"/>
      <c r="M61" s="112">
        <f t="shared" si="11"/>
        <v>10.51</v>
      </c>
      <c r="N61" s="302" t="str">
        <f t="array" ref="N61">IF(AL61,dateEpoch2Txt(AR61),NA())</f>
        <v>2024/09/17 05:13</v>
      </c>
      <c r="O61" s="302"/>
      <c r="P61" s="303">
        <f t="shared" si="12"/>
        <v>479597.21666666667</v>
      </c>
      <c r="Q61" s="304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7" t="b">
        <f t="shared" si="15"/>
        <v>1</v>
      </c>
      <c r="AG61" s="117" t="b">
        <f t="shared" si="16"/>
        <v>1</v>
      </c>
      <c r="AH61" s="117" t="b">
        <f t="shared" si="17"/>
        <v>1</v>
      </c>
      <c r="AI61" s="117" t="b">
        <f t="shared" si="18"/>
        <v>1</v>
      </c>
      <c r="AJ61" s="117" t="b">
        <f t="shared" si="19"/>
        <v>1</v>
      </c>
      <c r="AK61">
        <f t="shared" si="28"/>
        <v>6</v>
      </c>
      <c r="AL61" s="117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08"/>
      <c r="AT61" s="308"/>
      <c r="AU61" s="308"/>
      <c r="AV61" s="308"/>
      <c r="AW61" s="308"/>
      <c r="AX61" s="308"/>
      <c r="AY61" s="308"/>
      <c r="AZ61" s="308"/>
      <c r="BA61" s="308"/>
      <c r="BB61" s="308"/>
    </row>
    <row r="62" spans="2:54">
      <c r="B62">
        <v>25</v>
      </c>
      <c r="C62" s="115" t="str">
        <f t="shared" si="27"/>
        <v>BM</v>
      </c>
      <c r="D62" s="370" t="s">
        <v>312</v>
      </c>
      <c r="E62" s="371" t="s">
        <v>314</v>
      </c>
      <c r="F62" s="368"/>
      <c r="G62" s="372">
        <v>1.84</v>
      </c>
      <c r="H62" s="111" t="str">
        <f t="shared" si="8"/>
        <v>Y</v>
      </c>
      <c r="I62" s="111" t="str">
        <f t="shared" si="9"/>
        <v>Y</v>
      </c>
      <c r="J62" s="116">
        <f t="shared" si="10"/>
        <v>0</v>
      </c>
      <c r="K62" s="321" t="str">
        <f t="array" ref="K62">IF(AL62,heureDecimal2Txt(AP62),NA())</f>
        <v>00:00:00.00(00.0000)</v>
      </c>
      <c r="L62" s="322"/>
      <c r="M62" s="112">
        <f t="shared" si="11"/>
        <v>1.84</v>
      </c>
      <c r="N62" s="302" t="str">
        <f t="array" ref="N62">IF(AL62,dateEpoch2Txt(AR62),NA())</f>
        <v>2024/09/17 11:38</v>
      </c>
      <c r="O62" s="302"/>
      <c r="P62" s="303">
        <f t="shared" si="12"/>
        <v>479603.63333333336</v>
      </c>
      <c r="Q62" s="304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7" t="b">
        <f t="shared" si="15"/>
        <v>1</v>
      </c>
      <c r="AG62" s="117" t="b">
        <f t="shared" si="16"/>
        <v>1</v>
      </c>
      <c r="AH62" s="117" t="b">
        <f t="shared" si="17"/>
        <v>1</v>
      </c>
      <c r="AI62" s="117" t="b">
        <f t="shared" si="18"/>
        <v>1</v>
      </c>
      <c r="AJ62" s="117" t="b">
        <f t="shared" si="19"/>
        <v>1</v>
      </c>
      <c r="AK62">
        <f t="shared" si="28"/>
        <v>6.416666666666667</v>
      </c>
      <c r="AL62" s="117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08"/>
      <c r="AT62" s="308"/>
      <c r="AU62" s="308"/>
      <c r="AV62" s="308"/>
      <c r="AW62" s="308"/>
      <c r="AX62" s="308"/>
      <c r="AY62" s="308"/>
      <c r="AZ62" s="308"/>
      <c r="BA62" s="308"/>
      <c r="BB62" s="308"/>
    </row>
    <row r="63" spans="2:54">
      <c r="C63" s="115" t="str">
        <f t="shared" si="27"/>
        <v>PM</v>
      </c>
      <c r="D63" s="373" t="s">
        <v>312</v>
      </c>
      <c r="E63" s="374" t="s">
        <v>315</v>
      </c>
      <c r="F63" s="369">
        <v>99</v>
      </c>
      <c r="G63" s="375">
        <v>11.05</v>
      </c>
      <c r="H63" s="111" t="str">
        <f t="shared" si="8"/>
        <v>Y</v>
      </c>
      <c r="I63" s="111" t="str">
        <f t="shared" si="9"/>
        <v>Y</v>
      </c>
      <c r="J63" s="116">
        <f t="shared" si="10"/>
        <v>0</v>
      </c>
      <c r="K63" s="321" t="str">
        <f t="array" ref="K63">IF(AL63,heureDecimal2Txt(AP63),NA())</f>
        <v>00:00:00.00(00.0000)</v>
      </c>
      <c r="L63" s="322"/>
      <c r="M63" s="112">
        <f t="shared" si="11"/>
        <v>11.05</v>
      </c>
      <c r="N63" s="302" t="str">
        <f t="array" ref="N63">IF(AL63,dateEpoch2Txt(AR63),NA())</f>
        <v>2024/09/17 17:32</v>
      </c>
      <c r="O63" s="302"/>
      <c r="P63" s="303">
        <f t="shared" si="12"/>
        <v>479609.53333333333</v>
      </c>
      <c r="Q63" s="304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7" t="b">
        <f t="shared" si="15"/>
        <v>1</v>
      </c>
      <c r="AG63" s="117" t="b">
        <f t="shared" si="16"/>
        <v>1</v>
      </c>
      <c r="AH63" s="117" t="b">
        <f t="shared" si="17"/>
        <v>1</v>
      </c>
      <c r="AI63" s="117" t="b">
        <f t="shared" si="18"/>
        <v>1</v>
      </c>
      <c r="AJ63" s="117" t="b">
        <f t="shared" si="19"/>
        <v>1</v>
      </c>
      <c r="AK63">
        <f t="shared" si="28"/>
        <v>5.9</v>
      </c>
      <c r="AL63" s="117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08"/>
      <c r="AT63" s="308"/>
      <c r="AU63" s="308"/>
      <c r="AV63" s="308"/>
      <c r="AW63" s="308"/>
      <c r="AX63" s="308"/>
      <c r="AY63" s="308"/>
      <c r="AZ63" s="308"/>
      <c r="BA63" s="308"/>
      <c r="BB63" s="308"/>
    </row>
    <row r="64" spans="2:54">
      <c r="B64">
        <v>26</v>
      </c>
      <c r="C64" s="115" t="str">
        <f t="shared" si="27"/>
        <v>BM</v>
      </c>
      <c r="D64" s="370" t="s">
        <v>316</v>
      </c>
      <c r="E64" s="371" t="s">
        <v>317</v>
      </c>
      <c r="F64" s="368"/>
      <c r="G64" s="372">
        <v>1.17</v>
      </c>
      <c r="H64" s="111" t="str">
        <f t="shared" si="8"/>
        <v>Y</v>
      </c>
      <c r="I64" s="111" t="str">
        <f t="shared" si="9"/>
        <v>N</v>
      </c>
      <c r="J64" s="116">
        <f>IF(AL64,AO64,NA())</f>
        <v>0</v>
      </c>
      <c r="K64" s="321" t="str">
        <f t="array" ref="K64">IF(AL64,heureDecimal2Txt(AP64),NA())</f>
        <v>00:00:00.00(00.0000)</v>
      </c>
      <c r="L64" s="322"/>
      <c r="M64" s="112">
        <f t="shared" si="11"/>
        <v>1.17</v>
      </c>
      <c r="N64" s="302" t="str">
        <f t="array" ref="N64">IF(AL64,dateEpoch2Txt(AR64),NA())</f>
        <v>2024/09/18 00:04</v>
      </c>
      <c r="O64" s="302"/>
      <c r="P64" s="303">
        <f t="shared" si="12"/>
        <v>479616.06666666665</v>
      </c>
      <c r="Q64" s="304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7" t="b">
        <f t="shared" ref="AF64" si="32">IF(AB64, IF(ISNUMBER(F64), TRUE, FALSE), IF(AF65,AF65,AF63))</f>
        <v>1</v>
      </c>
      <c r="AG64" s="117" t="b">
        <f t="shared" ref="AG64" si="33">ISNUMBER(G64)</f>
        <v>1</v>
      </c>
      <c r="AH64" s="117" t="b">
        <f t="shared" ref="AH64" si="34">AC64&gt;0</f>
        <v>1</v>
      </c>
      <c r="AI64" s="117" t="b">
        <f t="shared" ref="AI64" si="35">AD64&gt;0</f>
        <v>1</v>
      </c>
      <c r="AJ64" s="117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7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08"/>
      <c r="AT64" s="308"/>
      <c r="AU64" s="308"/>
      <c r="AV64" s="308"/>
      <c r="AW64" s="308"/>
      <c r="AX64" s="308"/>
      <c r="AY64" s="308"/>
      <c r="AZ64" s="308"/>
      <c r="BA64" s="308"/>
      <c r="BB64" s="308"/>
    </row>
    <row r="65" spans="1:27">
      <c r="P65"/>
      <c r="Q65"/>
      <c r="Y65" s="305"/>
      <c r="Z65" s="305"/>
      <c r="AA65" s="305"/>
    </row>
    <row r="66" spans="1:27" ht="15.75" thickBot="1">
      <c r="P66"/>
      <c r="Q66"/>
      <c r="Y66" s="305"/>
      <c r="Z66" s="305"/>
      <c r="AA66" s="305"/>
    </row>
    <row r="67" spans="1:27" ht="15.75" customHeight="1" thickBot="1">
      <c r="B67" s="306" t="s">
        <v>192</v>
      </c>
      <c r="C67" s="307"/>
      <c r="D67" s="307"/>
      <c r="E67" s="307"/>
      <c r="F67" s="307"/>
      <c r="G67" s="307"/>
      <c r="H67" s="307"/>
      <c r="I67" s="307"/>
      <c r="J67" s="307"/>
      <c r="K67" s="307"/>
      <c r="L67" s="307"/>
      <c r="M67" s="307"/>
      <c r="N67" s="307"/>
      <c r="O67" s="307"/>
      <c r="P67" s="307"/>
      <c r="Q67" s="307"/>
      <c r="R67" s="307"/>
      <c r="S67" s="307"/>
      <c r="T67" s="307"/>
      <c r="U67" s="307"/>
      <c r="V67" s="307"/>
      <c r="W67" s="307"/>
      <c r="X67" s="307"/>
      <c r="Y67" s="307"/>
      <c r="Z67" s="307"/>
    </row>
    <row r="68" spans="1:27">
      <c r="C68" s="329" t="s">
        <v>99</v>
      </c>
      <c r="D68" s="346"/>
      <c r="E68" s="346"/>
      <c r="F68" s="330"/>
    </row>
    <row r="69" spans="1:27">
      <c r="B69" s="309" t="s">
        <v>97</v>
      </c>
      <c r="C69" s="309"/>
      <c r="D69">
        <v>7.45</v>
      </c>
      <c r="E69" t="s">
        <v>65</v>
      </c>
    </row>
    <row r="70" spans="1:27">
      <c r="B70" s="309" t="s">
        <v>100</v>
      </c>
      <c r="C70" s="309"/>
      <c r="D70" s="118" t="s">
        <v>210</v>
      </c>
      <c r="E70">
        <f t="array" ref="E70">heureConvert2Decimal(D70)</f>
        <v>13.433333333333334</v>
      </c>
    </row>
    <row r="72" spans="1:27" ht="15" customHeight="1">
      <c r="A72" s="351" t="s">
        <v>226</v>
      </c>
      <c r="B72" s="351"/>
      <c r="C72" s="351"/>
      <c r="D72" s="296" t="str">
        <f>CONCATENATE("Heure passage a la hauteur:",D69,"m")</f>
        <v>Heure passage a la hauteur:7,45m</v>
      </c>
      <c r="E72" s="296"/>
      <c r="F72" s="296"/>
      <c r="G72" s="296"/>
      <c r="J72" s="296" t="str">
        <f>CONCATENATE("Hauteur a l'heure:",D70)</f>
        <v>Hauteur a l'heure:13:26:00</v>
      </c>
      <c r="K72" s="296"/>
      <c r="L72" s="296"/>
      <c r="M72" s="296"/>
      <c r="N72" s="296"/>
      <c r="O72" s="296"/>
    </row>
    <row r="73" spans="1:27" ht="15" customHeight="1">
      <c r="A73" s="356" t="s">
        <v>236</v>
      </c>
      <c r="B73" s="357"/>
      <c r="C73" s="119">
        <v>38</v>
      </c>
      <c r="D73" s="296"/>
      <c r="E73" s="296"/>
      <c r="F73" s="296"/>
      <c r="G73" s="296"/>
      <c r="J73" s="297"/>
      <c r="K73" s="297"/>
      <c r="L73" s="297"/>
      <c r="M73" s="297"/>
      <c r="N73" s="297"/>
      <c r="O73" s="297"/>
    </row>
    <row r="74" spans="1:27" ht="15" customHeight="1">
      <c r="A74" s="356" t="s">
        <v>237</v>
      </c>
      <c r="B74" s="357"/>
      <c r="C74" s="119">
        <v>64</v>
      </c>
      <c r="D74" s="354" t="s">
        <v>6</v>
      </c>
      <c r="E74" s="354"/>
      <c r="F74" s="355" t="s">
        <v>222</v>
      </c>
      <c r="G74" s="355"/>
      <c r="H74" s="123" t="s">
        <v>242</v>
      </c>
      <c r="J74" s="354" t="s">
        <v>6</v>
      </c>
      <c r="K74" s="354"/>
      <c r="L74" s="355" t="s">
        <v>194</v>
      </c>
      <c r="M74" s="355"/>
      <c r="N74" s="355" t="s">
        <v>235</v>
      </c>
      <c r="O74" s="355"/>
      <c r="P74" s="124" t="s">
        <v>242</v>
      </c>
    </row>
    <row r="75" spans="1:27" ht="15" customHeight="1">
      <c r="A75" s="356" t="s">
        <v>238</v>
      </c>
      <c r="B75" s="357"/>
      <c r="C75" s="119" t="s">
        <v>94</v>
      </c>
      <c r="D75" s="352" t="s">
        <v>330</v>
      </c>
      <c r="E75" s="353"/>
      <c r="F75" s="295">
        <v>7.449999999986769</v>
      </c>
      <c r="G75" s="295"/>
      <c r="H75" s="124">
        <v>45546.337187500001</v>
      </c>
      <c r="J75" s="287" t="s">
        <v>272</v>
      </c>
      <c r="K75" s="287"/>
      <c r="L75" s="294">
        <v>6.1343516209274034</v>
      </c>
      <c r="M75" s="294"/>
      <c r="N75" s="287" t="s">
        <v>272</v>
      </c>
      <c r="O75" s="287"/>
      <c r="P75" s="125">
        <v>45546.55972222222</v>
      </c>
    </row>
    <row r="76" spans="1:27">
      <c r="A76" s="356" t="s">
        <v>239</v>
      </c>
      <c r="B76" s="357"/>
      <c r="C76" s="119" t="s">
        <v>110</v>
      </c>
      <c r="D76" s="352" t="s">
        <v>331</v>
      </c>
      <c r="E76" s="353"/>
      <c r="F76" s="295">
        <v>7.4499999999880382</v>
      </c>
      <c r="G76" s="295"/>
      <c r="H76" s="124">
        <v>45546.496608796297</v>
      </c>
      <c r="J76" s="287" t="s">
        <v>273</v>
      </c>
      <c r="K76" s="287"/>
      <c r="L76" s="294">
        <v>6.8426802884505404</v>
      </c>
      <c r="M76" s="294"/>
      <c r="N76" s="287" t="s">
        <v>273</v>
      </c>
      <c r="O76" s="287"/>
      <c r="P76" s="125">
        <v>45547.55972222222</v>
      </c>
    </row>
    <row r="77" spans="1:27" ht="15" customHeight="1">
      <c r="A77" s="356" t="s">
        <v>240</v>
      </c>
      <c r="B77" s="357"/>
      <c r="C77" s="119" t="s">
        <v>220</v>
      </c>
      <c r="D77" s="352" t="s">
        <v>332</v>
      </c>
      <c r="E77" s="353"/>
      <c r="F77" s="295">
        <v>7.4499999999830084</v>
      </c>
      <c r="G77" s="295"/>
      <c r="H77" s="124">
        <v>45546.87400462963</v>
      </c>
      <c r="J77" s="287" t="s">
        <v>274</v>
      </c>
      <c r="K77" s="287"/>
      <c r="L77" s="294">
        <v>7.4816136919321075</v>
      </c>
      <c r="M77" s="294"/>
      <c r="N77" s="287" t="s">
        <v>274</v>
      </c>
      <c r="O77" s="287"/>
      <c r="P77" s="125">
        <v>45548.55972222222</v>
      </c>
    </row>
    <row r="78" spans="1:27">
      <c r="A78" s="358" t="s">
        <v>227</v>
      </c>
      <c r="B78" s="359"/>
      <c r="C78" s="122" t="s">
        <v>228</v>
      </c>
      <c r="D78" s="352" t="s">
        <v>333</v>
      </c>
      <c r="E78" s="353"/>
      <c r="F78" s="295">
        <v>7.4500000000003332</v>
      </c>
      <c r="G78" s="295"/>
      <c r="H78" s="124">
        <v>45546.992256944446</v>
      </c>
      <c r="J78" s="287" t="s">
        <v>275</v>
      </c>
      <c r="K78" s="287"/>
      <c r="L78" s="294">
        <v>7.803725490200967</v>
      </c>
      <c r="M78" s="294"/>
      <c r="N78" s="287" t="s">
        <v>275</v>
      </c>
      <c r="O78" s="287"/>
      <c r="P78" s="125">
        <v>45549.55972222222</v>
      </c>
    </row>
    <row r="79" spans="1:27" ht="15" customHeight="1">
      <c r="A79" s="358" t="s">
        <v>229</v>
      </c>
      <c r="B79" s="359"/>
      <c r="C79" s="122" t="s">
        <v>230</v>
      </c>
      <c r="D79" s="352" t="s">
        <v>334</v>
      </c>
      <c r="E79" s="353"/>
      <c r="F79" s="295">
        <v>7.4499999999872042</v>
      </c>
      <c r="G79" s="295"/>
      <c r="H79" s="124">
        <v>45547.401412037034</v>
      </c>
      <c r="J79" s="287" t="s">
        <v>276</v>
      </c>
      <c r="K79" s="287"/>
      <c r="L79" s="294">
        <v>7.3338781163838034</v>
      </c>
      <c r="M79" s="294"/>
      <c r="N79" s="287" t="s">
        <v>276</v>
      </c>
      <c r="O79" s="287"/>
      <c r="P79" s="125">
        <v>45550.55972222222</v>
      </c>
    </row>
    <row r="80" spans="1:27">
      <c r="A80" s="356" t="s">
        <v>241</v>
      </c>
      <c r="B80" s="357"/>
      <c r="C80" s="119" t="s">
        <v>44</v>
      </c>
      <c r="D80" s="352" t="s">
        <v>335</v>
      </c>
      <c r="E80" s="353"/>
      <c r="F80" s="295">
        <v>7.4500000000078357</v>
      </c>
      <c r="G80" s="295"/>
      <c r="H80" s="124">
        <v>45547.506898148145</v>
      </c>
      <c r="J80" s="287" t="s">
        <v>277</v>
      </c>
      <c r="K80" s="287"/>
      <c r="L80" s="294">
        <v>5.8827941176738436</v>
      </c>
      <c r="M80" s="294"/>
      <c r="N80" s="287" t="s">
        <v>277</v>
      </c>
      <c r="O80" s="287"/>
      <c r="P80" s="125">
        <v>45551.55972222222</v>
      </c>
    </row>
    <row r="81" spans="1:17" ht="15" customHeight="1">
      <c r="A81" s="356" t="s">
        <v>234</v>
      </c>
      <c r="B81" s="357"/>
      <c r="C81" s="119" t="s">
        <v>3</v>
      </c>
      <c r="D81" s="352" t="s">
        <v>336</v>
      </c>
      <c r="E81" s="353"/>
      <c r="F81" s="295">
        <v>7.45</v>
      </c>
      <c r="G81" s="295"/>
      <c r="H81" s="124">
        <v>45547.991666666669</v>
      </c>
      <c r="J81" s="287" t="s">
        <v>278</v>
      </c>
      <c r="K81" s="287"/>
      <c r="L81" s="294">
        <v>3.8823305084730362</v>
      </c>
      <c r="M81" s="294"/>
      <c r="N81" s="287" t="s">
        <v>278</v>
      </c>
      <c r="O81" s="287"/>
      <c r="P81" s="125">
        <v>45552.55972222222</v>
      </c>
    </row>
    <row r="82" spans="1:17">
      <c r="A82" s="356" t="s">
        <v>233</v>
      </c>
      <c r="B82" s="357"/>
      <c r="C82" s="119" t="s">
        <v>225</v>
      </c>
      <c r="D82" s="352" t="s">
        <v>336</v>
      </c>
      <c r="E82" s="353"/>
      <c r="F82" s="295">
        <v>7.45</v>
      </c>
      <c r="G82" s="295"/>
      <c r="H82" s="124">
        <v>45547.991666666669</v>
      </c>
    </row>
    <row r="83" spans="1:17" ht="15" customHeight="1">
      <c r="A83" s="356" t="s">
        <v>231</v>
      </c>
      <c r="B83" s="357"/>
      <c r="C83" s="119">
        <v>75</v>
      </c>
      <c r="D83" s="352" t="s">
        <v>337</v>
      </c>
      <c r="E83" s="353"/>
      <c r="F83" s="295">
        <v>7.4499999999953994</v>
      </c>
      <c r="G83" s="295"/>
      <c r="H83" s="124">
        <v>45548.507905092592</v>
      </c>
    </row>
    <row r="84" spans="1:17">
      <c r="A84" s="356" t="s">
        <v>232</v>
      </c>
      <c r="B84" s="357"/>
      <c r="C84" s="119">
        <v>105</v>
      </c>
      <c r="D84" s="352" t="s">
        <v>338</v>
      </c>
      <c r="E84" s="353"/>
      <c r="F84" s="295">
        <v>7.4500000000021345</v>
      </c>
      <c r="G84" s="295"/>
      <c r="H84" s="124">
        <v>45548.566006944442</v>
      </c>
      <c r="P84"/>
    </row>
    <row r="85" spans="1:17" ht="15" customHeight="1">
      <c r="A85" s="356" t="s">
        <v>243</v>
      </c>
      <c r="B85" s="357"/>
      <c r="C85" s="119" t="s">
        <v>94</v>
      </c>
      <c r="D85" s="352" t="s">
        <v>339</v>
      </c>
      <c r="E85" s="353"/>
      <c r="F85" s="295">
        <v>7.4500000000133273</v>
      </c>
      <c r="G85" s="295"/>
      <c r="H85" s="124">
        <v>45549.039490740739</v>
      </c>
      <c r="J85" s="296" t="str">
        <f>"Hauteur a l'heure:"</f>
        <v>Hauteur a l'heure:</v>
      </c>
      <c r="K85" s="296"/>
      <c r="L85" s="296"/>
      <c r="M85" s="296"/>
      <c r="N85" s="296"/>
      <c r="O85" s="296"/>
    </row>
    <row r="86" spans="1:17">
      <c r="A86" s="358" t="s">
        <v>241</v>
      </c>
      <c r="B86" s="359"/>
      <c r="C86" s="122" t="s">
        <v>244</v>
      </c>
      <c r="D86" s="352" t="s">
        <v>340</v>
      </c>
      <c r="E86" s="353"/>
      <c r="F86" s="295">
        <v>7.4499999999960016</v>
      </c>
      <c r="G86" s="295"/>
      <c r="H86" s="124">
        <v>45549.132939814815</v>
      </c>
      <c r="J86" s="297"/>
      <c r="K86" s="297"/>
      <c r="L86" s="297"/>
      <c r="M86" s="297"/>
      <c r="N86" s="297"/>
      <c r="O86" s="297"/>
    </row>
    <row r="87" spans="1:17" ht="15" customHeight="1">
      <c r="A87" s="358" t="s">
        <v>246</v>
      </c>
      <c r="B87" s="359"/>
      <c r="C87" s="122" t="s">
        <v>245</v>
      </c>
      <c r="D87" s="352" t="s">
        <v>341</v>
      </c>
      <c r="E87" s="353"/>
      <c r="F87" s="295">
        <v>7.4500000000159989</v>
      </c>
      <c r="G87" s="295"/>
      <c r="H87" s="124">
        <v>45549.533912037034</v>
      </c>
      <c r="J87" s="354" t="s">
        <v>6</v>
      </c>
      <c r="K87" s="354"/>
      <c r="L87" s="355" t="s">
        <v>194</v>
      </c>
      <c r="M87" s="355"/>
      <c r="N87" s="355" t="s">
        <v>235</v>
      </c>
      <c r="O87" s="355"/>
      <c r="P87" s="124" t="s">
        <v>253</v>
      </c>
      <c r="Q87" s="77" t="s">
        <v>252</v>
      </c>
    </row>
    <row r="88" spans="1:17">
      <c r="A88" s="358" t="s">
        <v>233</v>
      </c>
      <c r="B88" s="359"/>
      <c r="C88" s="122" t="s">
        <v>1</v>
      </c>
      <c r="D88" s="352" t="s">
        <v>342</v>
      </c>
      <c r="E88" s="353"/>
      <c r="F88" s="295">
        <v>7.4500000000040094</v>
      </c>
      <c r="G88" s="295"/>
      <c r="H88" s="124">
        <v>45549.685428240744</v>
      </c>
      <c r="J88" s="128" t="s">
        <v>216</v>
      </c>
      <c r="K88" s="128" t="s">
        <v>254</v>
      </c>
      <c r="L88" s="294">
        <v>-1</v>
      </c>
      <c r="M88" s="294"/>
      <c r="N88" s="295" t="str" cm="1">
        <f t="array" ref="N88">dateEpoch2Txt(Q88*3600)</f>
        <v>1970/01/01 06:08</v>
      </c>
      <c r="O88" s="295"/>
      <c r="P88" s="125">
        <v>25569</v>
      </c>
      <c r="Q88" s="77" cm="1">
        <f t="array" ref="Q88">(dateConvert2Decimal(J88)/3600)+heureConvert2Decimal(K88)</f>
        <v>6.1333333333333337</v>
      </c>
    </row>
    <row r="89" spans="1:17" ht="15" customHeight="1">
      <c r="A89" s="358" t="s">
        <v>231</v>
      </c>
      <c r="B89" s="359"/>
      <c r="C89" s="122">
        <v>75</v>
      </c>
      <c r="D89" s="352" t="s">
        <v>343</v>
      </c>
      <c r="E89" s="353"/>
      <c r="F89" s="295">
        <v>7.4499999999857325</v>
      </c>
      <c r="G89" s="295"/>
      <c r="H89" s="124">
        <v>45550.056331018517</v>
      </c>
      <c r="J89" s="128" t="s">
        <v>216</v>
      </c>
      <c r="K89" s="128" t="s">
        <v>255</v>
      </c>
      <c r="L89" s="294">
        <v>-1</v>
      </c>
      <c r="M89" s="294"/>
      <c r="N89" s="295" t="str" cm="1">
        <f t="array" ref="N89">dateEpoch2Txt(Q89*3600)</f>
        <v>1970/01/01 07:08</v>
      </c>
      <c r="O89" s="295"/>
      <c r="P89" s="125">
        <v>25569</v>
      </c>
      <c r="Q89" s="77" cm="1">
        <f t="array" ref="Q89">(dateConvert2Decimal(J89)/3600)+heureConvert2Decimal(K89)</f>
        <v>7.1333333333333337</v>
      </c>
    </row>
    <row r="90" spans="1:17">
      <c r="A90" s="358" t="s">
        <v>232</v>
      </c>
      <c r="B90" s="359"/>
      <c r="C90" s="122">
        <v>81</v>
      </c>
      <c r="D90" s="352" t="s">
        <v>344</v>
      </c>
      <c r="E90" s="353"/>
      <c r="F90" s="295">
        <v>7.450000000009978</v>
      </c>
      <c r="G90" s="295"/>
      <c r="H90" s="124">
        <v>45550.227349537039</v>
      </c>
      <c r="J90" s="128" t="s">
        <v>216</v>
      </c>
      <c r="K90" s="128" t="s">
        <v>256</v>
      </c>
      <c r="L90" s="294">
        <v>-1</v>
      </c>
      <c r="M90" s="294"/>
      <c r="N90" s="295" t="str" cm="1">
        <f t="array" ref="N90">dateEpoch2Txt(Q90*3600)</f>
        <v>1970/01/01 08:08</v>
      </c>
      <c r="O90" s="295"/>
      <c r="P90" s="125">
        <v>25569</v>
      </c>
      <c r="Q90" s="77" cm="1">
        <f t="array" ref="Q90">(dateConvert2Decimal(J90)/3600)+heureConvert2Decimal(K90)</f>
        <v>8.1333333333333329</v>
      </c>
    </row>
    <row r="91" spans="1:17" ht="15" customHeight="1">
      <c r="A91" s="358" t="s">
        <v>243</v>
      </c>
      <c r="B91" s="359"/>
      <c r="C91" s="122" t="s">
        <v>220</v>
      </c>
      <c r="D91" s="352" t="s">
        <v>345</v>
      </c>
      <c r="E91" s="353"/>
      <c r="F91" s="295">
        <v>7.4499999999852964</v>
      </c>
      <c r="G91" s="295"/>
      <c r="H91" s="124">
        <v>45550.563263888886</v>
      </c>
      <c r="J91" s="128" t="s">
        <v>216</v>
      </c>
      <c r="K91" s="128" t="s">
        <v>257</v>
      </c>
      <c r="L91" s="294">
        <v>-1</v>
      </c>
      <c r="M91" s="294"/>
      <c r="N91" s="295" t="str" cm="1">
        <f t="array" ref="N91">dateEpoch2Txt(Q91*3600)</f>
        <v>1970/01/01 09:08</v>
      </c>
      <c r="O91" s="295"/>
      <c r="P91" s="125">
        <v>25569</v>
      </c>
      <c r="Q91" s="77" cm="1">
        <f t="array" ref="Q91">(dateConvert2Decimal(J91)/3600)+heureConvert2Decimal(K91)</f>
        <v>9.1333333333333329</v>
      </c>
    </row>
    <row r="92" spans="1:17">
      <c r="D92" s="352" t="s">
        <v>346</v>
      </c>
      <c r="E92" s="353"/>
      <c r="F92" s="295">
        <v>7.4500000000231035</v>
      </c>
      <c r="G92" s="295"/>
      <c r="H92" s="124">
        <v>45550.754421296297</v>
      </c>
      <c r="J92" s="128" t="s">
        <v>216</v>
      </c>
      <c r="K92" s="128" t="s">
        <v>258</v>
      </c>
      <c r="L92" s="294">
        <v>-1</v>
      </c>
      <c r="M92" s="294"/>
      <c r="N92" s="295" t="str" cm="1">
        <f t="array" ref="N92">dateEpoch2Txt(Q92*3600)</f>
        <v>1970/01/01 10:08</v>
      </c>
      <c r="O92" s="295"/>
      <c r="P92" s="125">
        <v>25569</v>
      </c>
      <c r="Q92" s="77" cm="1">
        <f t="array" ref="Q92">(dateConvert2Decimal(J92)/3600)+heureConvert2Decimal(K92)</f>
        <v>10.133333333333333</v>
      </c>
    </row>
    <row r="93" spans="1:17">
      <c r="D93" s="352" t="s">
        <v>347</v>
      </c>
      <c r="E93" s="353"/>
      <c r="F93" s="295">
        <v>7.4499999999561997</v>
      </c>
      <c r="G93" s="295"/>
      <c r="H93" s="124">
        <v>45551.085555555554</v>
      </c>
      <c r="J93" s="128" t="s">
        <v>216</v>
      </c>
      <c r="K93" s="128" t="s">
        <v>259</v>
      </c>
      <c r="L93" s="294">
        <v>-1</v>
      </c>
      <c r="M93" s="294"/>
      <c r="N93" s="295" t="str" cm="1">
        <f t="array" ref="N93">dateEpoch2Txt(Q93*3600)</f>
        <v>1970/01/01 11:08</v>
      </c>
      <c r="O93" s="295"/>
      <c r="P93" s="125">
        <v>25569</v>
      </c>
      <c r="Q93" s="77" cm="1">
        <f t="array" ref="Q93">(dateConvert2Decimal(J93)/3600)+heureConvert2Decimal(K93)</f>
        <v>11.133333333333333</v>
      </c>
    </row>
    <row r="94" spans="1:17">
      <c r="D94" s="352" t="s">
        <v>348</v>
      </c>
      <c r="E94" s="353"/>
      <c r="F94" s="295">
        <v>7.450000000008119</v>
      </c>
      <c r="G94" s="295"/>
      <c r="H94" s="124">
        <v>45551.281863425924</v>
      </c>
      <c r="J94" s="128" t="s">
        <v>216</v>
      </c>
      <c r="K94" s="128" t="s">
        <v>260</v>
      </c>
      <c r="L94" s="294">
        <v>-1</v>
      </c>
      <c r="M94" s="294"/>
      <c r="N94" s="295" t="str" cm="1">
        <f t="array" ref="N94">dateEpoch2Txt(Q94*3600)</f>
        <v>1970/01/01 12:08</v>
      </c>
      <c r="O94" s="295"/>
      <c r="P94" s="125">
        <v>25569</v>
      </c>
      <c r="Q94" s="77" cm="1">
        <f t="array" ref="Q94">(dateConvert2Decimal(J94)/3600)+heureConvert2Decimal(K94)</f>
        <v>12.133333333333333</v>
      </c>
    </row>
    <row r="95" spans="1:17">
      <c r="D95" s="352" t="s">
        <v>349</v>
      </c>
      <c r="E95" s="353"/>
      <c r="F95" s="295">
        <v>7.4499999999674964</v>
      </c>
      <c r="G95" s="295"/>
      <c r="H95" s="124">
        <v>45551.594305555554</v>
      </c>
      <c r="M95" s="85"/>
      <c r="P95"/>
      <c r="Q95"/>
    </row>
    <row r="96" spans="1:17">
      <c r="D96" s="352" t="s">
        <v>350</v>
      </c>
      <c r="E96" s="353"/>
      <c r="F96" s="295">
        <v>7.4500000000390445</v>
      </c>
      <c r="G96" s="295"/>
      <c r="H96" s="124">
        <v>45551.801701388889</v>
      </c>
      <c r="M96" s="85"/>
      <c r="P96"/>
      <c r="Q96"/>
    </row>
    <row r="97" spans="4:17">
      <c r="D97" s="352" t="s">
        <v>351</v>
      </c>
      <c r="E97" s="353"/>
      <c r="F97" s="295">
        <v>7.4500000000110598</v>
      </c>
      <c r="G97" s="295"/>
      <c r="H97" s="124">
        <v>45552.116388888891</v>
      </c>
      <c r="M97" s="85"/>
      <c r="P97"/>
      <c r="Q97"/>
    </row>
    <row r="98" spans="4:17">
      <c r="D98" s="352" t="s">
        <v>352</v>
      </c>
      <c r="E98" s="353"/>
      <c r="F98" s="295">
        <v>7.4500000000335413</v>
      </c>
      <c r="G98" s="295"/>
      <c r="H98" s="124">
        <v>45552.324826388889</v>
      </c>
      <c r="J98" s="114"/>
      <c r="K98" s="114" t="s">
        <v>58</v>
      </c>
      <c r="L98" s="114" t="s">
        <v>214</v>
      </c>
      <c r="M98" s="292" t="s">
        <v>251</v>
      </c>
      <c r="N98" s="293"/>
      <c r="O98" s="294" t="s">
        <v>94</v>
      </c>
      <c r="P98" s="294"/>
      <c r="Q98" s="75" t="s">
        <v>194</v>
      </c>
    </row>
    <row r="99" spans="4:17">
      <c r="D99" s="352" t="s">
        <v>353</v>
      </c>
      <c r="E99" s="353"/>
      <c r="F99" s="295">
        <v>7.4500000000003697</v>
      </c>
      <c r="G99" s="295"/>
      <c r="H99" s="124">
        <v>45552.625520833331</v>
      </c>
      <c r="J99" s="360" t="s">
        <v>248</v>
      </c>
      <c r="K99" s="362" t="s">
        <v>213</v>
      </c>
      <c r="L99" s="364">
        <f>heureConvert2Decimal($K$99)</f>
        <v>2.5</v>
      </c>
      <c r="M99" s="290" t="s">
        <v>355</v>
      </c>
      <c r="N99" s="291"/>
      <c r="O99" s="289" t="s">
        <v>356</v>
      </c>
      <c r="P99" s="289"/>
      <c r="Q99" s="127">
        <v>6.6648275862013158</v>
      </c>
    </row>
    <row r="100" spans="4:17">
      <c r="D100" s="352" t="s">
        <v>354</v>
      </c>
      <c r="E100" s="353"/>
      <c r="F100" s="295">
        <v>7.450000000048111</v>
      </c>
      <c r="G100" s="295"/>
      <c r="H100" s="124">
        <v>45552.842048611114</v>
      </c>
      <c r="J100" s="361"/>
      <c r="K100" s="363"/>
      <c r="L100" s="308"/>
      <c r="M100" s="290" t="s">
        <v>357</v>
      </c>
      <c r="N100" s="291"/>
      <c r="O100" s="289" t="s">
        <v>358</v>
      </c>
      <c r="P100" s="289"/>
      <c r="Q100" s="127">
        <v>6.5249710982643379</v>
      </c>
    </row>
    <row r="101" spans="4:17">
      <c r="D101" s="352" t="s">
        <v>354</v>
      </c>
      <c r="E101" s="353"/>
      <c r="F101" s="295">
        <v>7.450000000048111</v>
      </c>
      <c r="G101" s="295"/>
      <c r="H101" s="124">
        <v>45552.842048611114</v>
      </c>
      <c r="J101" s="361"/>
      <c r="K101" s="363"/>
      <c r="L101" s="308"/>
      <c r="M101" s="290" t="s">
        <v>359</v>
      </c>
      <c r="N101" s="291"/>
      <c r="O101" s="289" t="s">
        <v>360</v>
      </c>
      <c r="P101" s="289"/>
      <c r="Q101" s="127">
        <v>6.6128910614550565</v>
      </c>
    </row>
    <row r="102" spans="4:17">
      <c r="D102" s="352" t="s">
        <v>354</v>
      </c>
      <c r="E102" s="353"/>
      <c r="F102" s="295">
        <v>7.450000000048111</v>
      </c>
      <c r="G102" s="295"/>
      <c r="H102" s="124">
        <v>45552.842048611114</v>
      </c>
      <c r="J102" s="361"/>
      <c r="K102" s="363"/>
      <c r="L102" s="308"/>
      <c r="M102" s="290" t="s">
        <v>336</v>
      </c>
      <c r="N102" s="291"/>
      <c r="O102" s="289" t="s">
        <v>361</v>
      </c>
      <c r="P102" s="289"/>
      <c r="Q102" s="127">
        <v>6.500924657529155</v>
      </c>
    </row>
    <row r="103" spans="4:17">
      <c r="D103" s="352" t="s">
        <v>354</v>
      </c>
      <c r="E103" s="353"/>
      <c r="F103" s="295">
        <v>7.450000000048111</v>
      </c>
      <c r="G103" s="295"/>
      <c r="H103" s="124">
        <v>45552.842048611114</v>
      </c>
      <c r="J103" s="361"/>
      <c r="K103" s="363"/>
      <c r="L103" s="308"/>
      <c r="M103" s="290" t="s">
        <v>362</v>
      </c>
      <c r="N103" s="291"/>
      <c r="O103" s="289" t="s">
        <v>363</v>
      </c>
      <c r="P103" s="289"/>
      <c r="Q103" s="127">
        <v>6.7731265984646125</v>
      </c>
    </row>
    <row r="104" spans="4:17">
      <c r="D104" s="352" t="s">
        <v>354</v>
      </c>
      <c r="E104" s="353"/>
      <c r="F104" s="295">
        <v>7.450000000048111</v>
      </c>
      <c r="G104" s="295"/>
      <c r="H104" s="124">
        <v>45552.842048611114</v>
      </c>
      <c r="J104" s="361"/>
      <c r="K104" s="363"/>
      <c r="L104" s="308"/>
      <c r="M104" s="290" t="s">
        <v>364</v>
      </c>
      <c r="N104" s="291"/>
      <c r="O104" s="289" t="s">
        <v>270</v>
      </c>
      <c r="P104" s="289"/>
      <c r="Q104" s="127">
        <v>6.7036842105208745</v>
      </c>
    </row>
    <row r="105" spans="4:17">
      <c r="D105" s="352" t="s">
        <v>354</v>
      </c>
      <c r="E105" s="353"/>
      <c r="F105" s="295">
        <v>7.450000000048111</v>
      </c>
      <c r="G105" s="295"/>
      <c r="H105" s="124">
        <v>45552.842048611114</v>
      </c>
      <c r="J105" s="361"/>
      <c r="K105" s="363"/>
      <c r="L105" s="308"/>
      <c r="M105" s="290" t="s">
        <v>365</v>
      </c>
      <c r="N105" s="291"/>
      <c r="O105" s="289" t="s">
        <v>366</v>
      </c>
      <c r="P105" s="289"/>
      <c r="Q105" s="127">
        <v>6.9882887700548091</v>
      </c>
    </row>
    <row r="106" spans="4:17">
      <c r="J106" s="361"/>
      <c r="K106" s="363"/>
      <c r="L106" s="308"/>
      <c r="M106" s="290" t="s">
        <v>367</v>
      </c>
      <c r="N106" s="291"/>
      <c r="O106" s="289" t="s">
        <v>368</v>
      </c>
      <c r="P106" s="289"/>
      <c r="Q106" s="127">
        <v>6.9141304347953891</v>
      </c>
    </row>
    <row r="107" spans="4:17">
      <c r="J107" s="361"/>
      <c r="K107" s="363"/>
      <c r="L107" s="308"/>
      <c r="M107" s="290" t="s">
        <v>369</v>
      </c>
      <c r="N107" s="291"/>
      <c r="O107" s="289" t="s">
        <v>370</v>
      </c>
      <c r="P107" s="289"/>
      <c r="Q107" s="127">
        <v>7.1744875346238368</v>
      </c>
    </row>
    <row r="108" spans="4:17">
      <c r="J108" s="361"/>
      <c r="K108" s="363"/>
      <c r="L108" s="308"/>
      <c r="M108" s="290" t="s">
        <v>371</v>
      </c>
      <c r="N108" s="291"/>
      <c r="O108" s="289" t="s">
        <v>271</v>
      </c>
      <c r="P108" s="289"/>
      <c r="Q108" s="127">
        <v>7.1083425414310586</v>
      </c>
    </row>
    <row r="109" spans="4:17">
      <c r="J109" s="361"/>
      <c r="K109" s="363"/>
      <c r="L109" s="308"/>
      <c r="M109" s="290" t="s">
        <v>372</v>
      </c>
      <c r="N109" s="291"/>
      <c r="O109" s="289" t="s">
        <v>373</v>
      </c>
      <c r="P109" s="289"/>
      <c r="Q109" s="127">
        <v>7.361911764715118</v>
      </c>
    </row>
    <row r="110" spans="4:17">
      <c r="J110" s="361"/>
      <c r="K110" s="363"/>
      <c r="L110" s="308"/>
      <c r="M110" s="290" t="s">
        <v>374</v>
      </c>
      <c r="N110" s="291"/>
      <c r="O110" s="289" t="s">
        <v>375</v>
      </c>
      <c r="P110" s="289"/>
      <c r="Q110" s="127">
        <v>7.2850000000000001</v>
      </c>
    </row>
    <row r="111" spans="4:17">
      <c r="J111" s="361"/>
      <c r="K111" s="363"/>
      <c r="L111" s="308"/>
      <c r="M111" s="290" t="s">
        <v>376</v>
      </c>
      <c r="N111" s="291"/>
      <c r="O111" s="289" t="s">
        <v>377</v>
      </c>
      <c r="P111" s="289"/>
      <c r="Q111" s="127">
        <v>7.4986864406433149</v>
      </c>
    </row>
    <row r="112" spans="4:17">
      <c r="J112" s="361"/>
      <c r="K112" s="363"/>
      <c r="L112" s="308"/>
      <c r="M112" s="290" t="s">
        <v>247</v>
      </c>
      <c r="N112" s="291"/>
      <c r="O112" s="289" t="s">
        <v>247</v>
      </c>
      <c r="P112" s="289"/>
      <c r="Q112" s="127">
        <v>0</v>
      </c>
    </row>
    <row r="113" spans="10:17">
      <c r="J113" s="366" t="s">
        <v>212</v>
      </c>
      <c r="K113" s="363" t="s">
        <v>269</v>
      </c>
      <c r="L113" s="308">
        <f>heureConvert2Decimal($K$99)</f>
        <v>2.5</v>
      </c>
      <c r="M113" s="287" t="s">
        <v>355</v>
      </c>
      <c r="N113" s="287"/>
      <c r="O113" s="288" t="s">
        <v>378</v>
      </c>
      <c r="P113" s="288"/>
      <c r="Q113" s="126">
        <v>7.1318329177109216</v>
      </c>
    </row>
    <row r="114" spans="10:17">
      <c r="J114" s="366"/>
      <c r="K114" s="363"/>
      <c r="L114" s="308"/>
      <c r="M114" s="287" t="s">
        <v>357</v>
      </c>
      <c r="N114" s="287"/>
      <c r="O114" s="288" t="s">
        <v>379</v>
      </c>
      <c r="P114" s="288"/>
      <c r="Q114" s="126">
        <v>6.8953625954165201</v>
      </c>
    </row>
    <row r="115" spans="10:17">
      <c r="J115" s="366"/>
      <c r="K115" s="363"/>
      <c r="L115" s="308"/>
      <c r="M115" s="287" t="s">
        <v>359</v>
      </c>
      <c r="N115" s="287"/>
      <c r="O115" s="288" t="s">
        <v>380</v>
      </c>
      <c r="P115" s="288"/>
      <c r="Q115" s="126">
        <v>6.9377644230804707</v>
      </c>
    </row>
    <row r="116" spans="10:17">
      <c r="J116" s="366"/>
      <c r="K116" s="363"/>
      <c r="L116" s="308"/>
      <c r="M116" s="287" t="s">
        <v>336</v>
      </c>
      <c r="N116" s="287"/>
      <c r="O116" s="288" t="s">
        <v>381</v>
      </c>
      <c r="P116" s="288"/>
      <c r="Q116" s="126">
        <v>6.6959090909162162</v>
      </c>
    </row>
    <row r="117" spans="10:17">
      <c r="J117" s="366"/>
      <c r="K117" s="363"/>
      <c r="L117" s="308"/>
      <c r="M117" s="287" t="s">
        <v>362</v>
      </c>
      <c r="N117" s="287"/>
      <c r="O117" s="288" t="s">
        <v>382</v>
      </c>
      <c r="P117" s="288"/>
      <c r="Q117" s="126">
        <v>6.7316503667445833</v>
      </c>
    </row>
    <row r="118" spans="10:17">
      <c r="J118" s="366"/>
      <c r="K118" s="363"/>
      <c r="L118" s="308"/>
      <c r="M118" s="287" t="s">
        <v>364</v>
      </c>
      <c r="N118" s="287"/>
      <c r="O118" s="288" t="s">
        <v>383</v>
      </c>
      <c r="P118" s="288"/>
      <c r="Q118" s="126">
        <v>6.7100324675378573</v>
      </c>
    </row>
    <row r="119" spans="10:17">
      <c r="J119" s="366"/>
      <c r="K119" s="363"/>
      <c r="L119" s="308"/>
      <c r="M119" s="287" t="s">
        <v>365</v>
      </c>
      <c r="N119" s="287"/>
      <c r="O119" s="288" t="s">
        <v>384</v>
      </c>
      <c r="P119" s="288"/>
      <c r="Q119" s="126">
        <v>6.8339285714256128</v>
      </c>
    </row>
    <row r="120" spans="10:17">
      <c r="J120" s="366"/>
      <c r="K120" s="363"/>
      <c r="L120" s="308"/>
      <c r="M120" s="287" t="s">
        <v>367</v>
      </c>
      <c r="N120" s="287"/>
      <c r="O120" s="288" t="s">
        <v>385</v>
      </c>
      <c r="P120" s="288"/>
      <c r="Q120" s="126">
        <v>6.988051948034701</v>
      </c>
    </row>
    <row r="121" spans="10:17">
      <c r="J121" s="366"/>
      <c r="K121" s="363"/>
      <c r="L121" s="308"/>
      <c r="M121" s="287" t="s">
        <v>369</v>
      </c>
      <c r="N121" s="287"/>
      <c r="O121" s="288" t="s">
        <v>386</v>
      </c>
      <c r="P121" s="288"/>
      <c r="Q121" s="126">
        <v>7.1407692307692301</v>
      </c>
    </row>
    <row r="122" spans="10:17">
      <c r="J122" s="366"/>
      <c r="K122" s="363"/>
      <c r="L122" s="308"/>
      <c r="M122" s="287" t="s">
        <v>371</v>
      </c>
      <c r="N122" s="287"/>
      <c r="O122" s="288" t="s">
        <v>387</v>
      </c>
      <c r="P122" s="288"/>
      <c r="Q122" s="126">
        <v>7.3125324675446608</v>
      </c>
    </row>
    <row r="123" spans="10:17">
      <c r="J123" s="366"/>
      <c r="K123" s="363"/>
      <c r="L123" s="308"/>
      <c r="M123" s="287" t="s">
        <v>372</v>
      </c>
      <c r="N123" s="287"/>
      <c r="O123" s="288" t="s">
        <v>388</v>
      </c>
      <c r="P123" s="288"/>
      <c r="Q123" s="126">
        <v>7.4965384615384618</v>
      </c>
    </row>
    <row r="124" spans="10:17">
      <c r="J124" s="366"/>
      <c r="K124" s="363"/>
      <c r="L124" s="308"/>
      <c r="M124" s="287" t="s">
        <v>374</v>
      </c>
      <c r="N124" s="287"/>
      <c r="O124" s="288" t="s">
        <v>389</v>
      </c>
      <c r="P124" s="288"/>
      <c r="Q124" s="126">
        <v>7.6106168831322041</v>
      </c>
    </row>
    <row r="125" spans="10:17">
      <c r="J125" s="366"/>
      <c r="K125" s="363"/>
      <c r="L125" s="308"/>
      <c r="M125" s="287" t="s">
        <v>376</v>
      </c>
      <c r="N125" s="287"/>
      <c r="O125" s="288" t="s">
        <v>390</v>
      </c>
      <c r="P125" s="288"/>
      <c r="Q125" s="126">
        <v>7.8490816326463255</v>
      </c>
    </row>
    <row r="126" spans="10:17">
      <c r="J126" s="366"/>
      <c r="K126" s="363"/>
      <c r="L126" s="308"/>
      <c r="M126" s="287" t="s">
        <v>247</v>
      </c>
      <c r="N126" s="287"/>
      <c r="O126" s="288" t="s">
        <v>247</v>
      </c>
      <c r="P126" s="288"/>
      <c r="Q126" s="126">
        <v>0</v>
      </c>
    </row>
    <row r="127" spans="10:17">
      <c r="J127" s="361" t="s">
        <v>249</v>
      </c>
      <c r="K127" s="363" t="s">
        <v>213</v>
      </c>
      <c r="L127" s="308">
        <f>heureConvert2Decimal($K$99)</f>
        <v>2.5</v>
      </c>
      <c r="M127" s="287" t="s">
        <v>391</v>
      </c>
      <c r="N127" s="287"/>
      <c r="O127" s="289" t="s">
        <v>392</v>
      </c>
      <c r="P127" s="289"/>
      <c r="Q127" s="127">
        <v>5.6281670822890781</v>
      </c>
    </row>
    <row r="128" spans="10:17">
      <c r="J128" s="361"/>
      <c r="K128" s="363"/>
      <c r="L128" s="308"/>
      <c r="M128" s="287" t="s">
        <v>393</v>
      </c>
      <c r="N128" s="287"/>
      <c r="O128" s="289" t="s">
        <v>394</v>
      </c>
      <c r="P128" s="289"/>
      <c r="Q128" s="127">
        <v>5.7346374045834798</v>
      </c>
    </row>
    <row r="129" spans="10:17">
      <c r="J129" s="361"/>
      <c r="K129" s="363"/>
      <c r="L129" s="308"/>
      <c r="M129" s="287" t="s">
        <v>395</v>
      </c>
      <c r="N129" s="287"/>
      <c r="O129" s="289" t="s">
        <v>396</v>
      </c>
      <c r="P129" s="289"/>
      <c r="Q129" s="127">
        <v>5.7122355769195288</v>
      </c>
    </row>
    <row r="130" spans="10:17">
      <c r="J130" s="361"/>
      <c r="K130" s="363"/>
      <c r="L130" s="308"/>
      <c r="M130" s="287" t="s">
        <v>397</v>
      </c>
      <c r="N130" s="287"/>
      <c r="O130" s="289" t="s">
        <v>398</v>
      </c>
      <c r="P130" s="289"/>
      <c r="Q130" s="127">
        <v>5.8340909090837831</v>
      </c>
    </row>
    <row r="131" spans="10:17">
      <c r="J131" s="361"/>
      <c r="K131" s="363"/>
      <c r="L131" s="308"/>
      <c r="M131" s="287" t="s">
        <v>399</v>
      </c>
      <c r="N131" s="287"/>
      <c r="O131" s="289" t="s">
        <v>400</v>
      </c>
      <c r="P131" s="289"/>
      <c r="Q131" s="127">
        <v>5.5883496332554161</v>
      </c>
    </row>
    <row r="132" spans="10:17">
      <c r="J132" s="361"/>
      <c r="K132" s="363"/>
      <c r="L132" s="308"/>
      <c r="M132" s="287" t="s">
        <v>401</v>
      </c>
      <c r="N132" s="287"/>
      <c r="O132" s="289" t="s">
        <v>402</v>
      </c>
      <c r="P132" s="289"/>
      <c r="Q132" s="127">
        <v>5.6999675324621428</v>
      </c>
    </row>
    <row r="133" spans="10:17">
      <c r="J133" s="361"/>
      <c r="K133" s="363"/>
      <c r="L133" s="308"/>
      <c r="M133" s="287" t="s">
        <v>403</v>
      </c>
      <c r="N133" s="287"/>
      <c r="O133" s="289" t="s">
        <v>404</v>
      </c>
      <c r="P133" s="289"/>
      <c r="Q133" s="127">
        <v>5.3060714285743886</v>
      </c>
    </row>
    <row r="134" spans="10:17">
      <c r="J134" s="361"/>
      <c r="K134" s="363"/>
      <c r="L134" s="308"/>
      <c r="M134" s="287" t="s">
        <v>405</v>
      </c>
      <c r="N134" s="287"/>
      <c r="O134" s="289" t="s">
        <v>406</v>
      </c>
      <c r="P134" s="289"/>
      <c r="Q134" s="127">
        <v>5.3719480519652993</v>
      </c>
    </row>
    <row r="135" spans="10:17">
      <c r="J135" s="361"/>
      <c r="K135" s="363"/>
      <c r="L135" s="308"/>
      <c r="M135" s="287" t="s">
        <v>407</v>
      </c>
      <c r="N135" s="287"/>
      <c r="O135" s="289" t="s">
        <v>408</v>
      </c>
      <c r="P135" s="289"/>
      <c r="Q135" s="127">
        <v>4.9392307692307691</v>
      </c>
    </row>
    <row r="136" spans="10:17">
      <c r="J136" s="361"/>
      <c r="K136" s="363"/>
      <c r="L136" s="308"/>
      <c r="M136" s="287" t="s">
        <v>409</v>
      </c>
      <c r="N136" s="287"/>
      <c r="O136" s="289" t="s">
        <v>410</v>
      </c>
      <c r="P136" s="289"/>
      <c r="Q136" s="127">
        <v>5.0274675324553408</v>
      </c>
    </row>
    <row r="137" spans="10:17">
      <c r="J137" s="361"/>
      <c r="K137" s="363"/>
      <c r="L137" s="308"/>
      <c r="M137" s="287" t="s">
        <v>411</v>
      </c>
      <c r="N137" s="287"/>
      <c r="O137" s="289" t="s">
        <v>412</v>
      </c>
      <c r="P137" s="289"/>
      <c r="Q137" s="127">
        <v>4.6234615384615383</v>
      </c>
    </row>
    <row r="138" spans="10:17">
      <c r="J138" s="361"/>
      <c r="K138" s="363"/>
      <c r="L138" s="308"/>
      <c r="M138" s="287" t="s">
        <v>413</v>
      </c>
      <c r="N138" s="287"/>
      <c r="O138" s="289" t="s">
        <v>414</v>
      </c>
      <c r="P138" s="289"/>
      <c r="Q138" s="127">
        <v>4.7393831168677965</v>
      </c>
    </row>
    <row r="139" spans="10:17">
      <c r="J139" s="361"/>
      <c r="K139" s="363"/>
      <c r="L139" s="308"/>
      <c r="M139" s="287" t="s">
        <v>415</v>
      </c>
      <c r="N139" s="287"/>
      <c r="O139" s="289" t="s">
        <v>416</v>
      </c>
      <c r="P139" s="289"/>
      <c r="Q139" s="127">
        <v>4.370918367353676</v>
      </c>
    </row>
    <row r="140" spans="10:17">
      <c r="J140" s="361"/>
      <c r="K140" s="363"/>
      <c r="L140" s="308"/>
      <c r="M140" s="287" t="s">
        <v>247</v>
      </c>
      <c r="N140" s="287"/>
      <c r="O140" s="289" t="s">
        <v>247</v>
      </c>
      <c r="P140" s="289"/>
      <c r="Q140" s="127">
        <v>0</v>
      </c>
    </row>
    <row r="141" spans="10:17">
      <c r="J141" s="366" t="s">
        <v>250</v>
      </c>
      <c r="K141" s="363" t="s">
        <v>213</v>
      </c>
      <c r="L141" s="308">
        <f>heureConvert2Decimal($K$99)</f>
        <v>2.5</v>
      </c>
      <c r="M141" s="287" t="s">
        <v>417</v>
      </c>
      <c r="N141" s="287"/>
      <c r="O141" s="288" t="s">
        <v>418</v>
      </c>
      <c r="P141" s="288"/>
      <c r="Q141" s="126">
        <v>5.7751724137986837</v>
      </c>
    </row>
    <row r="142" spans="10:17">
      <c r="J142" s="366"/>
      <c r="K142" s="363"/>
      <c r="L142" s="308"/>
      <c r="M142" s="287" t="s">
        <v>391</v>
      </c>
      <c r="N142" s="287"/>
      <c r="O142" s="288" t="s">
        <v>419</v>
      </c>
      <c r="P142" s="288"/>
      <c r="Q142" s="126">
        <v>5.815028901735662</v>
      </c>
    </row>
    <row r="143" spans="10:17">
      <c r="J143" s="366"/>
      <c r="K143" s="363"/>
      <c r="L143" s="308"/>
      <c r="M143" s="287" t="s">
        <v>393</v>
      </c>
      <c r="N143" s="287"/>
      <c r="O143" s="288" t="s">
        <v>420</v>
      </c>
      <c r="P143" s="288"/>
      <c r="Q143" s="126">
        <v>5.8571089385449433</v>
      </c>
    </row>
    <row r="144" spans="10:17">
      <c r="J144" s="366"/>
      <c r="K144" s="363"/>
      <c r="L144" s="308"/>
      <c r="M144" s="287" t="s">
        <v>395</v>
      </c>
      <c r="N144" s="287"/>
      <c r="O144" s="288" t="s">
        <v>421</v>
      </c>
      <c r="P144" s="288"/>
      <c r="Q144" s="126">
        <v>5.8090753424708454</v>
      </c>
    </row>
    <row r="145" spans="1:17">
      <c r="J145" s="366"/>
      <c r="K145" s="363"/>
      <c r="L145" s="308"/>
      <c r="M145" s="287" t="s">
        <v>397</v>
      </c>
      <c r="N145" s="287"/>
      <c r="O145" s="288" t="s">
        <v>422</v>
      </c>
      <c r="P145" s="288"/>
      <c r="Q145" s="126">
        <v>5.8968734015353865</v>
      </c>
    </row>
    <row r="146" spans="1:17">
      <c r="J146" s="366"/>
      <c r="K146" s="363"/>
      <c r="L146" s="308"/>
      <c r="M146" s="287" t="s">
        <v>399</v>
      </c>
      <c r="N146" s="287"/>
      <c r="O146" s="288" t="s">
        <v>423</v>
      </c>
      <c r="P146" s="288"/>
      <c r="Q146" s="126">
        <v>5.7563157894791264</v>
      </c>
    </row>
    <row r="147" spans="1:17">
      <c r="J147" s="366"/>
      <c r="K147" s="363"/>
      <c r="L147" s="308"/>
      <c r="M147" s="287" t="s">
        <v>401</v>
      </c>
      <c r="N147" s="287"/>
      <c r="O147" s="288" t="s">
        <v>424</v>
      </c>
      <c r="P147" s="288"/>
      <c r="Q147" s="126">
        <v>5.9317112299451908</v>
      </c>
    </row>
    <row r="148" spans="1:17">
      <c r="J148" s="366"/>
      <c r="K148" s="363"/>
      <c r="L148" s="308"/>
      <c r="M148" s="287" t="s">
        <v>403</v>
      </c>
      <c r="N148" s="287"/>
      <c r="O148" s="288" t="s">
        <v>425</v>
      </c>
      <c r="P148" s="288"/>
      <c r="Q148" s="126">
        <v>5.6058695652046096</v>
      </c>
    </row>
    <row r="149" spans="1:17">
      <c r="J149" s="366"/>
      <c r="K149" s="363"/>
      <c r="L149" s="308"/>
      <c r="M149" s="287" t="s">
        <v>405</v>
      </c>
      <c r="N149" s="287"/>
      <c r="O149" s="288" t="s">
        <v>426</v>
      </c>
      <c r="P149" s="288"/>
      <c r="Q149" s="126">
        <v>5.7855124653761649</v>
      </c>
    </row>
    <row r="150" spans="1:17">
      <c r="J150" s="366"/>
      <c r="K150" s="363"/>
      <c r="L150" s="308"/>
      <c r="M150" s="287" t="s">
        <v>407</v>
      </c>
      <c r="N150" s="287"/>
      <c r="O150" s="288" t="s">
        <v>427</v>
      </c>
      <c r="P150" s="288"/>
      <c r="Q150" s="126">
        <v>5.3716574585689401</v>
      </c>
    </row>
    <row r="151" spans="1:17">
      <c r="J151" s="366"/>
      <c r="K151" s="363"/>
      <c r="L151" s="308"/>
      <c r="M151" s="287" t="s">
        <v>409</v>
      </c>
      <c r="N151" s="287"/>
      <c r="O151" s="288" t="s">
        <v>428</v>
      </c>
      <c r="P151" s="288"/>
      <c r="Q151" s="126">
        <v>5.5680882352848817</v>
      </c>
    </row>
    <row r="152" spans="1:17">
      <c r="J152" s="366"/>
      <c r="K152" s="363"/>
      <c r="L152" s="308"/>
      <c r="M152" s="287" t="s">
        <v>411</v>
      </c>
      <c r="N152" s="287"/>
      <c r="O152" s="288" t="s">
        <v>429</v>
      </c>
      <c r="P152" s="288"/>
      <c r="Q152" s="126">
        <v>5.1349999999999998</v>
      </c>
    </row>
    <row r="153" spans="1:17">
      <c r="J153" s="366"/>
      <c r="K153" s="363"/>
      <c r="L153" s="308"/>
      <c r="M153" s="287" t="s">
        <v>413</v>
      </c>
      <c r="N153" s="287"/>
      <c r="O153" s="288" t="s">
        <v>430</v>
      </c>
      <c r="P153" s="288"/>
      <c r="Q153" s="126">
        <v>5.3913135593566848</v>
      </c>
    </row>
    <row r="154" spans="1:17">
      <c r="J154" s="366"/>
      <c r="K154" s="363"/>
      <c r="L154" s="308"/>
      <c r="M154" s="287" t="s">
        <v>247</v>
      </c>
      <c r="N154" s="287"/>
      <c r="O154" s="288" t="s">
        <v>247</v>
      </c>
      <c r="P154" s="288"/>
      <c r="Q154" s="126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31"/>
      <c r="B159" s="131"/>
      <c r="C159" s="131"/>
      <c r="D159" s="131"/>
      <c r="E159" s="131"/>
      <c r="F159" s="131"/>
      <c r="G159" s="131"/>
      <c r="P159"/>
      <c r="Q159"/>
    </row>
    <row r="160" spans="1:17">
      <c r="A160" s="131"/>
      <c r="B160" s="131"/>
      <c r="C160" s="131"/>
      <c r="D160" s="131"/>
      <c r="E160" s="131"/>
      <c r="F160" s="131"/>
      <c r="G160" s="131"/>
      <c r="P160"/>
      <c r="Q160"/>
    </row>
    <row r="161" spans="1:158">
      <c r="A161" s="131" t="s">
        <v>263</v>
      </c>
      <c r="B161" s="131"/>
      <c r="C161" s="131"/>
      <c r="D161" s="131"/>
      <c r="E161" s="131"/>
      <c r="F161" s="131"/>
      <c r="G161" s="131"/>
      <c r="P161"/>
      <c r="Q161"/>
    </row>
    <row r="162" spans="1:158" s="132" customFormat="1" ht="11.25">
      <c r="B162" s="133" t="s">
        <v>262</v>
      </c>
      <c r="C162" s="132">
        <v>45546.167361111111</v>
      </c>
      <c r="D162" s="132">
        <v>45546.207638888889</v>
      </c>
      <c r="E162" s="132">
        <v>45546.247916666667</v>
      </c>
      <c r="F162" s="132">
        <v>45546.288194444445</v>
      </c>
      <c r="G162" s="132">
        <v>45546.328472222223</v>
      </c>
      <c r="H162" s="132">
        <v>45546.368750000001</v>
      </c>
      <c r="I162" s="132">
        <v>45546.40902777778</v>
      </c>
      <c r="J162" s="132">
        <v>45546.455439814818</v>
      </c>
      <c r="K162" s="132">
        <v>45546.501851851855</v>
      </c>
      <c r="L162" s="132">
        <v>45546.548263888886</v>
      </c>
      <c r="M162" s="132">
        <v>45546.594675925924</v>
      </c>
      <c r="N162" s="132">
        <v>45546.641087962962</v>
      </c>
      <c r="O162" s="132">
        <v>45546.6875</v>
      </c>
      <c r="P162" s="132">
        <v>45546.727546296293</v>
      </c>
      <c r="Q162" s="132">
        <v>45546.767592592594</v>
      </c>
      <c r="R162" s="132">
        <v>45546.807638888888</v>
      </c>
      <c r="S162" s="132">
        <v>45546.847685185188</v>
      </c>
      <c r="T162" s="132">
        <v>45546.887731481482</v>
      </c>
      <c r="U162" s="132">
        <v>45546.927777777775</v>
      </c>
      <c r="V162" s="132">
        <v>45546.973263888889</v>
      </c>
      <c r="W162" s="132">
        <v>45547.018750000003</v>
      </c>
      <c r="X162" s="132">
        <v>45547.064236111109</v>
      </c>
      <c r="Y162" s="132">
        <v>45547.109722222223</v>
      </c>
      <c r="Z162" s="132">
        <v>45547.15520833333</v>
      </c>
      <c r="AA162" s="135">
        <v>45547.200694444444</v>
      </c>
      <c r="AB162" s="132">
        <v>45547.242129629631</v>
      </c>
      <c r="AC162" s="132">
        <v>45547.283564814818</v>
      </c>
      <c r="AD162" s="132">
        <v>45547.324999999997</v>
      </c>
      <c r="AE162" s="132">
        <v>45547.366435185184</v>
      </c>
      <c r="AF162" s="132">
        <v>45547.407870370371</v>
      </c>
      <c r="AG162" s="132">
        <v>45547.449305555558</v>
      </c>
      <c r="AH162" s="132">
        <v>45547.497453703705</v>
      </c>
      <c r="AI162" s="132">
        <v>45547.545601851853</v>
      </c>
      <c r="AJ162" s="132">
        <v>45547.59375</v>
      </c>
      <c r="AK162" s="132">
        <v>45547.641898148147</v>
      </c>
      <c r="AL162" s="132">
        <v>45547.690046296295</v>
      </c>
      <c r="AM162" s="132">
        <v>45547.738194444442</v>
      </c>
      <c r="AN162" s="132">
        <v>45547.780439814815</v>
      </c>
      <c r="AO162" s="132">
        <v>45547.822685185187</v>
      </c>
      <c r="AP162" s="132">
        <v>45547.864930555559</v>
      </c>
      <c r="AQ162" s="132">
        <v>45547.907175925924</v>
      </c>
      <c r="AR162" s="132">
        <v>45547.949421296296</v>
      </c>
      <c r="AS162" s="132">
        <v>45547.991666666669</v>
      </c>
      <c r="AT162" s="132">
        <v>45548.037499999999</v>
      </c>
      <c r="AU162" s="132">
        <v>45548.083333333336</v>
      </c>
      <c r="AV162" s="132">
        <v>45548.129166666666</v>
      </c>
      <c r="AW162" s="132">
        <v>45548.175000000003</v>
      </c>
      <c r="AX162" s="132">
        <v>45548.220833333333</v>
      </c>
      <c r="AY162" s="132">
        <v>45548.26666666667</v>
      </c>
      <c r="AZ162" s="132">
        <v>45548.311921296299</v>
      </c>
      <c r="BA162" s="132">
        <v>45548.357175925928</v>
      </c>
      <c r="BB162" s="132">
        <v>45548.402430555558</v>
      </c>
      <c r="BC162" s="132">
        <v>45548.447685185187</v>
      </c>
      <c r="BD162" s="132">
        <v>45548.492939814816</v>
      </c>
      <c r="BE162" s="132">
        <v>45548.538194444445</v>
      </c>
      <c r="BF162" s="132">
        <v>45548.585532407407</v>
      </c>
      <c r="BG162" s="132">
        <v>45548.632870370369</v>
      </c>
      <c r="BH162" s="132">
        <v>45548.680208333331</v>
      </c>
      <c r="BI162" s="132">
        <v>45548.727546296293</v>
      </c>
      <c r="BJ162" s="132">
        <v>45548.774884259263</v>
      </c>
      <c r="BK162" s="132">
        <v>45548.822222222225</v>
      </c>
      <c r="BL162" s="132">
        <v>45548.866203703707</v>
      </c>
      <c r="BM162" s="132">
        <v>45548.910185185188</v>
      </c>
      <c r="BN162" s="132">
        <v>45548.95416666667</v>
      </c>
      <c r="BO162" s="132">
        <v>45548.998148148145</v>
      </c>
      <c r="BP162" s="132">
        <v>45549.042129629626</v>
      </c>
      <c r="BQ162" s="132">
        <v>45549.086111111108</v>
      </c>
      <c r="BR162" s="132">
        <v>45549.130671296298</v>
      </c>
      <c r="BS162" s="132">
        <v>45549.17523148148</v>
      </c>
      <c r="BT162" s="132">
        <v>45549.21979166667</v>
      </c>
      <c r="BU162" s="132">
        <v>45549.264351851853</v>
      </c>
      <c r="BV162" s="132">
        <v>45549.308912037035</v>
      </c>
      <c r="BW162" s="132">
        <v>45549.353472222225</v>
      </c>
      <c r="BX162" s="132">
        <v>45549.39675925926</v>
      </c>
      <c r="BY162" s="132">
        <v>45549.440046296295</v>
      </c>
      <c r="BZ162" s="132">
        <v>45549.48333333333</v>
      </c>
      <c r="CA162" s="132">
        <v>45549.526620370372</v>
      </c>
      <c r="CB162" s="132">
        <v>45549.569907407407</v>
      </c>
      <c r="CC162" s="132">
        <v>45549.613194444442</v>
      </c>
      <c r="CD162" s="132">
        <v>45549.658564814818</v>
      </c>
      <c r="CE162" s="132">
        <v>45549.703935185185</v>
      </c>
      <c r="CF162" s="132">
        <v>45549.749305555553</v>
      </c>
      <c r="CG162" s="132">
        <v>45549.794675925928</v>
      </c>
      <c r="CH162" s="132">
        <v>45549.840046296296</v>
      </c>
      <c r="CI162" s="132">
        <v>45549.885416666664</v>
      </c>
      <c r="CJ162" s="132">
        <v>45549.92800925926</v>
      </c>
      <c r="CK162" s="132">
        <v>45549.970601851855</v>
      </c>
      <c r="CL162" s="132">
        <v>45550.013194444444</v>
      </c>
      <c r="CM162" s="132">
        <v>45550.055787037039</v>
      </c>
      <c r="CN162" s="132">
        <v>45550.098379629628</v>
      </c>
      <c r="CO162" s="132">
        <v>45550.140972222223</v>
      </c>
      <c r="CP162" s="132">
        <v>45550.185532407406</v>
      </c>
      <c r="CQ162" s="132">
        <v>45550.230092592596</v>
      </c>
      <c r="CR162" s="132">
        <v>45550.274652777778</v>
      </c>
      <c r="CS162" s="132">
        <v>45550.319212962961</v>
      </c>
      <c r="CT162" s="132">
        <v>45550.36377314815</v>
      </c>
      <c r="CU162" s="132">
        <v>45550.408333333333</v>
      </c>
      <c r="CV162" s="132">
        <v>45550.450115740743</v>
      </c>
      <c r="CW162" s="132">
        <v>45550.491898148146</v>
      </c>
      <c r="CX162" s="132">
        <v>45550.533680555556</v>
      </c>
      <c r="CY162" s="132">
        <v>45550.575462962966</v>
      </c>
      <c r="CZ162" s="132">
        <v>45550.617245370369</v>
      </c>
      <c r="DA162" s="132">
        <v>45550.65902777778</v>
      </c>
      <c r="DB162" s="132">
        <v>45550.70416666667</v>
      </c>
      <c r="DC162" s="132">
        <v>45550.749305555553</v>
      </c>
      <c r="DD162" s="132">
        <v>45550.794444444444</v>
      </c>
      <c r="DE162" s="132">
        <v>45550.839583333334</v>
      </c>
      <c r="DF162" s="132">
        <v>45550.884722222225</v>
      </c>
      <c r="DG162" s="132">
        <v>45550.929861111108</v>
      </c>
      <c r="DH162" s="132">
        <v>45550.971759259257</v>
      </c>
      <c r="DI162" s="132">
        <v>45551.013657407406</v>
      </c>
      <c r="DJ162" s="132">
        <v>45551.055555555555</v>
      </c>
      <c r="DK162" s="132">
        <v>45551.097453703704</v>
      </c>
      <c r="DL162" s="132">
        <v>45551.139351851853</v>
      </c>
      <c r="DM162" s="132">
        <v>45551.181250000001</v>
      </c>
      <c r="DN162" s="132">
        <v>45551.225810185184</v>
      </c>
      <c r="DO162" s="132">
        <v>45551.270370370374</v>
      </c>
      <c r="DP162" s="132">
        <v>45551.314930555556</v>
      </c>
      <c r="DQ162" s="132">
        <v>45551.359490740739</v>
      </c>
      <c r="DR162" s="132">
        <v>45551.404050925928</v>
      </c>
      <c r="DS162" s="132">
        <v>45551.448611111111</v>
      </c>
      <c r="DT162" s="132">
        <v>45551.489930555559</v>
      </c>
      <c r="DU162" s="132">
        <v>45551.53125</v>
      </c>
      <c r="DV162" s="132">
        <v>45551.572569444441</v>
      </c>
      <c r="DW162" s="132">
        <v>45551.613888888889</v>
      </c>
      <c r="DX162" s="132">
        <v>45551.65520833333</v>
      </c>
      <c r="DY162" s="132">
        <v>45551.696527777778</v>
      </c>
      <c r="DZ162" s="132">
        <v>45551.741666666669</v>
      </c>
      <c r="EA162" s="132">
        <v>45551.786805555559</v>
      </c>
      <c r="EB162" s="132">
        <v>45551.831944444442</v>
      </c>
      <c r="EC162" s="132">
        <v>45551.877083333333</v>
      </c>
      <c r="ED162" s="132">
        <v>45551.922222222223</v>
      </c>
      <c r="EE162" s="132">
        <v>45551.967361111114</v>
      </c>
      <c r="EF162" s="132">
        <v>45552.009027777778</v>
      </c>
      <c r="EG162" s="132">
        <v>45552.050694444442</v>
      </c>
      <c r="EH162" s="132">
        <v>45552.092361111114</v>
      </c>
      <c r="EI162" s="132">
        <v>45552.134027777778</v>
      </c>
      <c r="EJ162" s="132">
        <v>45552.175694444442</v>
      </c>
      <c r="EK162" s="132">
        <v>45552.217361111114</v>
      </c>
      <c r="EL162" s="132">
        <v>45552.261921296296</v>
      </c>
      <c r="EM162" s="132">
        <v>45552.306481481479</v>
      </c>
      <c r="EN162" s="132">
        <v>45552.351041666669</v>
      </c>
      <c r="EO162" s="132">
        <v>45552.395601851851</v>
      </c>
      <c r="EP162" s="132">
        <v>45552.440162037034</v>
      </c>
      <c r="EQ162" s="132">
        <v>45552.484722222223</v>
      </c>
      <c r="ER162" s="132">
        <v>45552.525694444441</v>
      </c>
      <c r="ES162" s="132">
        <v>45552.566666666666</v>
      </c>
      <c r="ET162" s="132">
        <v>45552.607638888891</v>
      </c>
      <c r="EU162" s="132">
        <v>45552.648611111108</v>
      </c>
      <c r="EV162" s="132">
        <v>45552.689583333333</v>
      </c>
      <c r="EW162" s="132">
        <v>45552.730555555558</v>
      </c>
      <c r="EX162" s="132">
        <v>45552.775925925926</v>
      </c>
      <c r="EY162" s="132">
        <v>45552.821296296293</v>
      </c>
      <c r="EZ162" s="132">
        <v>45552.866666666669</v>
      </c>
      <c r="FA162" s="132">
        <v>45552.912037037036</v>
      </c>
      <c r="FB162" s="132">
        <v>45552.957407407404</v>
      </c>
    </row>
    <row r="163" spans="1:158" s="136" customFormat="1" ht="11.25">
      <c r="B163" s="136" t="s">
        <v>261</v>
      </c>
      <c r="C163" s="136">
        <v>479452.01666666666</v>
      </c>
      <c r="D163" s="136">
        <v>479452.98333333334</v>
      </c>
      <c r="E163" s="136">
        <v>479453.95</v>
      </c>
      <c r="F163" s="136">
        <v>479454.91666666663</v>
      </c>
      <c r="G163" s="136">
        <v>479455.8833333333</v>
      </c>
      <c r="H163" s="136">
        <v>479456.85</v>
      </c>
      <c r="I163" s="136">
        <v>479457.81666666665</v>
      </c>
      <c r="J163" s="136">
        <v>479458.93055555556</v>
      </c>
      <c r="K163" s="136">
        <v>479460.04444444441</v>
      </c>
      <c r="L163" s="136">
        <v>479461.15833333333</v>
      </c>
      <c r="M163" s="136">
        <v>479462.27222222224</v>
      </c>
      <c r="N163" s="136">
        <v>479463.38611111109</v>
      </c>
      <c r="O163" s="136">
        <v>479464.5</v>
      </c>
      <c r="P163" s="136">
        <v>479465.4611111111</v>
      </c>
      <c r="Q163" s="136">
        <v>479466.4222222222</v>
      </c>
      <c r="R163" s="136">
        <v>479467.3833333333</v>
      </c>
      <c r="S163" s="136">
        <v>479468.34444444446</v>
      </c>
      <c r="T163" s="136">
        <v>479469.30555555556</v>
      </c>
      <c r="U163" s="136">
        <v>479470.26666666666</v>
      </c>
      <c r="V163" s="136">
        <v>479471.35833333334</v>
      </c>
      <c r="W163" s="136">
        <v>479472.45</v>
      </c>
      <c r="X163" s="136">
        <v>479473.54166666663</v>
      </c>
      <c r="Y163" s="136">
        <v>479474.6333333333</v>
      </c>
      <c r="Z163" s="136">
        <v>479475.72499999998</v>
      </c>
      <c r="AA163" s="137">
        <v>479476.81666666665</v>
      </c>
      <c r="AB163" s="136">
        <v>479477.81111111108</v>
      </c>
      <c r="AC163" s="136">
        <v>479478.80555555556</v>
      </c>
      <c r="AD163" s="136">
        <v>479479.8</v>
      </c>
      <c r="AE163" s="136">
        <v>479480.79444444441</v>
      </c>
      <c r="AF163" s="136">
        <v>479481.7888888889</v>
      </c>
      <c r="AG163" s="136">
        <v>479482.78333333333</v>
      </c>
      <c r="AH163" s="136">
        <v>479483.93888888886</v>
      </c>
      <c r="AI163" s="136">
        <v>479485.09444444446</v>
      </c>
      <c r="AJ163" s="136">
        <v>479486.25</v>
      </c>
      <c r="AK163" s="136">
        <v>479487.40555555554</v>
      </c>
      <c r="AL163" s="136">
        <v>479488.56111111114</v>
      </c>
      <c r="AM163" s="136">
        <v>479489.71666666667</v>
      </c>
      <c r="AN163" s="136">
        <v>479490.73055555555</v>
      </c>
      <c r="AO163" s="136">
        <v>479491.74444444443</v>
      </c>
      <c r="AP163" s="136">
        <v>479492.7583333333</v>
      </c>
      <c r="AQ163" s="136">
        <v>479493.77222222224</v>
      </c>
      <c r="AR163" s="136">
        <v>479494.78611111111</v>
      </c>
      <c r="AS163" s="136">
        <v>479495.8</v>
      </c>
      <c r="AT163" s="136">
        <v>479496.9</v>
      </c>
      <c r="AU163" s="136">
        <v>479498</v>
      </c>
      <c r="AV163" s="136">
        <v>479499.1</v>
      </c>
      <c r="AW163" s="136">
        <v>479500.2</v>
      </c>
      <c r="AX163" s="136">
        <v>479501.30000000005</v>
      </c>
      <c r="AY163" s="136">
        <v>479502.4</v>
      </c>
      <c r="AZ163" s="136">
        <v>479503.48611111112</v>
      </c>
      <c r="BA163" s="136">
        <v>479504.57222222222</v>
      </c>
      <c r="BB163" s="136">
        <v>479505.65833333333</v>
      </c>
      <c r="BC163" s="136">
        <v>479506.74444444448</v>
      </c>
      <c r="BD163" s="136">
        <v>479507.83055555559</v>
      </c>
      <c r="BE163" s="136">
        <v>479508.91666666669</v>
      </c>
      <c r="BF163" s="136">
        <v>479510.05277777778</v>
      </c>
      <c r="BG163" s="136">
        <v>479511.18888888892</v>
      </c>
      <c r="BH163" s="136">
        <v>479512.32500000001</v>
      </c>
      <c r="BI163" s="136">
        <v>479513.4611111111</v>
      </c>
      <c r="BJ163" s="136">
        <v>479514.59722222225</v>
      </c>
      <c r="BK163" s="136">
        <v>479515.73333333334</v>
      </c>
      <c r="BL163" s="136">
        <v>479516.7888888889</v>
      </c>
      <c r="BM163" s="136">
        <v>479517.84444444446</v>
      </c>
      <c r="BN163" s="136">
        <v>479518.9</v>
      </c>
      <c r="BO163" s="136">
        <v>479519.95555555553</v>
      </c>
      <c r="BP163" s="136">
        <v>479521.01111111109</v>
      </c>
      <c r="BQ163" s="136">
        <v>479522.06666666665</v>
      </c>
      <c r="BR163" s="136">
        <v>479523.13611111109</v>
      </c>
      <c r="BS163" s="136">
        <v>479524.20555555553</v>
      </c>
      <c r="BT163" s="136">
        <v>479525.27500000002</v>
      </c>
      <c r="BU163" s="136">
        <v>479526.34444444446</v>
      </c>
      <c r="BV163" s="136">
        <v>479527.4138888889</v>
      </c>
      <c r="BW163" s="136">
        <v>479528.48333333334</v>
      </c>
      <c r="BX163" s="136">
        <v>479529.52222222224</v>
      </c>
      <c r="BY163" s="136">
        <v>479530.56111111114</v>
      </c>
      <c r="BZ163" s="136">
        <v>479531.6</v>
      </c>
      <c r="CA163" s="136">
        <v>479532.63888888888</v>
      </c>
      <c r="CB163" s="136">
        <v>479533.67777777778</v>
      </c>
      <c r="CC163" s="136">
        <v>479534.71666666667</v>
      </c>
      <c r="CD163" s="136">
        <v>479535.80555555556</v>
      </c>
      <c r="CE163" s="136">
        <v>479536.89444444445</v>
      </c>
      <c r="CF163" s="136">
        <v>479537.98333333334</v>
      </c>
      <c r="CG163" s="136">
        <v>479539.07222222222</v>
      </c>
      <c r="CH163" s="136">
        <v>479540.16111111111</v>
      </c>
      <c r="CI163" s="136">
        <v>479541.25</v>
      </c>
      <c r="CJ163" s="136">
        <v>479542.27222222224</v>
      </c>
      <c r="CK163" s="136">
        <v>479543.29444444447</v>
      </c>
      <c r="CL163" s="136">
        <v>479544.31666666665</v>
      </c>
      <c r="CM163" s="136">
        <v>479545.33888888889</v>
      </c>
      <c r="CN163" s="136">
        <v>479546.36111111112</v>
      </c>
      <c r="CO163" s="136">
        <v>479547.38333333336</v>
      </c>
      <c r="CP163" s="136">
        <v>479548.4527777778</v>
      </c>
      <c r="CQ163" s="136">
        <v>479549.52222222224</v>
      </c>
      <c r="CR163" s="136">
        <v>479550.59166666667</v>
      </c>
      <c r="CS163" s="136">
        <v>479551.66111111111</v>
      </c>
      <c r="CT163" s="136">
        <v>479552.73055555555</v>
      </c>
      <c r="CU163" s="136">
        <v>479553.8</v>
      </c>
      <c r="CV163" s="136">
        <v>479554.80277777778</v>
      </c>
      <c r="CW163" s="136">
        <v>479555.80555555556</v>
      </c>
      <c r="CX163" s="136">
        <v>479556.80833333335</v>
      </c>
      <c r="CY163" s="136">
        <v>479557.81111111108</v>
      </c>
      <c r="CZ163" s="136">
        <v>479558.81388888886</v>
      </c>
      <c r="DA163" s="136">
        <v>479559.81666666665</v>
      </c>
      <c r="DB163" s="136">
        <v>479560.89999999997</v>
      </c>
      <c r="DC163" s="136">
        <v>479561.98333333334</v>
      </c>
      <c r="DD163" s="136">
        <v>479563.06666666665</v>
      </c>
      <c r="DE163" s="136">
        <v>479564.14999999997</v>
      </c>
      <c r="DF163" s="136">
        <v>479565.23333333334</v>
      </c>
      <c r="DG163" s="136">
        <v>479566.31666666665</v>
      </c>
      <c r="DH163" s="136">
        <v>479567.32222222222</v>
      </c>
      <c r="DI163" s="136">
        <v>479568.32777777774</v>
      </c>
      <c r="DJ163" s="136">
        <v>479569.33333333331</v>
      </c>
      <c r="DK163" s="136">
        <v>479570.33888888889</v>
      </c>
      <c r="DL163" s="136">
        <v>479571.3444444444</v>
      </c>
      <c r="DM163" s="136">
        <v>479572.35</v>
      </c>
      <c r="DN163" s="136">
        <v>479573.41944444441</v>
      </c>
      <c r="DO163" s="136">
        <v>479574.48888888885</v>
      </c>
      <c r="DP163" s="136">
        <v>479575.55833333335</v>
      </c>
      <c r="DQ163" s="136">
        <v>479576.62777777779</v>
      </c>
      <c r="DR163" s="136">
        <v>479577.69722222222</v>
      </c>
      <c r="DS163" s="136">
        <v>479578.76666666666</v>
      </c>
      <c r="DT163" s="136">
        <v>479579.7583333333</v>
      </c>
      <c r="DU163" s="136">
        <v>479580.75</v>
      </c>
      <c r="DV163" s="136">
        <v>479581.7416666667</v>
      </c>
      <c r="DW163" s="136">
        <v>479582.73333333334</v>
      </c>
      <c r="DX163" s="136">
        <v>479583.72499999998</v>
      </c>
      <c r="DY163" s="136">
        <v>479584.71666666667</v>
      </c>
      <c r="DZ163" s="136">
        <v>479585.8</v>
      </c>
      <c r="EA163" s="136">
        <v>479586.88333333336</v>
      </c>
      <c r="EB163" s="136">
        <v>479587.96666666667</v>
      </c>
      <c r="EC163" s="136">
        <v>479589.05</v>
      </c>
      <c r="ED163" s="136">
        <v>479590.13333333336</v>
      </c>
      <c r="EE163" s="136">
        <v>479591.21666666667</v>
      </c>
      <c r="EF163" s="136">
        <v>479592.21666666667</v>
      </c>
      <c r="EG163" s="136">
        <v>479593.21666666667</v>
      </c>
      <c r="EH163" s="136">
        <v>479594.21666666667</v>
      </c>
      <c r="EI163" s="136">
        <v>479595.21666666667</v>
      </c>
      <c r="EJ163" s="136">
        <v>479596.21666666667</v>
      </c>
      <c r="EK163" s="136">
        <v>479597.21666666667</v>
      </c>
      <c r="EL163" s="136">
        <v>479598.28611111111</v>
      </c>
      <c r="EM163" s="136">
        <v>479599.35555555555</v>
      </c>
      <c r="EN163" s="136">
        <v>479600.42500000005</v>
      </c>
      <c r="EO163" s="136">
        <v>479601.49444444448</v>
      </c>
      <c r="EP163" s="136">
        <v>479602.56388888892</v>
      </c>
      <c r="EQ163" s="136">
        <v>479603.63333333336</v>
      </c>
      <c r="ER163" s="136">
        <v>479604.6166666667</v>
      </c>
      <c r="ES163" s="136">
        <v>479605.60000000003</v>
      </c>
      <c r="ET163" s="136">
        <v>479606.58333333337</v>
      </c>
      <c r="EU163" s="136">
        <v>479607.56666666665</v>
      </c>
      <c r="EV163" s="136">
        <v>479608.55</v>
      </c>
      <c r="EW163" s="136">
        <v>479609.53333333333</v>
      </c>
      <c r="EX163" s="136">
        <v>479610.62222222221</v>
      </c>
      <c r="EY163" s="136">
        <v>479611.7111111111</v>
      </c>
      <c r="EZ163" s="136">
        <v>479612.8</v>
      </c>
      <c r="FA163" s="136">
        <v>479613.88888888888</v>
      </c>
      <c r="FB163" s="136">
        <v>479614.97777777776</v>
      </c>
    </row>
    <row r="164" spans="1:158" s="136" customFormat="1" ht="11.25">
      <c r="B164" s="136" t="s">
        <v>64</v>
      </c>
      <c r="C164" s="136">
        <v>4.07</v>
      </c>
      <c r="D164" s="136">
        <v>4.4283333333405261</v>
      </c>
      <c r="E164" s="136">
        <v>5.145000000021577</v>
      </c>
      <c r="F164" s="136">
        <v>6.2199999999676345</v>
      </c>
      <c r="G164" s="136">
        <v>7.2949999999784225</v>
      </c>
      <c r="H164" s="136">
        <v>8.0116666666594725</v>
      </c>
      <c r="I164" s="136">
        <v>8.3699999999999992</v>
      </c>
      <c r="J164" s="136">
        <v>8.0383333333217788</v>
      </c>
      <c r="K164" s="136">
        <v>7.3750000000115543</v>
      </c>
      <c r="L164" s="136">
        <v>6.38</v>
      </c>
      <c r="M164" s="136">
        <v>5.3849999999884455</v>
      </c>
      <c r="N164" s="136">
        <v>4.721666666678221</v>
      </c>
      <c r="O164" s="136">
        <v>4.3899999999999997</v>
      </c>
      <c r="P164" s="136">
        <v>4.6866666666636716</v>
      </c>
      <c r="Q164" s="136">
        <v>5.2799999999880214</v>
      </c>
      <c r="R164" s="136">
        <v>6.1699999999730499</v>
      </c>
      <c r="S164" s="136">
        <v>7.0600000000119776</v>
      </c>
      <c r="T164" s="136">
        <v>7.6533333333363274</v>
      </c>
      <c r="U164" s="136">
        <v>7.95</v>
      </c>
      <c r="V164" s="136">
        <v>7.677499999995157</v>
      </c>
      <c r="W164" s="136">
        <v>7.1324999999854706</v>
      </c>
      <c r="X164" s="136">
        <v>6.3150000000217945</v>
      </c>
      <c r="Y164" s="136">
        <v>5.4975000000145293</v>
      </c>
      <c r="Z164" s="136">
        <v>4.9525000000048429</v>
      </c>
      <c r="AA164" s="137">
        <v>4.68</v>
      </c>
      <c r="AB164" s="136">
        <v>4.9391666666616096</v>
      </c>
      <c r="AC164" s="136">
        <v>5.4575000000151697</v>
      </c>
      <c r="AD164" s="136">
        <v>6.2350000000000003</v>
      </c>
      <c r="AE164" s="136">
        <v>7.0124999999848301</v>
      </c>
      <c r="AF164" s="136">
        <v>7.5308333333383901</v>
      </c>
      <c r="AG164" s="136">
        <v>7.79</v>
      </c>
      <c r="AH164" s="136">
        <v>7.5458333333374332</v>
      </c>
      <c r="AI164" s="136">
        <v>7.0574999999877006</v>
      </c>
      <c r="AJ164" s="136">
        <v>6.3250000000000002</v>
      </c>
      <c r="AK164" s="136">
        <v>5.5925000000122997</v>
      </c>
      <c r="AL164" s="136">
        <v>5.1041666666625671</v>
      </c>
      <c r="AM164" s="136">
        <v>4.8600000000000003</v>
      </c>
      <c r="AN164" s="136">
        <v>5.0758333333312686</v>
      </c>
      <c r="AO164" s="136">
        <v>5.5074999999917393</v>
      </c>
      <c r="AP164" s="136">
        <v>6.1549999999814133</v>
      </c>
      <c r="AQ164" s="136">
        <v>6.8025000000082612</v>
      </c>
      <c r="AR164" s="136">
        <v>7.2341666666687319</v>
      </c>
      <c r="AS164" s="136">
        <v>7.45</v>
      </c>
      <c r="AT164" s="136">
        <v>7.2524999999895492</v>
      </c>
      <c r="AU164" s="136">
        <v>6.8574999999999999</v>
      </c>
      <c r="AV164" s="136">
        <v>6.265000000015676</v>
      </c>
      <c r="AW164" s="136">
        <v>5.6725000000000003</v>
      </c>
      <c r="AX164" s="136">
        <v>5.2774999999947747</v>
      </c>
      <c r="AY164" s="136">
        <v>5.08</v>
      </c>
      <c r="AZ164" s="136">
        <v>5.2891666666647987</v>
      </c>
      <c r="BA164" s="136">
        <v>5.7074999999925264</v>
      </c>
      <c r="BB164" s="136">
        <v>6.334999999983185</v>
      </c>
      <c r="BC164" s="136">
        <v>6.9625000000074726</v>
      </c>
      <c r="BD164" s="136">
        <v>7.3808333333352012</v>
      </c>
      <c r="BE164" s="136">
        <v>7.59</v>
      </c>
      <c r="BF164" s="136">
        <v>7.3516666666707371</v>
      </c>
      <c r="BG164" s="136">
        <v>6.8749999999877893</v>
      </c>
      <c r="BH164" s="136">
        <v>6.16</v>
      </c>
      <c r="BI164" s="136">
        <v>5.445000000012211</v>
      </c>
      <c r="BJ164" s="136">
        <v>4.9683333333292632</v>
      </c>
      <c r="BK164" s="136">
        <v>4.7300000000000004</v>
      </c>
      <c r="BL164" s="136">
        <v>4.9800000000045959</v>
      </c>
      <c r="BM164" s="136">
        <v>5.4800000000137867</v>
      </c>
      <c r="BN164" s="136">
        <v>6.230000000020679</v>
      </c>
      <c r="BO164" s="136">
        <v>6.9799999999862141</v>
      </c>
      <c r="BP164" s="136">
        <v>7.479999999995405</v>
      </c>
      <c r="BQ164" s="136">
        <v>7.73</v>
      </c>
      <c r="BR164" s="136">
        <v>7.4758333333356397</v>
      </c>
      <c r="BS164" s="136">
        <v>6.9675000000092231</v>
      </c>
      <c r="BT164" s="136">
        <v>6.2049999999792496</v>
      </c>
      <c r="BU164" s="136">
        <v>5.4424999999907779</v>
      </c>
      <c r="BV164" s="136">
        <v>4.9341666666643613</v>
      </c>
      <c r="BW164" s="136">
        <v>4.68</v>
      </c>
      <c r="BX164" s="136">
        <v>4.976666666672207</v>
      </c>
      <c r="BY164" s="136">
        <v>5.5700000000166217</v>
      </c>
      <c r="BZ164" s="136">
        <v>6.459999999975067</v>
      </c>
      <c r="CA164" s="136">
        <v>7.3499999999833783</v>
      </c>
      <c r="CB164" s="136">
        <v>7.9433333333277929</v>
      </c>
      <c r="CC164" s="136">
        <v>8.24</v>
      </c>
      <c r="CD164" s="136">
        <v>7.8783333333333339</v>
      </c>
      <c r="CE164" s="136">
        <v>7.1550000000000002</v>
      </c>
      <c r="CF164" s="136">
        <v>6.07</v>
      </c>
      <c r="CG164" s="136">
        <v>4.9850000000000003</v>
      </c>
      <c r="CH164" s="136">
        <v>4.2616666666666676</v>
      </c>
      <c r="CI164" s="136">
        <v>3.9</v>
      </c>
      <c r="CJ164" s="136">
        <v>4.293333333340799</v>
      </c>
      <c r="CK164" s="136">
        <v>5.0800000000223973</v>
      </c>
      <c r="CL164" s="136">
        <v>6.2599999999664035</v>
      </c>
      <c r="CM164" s="136">
        <v>7.4399999999776023</v>
      </c>
      <c r="CN164" s="136">
        <v>8.2266666666592005</v>
      </c>
      <c r="CO164" s="136">
        <v>8.6199999999999992</v>
      </c>
      <c r="CP164" s="136">
        <v>8.2133333333333329</v>
      </c>
      <c r="CQ164" s="136">
        <v>7.3999999999999995</v>
      </c>
      <c r="CR164" s="136">
        <v>6.18</v>
      </c>
      <c r="CS164" s="136">
        <v>4.96</v>
      </c>
      <c r="CT164" s="136">
        <v>4.1466666666666674</v>
      </c>
      <c r="CU164" s="136">
        <v>3.74</v>
      </c>
      <c r="CV164" s="136">
        <v>4.1966666666755028</v>
      </c>
      <c r="CW164" s="136">
        <v>5.1100000000265089</v>
      </c>
      <c r="CX164" s="136">
        <v>6.4800000000397624</v>
      </c>
      <c r="CY164" s="136">
        <v>7.8499999999734928</v>
      </c>
      <c r="CZ164" s="136">
        <v>8.763333333324498</v>
      </c>
      <c r="DA164" s="136">
        <v>9.2200000000000006</v>
      </c>
      <c r="DB164" s="136">
        <v>8.6900000000094924</v>
      </c>
      <c r="DC164" s="136">
        <v>7.6299999999715231</v>
      </c>
      <c r="DD164" s="136">
        <v>6.04</v>
      </c>
      <c r="DE164" s="136">
        <v>4.4500000000284761</v>
      </c>
      <c r="DF164" s="136">
        <v>3.3899999999905073</v>
      </c>
      <c r="DG164" s="136">
        <v>2.86</v>
      </c>
      <c r="DH164" s="136">
        <v>3.4233333333550724</v>
      </c>
      <c r="DI164" s="136">
        <v>4.5499999999782608</v>
      </c>
      <c r="DJ164" s="136">
        <v>6.24</v>
      </c>
      <c r="DK164" s="136">
        <v>7.9300000000217388</v>
      </c>
      <c r="DL164" s="136">
        <v>9.0566666666449276</v>
      </c>
      <c r="DM164" s="136">
        <v>9.6199999999999992</v>
      </c>
      <c r="DN164" s="136">
        <v>9.0450000000052153</v>
      </c>
      <c r="DO164" s="136">
        <v>7.8950000000208638</v>
      </c>
      <c r="DP164" s="136">
        <v>6.1699999999530561</v>
      </c>
      <c r="DQ164" s="136">
        <v>4.444999999979137</v>
      </c>
      <c r="DR164" s="136">
        <v>3.2949999999947854</v>
      </c>
      <c r="DS164" s="136">
        <v>2.72</v>
      </c>
      <c r="DT164" s="136">
        <v>3.3441666666483485</v>
      </c>
      <c r="DU164" s="136">
        <v>4.5925000000000002</v>
      </c>
      <c r="DV164" s="136">
        <v>6.465000000054955</v>
      </c>
      <c r="DW164" s="136">
        <v>8.3375000000000004</v>
      </c>
      <c r="DX164" s="136">
        <v>9.5858333332966978</v>
      </c>
      <c r="DY164" s="136">
        <v>10.210000000000001</v>
      </c>
      <c r="DZ164" s="136">
        <v>9.518333333345721</v>
      </c>
      <c r="EA164" s="136">
        <v>8.1349999999628366</v>
      </c>
      <c r="EB164" s="136">
        <v>6.0600000000000005</v>
      </c>
      <c r="EC164" s="136">
        <v>3.985000000037163</v>
      </c>
      <c r="ED164" s="136">
        <v>2.6016666666542791</v>
      </c>
      <c r="EE164" s="136">
        <v>1.91</v>
      </c>
      <c r="EF164" s="136">
        <v>2.6266666666666665</v>
      </c>
      <c r="EG164" s="136">
        <v>4.0599999999999996</v>
      </c>
      <c r="EH164" s="136">
        <v>6.21</v>
      </c>
      <c r="EI164" s="136">
        <v>8.36</v>
      </c>
      <c r="EJ164" s="136">
        <v>9.793333333333333</v>
      </c>
      <c r="EK164" s="136">
        <v>10.51</v>
      </c>
      <c r="EL164" s="136">
        <v>9.7875000000065544</v>
      </c>
      <c r="EM164" s="136">
        <v>8.3425000000262166</v>
      </c>
      <c r="EN164" s="136">
        <v>6.1749999999410141</v>
      </c>
      <c r="EO164" s="136">
        <v>4.0074999999737848</v>
      </c>
      <c r="EP164" s="136">
        <v>2.5624999999934461</v>
      </c>
      <c r="EQ164" s="136">
        <v>1.84</v>
      </c>
      <c r="ER164" s="136">
        <v>2.6075000000151438</v>
      </c>
      <c r="ES164" s="136">
        <v>4.1425000000454313</v>
      </c>
      <c r="ET164" s="136">
        <v>6.4450000000681475</v>
      </c>
      <c r="EU164" s="136">
        <v>8.7474999999545684</v>
      </c>
      <c r="EV164" s="136">
        <v>10.282499999984857</v>
      </c>
      <c r="EW164" s="136">
        <v>11.05</v>
      </c>
      <c r="EX164" s="136">
        <v>10.226666666666667</v>
      </c>
      <c r="EY164" s="136">
        <v>8.58</v>
      </c>
      <c r="EZ164" s="136">
        <v>6.11</v>
      </c>
      <c r="FA164" s="136">
        <v>3.6400000000000006</v>
      </c>
      <c r="FB164" s="136">
        <v>1.9933333333333336</v>
      </c>
    </row>
    <row r="165" spans="1:158" s="131" customFormat="1" ht="11.25">
      <c r="AA165" s="134"/>
    </row>
    <row r="166" spans="1:158">
      <c r="A166" s="365" t="s">
        <v>267</v>
      </c>
      <c r="B166" t="s">
        <v>265</v>
      </c>
      <c r="C166" s="86">
        <f>C162</f>
        <v>45546.167361111111</v>
      </c>
      <c r="P166"/>
      <c r="Q166"/>
    </row>
    <row r="167" spans="1:158">
      <c r="A167" s="365"/>
      <c r="B167" t="s">
        <v>266</v>
      </c>
      <c r="C167" s="86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264</v>
      </c>
      <c r="B171">
        <f>Maree!$D$69</f>
        <v>7.45</v>
      </c>
      <c r="P171"/>
      <c r="Q171"/>
    </row>
    <row r="172" spans="1:158">
      <c r="A172" s="129"/>
      <c r="B172" t="s">
        <v>268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30" t="s">
        <v>262</v>
      </c>
      <c r="C173" s="129" cm="1">
        <f t="array" aca="1" ref="C173" ca="1">INDIRECT(ADDRESS(C172,8))</f>
        <v>45546.337187500001</v>
      </c>
      <c r="D173" s="129" cm="1">
        <f t="array" aca="1" ref="D173" ca="1">INDIRECT(ADDRESS(D172,8))</f>
        <v>45546.496608796297</v>
      </c>
      <c r="E173" s="129" cm="1">
        <f t="array" aca="1" ref="E173" ca="1">INDIRECT(ADDRESS(E172,8))</f>
        <v>45546.87400462963</v>
      </c>
      <c r="F173" s="129" cm="1">
        <f t="array" aca="1" ref="F173" ca="1">INDIRECT(ADDRESS(F172,8))</f>
        <v>45546.992256944446</v>
      </c>
      <c r="G173" s="129" cm="1">
        <f t="array" aca="1" ref="G173" ca="1">INDIRECT(ADDRESS(G172,8))</f>
        <v>45547.401412037034</v>
      </c>
      <c r="H173" s="129" cm="1">
        <f t="array" aca="1" ref="H173" ca="1">INDIRECT(ADDRESS(H172,8))</f>
        <v>45547.506898148145</v>
      </c>
      <c r="I173" s="129" cm="1">
        <f t="array" aca="1" ref="I173" ca="1">INDIRECT(ADDRESS(I172,8))</f>
        <v>45547.991666666669</v>
      </c>
      <c r="J173" s="129" cm="1">
        <f t="array" aca="1" ref="J173" ca="1">INDIRECT(ADDRESS(J172,8))</f>
        <v>45547.991666666669</v>
      </c>
      <c r="K173" s="129" cm="1">
        <f t="array" aca="1" ref="K173" ca="1">INDIRECT(ADDRESS(K172,8))</f>
        <v>45548.507905092592</v>
      </c>
      <c r="L173" s="129" cm="1">
        <f t="array" aca="1" ref="L173" ca="1">INDIRECT(ADDRESS(L172,8))</f>
        <v>45548.566006944442</v>
      </c>
      <c r="M173" s="129" cm="1">
        <f t="array" aca="1" ref="M173" ca="1">INDIRECT(ADDRESS(M172,8))</f>
        <v>45549.039490740739</v>
      </c>
      <c r="N173" s="129" cm="1">
        <f t="array" aca="1" ref="N173" ca="1">INDIRECT(ADDRESS(N172,8))</f>
        <v>45549.132939814815</v>
      </c>
      <c r="O173" s="129" cm="1">
        <f t="array" aca="1" ref="O173" ca="1">INDIRECT(ADDRESS(O172,8))</f>
        <v>45549.533912037034</v>
      </c>
      <c r="P173" s="129" cm="1">
        <f t="array" aca="1" ref="P173" ca="1">INDIRECT(ADDRESS(P172,8))</f>
        <v>45549.685428240744</v>
      </c>
      <c r="Q173" s="129" cm="1">
        <f t="array" aca="1" ref="Q173" ca="1">INDIRECT(ADDRESS(Q172,8))</f>
        <v>45550.056331018517</v>
      </c>
      <c r="R173" s="129" cm="1">
        <f t="array" aca="1" ref="R173" ca="1">INDIRECT(ADDRESS(R172,8))</f>
        <v>45550.227349537039</v>
      </c>
      <c r="S173" s="129" cm="1">
        <f t="array" aca="1" ref="S173" ca="1">INDIRECT(ADDRESS(S172,8))</f>
        <v>45550.563263888886</v>
      </c>
      <c r="T173" s="129" cm="1">
        <f t="array" aca="1" ref="T173" ca="1">INDIRECT(ADDRESS(T172,8))</f>
        <v>45550.754421296297</v>
      </c>
      <c r="U173" s="129" cm="1">
        <f t="array" aca="1" ref="U173" ca="1">INDIRECT(ADDRESS(U172,8))</f>
        <v>45551.085555555554</v>
      </c>
      <c r="V173" s="129" cm="1">
        <f t="array" aca="1" ref="V173" ca="1">INDIRECT(ADDRESS(V172,8))</f>
        <v>45551.281863425924</v>
      </c>
      <c r="W173" s="129" cm="1">
        <f t="array" aca="1" ref="W173" ca="1">INDIRECT(ADDRESS(W172,8))</f>
        <v>45551.594305555554</v>
      </c>
      <c r="X173" s="129" cm="1">
        <f t="array" aca="1" ref="X173" ca="1">INDIRECT(ADDRESS(X172,8))</f>
        <v>45551.801701388889</v>
      </c>
      <c r="Y173" s="129" cm="1">
        <f t="array" aca="1" ref="Y173" ca="1">INDIRECT(ADDRESS(Y172,8))</f>
        <v>45552.116388888891</v>
      </c>
      <c r="Z173" s="129" cm="1">
        <f t="array" aca="1" ref="Z173" ca="1">INDIRECT(ADDRESS(Z172,8))</f>
        <v>45552.324826388889</v>
      </c>
      <c r="AA173" s="129" cm="1">
        <f t="array" aca="1" ref="AA173" ca="1">INDIRECT(ADDRESS(AA172,8))</f>
        <v>45552.625520833331</v>
      </c>
      <c r="AB173" s="129" cm="1">
        <f t="array" aca="1" ref="AB173" ca="1">INDIRECT(ADDRESS(AB172,8))</f>
        <v>45552.842048611114</v>
      </c>
      <c r="AC173" s="129" cm="1">
        <f t="array" aca="1" ref="AC173" ca="1">INDIRECT(ADDRESS(AC172,8))</f>
        <v>45552.842048611114</v>
      </c>
      <c r="AD173" s="129" cm="1">
        <f t="array" aca="1" ref="AD173" ca="1">INDIRECT(ADDRESS(AD172,8))</f>
        <v>45552.842048611114</v>
      </c>
      <c r="AE173" s="129" cm="1">
        <f t="array" aca="1" ref="AE173" ca="1">INDIRECT(ADDRESS(AE172,8))</f>
        <v>45552.842048611114</v>
      </c>
      <c r="AF173" s="129" cm="1">
        <f t="array" aca="1" ref="AF173" ca="1">INDIRECT(ADDRESS(AF172,8))</f>
        <v>45552.842048611114</v>
      </c>
      <c r="AG173" s="129" cm="1">
        <f t="array" aca="1" ref="AG173" ca="1">INDIRECT(ADDRESS(AG172,8))</f>
        <v>45552.842048611114</v>
      </c>
    </row>
    <row r="174" spans="1:158">
      <c r="B174" t="s">
        <v>64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baseColWidth="10" defaultRowHeight="15"/>
  <cols>
    <col min="1" max="4" width="11.140625" bestFit="1" customWidth="1"/>
  </cols>
  <sheetData>
    <row r="1" spans="1:4">
      <c r="A1" t="s">
        <v>279</v>
      </c>
      <c r="B1" t="s">
        <v>280</v>
      </c>
      <c r="C1" t="s">
        <v>281</v>
      </c>
      <c r="D1" t="s">
        <v>282</v>
      </c>
    </row>
    <row r="2" spans="1:4">
      <c r="A2" s="367" t="s">
        <v>283</v>
      </c>
      <c r="B2" s="367" t="s">
        <v>284</v>
      </c>
      <c r="D2" s="367">
        <v>4.07</v>
      </c>
    </row>
    <row r="3" spans="1:4">
      <c r="A3" s="367" t="s">
        <v>283</v>
      </c>
      <c r="B3" s="367" t="s">
        <v>285</v>
      </c>
      <c r="C3">
        <v>39</v>
      </c>
      <c r="D3" s="367">
        <v>8.3699999999999992</v>
      </c>
    </row>
    <row r="4" spans="1:4">
      <c r="A4" s="367" t="s">
        <v>283</v>
      </c>
      <c r="B4" s="367" t="s">
        <v>286</v>
      </c>
      <c r="D4" s="367">
        <v>4.3899999999999997</v>
      </c>
    </row>
    <row r="5" spans="1:4">
      <c r="A5" s="367" t="s">
        <v>283</v>
      </c>
      <c r="B5" s="367" t="s">
        <v>287</v>
      </c>
      <c r="C5">
        <v>33</v>
      </c>
      <c r="D5" s="367">
        <v>7.95</v>
      </c>
    </row>
    <row r="6" spans="1:4">
      <c r="A6" s="367" t="s">
        <v>288</v>
      </c>
      <c r="B6" s="367" t="s">
        <v>289</v>
      </c>
      <c r="D6" s="367">
        <v>4.68</v>
      </c>
    </row>
    <row r="7" spans="1:4">
      <c r="A7" s="367" t="s">
        <v>288</v>
      </c>
      <c r="B7" s="367" t="s">
        <v>290</v>
      </c>
      <c r="C7">
        <v>29</v>
      </c>
      <c r="D7" s="367">
        <v>7.79</v>
      </c>
    </row>
    <row r="8" spans="1:4">
      <c r="A8" s="367" t="s">
        <v>288</v>
      </c>
      <c r="B8" s="367" t="s">
        <v>291</v>
      </c>
      <c r="D8" s="367">
        <v>4.8600000000000003</v>
      </c>
    </row>
    <row r="9" spans="1:4">
      <c r="A9" s="367" t="s">
        <v>288</v>
      </c>
      <c r="B9" s="367" t="s">
        <v>292</v>
      </c>
      <c r="C9">
        <v>28</v>
      </c>
      <c r="D9" s="367">
        <v>7.45</v>
      </c>
    </row>
    <row r="10" spans="1:4">
      <c r="A10" s="367" t="s">
        <v>293</v>
      </c>
      <c r="B10" s="367" t="s">
        <v>294</v>
      </c>
      <c r="D10" s="367">
        <v>5.08</v>
      </c>
    </row>
    <row r="11" spans="1:4">
      <c r="A11" s="367" t="s">
        <v>293</v>
      </c>
      <c r="B11" s="367" t="s">
        <v>295</v>
      </c>
      <c r="C11">
        <v>31</v>
      </c>
      <c r="D11" s="367">
        <v>7.59</v>
      </c>
    </row>
    <row r="12" spans="1:4">
      <c r="A12" s="367" t="s">
        <v>293</v>
      </c>
      <c r="B12" s="367" t="s">
        <v>296</v>
      </c>
      <c r="D12" s="367">
        <v>4.7300000000000004</v>
      </c>
    </row>
    <row r="13" spans="1:4">
      <c r="A13" s="367" t="s">
        <v>297</v>
      </c>
      <c r="B13" s="367" t="s">
        <v>298</v>
      </c>
      <c r="C13">
        <v>37</v>
      </c>
      <c r="D13" s="367">
        <v>7.73</v>
      </c>
    </row>
    <row r="14" spans="1:4">
      <c r="A14" s="367" t="s">
        <v>297</v>
      </c>
      <c r="B14" s="367" t="s">
        <v>299</v>
      </c>
      <c r="D14" s="367">
        <v>4.68</v>
      </c>
    </row>
    <row r="15" spans="1:4">
      <c r="A15" s="367" t="s">
        <v>297</v>
      </c>
      <c r="B15" s="367" t="s">
        <v>300</v>
      </c>
      <c r="C15">
        <v>45</v>
      </c>
      <c r="D15" s="367">
        <v>8.24</v>
      </c>
    </row>
    <row r="16" spans="1:4">
      <c r="A16" s="367" t="s">
        <v>297</v>
      </c>
      <c r="B16" s="367" t="s">
        <v>301</v>
      </c>
      <c r="D16" s="367">
        <v>3.9</v>
      </c>
    </row>
    <row r="17" spans="1:4">
      <c r="A17" s="367" t="s">
        <v>302</v>
      </c>
      <c r="B17" s="367" t="s">
        <v>303</v>
      </c>
      <c r="C17">
        <v>54</v>
      </c>
      <c r="D17" s="367">
        <v>8.6199999999999992</v>
      </c>
    </row>
    <row r="18" spans="1:4">
      <c r="A18" s="367" t="s">
        <v>302</v>
      </c>
      <c r="B18" s="367" t="s">
        <v>304</v>
      </c>
      <c r="D18" s="367">
        <v>3.74</v>
      </c>
    </row>
    <row r="19" spans="1:4">
      <c r="A19" s="367" t="s">
        <v>302</v>
      </c>
      <c r="B19" s="367" t="s">
        <v>305</v>
      </c>
      <c r="C19">
        <v>64</v>
      </c>
      <c r="D19" s="367">
        <v>9.2200000000000006</v>
      </c>
    </row>
    <row r="20" spans="1:4">
      <c r="A20" s="367" t="s">
        <v>302</v>
      </c>
      <c r="B20" s="367" t="s">
        <v>306</v>
      </c>
      <c r="D20" s="367">
        <v>2.86</v>
      </c>
    </row>
    <row r="21" spans="1:4">
      <c r="A21" s="367" t="s">
        <v>307</v>
      </c>
      <c r="B21" s="367" t="s">
        <v>308</v>
      </c>
      <c r="C21">
        <v>74</v>
      </c>
      <c r="D21" s="367">
        <v>9.6199999999999992</v>
      </c>
    </row>
    <row r="22" spans="1:4">
      <c r="A22" s="367" t="s">
        <v>307</v>
      </c>
      <c r="B22" s="367" t="s">
        <v>309</v>
      </c>
      <c r="D22" s="367">
        <v>2.72</v>
      </c>
    </row>
    <row r="23" spans="1:4">
      <c r="A23" s="367" t="s">
        <v>307</v>
      </c>
      <c r="B23" s="367" t="s">
        <v>310</v>
      </c>
      <c r="C23">
        <v>83</v>
      </c>
      <c r="D23" s="367">
        <v>10.210000000000001</v>
      </c>
    </row>
    <row r="24" spans="1:4">
      <c r="A24" s="367" t="s">
        <v>307</v>
      </c>
      <c r="B24" s="367" t="s">
        <v>311</v>
      </c>
      <c r="D24" s="367">
        <v>1.91</v>
      </c>
    </row>
    <row r="25" spans="1:4">
      <c r="A25" s="367" t="s">
        <v>312</v>
      </c>
      <c r="B25" s="367" t="s">
        <v>313</v>
      </c>
      <c r="C25">
        <v>91</v>
      </c>
      <c r="D25" s="367">
        <v>10.51</v>
      </c>
    </row>
    <row r="26" spans="1:4">
      <c r="A26" s="367" t="s">
        <v>312</v>
      </c>
      <c r="B26" s="367" t="s">
        <v>314</v>
      </c>
      <c r="D26" s="367">
        <v>1.84</v>
      </c>
    </row>
    <row r="27" spans="1:4">
      <c r="A27" s="367" t="s">
        <v>312</v>
      </c>
      <c r="B27" s="367" t="s">
        <v>315</v>
      </c>
      <c r="C27">
        <v>99</v>
      </c>
      <c r="D27" s="367">
        <v>11.05</v>
      </c>
    </row>
    <row r="28" spans="1:4">
      <c r="A28" s="367" t="s">
        <v>316</v>
      </c>
      <c r="B28" s="367" t="s">
        <v>317</v>
      </c>
      <c r="D28" s="367">
        <v>1.17</v>
      </c>
    </row>
    <row r="29" spans="1:4">
      <c r="A29" s="367" t="s">
        <v>316</v>
      </c>
      <c r="B29" s="367" t="s">
        <v>318</v>
      </c>
      <c r="C29">
        <v>105</v>
      </c>
      <c r="D29" s="367">
        <v>11.18</v>
      </c>
    </row>
    <row r="30" spans="1:4">
      <c r="A30" s="367" t="s">
        <v>316</v>
      </c>
      <c r="B30" s="367" t="s">
        <v>319</v>
      </c>
      <c r="D30" s="367">
        <v>1.19</v>
      </c>
    </row>
    <row r="31" spans="1:4">
      <c r="A31" s="367" t="s">
        <v>316</v>
      </c>
      <c r="B31" s="367" t="s">
        <v>320</v>
      </c>
      <c r="C31">
        <v>110</v>
      </c>
      <c r="D31" s="367">
        <v>11.64</v>
      </c>
    </row>
    <row r="32" spans="1:4">
      <c r="A32" s="367" t="s">
        <v>321</v>
      </c>
      <c r="B32" s="367" t="s">
        <v>322</v>
      </c>
      <c r="D32" s="367">
        <v>0.7</v>
      </c>
    </row>
    <row r="33" spans="1:4">
      <c r="A33" s="367" t="s">
        <v>321</v>
      </c>
      <c r="B33" s="367" t="s">
        <v>323</v>
      </c>
      <c r="C33">
        <v>113</v>
      </c>
      <c r="D33" s="367">
        <v>11.59</v>
      </c>
    </row>
    <row r="34" spans="1:4">
      <c r="A34" s="367" t="s">
        <v>321</v>
      </c>
      <c r="B34" s="367" t="s">
        <v>324</v>
      </c>
      <c r="D34" s="367">
        <v>0.82</v>
      </c>
    </row>
    <row r="35" spans="1:4">
      <c r="A35" s="367" t="s">
        <v>321</v>
      </c>
      <c r="B35" s="367" t="s">
        <v>325</v>
      </c>
      <c r="C35">
        <v>115</v>
      </c>
      <c r="D35" s="367">
        <v>11.93</v>
      </c>
    </row>
    <row r="36" spans="1:4">
      <c r="A36" s="367" t="s">
        <v>326</v>
      </c>
      <c r="B36" s="367" t="s">
        <v>327</v>
      </c>
      <c r="D36" s="367">
        <v>0.55000000000000004</v>
      </c>
    </row>
    <row r="37" spans="1:4">
      <c r="A37" s="367" t="s">
        <v>326</v>
      </c>
      <c r="B37" s="367" t="s">
        <v>328</v>
      </c>
      <c r="C37">
        <v>114</v>
      </c>
      <c r="D37" s="367">
        <v>11.69</v>
      </c>
    </row>
    <row r="38" spans="1:4">
      <c r="A38" s="367" t="s">
        <v>326</v>
      </c>
      <c r="B38" s="367" t="s">
        <v>329</v>
      </c>
      <c r="D38" s="367">
        <v>0.77</v>
      </c>
    </row>
    <row r="39" spans="1:4">
      <c r="A39" s="367" t="s">
        <v>326</v>
      </c>
      <c r="B39" s="367" t="s">
        <v>296</v>
      </c>
      <c r="C39">
        <v>112</v>
      </c>
      <c r="D39" s="367">
        <v>11.87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Nav</vt:lpstr>
      <vt:lpstr>Maree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2024-09-13T19:52:39Z</dcterms:modified>
</cp:coreProperties>
</file>