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28FAA6AD-DD40-4443-9F74-FCCA77A167EE}" xr6:coauthVersionLast="47" xr6:coauthVersionMax="47" xr10:uidLastSave="{00000000-0000-0000-0000-000000000000}"/>
  <bookViews>
    <workbookView xWindow="0" yWindow="300" windowWidth="28800" windowHeight="14640" tabRatio="872" activeTab="1" xr2:uid="{00000000-000D-0000-FFFF-FFFF00000000}"/>
  </bookViews>
  <sheets>
    <sheet name="Nav" sheetId="3" r:id="rId1"/>
    <sheet name="Maree" sheetId="4" r:id="rId2"/>
  </sheets>
  <functionGroups builtInGroupCount="19"/>
  <definedNames>
    <definedName name="_xlnm._FilterDatabase" localSheetId="1" hidden="1">Maree!$C$30:$D$30</definedName>
    <definedName name="DonnéesExternes_1" localSheetId="1" hidden="1">Maree!#REF!</definedName>
    <definedName name="DonnéesExternes_2" localSheetId="1" hidden="1">Maree!#REF!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13" i="4" l="1"/>
  <c r="K113" i="4"/>
  <c r="J113" i="4"/>
  <c r="I113" i="4"/>
  <c r="H113" i="4"/>
  <c r="G113" i="4"/>
  <c r="F113" i="4"/>
  <c r="E113" i="4"/>
  <c r="D113" i="4"/>
  <c r="C113" i="4"/>
  <c r="L112" i="4"/>
  <c r="K112" i="4"/>
  <c r="J112" i="4"/>
  <c r="I112" i="4"/>
  <c r="H112" i="4"/>
  <c r="G112" i="4"/>
  <c r="F112" i="4"/>
  <c r="E112" i="4"/>
  <c r="D112" i="4"/>
  <c r="C112" i="4"/>
  <c r="L111" i="4"/>
  <c r="K111" i="4"/>
  <c r="J111" i="4"/>
  <c r="I111" i="4"/>
  <c r="H111" i="4"/>
  <c r="G111" i="4"/>
  <c r="F111" i="4"/>
  <c r="E111" i="4"/>
  <c r="D111" i="4"/>
  <c r="C111" i="4"/>
  <c r="A111" i="4"/>
  <c r="N110" i="4"/>
  <c r="M110" i="4"/>
  <c r="L110" i="4"/>
  <c r="K110" i="4"/>
  <c r="J110" i="4"/>
  <c r="I110" i="4"/>
  <c r="H110" i="4"/>
  <c r="G110" i="4"/>
  <c r="F110" i="4"/>
  <c r="E110" i="4"/>
  <c r="D110" i="4"/>
  <c r="A106" i="4"/>
  <c r="BE102" i="4"/>
  <c r="BD104" i="4" s="1"/>
  <c r="BD102" i="4" s="1"/>
  <c r="AY102" i="4"/>
  <c r="AS102" i="4"/>
  <c r="AO104" i="4" s="1"/>
  <c r="AM102" i="4"/>
  <c r="AG102" i="4"/>
  <c r="AE104" i="4" s="1"/>
  <c r="AE102" i="4" s="1"/>
  <c r="AA102" i="4"/>
  <c r="BE101" i="4"/>
  <c r="N109" i="4" s="1"/>
  <c r="AY101" i="4"/>
  <c r="AT103" i="4" s="1"/>
  <c r="AS101" i="4"/>
  <c r="AM101" i="4"/>
  <c r="AG101" i="4"/>
  <c r="AA101" i="4"/>
  <c r="AS99" i="4"/>
  <c r="AS98" i="4" s="1"/>
  <c r="AA99" i="4"/>
  <c r="AA98" i="4" s="1"/>
  <c r="A99" i="4"/>
  <c r="AC92" i="4"/>
  <c r="AD91" i="4" a="1"/>
  <c r="AD91" i="4" s="1"/>
  <c r="M109" i="4" s="1"/>
  <c r="AC90" i="4"/>
  <c r="I90" i="4" a="1"/>
  <c r="I90" i="4" s="1"/>
  <c r="AE91" i="4" s="1" a="1"/>
  <c r="AE91" i="4" s="1"/>
  <c r="J90" i="4" s="1" a="1"/>
  <c r="J90" i="4" s="1"/>
  <c r="AD89" i="4" a="1"/>
  <c r="AD89" i="4" s="1"/>
  <c r="L109" i="4" s="1"/>
  <c r="AC88" i="4"/>
  <c r="I88" i="4" a="1"/>
  <c r="I88" i="4" s="1"/>
  <c r="AE89" i="4" s="1" a="1"/>
  <c r="AE89" i="4" s="1"/>
  <c r="J88" i="4" s="1" a="1"/>
  <c r="J88" i="4" s="1"/>
  <c r="AD87" i="4" a="1"/>
  <c r="AD87" i="4" s="1"/>
  <c r="K109" i="4" s="1"/>
  <c r="AC86" i="4"/>
  <c r="I86" i="4" a="1"/>
  <c r="I86" i="4" s="1"/>
  <c r="AE87" i="4" s="1" a="1"/>
  <c r="AE87" i="4" s="1"/>
  <c r="J86" i="4" s="1" a="1"/>
  <c r="J86" i="4" s="1"/>
  <c r="AD85" i="4" a="1"/>
  <c r="AD85" i="4" s="1"/>
  <c r="J109" i="4" s="1"/>
  <c r="AC84" i="4"/>
  <c r="I84" i="4" a="1"/>
  <c r="I84" i="4" s="1"/>
  <c r="AE85" i="4" s="1" a="1"/>
  <c r="AE85" i="4" s="1"/>
  <c r="J84" i="4" s="1" a="1"/>
  <c r="J84" i="4" s="1"/>
  <c r="AD83" i="4" a="1"/>
  <c r="AD83" i="4" s="1"/>
  <c r="I109" i="4" s="1"/>
  <c r="AC82" i="4"/>
  <c r="I82" i="4" a="1"/>
  <c r="I82" i="4" s="1"/>
  <c r="AE83" i="4" s="1" a="1"/>
  <c r="AE83" i="4" s="1"/>
  <c r="J82" i="4" s="1" a="1"/>
  <c r="J82" i="4" s="1"/>
  <c r="O78" i="4"/>
  <c r="O72" i="4"/>
  <c r="J72" i="4"/>
  <c r="D72" i="4"/>
  <c r="E70" i="4"/>
  <c r="E70" i="4" a="1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D64" i="4" a="1"/>
  <c r="AC64" i="4"/>
  <c r="AC64" i="4" a="1"/>
  <c r="AB64" i="4"/>
  <c r="P64" i="4"/>
  <c r="N64" i="4"/>
  <c r="N64" i="4" a="1"/>
  <c r="M64" i="4"/>
  <c r="K64" i="4"/>
  <c r="K64" i="4" a="1"/>
  <c r="J64" i="4"/>
  <c r="I64" i="4"/>
  <c r="H64" i="4"/>
  <c r="C64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D63" i="4" a="1"/>
  <c r="AC63" i="4"/>
  <c r="AC63" i="4" a="1"/>
  <c r="AB63" i="4"/>
  <c r="P63" i="4"/>
  <c r="N63" i="4"/>
  <c r="N63" i="4" a="1"/>
  <c r="M63" i="4"/>
  <c r="K63" i="4"/>
  <c r="K63" i="4" a="1"/>
  <c r="J63" i="4"/>
  <c r="I63" i="4"/>
  <c r="H63" i="4"/>
  <c r="C63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D62" i="4" a="1"/>
  <c r="AC62" i="4"/>
  <c r="AC62" i="4" a="1"/>
  <c r="AB62" i="4"/>
  <c r="P62" i="4"/>
  <c r="N62" i="4"/>
  <c r="N62" i="4" a="1"/>
  <c r="M62" i="4"/>
  <c r="K62" i="4"/>
  <c r="K62" i="4" a="1"/>
  <c r="J62" i="4"/>
  <c r="I62" i="4"/>
  <c r="H62" i="4"/>
  <c r="C62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D61" i="4" a="1"/>
  <c r="AC61" i="4"/>
  <c r="AC61" i="4" a="1"/>
  <c r="AB61" i="4"/>
  <c r="P61" i="4"/>
  <c r="N61" i="4"/>
  <c r="N61" i="4" a="1"/>
  <c r="M61" i="4"/>
  <c r="K61" i="4"/>
  <c r="K61" i="4" a="1"/>
  <c r="J61" i="4"/>
  <c r="I61" i="4"/>
  <c r="H61" i="4"/>
  <c r="C61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D60" i="4" a="1"/>
  <c r="AC60" i="4"/>
  <c r="AC60" i="4" a="1"/>
  <c r="AB60" i="4"/>
  <c r="P60" i="4"/>
  <c r="N60" i="4"/>
  <c r="N60" i="4" a="1"/>
  <c r="M60" i="4"/>
  <c r="K60" i="4"/>
  <c r="K60" i="4" a="1"/>
  <c r="J60" i="4"/>
  <c r="I60" i="4"/>
  <c r="H60" i="4"/>
  <c r="C60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D59" i="4" a="1"/>
  <c r="AC59" i="4"/>
  <c r="AC59" i="4" a="1"/>
  <c r="AB59" i="4"/>
  <c r="P59" i="4"/>
  <c r="N59" i="4"/>
  <c r="N59" i="4" a="1"/>
  <c r="M59" i="4"/>
  <c r="K59" i="4"/>
  <c r="K59" i="4" a="1"/>
  <c r="J59" i="4"/>
  <c r="I59" i="4"/>
  <c r="H59" i="4"/>
  <c r="C59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D58" i="4" a="1"/>
  <c r="AC58" i="4"/>
  <c r="AC58" i="4" a="1"/>
  <c r="AB58" i="4"/>
  <c r="P58" i="4"/>
  <c r="N58" i="4"/>
  <c r="N58" i="4" a="1"/>
  <c r="M58" i="4"/>
  <c r="K58" i="4"/>
  <c r="K58" i="4" a="1"/>
  <c r="J58" i="4"/>
  <c r="I58" i="4"/>
  <c r="H58" i="4"/>
  <c r="C58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D57" i="4" a="1"/>
  <c r="AC57" i="4"/>
  <c r="AC57" i="4" a="1"/>
  <c r="AB57" i="4"/>
  <c r="P57" i="4"/>
  <c r="N57" i="4"/>
  <c r="N57" i="4" a="1"/>
  <c r="M57" i="4"/>
  <c r="K57" i="4"/>
  <c r="K57" i="4" a="1"/>
  <c r="J57" i="4"/>
  <c r="I57" i="4"/>
  <c r="H57" i="4"/>
  <c r="C57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D56" i="4" a="1"/>
  <c r="AC56" i="4"/>
  <c r="AC56" i="4" a="1"/>
  <c r="AB56" i="4"/>
  <c r="P56" i="4"/>
  <c r="N56" i="4"/>
  <c r="N56" i="4" a="1"/>
  <c r="M56" i="4"/>
  <c r="K56" i="4"/>
  <c r="K56" i="4" a="1"/>
  <c r="J56" i="4"/>
  <c r="I56" i="4"/>
  <c r="H56" i="4"/>
  <c r="C56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D55" i="4" a="1"/>
  <c r="AC55" i="4"/>
  <c r="AC55" i="4" a="1"/>
  <c r="AB55" i="4"/>
  <c r="P55" i="4"/>
  <c r="N55" i="4"/>
  <c r="N55" i="4" a="1"/>
  <c r="M55" i="4"/>
  <c r="K55" i="4"/>
  <c r="K55" i="4" a="1"/>
  <c r="J55" i="4"/>
  <c r="I55" i="4"/>
  <c r="H55" i="4"/>
  <c r="C55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D54" i="4" a="1"/>
  <c r="AC54" i="4"/>
  <c r="AC54" i="4" a="1"/>
  <c r="AB54" i="4"/>
  <c r="P54" i="4"/>
  <c r="N54" i="4"/>
  <c r="N54" i="4" a="1"/>
  <c r="M54" i="4"/>
  <c r="K54" i="4"/>
  <c r="K54" i="4" a="1"/>
  <c r="J54" i="4"/>
  <c r="I54" i="4"/>
  <c r="H54" i="4"/>
  <c r="C54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D53" i="4" a="1"/>
  <c r="AC53" i="4"/>
  <c r="AC53" i="4" a="1"/>
  <c r="AB53" i="4"/>
  <c r="P53" i="4"/>
  <c r="N53" i="4"/>
  <c r="N53" i="4" a="1"/>
  <c r="M53" i="4"/>
  <c r="K53" i="4"/>
  <c r="K53" i="4" a="1"/>
  <c r="J53" i="4"/>
  <c r="I53" i="4"/>
  <c r="H53" i="4"/>
  <c r="C53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D52" i="4" a="1"/>
  <c r="AC52" i="4"/>
  <c r="AC52" i="4" a="1"/>
  <c r="AB52" i="4"/>
  <c r="P52" i="4"/>
  <c r="N52" i="4"/>
  <c r="N52" i="4" a="1"/>
  <c r="M52" i="4"/>
  <c r="K52" i="4"/>
  <c r="K52" i="4" a="1"/>
  <c r="J52" i="4"/>
  <c r="I52" i="4"/>
  <c r="H52" i="4"/>
  <c r="C52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D51" i="4" a="1"/>
  <c r="AC51" i="4"/>
  <c r="AC51" i="4" a="1"/>
  <c r="AB51" i="4"/>
  <c r="P51" i="4"/>
  <c r="N51" i="4"/>
  <c r="N51" i="4" a="1"/>
  <c r="M51" i="4"/>
  <c r="K51" i="4"/>
  <c r="K51" i="4" a="1"/>
  <c r="J51" i="4"/>
  <c r="I51" i="4"/>
  <c r="H51" i="4"/>
  <c r="C51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D50" i="4" a="1"/>
  <c r="AC50" i="4"/>
  <c r="AC50" i="4" a="1"/>
  <c r="AB50" i="4"/>
  <c r="P50" i="4"/>
  <c r="N50" i="4"/>
  <c r="N50" i="4" a="1"/>
  <c r="M50" i="4"/>
  <c r="K50" i="4"/>
  <c r="K50" i="4" a="1"/>
  <c r="J50" i="4"/>
  <c r="I50" i="4"/>
  <c r="H50" i="4"/>
  <c r="C50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D49" i="4" a="1"/>
  <c r="AC49" i="4"/>
  <c r="AC49" i="4" a="1"/>
  <c r="AB49" i="4"/>
  <c r="P49" i="4"/>
  <c r="N49" i="4"/>
  <c r="N49" i="4" a="1"/>
  <c r="M49" i="4"/>
  <c r="K49" i="4"/>
  <c r="K49" i="4" a="1"/>
  <c r="J49" i="4"/>
  <c r="I49" i="4"/>
  <c r="H49" i="4"/>
  <c r="C49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D48" i="4" a="1"/>
  <c r="AC48" i="4"/>
  <c r="AC48" i="4" a="1"/>
  <c r="AB48" i="4"/>
  <c r="P48" i="4"/>
  <c r="N48" i="4"/>
  <c r="N48" i="4" a="1"/>
  <c r="M48" i="4"/>
  <c r="K48" i="4"/>
  <c r="K48" i="4" a="1"/>
  <c r="J48" i="4"/>
  <c r="I48" i="4"/>
  <c r="H48" i="4"/>
  <c r="C48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D47" i="4" a="1"/>
  <c r="AC47" i="4"/>
  <c r="AC47" i="4" a="1"/>
  <c r="AB47" i="4"/>
  <c r="P47" i="4"/>
  <c r="N47" i="4"/>
  <c r="N47" i="4" a="1"/>
  <c r="M47" i="4"/>
  <c r="K47" i="4"/>
  <c r="K47" i="4" a="1"/>
  <c r="J47" i="4"/>
  <c r="I47" i="4"/>
  <c r="H47" i="4"/>
  <c r="C47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D46" i="4" a="1"/>
  <c r="AC46" i="4"/>
  <c r="AC46" i="4" a="1"/>
  <c r="AB46" i="4"/>
  <c r="P46" i="4"/>
  <c r="N46" i="4"/>
  <c r="N46" i="4" a="1"/>
  <c r="M46" i="4"/>
  <c r="K46" i="4"/>
  <c r="K46" i="4" a="1"/>
  <c r="J46" i="4"/>
  <c r="I46" i="4"/>
  <c r="H46" i="4"/>
  <c r="C46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D45" i="4" a="1"/>
  <c r="AC45" i="4"/>
  <c r="AC45" i="4" a="1"/>
  <c r="AB45" i="4"/>
  <c r="P45" i="4"/>
  <c r="N45" i="4"/>
  <c r="N45" i="4" a="1"/>
  <c r="M45" i="4"/>
  <c r="K45" i="4"/>
  <c r="K45" i="4" a="1"/>
  <c r="J45" i="4"/>
  <c r="I45" i="4"/>
  <c r="H45" i="4"/>
  <c r="C45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D44" i="4" a="1"/>
  <c r="AC44" i="4"/>
  <c r="AC44" i="4" a="1"/>
  <c r="AB44" i="4"/>
  <c r="P44" i="4"/>
  <c r="N44" i="4"/>
  <c r="N44" i="4" a="1"/>
  <c r="M44" i="4"/>
  <c r="K44" i="4"/>
  <c r="K44" i="4" a="1"/>
  <c r="J44" i="4"/>
  <c r="I44" i="4"/>
  <c r="H44" i="4"/>
  <c r="C44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D43" i="4" a="1"/>
  <c r="AC43" i="4"/>
  <c r="AC43" i="4" a="1"/>
  <c r="AB43" i="4"/>
  <c r="P43" i="4"/>
  <c r="N43" i="4"/>
  <c r="N43" i="4" a="1"/>
  <c r="M43" i="4"/>
  <c r="K43" i="4"/>
  <c r="K43" i="4" a="1"/>
  <c r="J43" i="4"/>
  <c r="I43" i="4"/>
  <c r="H43" i="4"/>
  <c r="C43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D42" i="4" a="1"/>
  <c r="AC42" i="4"/>
  <c r="AC42" i="4" a="1"/>
  <c r="AB42" i="4"/>
  <c r="P42" i="4"/>
  <c r="N42" i="4"/>
  <c r="N42" i="4" a="1"/>
  <c r="M42" i="4"/>
  <c r="K42" i="4"/>
  <c r="K42" i="4" a="1"/>
  <c r="J42" i="4"/>
  <c r="I42" i="4"/>
  <c r="H42" i="4"/>
  <c r="C42" i="4"/>
  <c r="AP41" i="4"/>
  <c r="AR41" i="4" s="1"/>
  <c r="AO41" i="4"/>
  <c r="AQ41" i="4" s="1"/>
  <c r="AK41" i="4"/>
  <c r="AL41" i="4" s="1"/>
  <c r="AJ41" i="4"/>
  <c r="AI41" i="4"/>
  <c r="AH41" i="4"/>
  <c r="AG41" i="4"/>
  <c r="AF41" i="4"/>
  <c r="AE41" i="4"/>
  <c r="AD41" i="4"/>
  <c r="AD41" i="4" a="1"/>
  <c r="AC41" i="4"/>
  <c r="AC41" i="4" a="1"/>
  <c r="AB41" i="4"/>
  <c r="C41" i="4"/>
  <c r="BB40" i="4"/>
  <c r="BA40" i="4"/>
  <c r="AZ40" i="4"/>
  <c r="AY40" i="4"/>
  <c r="AX40" i="4"/>
  <c r="AW40" i="4"/>
  <c r="AV40" i="4"/>
  <c r="AU40" i="4"/>
  <c r="AP40" i="4"/>
  <c r="AO40" i="4"/>
  <c r="AQ40" i="4" s="1"/>
  <c r="AK40" i="4"/>
  <c r="AL40" i="4" s="1"/>
  <c r="AJ40" i="4"/>
  <c r="AI40" i="4"/>
  <c r="AG40" i="4"/>
  <c r="AF40" i="4"/>
  <c r="AD40" i="4"/>
  <c r="AD40" i="4" a="1"/>
  <c r="AB40" i="4"/>
  <c r="C40" i="4"/>
  <c r="AP39" i="4"/>
  <c r="AO39" i="4"/>
  <c r="AQ39" i="4" s="1"/>
  <c r="AK39" i="4"/>
  <c r="AL39" i="4" s="1"/>
  <c r="K39" i="4" s="1" a="1"/>
  <c r="K39" i="4" s="1"/>
  <c r="AJ39" i="4"/>
  <c r="AI39" i="4"/>
  <c r="AG39" i="4"/>
  <c r="AF39" i="4"/>
  <c r="AD39" i="4"/>
  <c r="AD39" i="4" a="1"/>
  <c r="AB39" i="4"/>
  <c r="C39" i="4"/>
  <c r="AT38" i="4"/>
  <c r="AS38" i="4"/>
  <c r="AQ38" i="4"/>
  <c r="AP38" i="4"/>
  <c r="AO38" i="4"/>
  <c r="AK38" i="4"/>
  <c r="AL38" i="4" s="1"/>
  <c r="AJ38" i="4"/>
  <c r="AI38" i="4"/>
  <c r="AG38" i="4"/>
  <c r="AF38" i="4"/>
  <c r="AD38" i="4"/>
  <c r="AD38" i="4" a="1"/>
  <c r="AB38" i="4"/>
  <c r="C38" i="4"/>
  <c r="AE31" i="4"/>
  <c r="AE31" i="4" a="1"/>
  <c r="AD31" i="4"/>
  <c r="E31" i="4"/>
  <c r="AE30" i="4"/>
  <c r="AE30" i="4" a="1"/>
  <c r="AD30" i="4"/>
  <c r="E30" i="4"/>
  <c r="AP28" i="4"/>
  <c r="AP28" i="4" a="1"/>
  <c r="AO28" i="4"/>
  <c r="AN28" i="4"/>
  <c r="AN28" i="4" a="1"/>
  <c r="AM28" i="4"/>
  <c r="AL28" i="4"/>
  <c r="AL28" i="4" a="1"/>
  <c r="AK28" i="4"/>
  <c r="AJ28" i="4"/>
  <c r="AJ28" i="4" a="1"/>
  <c r="AI28" i="4"/>
  <c r="AG28" i="4"/>
  <c r="AF28" i="4"/>
  <c r="AE28" i="4"/>
  <c r="AD28" i="4"/>
  <c r="AP27" i="4"/>
  <c r="AP27" i="4" a="1"/>
  <c r="AO27" i="4"/>
  <c r="AN27" i="4"/>
  <c r="AN27" i="4" a="1"/>
  <c r="AM27" i="4"/>
  <c r="AL27" i="4"/>
  <c r="AL27" i="4" a="1"/>
  <c r="AK27" i="4"/>
  <c r="AJ27" i="4"/>
  <c r="AJ27" i="4" a="1"/>
  <c r="AI27" i="4"/>
  <c r="AG27" i="4"/>
  <c r="AF27" i="4"/>
  <c r="AE27" i="4"/>
  <c r="AD27" i="4"/>
  <c r="AP26" i="4"/>
  <c r="AP26" i="4" a="1"/>
  <c r="AO26" i="4"/>
  <c r="AN26" i="4"/>
  <c r="AN26" i="4" a="1"/>
  <c r="AM26" i="4"/>
  <c r="AL26" i="4"/>
  <c r="AL26" i="4" a="1"/>
  <c r="AK26" i="4"/>
  <c r="AJ26" i="4"/>
  <c r="AJ26" i="4" a="1"/>
  <c r="AI26" i="4"/>
  <c r="AG26" i="4"/>
  <c r="AF26" i="4"/>
  <c r="AE26" i="4"/>
  <c r="AD26" i="4"/>
  <c r="AP25" i="4"/>
  <c r="AP25" i="4" a="1"/>
  <c r="AO25" i="4"/>
  <c r="AN25" i="4"/>
  <c r="AN25" i="4" a="1"/>
  <c r="AM25" i="4"/>
  <c r="AL25" i="4"/>
  <c r="AL25" i="4" a="1"/>
  <c r="AK25" i="4"/>
  <c r="AJ25" i="4"/>
  <c r="AJ25" i="4" a="1"/>
  <c r="AI25" i="4"/>
  <c r="AG25" i="4"/>
  <c r="AF25" i="4"/>
  <c r="AE25" i="4"/>
  <c r="AD25" i="4"/>
  <c r="AP24" i="4"/>
  <c r="AP24" i="4" a="1"/>
  <c r="AO24" i="4"/>
  <c r="AN24" i="4"/>
  <c r="AN24" i="4" a="1"/>
  <c r="AM24" i="4"/>
  <c r="AL24" i="4"/>
  <c r="AL24" i="4" a="1"/>
  <c r="AK24" i="4"/>
  <c r="AJ24" i="4"/>
  <c r="AJ24" i="4" a="1"/>
  <c r="AI24" i="4"/>
  <c r="AG24" i="4"/>
  <c r="AF24" i="4"/>
  <c r="AE24" i="4"/>
  <c r="AD24" i="4"/>
  <c r="AP23" i="4"/>
  <c r="AP23" i="4" a="1"/>
  <c r="AO23" i="4"/>
  <c r="AN23" i="4"/>
  <c r="AN23" i="4" a="1"/>
  <c r="AM23" i="4"/>
  <c r="AL23" i="4"/>
  <c r="AL23" i="4" a="1"/>
  <c r="AK23" i="4"/>
  <c r="AJ23" i="4"/>
  <c r="AJ23" i="4" a="1"/>
  <c r="AI23" i="4"/>
  <c r="AG23" i="4"/>
  <c r="AF23" i="4"/>
  <c r="AE23" i="4"/>
  <c r="AD23" i="4"/>
  <c r="AP22" i="4"/>
  <c r="AP22" i="4" a="1"/>
  <c r="AO22" i="4"/>
  <c r="AN22" i="4"/>
  <c r="AN22" i="4" a="1"/>
  <c r="AM22" i="4"/>
  <c r="AL22" i="4"/>
  <c r="AL22" i="4" a="1"/>
  <c r="AK22" i="4"/>
  <c r="AJ22" i="4"/>
  <c r="AJ22" i="4" a="1"/>
  <c r="AI22" i="4"/>
  <c r="AG22" i="4"/>
  <c r="AF22" i="4"/>
  <c r="AE22" i="4"/>
  <c r="AD22" i="4"/>
  <c r="AP21" i="4"/>
  <c r="AP21" i="4" a="1"/>
  <c r="AO21" i="4"/>
  <c r="AN21" i="4"/>
  <c r="AN21" i="4" a="1"/>
  <c r="AM21" i="4"/>
  <c r="AL21" i="4"/>
  <c r="AL21" i="4" a="1"/>
  <c r="AK21" i="4"/>
  <c r="AJ21" i="4"/>
  <c r="AJ21" i="4" a="1"/>
  <c r="AI21" i="4"/>
  <c r="AG21" i="4"/>
  <c r="AF21" i="4"/>
  <c r="AE21" i="4"/>
  <c r="AD21" i="4"/>
  <c r="AP20" i="4"/>
  <c r="AP20" i="4" a="1"/>
  <c r="AO20" i="4"/>
  <c r="AN20" i="4"/>
  <c r="AN20" i="4" a="1"/>
  <c r="AM20" i="4"/>
  <c r="AL20" i="4"/>
  <c r="AL20" i="4" a="1"/>
  <c r="AK20" i="4"/>
  <c r="AJ20" i="4"/>
  <c r="AJ20" i="4" a="1"/>
  <c r="AI20" i="4"/>
  <c r="AG20" i="4"/>
  <c r="AF20" i="4"/>
  <c r="AE20" i="4"/>
  <c r="AD20" i="4"/>
  <c r="AP19" i="4"/>
  <c r="AP19" i="4" a="1"/>
  <c r="AO19" i="4"/>
  <c r="AN19" i="4"/>
  <c r="AN19" i="4" a="1"/>
  <c r="AM19" i="4"/>
  <c r="AL19" i="4"/>
  <c r="AL19" i="4" a="1"/>
  <c r="AK19" i="4"/>
  <c r="AJ19" i="4"/>
  <c r="AJ19" i="4" a="1"/>
  <c r="AI19" i="4"/>
  <c r="AG19" i="4"/>
  <c r="AF19" i="4"/>
  <c r="AE19" i="4"/>
  <c r="AD19" i="4"/>
  <c r="AP18" i="4"/>
  <c r="AP18" i="4" a="1"/>
  <c r="AO18" i="4"/>
  <c r="AN18" i="4"/>
  <c r="AN18" i="4" a="1"/>
  <c r="AM18" i="4"/>
  <c r="AL18" i="4"/>
  <c r="AL18" i="4" a="1"/>
  <c r="AK18" i="4"/>
  <c r="AJ18" i="4"/>
  <c r="AJ18" i="4" a="1"/>
  <c r="AI18" i="4"/>
  <c r="AG18" i="4"/>
  <c r="AF18" i="4"/>
  <c r="AE18" i="4"/>
  <c r="AD18" i="4"/>
  <c r="AP17" i="4"/>
  <c r="AP17" i="4" a="1"/>
  <c r="AO17" i="4"/>
  <c r="AN17" i="4"/>
  <c r="AN17" i="4" a="1"/>
  <c r="AM17" i="4"/>
  <c r="AL17" i="4"/>
  <c r="AL17" i="4" a="1"/>
  <c r="AK17" i="4"/>
  <c r="AJ17" i="4"/>
  <c r="AJ17" i="4" a="1"/>
  <c r="AI17" i="4"/>
  <c r="AG17" i="4"/>
  <c r="AF17" i="4"/>
  <c r="AE17" i="4"/>
  <c r="AD17" i="4"/>
  <c r="AP16" i="4"/>
  <c r="AP16" i="4" a="1"/>
  <c r="AO16" i="4"/>
  <c r="AN16" i="4"/>
  <c r="AN16" i="4" a="1"/>
  <c r="AM16" i="4"/>
  <c r="AL16" i="4"/>
  <c r="AL16" i="4" a="1"/>
  <c r="AK16" i="4"/>
  <c r="AJ16" i="4"/>
  <c r="AJ16" i="4" a="1"/>
  <c r="AI16" i="4"/>
  <c r="AG16" i="4"/>
  <c r="AF16" i="4"/>
  <c r="AE16" i="4"/>
  <c r="AD16" i="4"/>
  <c r="AP15" i="4"/>
  <c r="AP15" i="4" a="1"/>
  <c r="AO15" i="4"/>
  <c r="AN15" i="4"/>
  <c r="AN15" i="4" a="1"/>
  <c r="AM15" i="4"/>
  <c r="AL15" i="4"/>
  <c r="AL15" i="4" a="1"/>
  <c r="AK15" i="4"/>
  <c r="AJ15" i="4"/>
  <c r="AJ15" i="4" a="1"/>
  <c r="AI15" i="4"/>
  <c r="AG15" i="4"/>
  <c r="AF15" i="4"/>
  <c r="AE15" i="4"/>
  <c r="AD15" i="4"/>
  <c r="AP14" i="4"/>
  <c r="AP14" i="4" a="1"/>
  <c r="AO14" i="4"/>
  <c r="AN14" i="4"/>
  <c r="AN14" i="4" a="1"/>
  <c r="AM14" i="4"/>
  <c r="AL14" i="4"/>
  <c r="AL14" i="4" a="1"/>
  <c r="AK14" i="4"/>
  <c r="AJ14" i="4"/>
  <c r="AJ14" i="4" a="1"/>
  <c r="AI14" i="4"/>
  <c r="AG14" i="4"/>
  <c r="AF14" i="4"/>
  <c r="AE14" i="4"/>
  <c r="AD14" i="4"/>
  <c r="AP13" i="4"/>
  <c r="AP13" i="4" a="1"/>
  <c r="AO13" i="4"/>
  <c r="AN13" i="4"/>
  <c r="AN13" i="4" a="1"/>
  <c r="AM13" i="4"/>
  <c r="AL13" i="4"/>
  <c r="AL13" i="4" a="1"/>
  <c r="AK13" i="4"/>
  <c r="AJ13" i="4"/>
  <c r="AJ13" i="4" a="1"/>
  <c r="AI13" i="4"/>
  <c r="AG13" i="4"/>
  <c r="AF13" i="4"/>
  <c r="AE13" i="4"/>
  <c r="AD13" i="4"/>
  <c r="AP12" i="4"/>
  <c r="AP12" i="4" a="1"/>
  <c r="AO12" i="4"/>
  <c r="AN12" i="4"/>
  <c r="AN12" i="4" a="1"/>
  <c r="AM12" i="4"/>
  <c r="AL12" i="4"/>
  <c r="AL12" i="4" a="1"/>
  <c r="AK12" i="4"/>
  <c r="AJ12" i="4"/>
  <c r="AJ12" i="4" a="1"/>
  <c r="AI12" i="4"/>
  <c r="AG12" i="4"/>
  <c r="AF12" i="4"/>
  <c r="AE12" i="4"/>
  <c r="AD12" i="4"/>
  <c r="AV11" i="4"/>
  <c r="AU11" i="4"/>
  <c r="AT11" i="4"/>
  <c r="AS11" i="4"/>
  <c r="AR11" i="4"/>
  <c r="AQ11" i="4"/>
  <c r="AV10" i="4"/>
  <c r="AU10" i="4"/>
  <c r="AT10" i="4"/>
  <c r="AS10" i="4"/>
  <c r="AR10" i="4"/>
  <c r="AQ10" i="4"/>
  <c r="AN10" i="4"/>
  <c r="AM10" i="4"/>
  <c r="AL10" i="4"/>
  <c r="AK10" i="4"/>
  <c r="AJ10" i="4"/>
  <c r="AI10" i="4"/>
  <c r="AH10" i="4"/>
  <c r="AG10" i="4"/>
  <c r="AV9" i="4"/>
  <c r="AU9" i="4"/>
  <c r="AT9" i="4"/>
  <c r="AS9" i="4"/>
  <c r="AR9" i="4"/>
  <c r="AQ9" i="4"/>
  <c r="AN9" i="4"/>
  <c r="AM9" i="4"/>
  <c r="AL9" i="4"/>
  <c r="AK9" i="4"/>
  <c r="AJ9" i="4"/>
  <c r="AI9" i="4"/>
  <c r="AH9" i="4"/>
  <c r="AG9" i="4"/>
  <c r="AF9" i="4"/>
  <c r="AE9" i="4"/>
  <c r="D9" i="4"/>
  <c r="AV8" i="4"/>
  <c r="AU8" i="4"/>
  <c r="AT8" i="4"/>
  <c r="AS8" i="4"/>
  <c r="AR8" i="4"/>
  <c r="AQ8" i="4"/>
  <c r="D8" i="4"/>
  <c r="C8" i="4"/>
  <c r="AD7" i="4"/>
  <c r="AI7" i="4" s="1"/>
  <c r="M147" i="3"/>
  <c r="J147" i="3"/>
  <c r="M146" i="3"/>
  <c r="M142" i="3"/>
  <c r="J142" i="3"/>
  <c r="M141" i="3"/>
  <c r="M137" i="3"/>
  <c r="J137" i="3"/>
  <c r="M136" i="3"/>
  <c r="V134" i="3"/>
  <c r="V134" i="3" a="1"/>
  <c r="V133" i="3"/>
  <c r="V133" i="3" a="1"/>
  <c r="V132" i="3"/>
  <c r="V132" i="3" a="1"/>
  <c r="V131" i="3"/>
  <c r="V131" i="3" a="1"/>
  <c r="V130" i="3"/>
  <c r="V130" i="3" a="1"/>
  <c r="V129" i="3"/>
  <c r="V129" i="3" a="1"/>
  <c r="V128" i="3"/>
  <c r="V128" i="3" a="1"/>
  <c r="I128" i="3"/>
  <c r="I128" i="3" a="1"/>
  <c r="F128" i="3"/>
  <c r="F128" i="3" a="1"/>
  <c r="V127" i="3"/>
  <c r="V127" i="3" a="1"/>
  <c r="I127" i="3"/>
  <c r="I127" i="3" a="1"/>
  <c r="F127" i="3"/>
  <c r="F127" i="3" a="1"/>
  <c r="V126" i="3"/>
  <c r="V126" i="3" a="1"/>
  <c r="I126" i="3"/>
  <c r="I126" i="3" a="1"/>
  <c r="F126" i="3"/>
  <c r="F126" i="3" a="1"/>
  <c r="V125" i="3"/>
  <c r="V125" i="3" a="1"/>
  <c r="I125" i="3"/>
  <c r="I125" i="3" a="1"/>
  <c r="F125" i="3"/>
  <c r="F125" i="3" a="1"/>
  <c r="V124" i="3"/>
  <c r="V124" i="3" a="1"/>
  <c r="I124" i="3"/>
  <c r="I124" i="3" a="1"/>
  <c r="F124" i="3"/>
  <c r="F124" i="3" a="1"/>
  <c r="V123" i="3"/>
  <c r="V123" i="3" a="1"/>
  <c r="I123" i="3"/>
  <c r="I123" i="3" a="1"/>
  <c r="F123" i="3"/>
  <c r="F123" i="3" a="1"/>
  <c r="V122" i="3"/>
  <c r="V122" i="3" a="1"/>
  <c r="I122" i="3"/>
  <c r="I122" i="3" a="1"/>
  <c r="F122" i="3"/>
  <c r="F122" i="3" a="1"/>
  <c r="R114" i="3"/>
  <c r="M113" i="3"/>
  <c r="J113" i="3"/>
  <c r="M112" i="3"/>
  <c r="G112" i="3"/>
  <c r="F112" i="3"/>
  <c r="E112" i="3"/>
  <c r="R111" i="3"/>
  <c r="Q111" i="3"/>
  <c r="M111" i="3"/>
  <c r="J111" i="3"/>
  <c r="O98" i="3"/>
  <c r="O98" i="3" a="1"/>
  <c r="J90" i="3"/>
  <c r="J90" i="3" a="1"/>
  <c r="J89" i="3"/>
  <c r="J89" i="3" a="1"/>
  <c r="P86" i="3"/>
  <c r="P86" i="3" a="1"/>
  <c r="P84" i="3"/>
  <c r="P84" i="3" a="1"/>
  <c r="N79" i="3"/>
  <c r="N79" i="3" a="1"/>
  <c r="F77" i="3"/>
  <c r="N75" i="3"/>
  <c r="N75" i="3" a="1"/>
  <c r="AC73" i="3"/>
  <c r="AC72" i="3"/>
  <c r="N71" i="3"/>
  <c r="N71" i="3" a="1"/>
  <c r="N69" i="3"/>
  <c r="N69" i="3" a="1"/>
  <c r="L60" i="3"/>
  <c r="L60" i="3" a="1"/>
  <c r="E60" i="3"/>
  <c r="E60" i="3" a="1"/>
  <c r="AF55" i="3"/>
  <c r="L49" i="3"/>
  <c r="L49" i="3" a="1"/>
  <c r="E49" i="3"/>
  <c r="E49" i="3" a="1"/>
  <c r="L46" i="3"/>
  <c r="L46" i="3" a="1"/>
  <c r="E46" i="3"/>
  <c r="E46" i="3" a="1"/>
  <c r="N41" i="3"/>
  <c r="N41" i="3" a="1"/>
  <c r="N39" i="3"/>
  <c r="N39" i="3" a="1"/>
  <c r="N35" i="3"/>
  <c r="N35" i="3" a="1"/>
  <c r="AC33" i="3"/>
  <c r="N33" i="3"/>
  <c r="N33" i="3" a="1"/>
  <c r="AC32" i="3"/>
  <c r="K16" i="3"/>
  <c r="K15" i="3"/>
  <c r="V11" i="3"/>
  <c r="V11" i="3" a="1"/>
  <c r="J11" i="3"/>
  <c r="J11" i="3" a="1"/>
  <c r="V9" i="3"/>
  <c r="V9" i="3" a="1"/>
  <c r="J9" i="3"/>
  <c r="J9" i="3" a="1"/>
  <c r="G9" i="3"/>
  <c r="G9" i="3" a="1"/>
  <c r="AC39" i="4"/>
  <c r="AC38" i="4"/>
  <c r="S133" i="3" a="1"/>
  <c r="S122" i="3" a="1"/>
  <c r="E69" i="3" a="1"/>
  <c r="E41" i="3" a="1"/>
  <c r="S129" i="3" a="1"/>
  <c r="S125" i="3" a="1"/>
  <c r="E39" i="3" a="1"/>
  <c r="S131" i="3" a="1"/>
  <c r="S130" i="3" a="1"/>
  <c r="AB96" i="3" a="1"/>
  <c r="S123" i="3" a="1"/>
  <c r="E33" i="3" a="1"/>
  <c r="S128" i="3" a="1"/>
  <c r="S132" i="3" a="1"/>
  <c r="S124" i="3" a="1"/>
  <c r="AB97" i="3" a="1"/>
  <c r="E71" i="3" a="1"/>
  <c r="S134" i="3" a="1"/>
  <c r="S126" i="3" a="1"/>
  <c r="S9" i="3" a="1"/>
  <c r="S127" i="3" a="1"/>
  <c r="E35" i="3" a="1"/>
  <c r="AC40" i="4"/>
  <c r="AG100" i="4" a="1"/>
  <c r="AY100" i="4" a="1"/>
  <c r="BE100" i="4" a="1"/>
  <c r="AA100" i="4" a="1"/>
  <c r="AS100" i="4" a="1"/>
  <c r="AM100" i="4" a="1"/>
  <c r="AH40" i="4" l="1"/>
  <c r="AE40" i="4"/>
  <c r="J41" i="4"/>
  <c r="M41" i="4" s="1"/>
  <c r="P41" i="4"/>
  <c r="AC80" i="4" s="1"/>
  <c r="H41" i="4"/>
  <c r="AM41" i="4"/>
  <c r="AN41" i="4" s="1"/>
  <c r="I41" i="4" s="1"/>
  <c r="N41" i="4" a="1"/>
  <c r="N41" i="4" s="1"/>
  <c r="K41" i="4" a="1"/>
  <c r="K41" i="4" s="1"/>
  <c r="AB103" i="4"/>
  <c r="AP104" i="4"/>
  <c r="AG99" i="4"/>
  <c r="AG98" i="4" s="1"/>
  <c r="AR40" i="4"/>
  <c r="AY99" i="4"/>
  <c r="AY98" i="4" s="1"/>
  <c r="BE99" i="4"/>
  <c r="BE98" i="4" s="1"/>
  <c r="AE39" i="4"/>
  <c r="AR39" i="4" s="1"/>
  <c r="AH39" i="4"/>
  <c r="K40" i="4" a="1"/>
  <c r="K40" i="4" s="1"/>
  <c r="J40" i="4"/>
  <c r="M40" i="4" s="1"/>
  <c r="AM40" i="4"/>
  <c r="AN40" i="4" s="1"/>
  <c r="I40" i="4" s="1"/>
  <c r="P40" i="4"/>
  <c r="AC78" i="4" s="1"/>
  <c r="H40" i="4"/>
  <c r="N40" i="4" a="1"/>
  <c r="N40" i="4" s="1"/>
  <c r="AH104" i="4"/>
  <c r="AF104" i="4"/>
  <c r="AF102" i="4" s="1"/>
  <c r="AQ104" i="4"/>
  <c r="AQ102" i="4" s="1"/>
  <c r="BA104" i="4"/>
  <c r="BA102" i="4" s="1"/>
  <c r="AZ104" i="4"/>
  <c r="AZ102" i="4" s="1"/>
  <c r="AM100" i="4"/>
  <c r="AG100" i="4"/>
  <c r="AS100" i="4"/>
  <c r="BE100" i="4"/>
  <c r="AA100" i="4"/>
  <c r="AY100" i="4"/>
  <c r="AH38" i="4"/>
  <c r="AE38" i="4"/>
  <c r="AR38" i="4" s="1"/>
  <c r="P38" i="4"/>
  <c r="AC74" i="4" s="1"/>
  <c r="H38" i="4"/>
  <c r="J38" i="4"/>
  <c r="M38" i="4" s="1"/>
  <c r="N38" i="4" a="1"/>
  <c r="N38" i="4" s="1"/>
  <c r="AM38" i="4"/>
  <c r="AN38" i="4" s="1"/>
  <c r="I38" i="4" s="1"/>
  <c r="K38" i="4" a="1"/>
  <c r="K38" i="4" s="1"/>
  <c r="AC103" i="4"/>
  <c r="AB101" i="4"/>
  <c r="AD103" i="4"/>
  <c r="AF103" i="4"/>
  <c r="AE103" i="4"/>
  <c r="AV103" i="4"/>
  <c r="AT101" i="4"/>
  <c r="AU103" i="4"/>
  <c r="AW103" i="4"/>
  <c r="AX103" i="4"/>
  <c r="N107" i="4"/>
  <c r="N106" i="4" s="1"/>
  <c r="AN103" i="4"/>
  <c r="AN101" i="4" s="1"/>
  <c r="N39" i="4" a="1"/>
  <c r="N39" i="4" s="1"/>
  <c r="AM39" i="4"/>
  <c r="AN39" i="4" s="1"/>
  <c r="I39" i="4" s="1"/>
  <c r="AO102" i="4"/>
  <c r="AI104" i="4"/>
  <c r="AI102" i="4" s="1"/>
  <c r="AR104" i="4"/>
  <c r="AR102" i="4" s="1"/>
  <c r="BB104" i="4"/>
  <c r="BB102" i="4" s="1"/>
  <c r="AH102" i="4"/>
  <c r="AP102" i="4"/>
  <c r="AZ103" i="4"/>
  <c r="AJ104" i="4"/>
  <c r="AT104" i="4"/>
  <c r="AT102" i="4" s="1"/>
  <c r="BC104" i="4"/>
  <c r="BC102" i="4" s="1"/>
  <c r="H39" i="4"/>
  <c r="P39" i="4"/>
  <c r="AC76" i="4" s="1"/>
  <c r="AM99" i="4"/>
  <c r="AM98" i="4" s="1"/>
  <c r="AH103" i="4"/>
  <c r="AB104" i="4"/>
  <c r="AB102" i="4" s="1"/>
  <c r="AK104" i="4"/>
  <c r="AK102" i="4" s="1"/>
  <c r="AU104" i="4"/>
  <c r="AU102" i="4" s="1"/>
  <c r="AJ102" i="4"/>
  <c r="AC104" i="4"/>
  <c r="AC102" i="4" s="1"/>
  <c r="AL104" i="4"/>
  <c r="AV104" i="4"/>
  <c r="AV102" i="4" s="1"/>
  <c r="J39" i="4"/>
  <c r="M39" i="4" s="1"/>
  <c r="AD104" i="4"/>
  <c r="AN104" i="4"/>
  <c r="AN102" i="4" s="1"/>
  <c r="AW104" i="4"/>
  <c r="AW102" i="4" s="1"/>
  <c r="AD102" i="4"/>
  <c r="AL102" i="4"/>
  <c r="AX104" i="4"/>
  <c r="AX102" i="4" s="1"/>
  <c r="E35" i="3"/>
  <c r="S127" i="3"/>
  <c r="S9" i="3"/>
  <c r="S11" i="3" s="1"/>
  <c r="S126" i="3"/>
  <c r="S134" i="3"/>
  <c r="E71" i="3"/>
  <c r="AB97" i="3"/>
  <c r="O97" i="3" s="1"/>
  <c r="S124" i="3"/>
  <c r="S132" i="3"/>
  <c r="S128" i="3"/>
  <c r="E33" i="3"/>
  <c r="AE46" i="3" s="1"/>
  <c r="AF46" i="3" s="1"/>
  <c r="AG46" i="3" s="1"/>
  <c r="AD46" i="3" s="1"/>
  <c r="S123" i="3"/>
  <c r="AB96" i="3"/>
  <c r="S130" i="3"/>
  <c r="S131" i="3"/>
  <c r="E39" i="3"/>
  <c r="AD62" i="3" s="1"/>
  <c r="S125" i="3"/>
  <c r="S129" i="3"/>
  <c r="E41" i="3"/>
  <c r="AD61" i="3" s="1"/>
  <c r="E69" i="3"/>
  <c r="S122" i="3"/>
  <c r="S133" i="3"/>
  <c r="O96" i="3"/>
  <c r="I96" i="3"/>
  <c r="J107" i="4"/>
  <c r="J106" i="4" s="1"/>
  <c r="L107" i="4"/>
  <c r="L106" i="4" s="1"/>
  <c r="AC75" i="3"/>
  <c r="AC76" i="3" s="1"/>
  <c r="AD76" i="3" s="1"/>
  <c r="AC78" i="3" s="1"/>
  <c r="G86" i="3" s="1"/>
  <c r="H90" i="3" s="1"/>
  <c r="G84" i="3"/>
  <c r="H89" i="3" s="1"/>
  <c r="AE47" i="3"/>
  <c r="AF47" i="3" s="1"/>
  <c r="AG47" i="3" s="1"/>
  <c r="AD47" i="3" s="1"/>
  <c r="AD48" i="3" s="1"/>
  <c r="AD55" i="3"/>
  <c r="AE55" i="3" s="1"/>
  <c r="AD36" i="3"/>
  <c r="I107" i="4"/>
  <c r="I106" i="4" s="1"/>
  <c r="M107" i="4"/>
  <c r="M106" i="4" s="1"/>
  <c r="K107" i="4"/>
  <c r="K106" i="4" s="1"/>
  <c r="AD56" i="3"/>
  <c r="AB98" i="3"/>
  <c r="I98" i="3" s="1"/>
  <c r="L102" i="3" s="1"/>
  <c r="L103" i="3" s="1"/>
  <c r="I97" i="3"/>
  <c r="N108" i="4"/>
  <c r="L108" i="4"/>
  <c r="K108" i="4"/>
  <c r="I108" i="4"/>
  <c r="J108" i="4"/>
  <c r="M108" i="4"/>
  <c r="U101" i="4" l="1"/>
  <c r="U102" i="4"/>
  <c r="AD81" i="4" a="1"/>
  <c r="AD81" i="4" s="1"/>
  <c r="H109" i="4" s="1"/>
  <c r="I80" i="4" a="1"/>
  <c r="I80" i="4" s="1"/>
  <c r="AE81" i="4" s="1" a="1"/>
  <c r="AE81" i="4" s="1"/>
  <c r="J80" i="4" s="1" a="1"/>
  <c r="J80" i="4" s="1"/>
  <c r="O102" i="4"/>
  <c r="O101" i="4"/>
  <c r="AD79" i="4" a="1"/>
  <c r="AD79" i="4" s="1"/>
  <c r="G109" i="4" s="1"/>
  <c r="I78" i="4" a="1"/>
  <c r="I78" i="4" s="1"/>
  <c r="AE79" i="4" s="1" a="1"/>
  <c r="AE79" i="4" s="1"/>
  <c r="J78" i="4" s="1" a="1"/>
  <c r="J78" i="4" s="1"/>
  <c r="AL103" i="4"/>
  <c r="AK103" i="4"/>
  <c r="AJ103" i="4"/>
  <c r="AI103" i="4"/>
  <c r="AH101" i="4"/>
  <c r="AD77" i="4" a="1"/>
  <c r="AD77" i="4" s="1"/>
  <c r="F109" i="4" s="1"/>
  <c r="I76" i="4" a="1"/>
  <c r="I76" i="4" s="1"/>
  <c r="AE77" i="4" s="1" a="1"/>
  <c r="AE77" i="4" s="1"/>
  <c r="J76" i="4" s="1" a="1"/>
  <c r="J76" i="4" s="1"/>
  <c r="I101" i="4"/>
  <c r="J103" i="4" s="1"/>
  <c r="N103" i="4" s="1"/>
  <c r="I102" i="4"/>
  <c r="BD103" i="4"/>
  <c r="BC103" i="4"/>
  <c r="AZ101" i="4"/>
  <c r="BB103" i="4"/>
  <c r="BA103" i="4"/>
  <c r="AN99" i="4"/>
  <c r="AN98" i="4" s="1"/>
  <c r="AR103" i="4"/>
  <c r="AQ103" i="4"/>
  <c r="AP103" i="4"/>
  <c r="AO103" i="4"/>
  <c r="AO101" i="4" s="1"/>
  <c r="AU101" i="4"/>
  <c r="AT99" i="4"/>
  <c r="AT98" i="4" s="1"/>
  <c r="AC101" i="4"/>
  <c r="AB99" i="4"/>
  <c r="AB98" i="4" s="1"/>
  <c r="C101" i="4"/>
  <c r="C102" i="4"/>
  <c r="AD75" i="4" a="1"/>
  <c r="AD75" i="4" s="1"/>
  <c r="E109" i="4" s="1"/>
  <c r="I74" i="4" a="1"/>
  <c r="I74" i="4" s="1"/>
  <c r="AE75" i="4" s="1" a="1"/>
  <c r="AE75" i="4" s="1"/>
  <c r="J74" i="4" s="1" a="1"/>
  <c r="J74" i="4" s="1"/>
  <c r="L103" i="4"/>
  <c r="AD44" i="3"/>
  <c r="AE44" i="3" s="1"/>
  <c r="AD37" i="3"/>
  <c r="AE37" i="3" s="1"/>
  <c r="AD35" i="3"/>
  <c r="AE35" i="3" s="1"/>
  <c r="AD45" i="3"/>
  <c r="AD51" i="3"/>
  <c r="AD52" i="3" s="1"/>
  <c r="I49" i="3" s="1"/>
  <c r="AD64" i="3"/>
  <c r="U60" i="3" s="1"/>
  <c r="AE63" i="3"/>
  <c r="AD63" i="3" s="1"/>
  <c r="AD59" i="3"/>
  <c r="AD58" i="3"/>
  <c r="AD49" i="3"/>
  <c r="AD50" i="3" s="1"/>
  <c r="AD40" i="3"/>
  <c r="AE36" i="3"/>
  <c r="AD57" i="3" s="1"/>
  <c r="AF57" i="3" s="1"/>
  <c r="AB100" i="4" a="1"/>
  <c r="H108" i="4"/>
  <c r="AN100" i="4" a="1"/>
  <c r="O100" i="4" a="1"/>
  <c r="AT100" i="4" a="1"/>
  <c r="F108" i="4"/>
  <c r="G108" i="4"/>
  <c r="E108" i="4"/>
  <c r="M103" i="4" l="1"/>
  <c r="K103" i="4"/>
  <c r="H107" i="4"/>
  <c r="H106" i="4" s="1"/>
  <c r="X104" i="4"/>
  <c r="Y104" i="4"/>
  <c r="Y102" i="4" s="1"/>
  <c r="X102" i="4"/>
  <c r="V104" i="4"/>
  <c r="V102" i="4" s="1"/>
  <c r="Z104" i="4"/>
  <c r="Z102" i="4" s="1"/>
  <c r="W104" i="4"/>
  <c r="W102" i="4" s="1"/>
  <c r="U99" i="4"/>
  <c r="U98" i="4" s="1"/>
  <c r="V103" i="4"/>
  <c r="V101" i="4"/>
  <c r="O100" i="4"/>
  <c r="P103" i="4"/>
  <c r="P101" i="4"/>
  <c r="O99" i="4"/>
  <c r="O98" i="4" s="1"/>
  <c r="G107" i="4"/>
  <c r="G106" i="4" s="1"/>
  <c r="P104" i="4"/>
  <c r="P102" i="4" s="1"/>
  <c r="Q104" i="4"/>
  <c r="Q102" i="4" s="1"/>
  <c r="R104" i="4"/>
  <c r="R102" i="4" s="1"/>
  <c r="T104" i="4"/>
  <c r="T102" i="4" s="1"/>
  <c r="S104" i="4"/>
  <c r="S102" i="4" s="1"/>
  <c r="AT100" i="4"/>
  <c r="AB100" i="4"/>
  <c r="AN100" i="4"/>
  <c r="F107" i="4"/>
  <c r="F106" i="4" s="1"/>
  <c r="E107" i="4"/>
  <c r="E106" i="4" s="1"/>
  <c r="K104" i="4"/>
  <c r="M104" i="4"/>
  <c r="L104" i="4"/>
  <c r="L102" i="4" s="1"/>
  <c r="J104" i="4"/>
  <c r="G102" i="4"/>
  <c r="C99" i="4"/>
  <c r="C98" i="4" s="1"/>
  <c r="D109" i="4"/>
  <c r="AD101" i="4"/>
  <c r="AC99" i="4"/>
  <c r="AC98" i="4" s="1"/>
  <c r="AU99" i="4"/>
  <c r="AU98" i="4" s="1"/>
  <c r="AV101" i="4"/>
  <c r="AO99" i="4"/>
  <c r="AO98" i="4" s="1"/>
  <c r="AP101" i="4"/>
  <c r="BA101" i="4"/>
  <c r="AZ99" i="4"/>
  <c r="AZ98" i="4" s="1"/>
  <c r="D104" i="4"/>
  <c r="D102" i="4" s="1"/>
  <c r="M102" i="4"/>
  <c r="H104" i="4"/>
  <c r="H102" i="4" s="1"/>
  <c r="K102" i="4"/>
  <c r="G104" i="4"/>
  <c r="J102" i="4"/>
  <c r="F104" i="4"/>
  <c r="F102" i="4" s="1"/>
  <c r="N104" i="4"/>
  <c r="N102" i="4" s="1"/>
  <c r="E104" i="4"/>
  <c r="E102" i="4" s="1"/>
  <c r="I99" i="4"/>
  <c r="I98" i="4" s="1"/>
  <c r="J101" i="4"/>
  <c r="D103" i="4"/>
  <c r="D101" i="4" s="1"/>
  <c r="AH99" i="4"/>
  <c r="AH98" i="4" s="1"/>
  <c r="AI101" i="4"/>
  <c r="AD65" i="3"/>
  <c r="AE66" i="3" s="1"/>
  <c r="AD66" i="3" s="1"/>
  <c r="I60" i="3" s="1"/>
  <c r="I46" i="3"/>
  <c r="U46" i="3"/>
  <c r="AD53" i="3"/>
  <c r="U49" i="3" s="1"/>
  <c r="AD38" i="3"/>
  <c r="AD39" i="3" s="1"/>
  <c r="AD41" i="3" s="1"/>
  <c r="AE41" i="3" s="1"/>
  <c r="AD42" i="3" s="1"/>
  <c r="AE42" i="3" s="1"/>
  <c r="C100" i="4" a="1"/>
  <c r="I100" i="4" a="1"/>
  <c r="AZ100" i="4" a="1"/>
  <c r="AC100" i="4" a="1"/>
  <c r="U100" i="4" a="1"/>
  <c r="AH100" i="4" a="1"/>
  <c r="AU100" i="4" a="1"/>
  <c r="AO100" i="4" a="1"/>
  <c r="P100" i="4" a="1"/>
  <c r="U100" i="4" l="1"/>
  <c r="Y103" i="4"/>
  <c r="Z103" i="4"/>
  <c r="X103" i="4"/>
  <c r="W103" i="4"/>
  <c r="W101" i="4"/>
  <c r="V99" i="4"/>
  <c r="V98" i="4" s="1"/>
  <c r="P100" i="4"/>
  <c r="P99" i="4"/>
  <c r="P98" i="4" s="1"/>
  <c r="S103" i="4"/>
  <c r="R103" i="4"/>
  <c r="Q103" i="4"/>
  <c r="Q101" i="4" s="1"/>
  <c r="T103" i="4"/>
  <c r="AH100" i="4"/>
  <c r="I100" i="4"/>
  <c r="AZ100" i="4"/>
  <c r="C100" i="4"/>
  <c r="AO100" i="4"/>
  <c r="AU100" i="4"/>
  <c r="AC100" i="4"/>
  <c r="AI99" i="4"/>
  <c r="AI98" i="4" s="1"/>
  <c r="AJ101" i="4"/>
  <c r="H103" i="4"/>
  <c r="G103" i="4"/>
  <c r="F103" i="4"/>
  <c r="E103" i="4"/>
  <c r="E101" i="4" s="1"/>
  <c r="J99" i="4"/>
  <c r="J98" i="4" s="1"/>
  <c r="K101" i="4"/>
  <c r="BB101" i="4"/>
  <c r="BA99" i="4"/>
  <c r="BA98" i="4" s="1"/>
  <c r="AP99" i="4"/>
  <c r="AP98" i="4" s="1"/>
  <c r="AQ101" i="4"/>
  <c r="AV99" i="4"/>
  <c r="AV98" i="4" s="1"/>
  <c r="AW101" i="4"/>
  <c r="AD99" i="4"/>
  <c r="AD98" i="4" s="1"/>
  <c r="AE101" i="4"/>
  <c r="D107" i="4"/>
  <c r="D106" i="4" s="1"/>
  <c r="D99" i="4"/>
  <c r="D98" i="4" s="1"/>
  <c r="D108" i="4"/>
  <c r="D100" i="4" a="1"/>
  <c r="BA100" i="4" a="1"/>
  <c r="AP100" i="4" a="1"/>
  <c r="J100" i="4" a="1"/>
  <c r="AV100" i="4" a="1"/>
  <c r="AD100" i="4" a="1"/>
  <c r="V100" i="4" a="1"/>
  <c r="AI100" i="4" a="1"/>
  <c r="Q100" i="4" a="1"/>
  <c r="V100" i="4" l="1"/>
  <c r="W99" i="4"/>
  <c r="W98" i="4" s="1"/>
  <c r="X101" i="4"/>
  <c r="Q100" i="4"/>
  <c r="R101" i="4"/>
  <c r="Q99" i="4"/>
  <c r="Q98" i="4" s="1"/>
  <c r="AD100" i="4"/>
  <c r="AV100" i="4"/>
  <c r="BA100" i="4"/>
  <c r="D100" i="4"/>
  <c r="J100" i="4"/>
  <c r="AI100" i="4"/>
  <c r="AP100" i="4"/>
  <c r="F101" i="4"/>
  <c r="E99" i="4"/>
  <c r="E98" i="4" s="1"/>
  <c r="AE99" i="4"/>
  <c r="AE98" i="4" s="1"/>
  <c r="AF101" i="4"/>
  <c r="AW99" i="4"/>
  <c r="AW98" i="4" s="1"/>
  <c r="AX101" i="4"/>
  <c r="AQ99" i="4"/>
  <c r="AQ98" i="4" s="1"/>
  <c r="AR101" i="4"/>
  <c r="BB99" i="4"/>
  <c r="BB98" i="4" s="1"/>
  <c r="BC101" i="4"/>
  <c r="K99" i="4"/>
  <c r="K98" i="4" s="1"/>
  <c r="L101" i="4"/>
  <c r="AK101" i="4"/>
  <c r="AJ99" i="4"/>
  <c r="AJ98" i="4" s="1"/>
  <c r="E100" i="4" a="1"/>
  <c r="W100" i="4" a="1"/>
  <c r="AJ100" i="4" a="1"/>
  <c r="AW100" i="4" a="1"/>
  <c r="BB100" i="4" a="1"/>
  <c r="K100" i="4" a="1"/>
  <c r="AQ100" i="4" a="1"/>
  <c r="AE100" i="4" a="1"/>
  <c r="R100" i="4" a="1"/>
  <c r="W100" i="4" l="1"/>
  <c r="X99" i="4"/>
  <c r="X98" i="4" s="1"/>
  <c r="Y101" i="4"/>
  <c r="R100" i="4"/>
  <c r="S101" i="4"/>
  <c r="R99" i="4"/>
  <c r="R98" i="4" s="1"/>
  <c r="K100" i="4"/>
  <c r="AE100" i="4"/>
  <c r="E100" i="4"/>
  <c r="AW100" i="4"/>
  <c r="BB100" i="4"/>
  <c r="AJ100" i="4"/>
  <c r="AQ100" i="4"/>
  <c r="AL101" i="4"/>
  <c r="AK99" i="4"/>
  <c r="AK98" i="4" s="1"/>
  <c r="M101" i="4"/>
  <c r="L99" i="4"/>
  <c r="L98" i="4" s="1"/>
  <c r="BC99" i="4"/>
  <c r="BC98" i="4" s="1"/>
  <c r="BD101" i="4"/>
  <c r="AR99" i="4"/>
  <c r="AR98" i="4" s="1"/>
  <c r="AX99" i="4"/>
  <c r="AX98" i="4" s="1"/>
  <c r="AF99" i="4"/>
  <c r="AF98" i="4" s="1"/>
  <c r="G101" i="4"/>
  <c r="F99" i="4"/>
  <c r="F98" i="4" s="1"/>
  <c r="F100" i="4" a="1"/>
  <c r="L100" i="4" a="1"/>
  <c r="X100" i="4" a="1"/>
  <c r="BC100" i="4" a="1"/>
  <c r="S100" i="4" a="1"/>
  <c r="AX100" i="4" a="1"/>
  <c r="AF100" i="4" a="1"/>
  <c r="AK100" i="4" a="1"/>
  <c r="AR100" i="4" a="1"/>
  <c r="X100" i="4" l="1"/>
  <c r="Y99" i="4"/>
  <c r="Y98" i="4" s="1"/>
  <c r="Z101" i="4"/>
  <c r="S100" i="4"/>
  <c r="S99" i="4"/>
  <c r="S98" i="4" s="1"/>
  <c r="T101" i="4"/>
  <c r="AX100" i="4"/>
  <c r="BC100" i="4"/>
  <c r="L100" i="4"/>
  <c r="AR100" i="4"/>
  <c r="F100" i="4"/>
  <c r="AK100" i="4"/>
  <c r="AF100" i="4"/>
  <c r="G99" i="4"/>
  <c r="G98" i="4" s="1"/>
  <c r="H101" i="4"/>
  <c r="BD99" i="4"/>
  <c r="BD98" i="4" s="1"/>
  <c r="N101" i="4"/>
  <c r="M99" i="4"/>
  <c r="M98" i="4" s="1"/>
  <c r="AL99" i="4"/>
  <c r="AL98" i="4" s="1"/>
  <c r="G100" i="4" a="1"/>
  <c r="BD100" i="4" a="1"/>
  <c r="Y100" i="4" a="1"/>
  <c r="M100" i="4" a="1"/>
  <c r="AL100" i="4" a="1"/>
  <c r="T100" i="4" a="1"/>
  <c r="Y100" i="4" l="1"/>
  <c r="Z99" i="4"/>
  <c r="Z98" i="4" s="1"/>
  <c r="T100" i="4"/>
  <c r="T99" i="4"/>
  <c r="T98" i="4" s="1"/>
  <c r="M100" i="4"/>
  <c r="BD100" i="4"/>
  <c r="AL100" i="4"/>
  <c r="G100" i="4"/>
  <c r="N99" i="4"/>
  <c r="N98" i="4" s="1"/>
  <c r="H99" i="4"/>
  <c r="H98" i="4" s="1"/>
  <c r="H100" i="4" a="1"/>
  <c r="Z100" i="4" a="1"/>
  <c r="N100" i="4" a="1"/>
  <c r="Z100" i="4" l="1"/>
  <c r="H100" i="4"/>
  <c r="N10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2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3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4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5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6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</connections>
</file>

<file path=xl/sharedStrings.xml><?xml version="1.0" encoding="utf-8"?>
<sst xmlns="http://schemas.openxmlformats.org/spreadsheetml/2006/main" count="481" uniqueCount="286">
  <si>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</si>
  <si>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</si>
  <si>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</si>
  <si>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</si>
  <si>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</si>
  <si>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</si>
  <si>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</si>
  <si>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</si>
  <si>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</si>
  <si>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</si>
  <si>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</si>
  <si>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</si>
  <si>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</si>
  <si>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</si>
  <si>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</si>
  <si>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</si>
  <si>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</si>
  <si>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</si>
  <si>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</si>
  <si>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</si>
  <si>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</si>
  <si>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</si>
  <si>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LHA</t>
  </si>
  <si>
    <t>Deg</t>
  </si>
  <si>
    <t>Min</t>
  </si>
  <si>
    <t>deg</t>
  </si>
  <si>
    <t>11:59</t>
  </si>
  <si>
    <t>rad</t>
  </si>
  <si>
    <t>Signe</t>
  </si>
  <si>
    <t>Dec</t>
  </si>
  <si>
    <t>Rad</t>
  </si>
  <si>
    <t>Z</t>
  </si>
  <si>
    <t>Corrections</t>
  </si>
  <si>
    <t>Ho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</si>
  <si>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</si>
  <si>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</si>
  <si>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</si>
  <si>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</si>
  <si>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</si>
  <si>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</si>
  <si>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</si>
  <si>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</si>
  <si>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</si>
  <si>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</si>
  <si>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</si>
  <si>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</si>
  <si>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</si>
  <si>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</si>
  <si>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</si>
  <si>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</si>
  <si>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</si>
  <si>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</si>
  <si>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</si>
  <si>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</si>
  <si>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</si>
  <si>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</si>
  <si>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</si>
  <si>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</si>
  <si>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</si>
  <si>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</si>
  <si>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</si>
  <si>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</si>
  <si>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</si>
  <si>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</si>
  <si>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</si>
  <si>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</si>
  <si>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</si>
  <si>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</si>
  <si>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</si>
  <si>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</si>
  <si>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</si>
  <si>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</si>
  <si>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</si>
  <si>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</si>
  <si>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</si>
  <si>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</si>
  <si>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</si>
  <si>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</si>
  <si>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</si>
  <si>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</si>
  <si>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</si>
  <si>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</si>
  <si>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</si>
  <si>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</si>
  <si>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</si>
  <si>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</si>
  <si>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</si>
  <si>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</si>
  <si>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</si>
  <si>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</si>
  <si>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</si>
  <si>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</si>
  <si>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</si>
  <si>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</si>
  <si>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</si>
  <si>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</si>
  <si>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</si>
  <si>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</si>
  <si>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</si>
  <si>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</si>
  <si>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</si>
  <si>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(m)</t>
  </si>
  <si>
    <t>Verifications + application des corrections de port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</si>
  <si>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</si>
  <si>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</si>
  <si>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</si>
  <si>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</si>
  <si>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</si>
  <si>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</si>
  <si>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</si>
  <si>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</si>
  <si>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</si>
  <si>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</si>
  <si>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</si>
  <si>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</si>
  <si>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</si>
  <si>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</si>
  <si>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</si>
  <si>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</si>
  <si>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</si>
  <si>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</si>
  <si>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</si>
  <si>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</si>
  <si>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</si>
  <si>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</si>
  <si>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</si>
  <si>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</si>
  <si>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</si>
  <si>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</si>
  <si>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</si>
  <si>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</si>
  <si>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</si>
  <si>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</si>
  <si>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</si>
  <si>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</si>
  <si>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</si>
  <si>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</si>
  <si>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</si>
  <si>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</si>
  <si>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</si>
  <si>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</si>
  <si>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</si>
  <si>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</si>
  <si>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</si>
  <si>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</si>
  <si>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</si>
  <si>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t>Ho-Hc</t>
  </si>
  <si>
    <t>Azimut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</si>
  <si>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</si>
  <si>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</si>
  <si>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</si>
  <si>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</si>
  <si>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</si>
  <si>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</si>
  <si>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</si>
  <si>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</si>
  <si>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</si>
  <si>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</si>
  <si>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</si>
  <si>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</si>
  <si>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</si>
  <si>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</si>
  <si>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</si>
  <si>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</si>
  <si>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</si>
  <si>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</si>
  <si>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</si>
  <si>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r>
      <t xml:space="preserve">Lat </t>
    </r>
    <r>
      <rPr>
        <vertAlign val="subscript"/>
        <sz val="10"/>
        <color theme="1"/>
        <rFont val="Calibri"/>
        <family val="2"/>
        <scheme val="minor"/>
      </rPr>
      <t>Estimee</t>
    </r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</si>
  <si>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</si>
  <si>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</si>
  <si>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</si>
  <si>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</si>
  <si>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</si>
  <si>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</si>
  <si>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</si>
  <si>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</si>
  <si>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</si>
  <si>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</si>
  <si>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</si>
  <si>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</si>
  <si>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</si>
  <si>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</si>
  <si>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</si>
  <si>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</si>
  <si>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</si>
  <si>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</si>
  <si>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</si>
  <si>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</si>
  <si>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</si>
  <si>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</si>
  <si>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</si>
  <si>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</si>
  <si>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</si>
  <si>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</si>
  <si>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</si>
  <si>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TS (epoch en heure)</t>
  </si>
  <si>
    <t>Maregramme</t>
  </si>
  <si>
    <t>HureMaree</t>
  </si>
  <si>
    <t>Douzieme</t>
  </si>
  <si>
    <t>nb1/12</t>
  </si>
  <si>
    <t>Heure txt</t>
  </si>
  <si>
    <t>Heure a hauteur)</t>
  </si>
  <si>
    <t>hauteur</t>
  </si>
  <si>
    <t>heure a heure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</si>
  <si>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</si>
  <si>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</si>
  <si>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</si>
  <si>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</si>
  <si>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</si>
  <si>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</si>
  <si>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</si>
  <si>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</si>
  <si>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</si>
  <si>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</si>
  <si>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</si>
  <si>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</si>
  <si>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</si>
  <si>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</si>
  <si>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</si>
  <si>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</si>
  <si>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</si>
  <si>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Heure date</t>
  </si>
  <si>
    <t>Attention:</t>
  </si>
  <si>
    <t>Les dates XLS sont en jour decimales</t>
  </si>
  <si>
    <t>Les dates XLS sont depuis le 1/1/1900 (vs epoch 1/1/1970)</t>
  </si>
  <si>
    <t>Heure XLS en heure</t>
  </si>
  <si>
    <t>PM + x Heure</t>
  </si>
  <si>
    <t>H PM</t>
  </si>
  <si>
    <t>h PM</t>
  </si>
  <si>
    <t>h</t>
  </si>
  <si>
    <t>2:30</t>
  </si>
  <si>
    <t>BM + x heure</t>
  </si>
  <si>
    <t>x decimal</t>
  </si>
  <si>
    <t>Jours</t>
  </si>
  <si>
    <t>2024/08/24 20:31</t>
  </si>
  <si>
    <t>-2:30</t>
  </si>
  <si>
    <t>H BM</t>
  </si>
  <si>
    <t>h BM</t>
  </si>
  <si>
    <t>PasDeCorrection</t>
  </si>
  <si>
    <t>2015/03/01</t>
  </si>
  <si>
    <t>03:09</t>
  </si>
  <si>
    <t>08:38</t>
  </si>
  <si>
    <t>15:18</t>
  </si>
  <si>
    <t>20:46</t>
  </si>
  <si>
    <t>2015/03/02</t>
  </si>
  <si>
    <t>03:30</t>
  </si>
  <si>
    <t>09:00</t>
  </si>
  <si>
    <t>15:43</t>
  </si>
  <si>
    <t>21:10</t>
  </si>
  <si>
    <t>2015/03/03</t>
  </si>
  <si>
    <t>03:54</t>
  </si>
  <si>
    <t>09:24</t>
  </si>
  <si>
    <t>16:13</t>
  </si>
  <si>
    <t>21:40</t>
  </si>
  <si>
    <t>2015/03/04</t>
  </si>
  <si>
    <t>04:27</t>
  </si>
  <si>
    <t>09:57</t>
  </si>
  <si>
    <t>16:57</t>
  </si>
  <si>
    <t>22:25</t>
  </si>
  <si>
    <t>2015/03/05</t>
  </si>
  <si>
    <t>05:18</t>
  </si>
  <si>
    <t>10:56</t>
  </si>
  <si>
    <t>18:09</t>
  </si>
  <si>
    <t>2015/03/06</t>
  </si>
  <si>
    <t>00:06</t>
  </si>
  <si>
    <t>06:48</t>
  </si>
  <si>
    <t>13:24</t>
  </si>
  <si>
    <t>20:11</t>
  </si>
  <si>
    <t>2015/03/07</t>
  </si>
  <si>
    <t>02:23</t>
  </si>
  <si>
    <t>08:59</t>
  </si>
  <si>
    <t>15:03</t>
  </si>
  <si>
    <t>21:44</t>
  </si>
  <si>
    <t>min Heure Maree</t>
  </si>
  <si>
    <t>Max Heure Maree</t>
  </si>
  <si>
    <t>Pas</t>
  </si>
  <si>
    <t>Data Macro</t>
  </si>
  <si>
    <t>Premiere Ligne maree</t>
  </si>
  <si>
    <t>Derniere Ligne maree</t>
  </si>
  <si>
    <t>Colone hauteur</t>
  </si>
  <si>
    <t>Colone heure</t>
  </si>
  <si>
    <t>P</t>
  </si>
  <si>
    <t>Colone horaire valide</t>
  </si>
  <si>
    <t>You could simply press :</t>
  </si>
  <si>
    <r>
      <t>F9</t>
    </r>
    <r>
      <rPr>
        <sz val="11"/>
        <color rgb="FF0C0D0E"/>
        <rFont val="Segoe UI"/>
        <family val="2"/>
      </rPr>
      <t> to calculate the whole active workbook</t>
    </r>
  </si>
  <si>
    <r>
      <t>Shift + F9</t>
    </r>
    <r>
      <rPr>
        <sz val="11"/>
        <color rgb="FF0C0D0E"/>
        <rFont val="Segoe UI"/>
        <family val="2"/>
      </rPr>
      <t> to calculate the active sheet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</si>
</sst>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d/m/yy\ h:mm;@"/>
  </numFmts>
  <fonts count="4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vertAlign val="subscript"/>
      <sz val="10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</fonts>
  <fills count="2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C00000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</fills>
  <borders count="9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11" fillId="14" borderId="0" applyNumberFormat="0" applyBorder="0" applyAlignment="0" applyProtection="0"/>
    <xf numFmtId="0" fontId="31" fillId="2" borderId="86" applyNumberFormat="0" applyAlignment="0" applyProtection="0"/>
  </cellStyleXfs>
  <cellXfs count="379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7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6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2" fillId="0" borderId="0" xfId="0" applyFont="1"/>
    <xf numFmtId="164" fontId="10" fillId="0" borderId="2" xfId="0" applyNumberFormat="1" applyFont="1" applyBorder="1"/>
    <xf numFmtId="0" fontId="17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6" fillId="2" borderId="1" xfId="1" applyNumberFormat="1" applyFont="1" applyProtection="1"/>
    <xf numFmtId="0" fontId="13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3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3" fillId="4" borderId="6" xfId="3" applyFont="1" applyBorder="1"/>
    <xf numFmtId="0" fontId="13" fillId="4" borderId="8" xfId="3" applyFont="1" applyBorder="1"/>
    <xf numFmtId="0" fontId="13" fillId="4" borderId="9" xfId="3" applyFont="1" applyBorder="1"/>
    <xf numFmtId="0" fontId="13" fillId="4" borderId="11" xfId="3" applyFont="1" applyBorder="1"/>
    <xf numFmtId="0" fontId="13" fillId="4" borderId="63" xfId="3" applyFont="1" applyBorder="1"/>
    <xf numFmtId="0" fontId="29" fillId="12" borderId="0" xfId="0" applyFont="1" applyFill="1"/>
    <xf numFmtId="0" fontId="10" fillId="12" borderId="0" xfId="0" applyFont="1" applyFill="1"/>
    <xf numFmtId="0" fontId="19" fillId="10" borderId="2" xfId="6" applyFont="1" applyBorder="1"/>
    <xf numFmtId="0" fontId="14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7" fillId="7" borderId="0" xfId="0" applyFont="1" applyFill="1"/>
    <xf numFmtId="0" fontId="24" fillId="4" borderId="0" xfId="3" applyFont="1" applyAlignment="1">
      <alignment horizontal="center"/>
    </xf>
    <xf numFmtId="0" fontId="14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7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7" fillId="0" borderId="2" xfId="0" applyFont="1" applyBorder="1"/>
    <xf numFmtId="0" fontId="24" fillId="4" borderId="0" xfId="3" applyFont="1"/>
    <xf numFmtId="0" fontId="17" fillId="0" borderId="0" xfId="0" applyFont="1" applyAlignment="1">
      <alignment horizontal="center"/>
    </xf>
    <xf numFmtId="164" fontId="17" fillId="0" borderId="0" xfId="0" applyNumberFormat="1" applyFont="1"/>
    <xf numFmtId="0" fontId="24" fillId="4" borderId="0" xfId="3" applyFont="1" applyBorder="1" applyAlignment="1">
      <alignment horizontal="center"/>
    </xf>
    <xf numFmtId="0" fontId="20" fillId="4" borderId="0" xfId="3" applyFont="1"/>
    <xf numFmtId="0" fontId="20" fillId="4" borderId="0" xfId="3" applyFont="1" applyAlignment="1">
      <alignment horizontal="center" vertical="center"/>
    </xf>
    <xf numFmtId="0" fontId="20" fillId="4" borderId="0" xfId="3" applyFont="1" applyBorder="1"/>
    <xf numFmtId="164" fontId="16" fillId="17" borderId="1" xfId="1" applyNumberFormat="1" applyFont="1" applyFill="1" applyAlignment="1" applyProtection="1"/>
    <xf numFmtId="0" fontId="20" fillId="4" borderId="2" xfId="3" applyFont="1" applyBorder="1"/>
    <xf numFmtId="164" fontId="16" fillId="2" borderId="1" xfId="1" applyNumberFormat="1" applyFont="1" applyAlignment="1" applyProtection="1"/>
    <xf numFmtId="0" fontId="17" fillId="0" borderId="0" xfId="0" quotePrefix="1" applyFont="1"/>
    <xf numFmtId="0" fontId="19" fillId="10" borderId="0" xfId="6" applyFont="1" applyAlignment="1"/>
    <xf numFmtId="0" fontId="20" fillId="4" borderId="2" xfId="3" quotePrefix="1" applyFont="1" applyBorder="1" applyAlignment="1"/>
    <xf numFmtId="0" fontId="20" fillId="4" borderId="2" xfId="3" applyFont="1" applyBorder="1" applyAlignment="1"/>
    <xf numFmtId="0" fontId="19" fillId="10" borderId="2" xfId="6" applyFont="1" applyBorder="1" applyAlignment="1"/>
    <xf numFmtId="0" fontId="20" fillId="4" borderId="0" xfId="3" quotePrefix="1" applyFont="1" applyAlignment="1"/>
    <xf numFmtId="0" fontId="10" fillId="18" borderId="2" xfId="0" applyFont="1" applyFill="1" applyBorder="1" applyAlignment="1">
      <alignment horizontal="center"/>
    </xf>
    <xf numFmtId="0" fontId="18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4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23" borderId="95" xfId="0" applyFill="1" applyBorder="1"/>
    <xf numFmtId="0" fontId="0" fillId="0" borderId="95" xfId="0" applyBorder="1"/>
    <xf numFmtId="0" fontId="0" fillId="23" borderId="94" xfId="0" applyFill="1" applyBorder="1"/>
    <xf numFmtId="0" fontId="0" fillId="0" borderId="94" xfId="0" applyBorder="1"/>
    <xf numFmtId="0" fontId="0" fillId="23" borderId="96" xfId="0" applyFill="1" applyBorder="1"/>
    <xf numFmtId="0" fontId="0" fillId="0" borderId="96" xfId="0" applyBorder="1"/>
    <xf numFmtId="0" fontId="0" fillId="20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6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7" fillId="10" borderId="2" xfId="6" applyFont="1" applyBorder="1" applyAlignment="1">
      <alignment horizontal="center" vertical="center"/>
    </xf>
    <xf numFmtId="0" fontId="37" fillId="10" borderId="2" xfId="6" applyFont="1" applyBorder="1" applyAlignment="1">
      <alignment horizontal="center"/>
    </xf>
    <xf numFmtId="0" fontId="37" fillId="10" borderId="4" xfId="6" applyFont="1" applyBorder="1" applyAlignment="1">
      <alignment horizontal="center"/>
    </xf>
    <xf numFmtId="0" fontId="37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90" xfId="5" quotePrefix="1" applyNumberFormat="1" applyFont="1" applyBorder="1" applyAlignment="1">
      <alignment horizontal="center" vertical="center"/>
    </xf>
    <xf numFmtId="0" fontId="3" fillId="6" borderId="90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32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32" fillId="6" borderId="79" xfId="5" applyFont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36" fillId="4" borderId="2" xfId="3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19" borderId="2" xfId="0" applyFill="1" applyBorder="1"/>
    <xf numFmtId="0" fontId="4" fillId="4" borderId="29" xfId="3" applyBorder="1" applyAlignment="1">
      <alignment horizontal="center"/>
    </xf>
    <xf numFmtId="0" fontId="31" fillId="2" borderId="86" xfId="9" applyAlignment="1">
      <alignment horizontal="center" vertical="center"/>
    </xf>
    <xf numFmtId="0" fontId="36" fillId="4" borderId="29" xfId="3" applyFont="1" applyBorder="1"/>
    <xf numFmtId="2" fontId="31" fillId="2" borderId="86" xfId="9" applyNumberFormat="1" applyAlignment="1">
      <alignment horizontal="center"/>
    </xf>
    <xf numFmtId="0" fontId="4" fillId="4" borderId="2" xfId="3" applyBorder="1" applyAlignment="1"/>
    <xf numFmtId="2" fontId="32" fillId="16" borderId="67" xfId="1" applyNumberFormat="1" applyFont="1" applyFill="1" applyBorder="1" applyAlignment="1"/>
    <xf numFmtId="2" fontId="36" fillId="4" borderId="0" xfId="3" applyNumberFormat="1" applyFont="1"/>
    <xf numFmtId="0" fontId="36" fillId="4" borderId="30" xfId="3" applyFont="1" applyBorder="1"/>
    <xf numFmtId="165" fontId="0" fillId="0" borderId="0" xfId="0" applyNumberFormat="1"/>
    <xf numFmtId="0" fontId="36" fillId="4" borderId="2" xfId="3" applyFont="1" applyBorder="1"/>
    <xf numFmtId="0" fontId="0" fillId="22" borderId="2" xfId="0" applyFill="1" applyBorder="1"/>
    <xf numFmtId="0" fontId="0" fillId="22" borderId="4" xfId="0" applyFill="1" applyBorder="1"/>
    <xf numFmtId="14" fontId="33" fillId="21" borderId="0" xfId="0" applyNumberFormat="1" applyFont="1" applyFill="1"/>
    <xf numFmtId="14" fontId="33" fillId="21" borderId="0" xfId="0" applyNumberFormat="1" applyFont="1" applyFill="1" applyAlignment="1">
      <alignment horizontal="right"/>
    </xf>
    <xf numFmtId="0" fontId="33" fillId="21" borderId="0" xfId="0" applyFont="1" applyFill="1"/>
    <xf numFmtId="2" fontId="33" fillId="21" borderId="0" xfId="0" applyNumberFormat="1" applyFont="1" applyFill="1"/>
    <xf numFmtId="22" fontId="0" fillId="0" borderId="0" xfId="0" applyNumberFormat="1"/>
    <xf numFmtId="2" fontId="4" fillId="4" borderId="0" xfId="3" applyNumberFormat="1"/>
    <xf numFmtId="2" fontId="11" fillId="14" borderId="0" xfId="8" applyNumberFormat="1"/>
    <xf numFmtId="22" fontId="0" fillId="3" borderId="2" xfId="0" applyNumberFormat="1" applyFill="1" applyBorder="1"/>
    <xf numFmtId="2" fontId="0" fillId="3" borderId="2" xfId="0" applyNumberFormat="1" applyFill="1" applyBorder="1"/>
    <xf numFmtId="0" fontId="0" fillId="3" borderId="2" xfId="0" applyFill="1" applyBorder="1"/>
    <xf numFmtId="2" fontId="9" fillId="3" borderId="2" xfId="6" applyNumberFormat="1" applyFill="1" applyBorder="1"/>
    <xf numFmtId="22" fontId="0" fillId="20" borderId="2" xfId="0" applyNumberFormat="1" applyFill="1" applyBorder="1"/>
    <xf numFmtId="2" fontId="0" fillId="20" borderId="2" xfId="0" applyNumberFormat="1" applyFill="1" applyBorder="1"/>
    <xf numFmtId="2" fontId="0" fillId="0" borderId="0" xfId="0" applyNumberFormat="1" applyAlignment="1">
      <alignment horizontal="center"/>
    </xf>
    <xf numFmtId="0" fontId="0" fillId="24" borderId="2" xfId="0" applyFill="1" applyBorder="1"/>
    <xf numFmtId="0" fontId="0" fillId="24" borderId="6" xfId="0" applyFill="1" applyBorder="1"/>
    <xf numFmtId="0" fontId="0" fillId="24" borderId="8" xfId="0" applyFill="1" applyBorder="1"/>
    <xf numFmtId="0" fontId="0" fillId="24" borderId="93" xfId="0" applyFill="1" applyBorder="1"/>
    <xf numFmtId="0" fontId="0" fillId="24" borderId="97" xfId="0" applyFill="1" applyBorder="1"/>
    <xf numFmtId="0" fontId="39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0" fontId="10" fillId="18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 vertical="center"/>
    </xf>
    <xf numFmtId="20" fontId="15" fillId="11" borderId="6" xfId="2" quotePrefix="1" applyNumberFormat="1" applyFont="1" applyBorder="1" applyAlignment="1" applyProtection="1">
      <alignment horizontal="center" vertical="center"/>
      <protection locked="0"/>
    </xf>
    <xf numFmtId="20" fontId="15" fillId="11" borderId="7" xfId="2" quotePrefix="1" applyNumberFormat="1" applyFont="1" applyBorder="1" applyAlignment="1" applyProtection="1">
      <alignment horizontal="center" vertical="center"/>
      <protection locked="0"/>
    </xf>
    <xf numFmtId="20" fontId="15" fillId="11" borderId="8" xfId="2" quotePrefix="1" applyNumberFormat="1" applyFont="1" applyBorder="1" applyAlignment="1" applyProtection="1">
      <alignment horizontal="center" vertical="center"/>
      <protection locked="0"/>
    </xf>
    <xf numFmtId="164" fontId="27" fillId="2" borderId="6" xfId="1" applyNumberFormat="1" applyFont="1" applyBorder="1" applyAlignment="1" applyProtection="1">
      <alignment horizontal="center" vertical="center"/>
    </xf>
    <xf numFmtId="164" fontId="27" fillId="2" borderId="7" xfId="1" applyNumberFormat="1" applyFont="1" applyBorder="1" applyAlignment="1" applyProtection="1">
      <alignment horizontal="center" vertical="center"/>
    </xf>
    <xf numFmtId="164" fontId="27" fillId="2" borderId="26" xfId="1" applyNumberFormat="1" applyFont="1" applyBorder="1" applyAlignment="1" applyProtection="1">
      <alignment horizontal="center" vertical="center"/>
    </xf>
    <xf numFmtId="164" fontId="25" fillId="5" borderId="69" xfId="4" applyNumberFormat="1" applyFont="1" applyBorder="1" applyAlignment="1" applyProtection="1">
      <alignment horizontal="center" vertical="center"/>
    </xf>
    <xf numFmtId="164" fontId="25" fillId="5" borderId="38" xfId="4" applyNumberFormat="1" applyFont="1" applyBorder="1" applyAlignment="1" applyProtection="1">
      <alignment horizontal="center" vertical="center"/>
    </xf>
    <xf numFmtId="164" fontId="25" fillId="5" borderId="39" xfId="4" applyNumberFormat="1" applyFont="1" applyBorder="1" applyAlignment="1" applyProtection="1">
      <alignment horizontal="center" vertical="center"/>
    </xf>
    <xf numFmtId="0" fontId="26" fillId="11" borderId="4" xfId="2" applyFont="1" applyBorder="1" applyAlignment="1" applyProtection="1">
      <alignment horizontal="center" vertical="center"/>
    </xf>
    <xf numFmtId="0" fontId="26" fillId="11" borderId="22" xfId="2" applyFont="1" applyBorder="1" applyAlignment="1" applyProtection="1">
      <alignment horizontal="center" vertical="center"/>
    </xf>
    <xf numFmtId="0" fontId="26" fillId="11" borderId="5" xfId="2" applyFont="1" applyBorder="1" applyAlignment="1" applyProtection="1">
      <alignment horizontal="center" vertical="center"/>
    </xf>
    <xf numFmtId="164" fontId="16" fillId="2" borderId="4" xfId="1" applyNumberFormat="1" applyFont="1" applyBorder="1" applyAlignment="1" applyProtection="1">
      <alignment horizontal="center" vertical="center"/>
    </xf>
    <xf numFmtId="164" fontId="16" fillId="2" borderId="22" xfId="1" applyNumberFormat="1" applyFont="1" applyBorder="1" applyAlignment="1" applyProtection="1">
      <alignment horizontal="center" vertical="center"/>
    </xf>
    <xf numFmtId="164" fontId="16" fillId="2" borderId="25" xfId="1" applyNumberFormat="1" applyFont="1" applyBorder="1" applyAlignment="1" applyProtection="1">
      <alignment horizontal="center" vertical="center"/>
    </xf>
    <xf numFmtId="0" fontId="23" fillId="5" borderId="23" xfId="4" applyFont="1" applyAlignment="1" applyProtection="1">
      <alignment horizontal="center"/>
    </xf>
    <xf numFmtId="20" fontId="15" fillId="11" borderId="36" xfId="2" quotePrefix="1" applyNumberFormat="1" applyFont="1" applyBorder="1" applyAlignment="1" applyProtection="1">
      <alignment horizontal="center" vertical="center"/>
      <protection locked="0"/>
    </xf>
    <xf numFmtId="20" fontId="15" fillId="11" borderId="37" xfId="2" quotePrefix="1" applyNumberFormat="1" applyFont="1" applyBorder="1" applyAlignment="1" applyProtection="1">
      <alignment horizontal="center" vertical="center"/>
      <protection locked="0"/>
    </xf>
    <xf numFmtId="20" fontId="15" fillId="11" borderId="3" xfId="2" quotePrefix="1" applyNumberFormat="1" applyFont="1" applyBorder="1" applyAlignment="1" applyProtection="1">
      <alignment horizontal="center" vertical="center"/>
      <protection locked="0"/>
    </xf>
    <xf numFmtId="164" fontId="27" fillId="2" borderId="36" xfId="1" applyNumberFormat="1" applyFont="1" applyBorder="1" applyAlignment="1" applyProtection="1">
      <alignment horizontal="center" vertical="center"/>
    </xf>
    <xf numFmtId="164" fontId="27" fillId="2" borderId="37" xfId="1" applyNumberFormat="1" applyFont="1" applyBorder="1" applyAlignment="1" applyProtection="1">
      <alignment horizontal="center" vertical="center"/>
    </xf>
    <xf numFmtId="164" fontId="27" fillId="2" borderId="78" xfId="1" applyNumberFormat="1" applyFont="1" applyBorder="1" applyAlignment="1" applyProtection="1">
      <alignment horizontal="center" vertical="center"/>
    </xf>
    <xf numFmtId="164" fontId="24" fillId="4" borderId="2" xfId="3" applyNumberFormat="1" applyFont="1" applyBorder="1" applyAlignment="1" applyProtection="1">
      <alignment horizontal="center" vertical="center"/>
    </xf>
    <xf numFmtId="0" fontId="13" fillId="3" borderId="4" xfId="3" applyFont="1" applyFill="1" applyBorder="1" applyAlignment="1">
      <alignment horizontal="center"/>
    </xf>
    <xf numFmtId="0" fontId="13" fillId="3" borderId="22" xfId="3" applyFont="1" applyFill="1" applyBorder="1" applyAlignment="1">
      <alignment horizontal="center"/>
    </xf>
    <xf numFmtId="0" fontId="13" fillId="3" borderId="5" xfId="3" applyFont="1" applyFill="1" applyBorder="1" applyAlignment="1">
      <alignment horizontal="center"/>
    </xf>
    <xf numFmtId="164" fontId="24" fillId="4" borderId="6" xfId="3" applyNumberFormat="1" applyFont="1" applyBorder="1" applyAlignment="1">
      <alignment horizontal="center" vertical="center"/>
    </xf>
    <xf numFmtId="0" fontId="24" fillId="4" borderId="7" xfId="3" applyFont="1" applyBorder="1" applyAlignment="1">
      <alignment horizontal="center" vertical="center"/>
    </xf>
    <xf numFmtId="0" fontId="24" fillId="4" borderId="8" xfId="3" applyFont="1" applyBorder="1" applyAlignment="1">
      <alignment horizontal="center" vertical="center"/>
    </xf>
    <xf numFmtId="0" fontId="24" fillId="4" borderId="9" xfId="3" applyFont="1" applyBorder="1" applyAlignment="1">
      <alignment horizontal="center" vertical="center"/>
    </xf>
    <xf numFmtId="0" fontId="24" fillId="4" borderId="10" xfId="3" applyFont="1" applyBorder="1" applyAlignment="1">
      <alignment horizontal="center" vertical="center"/>
    </xf>
    <xf numFmtId="0" fontId="24" fillId="4" borderId="11" xfId="3" applyFont="1" applyBorder="1" applyAlignment="1">
      <alignment horizontal="center" vertical="center"/>
    </xf>
    <xf numFmtId="20" fontId="24" fillId="4" borderId="2" xfId="3" quotePrefix="1" applyNumberFormat="1" applyFont="1" applyBorder="1" applyAlignment="1" applyProtection="1">
      <alignment horizontal="center" vertical="center"/>
      <protection locked="0"/>
    </xf>
    <xf numFmtId="164" fontId="16" fillId="2" borderId="20" xfId="1" applyNumberFormat="1" applyFont="1" applyBorder="1" applyAlignment="1" applyProtection="1">
      <alignment horizontal="center"/>
    </xf>
    <xf numFmtId="0" fontId="16" fillId="2" borderId="28" xfId="1" applyFont="1" applyBorder="1" applyAlignment="1" applyProtection="1">
      <alignment horizontal="center"/>
    </xf>
    <xf numFmtId="0" fontId="15" fillId="11" borderId="18" xfId="2" quotePrefix="1" applyFont="1" applyBorder="1" applyAlignment="1" applyProtection="1">
      <alignment horizontal="center"/>
      <protection locked="0"/>
    </xf>
    <xf numFmtId="0" fontId="15" fillId="11" borderId="19" xfId="2" applyFont="1" applyBorder="1" applyAlignment="1" applyProtection="1">
      <alignment horizontal="center"/>
      <protection locked="0"/>
    </xf>
    <xf numFmtId="0" fontId="15" fillId="11" borderId="20" xfId="2" applyFont="1" applyBorder="1" applyAlignment="1" applyProtection="1">
      <alignment horizontal="center"/>
      <protection locked="0"/>
    </xf>
    <xf numFmtId="0" fontId="10" fillId="0" borderId="0" xfId="0" applyFont="1"/>
    <xf numFmtId="164" fontId="23" fillId="5" borderId="0" xfId="4" applyNumberFormat="1" applyFont="1" applyBorder="1" applyAlignment="1" applyProtection="1">
      <alignment horizontal="center" vertical="center"/>
    </xf>
    <xf numFmtId="164" fontId="23" fillId="5" borderId="61" xfId="4" applyNumberFormat="1" applyFont="1" applyBorder="1" applyAlignment="1" applyProtection="1">
      <alignment horizontal="center" vertical="center"/>
    </xf>
    <xf numFmtId="164" fontId="23" fillId="5" borderId="52" xfId="4" applyNumberFormat="1" applyFont="1" applyBorder="1" applyAlignment="1" applyProtection="1">
      <alignment horizontal="center" vertical="center"/>
    </xf>
    <xf numFmtId="164" fontId="23" fillId="5" borderId="53" xfId="4" applyNumberFormat="1" applyFont="1" applyBorder="1" applyAlignment="1" applyProtection="1">
      <alignment horizontal="center" vertical="center"/>
    </xf>
    <xf numFmtId="164" fontId="23" fillId="5" borderId="50" xfId="4" applyNumberFormat="1" applyFont="1" applyBorder="1" applyAlignment="1" applyProtection="1">
      <alignment horizontal="center" vertical="center"/>
    </xf>
    <xf numFmtId="164" fontId="23" fillId="5" borderId="51" xfId="4" applyNumberFormat="1" applyFont="1" applyBorder="1" applyAlignment="1" applyProtection="1">
      <alignment horizontal="center" vertical="center"/>
    </xf>
    <xf numFmtId="164" fontId="15" fillId="11" borderId="2" xfId="2" quotePrefix="1" applyNumberFormat="1" applyFont="1" applyBorder="1" applyAlignment="1" applyProtection="1">
      <alignment horizontal="center" vertical="center"/>
      <protection locked="0"/>
    </xf>
    <xf numFmtId="164" fontId="16" fillId="2" borderId="21" xfId="1" applyNumberFormat="1" applyFont="1" applyBorder="1" applyAlignment="1" applyProtection="1">
      <alignment horizontal="center" vertical="center"/>
    </xf>
    <xf numFmtId="164" fontId="16" fillId="2" borderId="49" xfId="1" applyNumberFormat="1" applyFont="1" applyBorder="1" applyAlignment="1" applyProtection="1">
      <alignment horizontal="center" vertical="center"/>
    </xf>
    <xf numFmtId="164" fontId="16" fillId="2" borderId="40" xfId="1" applyNumberFormat="1" applyFont="1" applyBorder="1" applyAlignment="1" applyProtection="1">
      <alignment horizontal="center" vertical="center"/>
    </xf>
    <xf numFmtId="164" fontId="16" fillId="2" borderId="17" xfId="1" applyNumberFormat="1" applyFont="1" applyBorder="1" applyAlignment="1" applyProtection="1">
      <alignment horizontal="center" vertical="center"/>
    </xf>
    <xf numFmtId="164" fontId="15" fillId="11" borderId="47" xfId="2" applyNumberFormat="1" applyFont="1" applyBorder="1" applyAlignment="1" applyProtection="1">
      <alignment horizontal="center" vertical="center"/>
      <protection locked="0"/>
    </xf>
    <xf numFmtId="164" fontId="15" fillId="11" borderId="12" xfId="2" applyNumberFormat="1" applyFont="1" applyBorder="1" applyAlignment="1" applyProtection="1">
      <alignment horizontal="center" vertical="center"/>
      <protection locked="0"/>
    </xf>
    <xf numFmtId="164" fontId="15" fillId="11" borderId="48" xfId="2" quotePrefix="1" applyNumberFormat="1" applyFont="1" applyBorder="1" applyAlignment="1" applyProtection="1">
      <alignment horizontal="center" vertical="center"/>
      <protection locked="0"/>
    </xf>
    <xf numFmtId="164" fontId="15" fillId="11" borderId="21" xfId="2" quotePrefix="1" applyNumberFormat="1" applyFont="1" applyBorder="1" applyAlignment="1" applyProtection="1">
      <alignment horizontal="center" vertical="center"/>
      <protection locked="0"/>
    </xf>
    <xf numFmtId="164" fontId="15" fillId="11" borderId="54" xfId="2" quotePrefix="1" applyNumberFormat="1" applyFont="1" applyBorder="1" applyAlignment="1" applyProtection="1">
      <alignment horizontal="center" vertical="center"/>
      <protection locked="0"/>
    </xf>
    <xf numFmtId="164" fontId="15" fillId="11" borderId="16" xfId="2" quotePrefix="1" applyNumberFormat="1" applyFont="1" applyBorder="1" applyAlignment="1" applyProtection="1">
      <alignment horizontal="center" vertical="center"/>
      <protection locked="0"/>
    </xf>
    <xf numFmtId="164" fontId="15" fillId="11" borderId="40" xfId="2" quotePrefix="1" applyNumberFormat="1" applyFont="1" applyBorder="1" applyAlignment="1" applyProtection="1">
      <alignment horizontal="center" vertical="center"/>
      <protection locked="0"/>
    </xf>
    <xf numFmtId="164" fontId="15" fillId="11" borderId="55" xfId="2" quotePrefix="1" applyNumberFormat="1" applyFont="1" applyBorder="1" applyAlignment="1" applyProtection="1">
      <alignment horizontal="center" vertical="center"/>
      <protection locked="0"/>
    </xf>
    <xf numFmtId="164" fontId="10" fillId="6" borderId="24" xfId="5" applyNumberFormat="1" applyFont="1" applyAlignment="1" applyProtection="1">
      <alignment horizontal="center" vertical="center"/>
    </xf>
    <xf numFmtId="0" fontId="13" fillId="4" borderId="2" xfId="3" applyFont="1" applyBorder="1" applyAlignment="1">
      <alignment horizontal="center"/>
    </xf>
    <xf numFmtId="0" fontId="26" fillId="11" borderId="1" xfId="2" applyFont="1" applyAlignment="1" applyProtection="1">
      <alignment horizontal="center" vertical="center"/>
    </xf>
    <xf numFmtId="164" fontId="16" fillId="2" borderId="1" xfId="1" applyNumberFormat="1" applyFont="1" applyAlignment="1" applyProtection="1">
      <alignment horizontal="center" vertical="center"/>
    </xf>
    <xf numFmtId="0" fontId="16" fillId="6" borderId="73" xfId="5" applyFont="1" applyBorder="1" applyAlignment="1" applyProtection="1">
      <alignment horizontal="center" vertical="center"/>
    </xf>
    <xf numFmtId="0" fontId="16" fillId="6" borderId="75" xfId="5" applyFont="1" applyBorder="1" applyAlignment="1" applyProtection="1">
      <alignment horizontal="center" vertical="center"/>
    </xf>
    <xf numFmtId="164" fontId="15" fillId="11" borderId="28" xfId="2" applyNumberFormat="1" applyFont="1" applyBorder="1" applyAlignment="1" applyProtection="1">
      <alignment horizontal="center" vertical="center"/>
      <protection locked="0"/>
    </xf>
    <xf numFmtId="164" fontId="15" fillId="11" borderId="59" xfId="2" applyNumberFormat="1" applyFont="1" applyBorder="1" applyAlignment="1" applyProtection="1">
      <alignment horizontal="center" vertical="center"/>
      <protection locked="0"/>
    </xf>
    <xf numFmtId="164" fontId="15" fillId="11" borderId="18" xfId="2" quotePrefix="1" applyNumberFormat="1" applyFont="1" applyBorder="1" applyAlignment="1" applyProtection="1">
      <alignment horizontal="center" vertical="center"/>
      <protection locked="0"/>
    </xf>
    <xf numFmtId="164" fontId="15" fillId="11" borderId="19" xfId="2" quotePrefix="1" applyNumberFormat="1" applyFont="1" applyBorder="1" applyAlignment="1" applyProtection="1">
      <alignment horizontal="center" vertical="center"/>
      <protection locked="0"/>
    </xf>
    <xf numFmtId="164" fontId="15" fillId="11" borderId="56" xfId="2" quotePrefix="1" applyNumberFormat="1" applyFont="1" applyBorder="1" applyAlignment="1" applyProtection="1">
      <alignment horizontal="center" vertical="center"/>
      <protection locked="0"/>
    </xf>
    <xf numFmtId="164" fontId="15" fillId="11" borderId="57" xfId="2" quotePrefix="1" applyNumberFormat="1" applyFont="1" applyBorder="1" applyAlignment="1" applyProtection="1">
      <alignment horizontal="center" vertical="center"/>
      <protection locked="0"/>
    </xf>
    <xf numFmtId="164" fontId="15" fillId="11" borderId="58" xfId="2" quotePrefix="1" applyNumberFormat="1" applyFont="1" applyBorder="1" applyAlignment="1" applyProtection="1">
      <alignment horizontal="center" vertical="center"/>
      <protection locked="0"/>
    </xf>
    <xf numFmtId="164" fontId="15" fillId="11" borderId="60" xfId="2" quotePrefix="1" applyNumberFormat="1" applyFont="1" applyBorder="1" applyAlignment="1" applyProtection="1">
      <alignment horizontal="center" vertical="center"/>
      <protection locked="0"/>
    </xf>
    <xf numFmtId="0" fontId="13" fillId="3" borderId="2" xfId="3" applyFont="1" applyFill="1" applyBorder="1" applyAlignment="1">
      <alignment horizontal="center"/>
    </xf>
    <xf numFmtId="164" fontId="23" fillId="5" borderId="2" xfId="4" applyNumberFormat="1" applyFont="1" applyBorder="1" applyAlignment="1" applyProtection="1">
      <alignment horizontal="center" vertical="center"/>
    </xf>
    <xf numFmtId="0" fontId="10" fillId="6" borderId="70" xfId="5" applyFont="1" applyBorder="1" applyAlignment="1" applyProtection="1">
      <alignment horizontal="center" vertical="center" wrapText="1"/>
    </xf>
    <xf numFmtId="0" fontId="10" fillId="6" borderId="72" xfId="5" applyFont="1" applyBorder="1" applyAlignment="1" applyProtection="1">
      <alignment horizontal="center" vertical="center"/>
    </xf>
    <xf numFmtId="0" fontId="10" fillId="6" borderId="74" xfId="5" applyFont="1" applyBorder="1" applyAlignment="1" applyProtection="1">
      <alignment horizontal="center" vertical="center"/>
    </xf>
    <xf numFmtId="0" fontId="28" fillId="0" borderId="9" xfId="0" applyFont="1" applyBorder="1" applyAlignment="1">
      <alignment horizontal="right"/>
    </xf>
    <xf numFmtId="0" fontId="28" fillId="0" borderId="10" xfId="0" applyFont="1" applyBorder="1" applyAlignment="1">
      <alignment horizontal="right"/>
    </xf>
    <xf numFmtId="0" fontId="28" fillId="0" borderId="11" xfId="0" applyFont="1" applyBorder="1" applyAlignment="1">
      <alignment horizontal="right"/>
    </xf>
    <xf numFmtId="0" fontId="28" fillId="0" borderId="29" xfId="0" applyFont="1" applyBorder="1" applyAlignment="1">
      <alignment horizontal="right"/>
    </xf>
    <xf numFmtId="164" fontId="16" fillId="2" borderId="1" xfId="1" applyNumberFormat="1" applyFont="1" applyAlignment="1" applyProtection="1">
      <alignment horizontal="center"/>
    </xf>
    <xf numFmtId="0" fontId="16" fillId="2" borderId="1" xfId="1" applyFont="1" applyAlignment="1" applyProtection="1">
      <alignment horizontal="center"/>
    </xf>
    <xf numFmtId="0" fontId="15" fillId="11" borderId="1" xfId="2" quotePrefix="1" applyFont="1" applyAlignment="1" applyProtection="1">
      <alignment horizontal="center"/>
      <protection locked="0"/>
    </xf>
    <xf numFmtId="0" fontId="15" fillId="11" borderId="1" xfId="2" applyFont="1" applyAlignment="1" applyProtection="1">
      <alignment horizontal="center"/>
      <protection locked="0"/>
    </xf>
    <xf numFmtId="20" fontId="15" fillId="11" borderId="9" xfId="2" quotePrefix="1" applyNumberFormat="1" applyFont="1" applyBorder="1" applyAlignment="1" applyProtection="1">
      <alignment horizontal="center" vertical="center"/>
      <protection locked="0"/>
    </xf>
    <xf numFmtId="20" fontId="15" fillId="11" borderId="10" xfId="2" quotePrefix="1" applyNumberFormat="1" applyFont="1" applyBorder="1" applyAlignment="1" applyProtection="1">
      <alignment horizontal="center" vertical="center"/>
      <protection locked="0"/>
    </xf>
    <xf numFmtId="20" fontId="15" fillId="11" borderId="11" xfId="2" quotePrefix="1" applyNumberFormat="1" applyFont="1" applyBorder="1" applyAlignment="1" applyProtection="1">
      <alignment horizontal="center" vertical="center"/>
      <protection locked="0"/>
    </xf>
    <xf numFmtId="164" fontId="13" fillId="4" borderId="2" xfId="3" applyNumberFormat="1" applyFont="1" applyBorder="1" applyAlignment="1" applyProtection="1">
      <alignment horizontal="center"/>
    </xf>
    <xf numFmtId="0" fontId="13" fillId="4" borderId="4" xfId="3" applyFont="1" applyBorder="1" applyAlignment="1">
      <alignment horizontal="center"/>
    </xf>
    <xf numFmtId="164" fontId="16" fillId="6" borderId="71" xfId="5" applyNumberFormat="1" applyFont="1" applyBorder="1" applyAlignment="1" applyProtection="1">
      <alignment horizontal="center" vertical="center"/>
    </xf>
    <xf numFmtId="164" fontId="16" fillId="6" borderId="73" xfId="5" applyNumberFormat="1" applyFont="1" applyBorder="1" applyAlignment="1" applyProtection="1">
      <alignment horizontal="center" vertical="center"/>
    </xf>
    <xf numFmtId="164" fontId="13" fillId="4" borderId="13" xfId="3" applyNumberFormat="1" applyFont="1" applyBorder="1" applyAlignment="1" applyProtection="1">
      <alignment horizontal="center" vertical="center"/>
    </xf>
    <xf numFmtId="164" fontId="13" fillId="4" borderId="14" xfId="3" applyNumberFormat="1" applyFont="1" applyBorder="1" applyAlignment="1" applyProtection="1">
      <alignment horizontal="center" vertical="center"/>
    </xf>
    <xf numFmtId="164" fontId="13" fillId="4" borderId="15" xfId="3" applyNumberFormat="1" applyFont="1" applyBorder="1" applyAlignment="1" applyProtection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5" fillId="11" borderId="1" xfId="2" applyFont="1" applyAlignment="1" applyProtection="1">
      <alignment horizontal="center" vertical="center"/>
    </xf>
    <xf numFmtId="0" fontId="15" fillId="11" borderId="4" xfId="2" applyFont="1" applyBorder="1" applyAlignment="1" applyProtection="1">
      <alignment horizontal="center" vertical="center"/>
    </xf>
    <xf numFmtId="0" fontId="15" fillId="11" borderId="22" xfId="2" applyFont="1" applyBorder="1" applyAlignment="1" applyProtection="1">
      <alignment horizontal="center" vertical="center"/>
    </xf>
    <xf numFmtId="0" fontId="15" fillId="11" borderId="5" xfId="2" applyFont="1" applyBorder="1" applyAlignment="1" applyProtection="1">
      <alignment horizontal="center" vertical="center"/>
    </xf>
    <xf numFmtId="20" fontId="15" fillId="11" borderId="1" xfId="2" quotePrefix="1" applyNumberFormat="1" applyFont="1" applyAlignment="1" applyProtection="1">
      <alignment horizontal="center" vertical="center"/>
      <protection locked="0"/>
    </xf>
    <xf numFmtId="0" fontId="15" fillId="11" borderId="1" xfId="2" applyFont="1" applyAlignment="1" applyProtection="1">
      <alignment horizontal="center" vertical="center"/>
      <protection locked="0"/>
    </xf>
    <xf numFmtId="164" fontId="23" fillId="5" borderId="23" xfId="4" applyNumberFormat="1" applyFont="1" applyAlignment="1" applyProtection="1">
      <alignment horizontal="center" vertical="center"/>
    </xf>
    <xf numFmtId="164" fontId="16" fillId="2" borderId="6" xfId="1" applyNumberFormat="1" applyFont="1" applyBorder="1" applyAlignment="1" applyProtection="1">
      <alignment horizontal="center" vertical="center"/>
    </xf>
    <xf numFmtId="164" fontId="16" fillId="2" borderId="7" xfId="1" applyNumberFormat="1" applyFont="1" applyBorder="1" applyAlignment="1" applyProtection="1">
      <alignment horizontal="center" vertical="center"/>
    </xf>
    <xf numFmtId="164" fontId="16" fillId="2" borderId="26" xfId="1" applyNumberFormat="1" applyFont="1" applyBorder="1" applyAlignment="1" applyProtection="1">
      <alignment horizontal="center" vertical="center"/>
    </xf>
    <xf numFmtId="164" fontId="16" fillId="2" borderId="9" xfId="1" applyNumberFormat="1" applyFont="1" applyBorder="1" applyAlignment="1" applyProtection="1">
      <alignment horizontal="center" vertical="center"/>
    </xf>
    <xf numFmtId="164" fontId="16" fillId="2" borderId="10" xfId="1" applyNumberFormat="1" applyFont="1" applyBorder="1" applyAlignment="1" applyProtection="1">
      <alignment horizontal="center" vertical="center"/>
    </xf>
    <xf numFmtId="164" fontId="16" fillId="2" borderId="27" xfId="1" applyNumberFormat="1" applyFont="1" applyBorder="1" applyAlignment="1" applyProtection="1">
      <alignment horizontal="center" vertical="center"/>
    </xf>
    <xf numFmtId="164" fontId="21" fillId="15" borderId="0" xfId="0" applyNumberFormat="1" applyFont="1" applyFill="1" applyAlignment="1">
      <alignment horizontal="center" vertical="center"/>
    </xf>
    <xf numFmtId="164" fontId="22" fillId="15" borderId="0" xfId="0" applyNumberFormat="1" applyFont="1" applyFill="1" applyAlignment="1">
      <alignment horizontal="center" vertical="center"/>
    </xf>
    <xf numFmtId="164" fontId="16" fillId="2" borderId="19" xfId="1" applyNumberFormat="1" applyFont="1" applyBorder="1" applyAlignment="1" applyProtection="1">
      <alignment horizontal="center" vertical="center"/>
    </xf>
    <xf numFmtId="164" fontId="16" fillId="2" borderId="0" xfId="1" applyNumberFormat="1" applyFont="1" applyBorder="1" applyAlignment="1" applyProtection="1">
      <alignment horizontal="center" vertical="center"/>
    </xf>
    <xf numFmtId="0" fontId="15" fillId="11" borderId="19" xfId="2" quotePrefix="1" applyFont="1" applyBorder="1" applyAlignment="1" applyProtection="1">
      <alignment horizontal="center" vertical="center"/>
      <protection locked="0"/>
    </xf>
    <xf numFmtId="0" fontId="15" fillId="11" borderId="0" xfId="2" quotePrefix="1" applyFont="1" applyBorder="1" applyAlignment="1" applyProtection="1">
      <alignment horizontal="center" vertical="center"/>
      <protection locked="0"/>
    </xf>
    <xf numFmtId="164" fontId="23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4" fillId="4" borderId="2" xfId="3" applyFont="1" applyBorder="1" applyAlignment="1">
      <alignment horizontal="center"/>
    </xf>
    <xf numFmtId="164" fontId="20" fillId="4" borderId="2" xfId="3" applyNumberFormat="1" applyFont="1" applyBorder="1" applyAlignment="1">
      <alignment horizontal="center"/>
    </xf>
    <xf numFmtId="0" fontId="20" fillId="4" borderId="2" xfId="3" applyFont="1" applyBorder="1" applyAlignment="1">
      <alignment horizontal="center"/>
    </xf>
    <xf numFmtId="0" fontId="10" fillId="6" borderId="24" xfId="5" applyFont="1" applyAlignment="1">
      <alignment horizontal="center" vertical="center"/>
    </xf>
    <xf numFmtId="0" fontId="10" fillId="6" borderId="71" xfId="5" applyFont="1" applyBorder="1" applyAlignment="1">
      <alignment vertical="center"/>
    </xf>
    <xf numFmtId="0" fontId="10" fillId="6" borderId="73" xfId="5" applyFont="1" applyBorder="1" applyAlignment="1">
      <alignment vertical="center"/>
    </xf>
    <xf numFmtId="0" fontId="10" fillId="6" borderId="75" xfId="5" applyFont="1" applyBorder="1" applyAlignment="1">
      <alignment vertical="center"/>
    </xf>
    <xf numFmtId="164" fontId="16" fillId="2" borderId="62" xfId="1" applyNumberFormat="1" applyFont="1" applyBorder="1" applyAlignment="1" applyProtection="1">
      <alignment horizontal="center" vertical="center"/>
    </xf>
    <xf numFmtId="164" fontId="16" fillId="2" borderId="64" xfId="1" applyNumberFormat="1" applyFont="1" applyBorder="1" applyAlignment="1" applyProtection="1">
      <alignment horizontal="center" vertical="center"/>
    </xf>
    <xf numFmtId="0" fontId="10" fillId="6" borderId="72" xfId="5" applyFont="1" applyBorder="1" applyAlignment="1" applyProtection="1">
      <alignment horizontal="center" vertical="center" wrapText="1"/>
    </xf>
    <xf numFmtId="0" fontId="10" fillId="6" borderId="74" xfId="5" applyFont="1" applyBorder="1" applyAlignment="1" applyProtection="1">
      <alignment horizontal="center" vertical="center" wrapText="1"/>
    </xf>
    <xf numFmtId="0" fontId="20" fillId="4" borderId="2" xfId="3" applyFont="1" applyBorder="1" applyAlignment="1">
      <alignment horizontal="center" vertical="center"/>
    </xf>
    <xf numFmtId="164" fontId="20" fillId="4" borderId="2" xfId="3" applyNumberFormat="1" applyFont="1" applyBorder="1" applyAlignment="1">
      <alignment horizontal="center" vertical="center"/>
    </xf>
    <xf numFmtId="0" fontId="10" fillId="6" borderId="76" xfId="5" applyFont="1" applyBorder="1" applyAlignment="1">
      <alignment horizontal="center" vertical="center"/>
    </xf>
    <xf numFmtId="0" fontId="10" fillId="6" borderId="71" xfId="5" applyFont="1" applyBorder="1" applyAlignment="1">
      <alignment horizontal="center" vertical="center"/>
    </xf>
    <xf numFmtId="0" fontId="10" fillId="6" borderId="73" xfId="5" applyFont="1" applyBorder="1" applyAlignment="1">
      <alignment horizontal="center" vertical="center"/>
    </xf>
    <xf numFmtId="0" fontId="16" fillId="2" borderId="65" xfId="1" applyFont="1" applyBorder="1" applyAlignment="1" applyProtection="1">
      <alignment horizontal="center" vertical="center"/>
    </xf>
    <xf numFmtId="0" fontId="16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5" fillId="11" borderId="2" xfId="2" quotePrefix="1" applyNumberFormat="1" applyFont="1" applyBorder="1" applyAlignment="1" applyProtection="1">
      <alignment horizontal="center" vertical="center"/>
      <protection locked="0"/>
    </xf>
    <xf numFmtId="164" fontId="16" fillId="2" borderId="5" xfId="1" applyNumberFormat="1" applyFont="1" applyBorder="1" applyAlignment="1" applyProtection="1">
      <alignment horizontal="center" vertical="center"/>
    </xf>
    <xf numFmtId="164" fontId="16" fillId="2" borderId="2" xfId="1" applyNumberFormat="1" applyFont="1" applyBorder="1" applyAlignment="1" applyProtection="1">
      <alignment horizontal="center" vertical="center"/>
    </xf>
    <xf numFmtId="0" fontId="10" fillId="6" borderId="77" xfId="5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36" fillId="4" borderId="5" xfId="3" applyFont="1" applyBorder="1" applyAlignment="1">
      <alignment horizontal="center" vertical="center" wrapText="1"/>
    </xf>
    <xf numFmtId="0" fontId="36" fillId="4" borderId="2" xfId="3" applyFont="1" applyBorder="1" applyAlignment="1">
      <alignment horizontal="center" vertical="center" wrapText="1"/>
    </xf>
    <xf numFmtId="0" fontId="0" fillId="24" borderId="9" xfId="0" applyFill="1" applyBorder="1" applyAlignment="1">
      <alignment horizontal="center"/>
    </xf>
    <xf numFmtId="0" fontId="0" fillId="24" borderId="10" xfId="0" applyFill="1" applyBorder="1" applyAlignment="1">
      <alignment horizontal="center"/>
    </xf>
    <xf numFmtId="0" fontId="0" fillId="6" borderId="24" xfId="5" applyFont="1" applyAlignment="1">
      <alignment horizontal="center"/>
    </xf>
    <xf numFmtId="0" fontId="0" fillId="6" borderId="68" xfId="5" applyFont="1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91" xfId="5" applyFont="1" applyBorder="1" applyAlignment="1">
      <alignment horizontal="center"/>
    </xf>
    <xf numFmtId="0" fontId="3" fillId="6" borderId="92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0" fontId="9" fillId="10" borderId="22" xfId="6" applyBorder="1" applyAlignment="1">
      <alignment horizontal="center"/>
    </xf>
    <xf numFmtId="0" fontId="9" fillId="10" borderId="5" xfId="6" applyBorder="1" applyAlignment="1">
      <alignment horizontal="center"/>
    </xf>
    <xf numFmtId="0" fontId="9" fillId="10" borderId="0" xfId="6" applyBorder="1" applyAlignment="1">
      <alignment horizontal="center"/>
    </xf>
    <xf numFmtId="0" fontId="37" fillId="10" borderId="4" xfId="6" applyFont="1" applyBorder="1" applyAlignment="1">
      <alignment horizontal="center"/>
    </xf>
    <xf numFmtId="0" fontId="37" fillId="10" borderId="22" xfId="6" applyFont="1" applyBorder="1" applyAlignment="1">
      <alignment horizontal="center"/>
    </xf>
    <xf numFmtId="0" fontId="37" fillId="10" borderId="5" xfId="6" applyFont="1" applyBorder="1" applyAlignment="1">
      <alignment horizontal="center"/>
    </xf>
    <xf numFmtId="0" fontId="37" fillId="10" borderId="2" xfId="6" applyFont="1" applyBorder="1" applyAlignment="1">
      <alignment horizontal="center" vertical="center"/>
    </xf>
    <xf numFmtId="0" fontId="32" fillId="6" borderId="24" xfId="5" applyFont="1" applyAlignment="1">
      <alignment horizontal="center"/>
    </xf>
    <xf numFmtId="0" fontId="32" fillId="6" borderId="85" xfId="5" applyFont="1" applyBorder="1" applyAlignment="1">
      <alignment horizontal="center"/>
    </xf>
    <xf numFmtId="0" fontId="32" fillId="6" borderId="80" xfId="5" applyFont="1" applyBorder="1" applyAlignment="1">
      <alignment horizontal="center" vertical="center"/>
    </xf>
    <xf numFmtId="0" fontId="32" fillId="6" borderId="81" xfId="5" applyFont="1" applyBorder="1" applyAlignment="1">
      <alignment horizontal="center" vertical="center"/>
    </xf>
    <xf numFmtId="0" fontId="32" fillId="6" borderId="82" xfId="5" applyFont="1" applyBorder="1" applyAlignment="1">
      <alignment horizontal="center" vertical="center"/>
    </xf>
    <xf numFmtId="0" fontId="32" fillId="6" borderId="83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7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9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32" fillId="6" borderId="79" xfId="5" applyFont="1" applyBorder="1" applyAlignment="1">
      <alignment horizontal="center"/>
    </xf>
    <xf numFmtId="0" fontId="32" fillId="6" borderId="84" xfId="5" applyFont="1" applyBorder="1" applyAlignment="1">
      <alignment horizontal="center"/>
    </xf>
    <xf numFmtId="164" fontId="34" fillId="15" borderId="0" xfId="0" applyNumberFormat="1" applyFont="1" applyFill="1" applyAlignment="1">
      <alignment horizontal="center" vertical="center"/>
    </xf>
    <xf numFmtId="164" fontId="35" fillId="15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7" xfId="5" applyFont="1" applyBorder="1" applyAlignment="1">
      <alignment horizontal="center"/>
    </xf>
    <xf numFmtId="0" fontId="3" fillId="6" borderId="88" xfId="5" applyFont="1" applyBorder="1" applyAlignment="1">
      <alignment horizontal="center"/>
    </xf>
    <xf numFmtId="49" fontId="0" fillId="0" borderId="2" xfId="0" quotePrefix="1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quotePrefix="1" applyBorder="1" applyAlignment="1">
      <alignment horizontal="center" vertical="center"/>
    </xf>
    <xf numFmtId="22" fontId="33" fillId="21" borderId="0" xfId="0" applyNumberFormat="1" applyFont="1" applyFill="1" applyAlignment="1">
      <alignment horizontal="center"/>
    </xf>
    <xf numFmtId="0" fontId="4" fillId="4" borderId="6" xfId="3" applyBorder="1" applyAlignment="1">
      <alignment horizontal="center"/>
    </xf>
    <xf numFmtId="0" fontId="4" fillId="4" borderId="8" xfId="3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</cellXfs>
  <cellStyles count="10">
    <cellStyle name="60 % - Accent5" xfId="7" builtinId="48" customBuiltin="1"/>
    <cellStyle name="Calcul" xfId="1" builtinId="22" customBuiltin="1"/>
    <cellStyle name="Entrée" xfId="2" builtinId="20" customBuiltin="1"/>
    <cellStyle name="Insatisfaisant" xfId="8" builtinId="27"/>
    <cellStyle name="Neutre" xfId="6" builtinId="28"/>
    <cellStyle name="Normal" xfId="0" builtinId="0"/>
    <cellStyle name="Note" xfId="5" builtinId="10"/>
    <cellStyle name="Satisfaisant" xfId="3" builtinId="26"/>
    <cellStyle name="Sortie" xfId="9" builtinId="21"/>
    <cellStyle name="Vérification" xfId="4" builtinId="23"/>
  </cellStyles>
  <dxfs count="5"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66FF66"/>
      <color rgb="FFFFC7C1"/>
      <color rgb="FF00FF00"/>
      <color rgb="FFF802C3"/>
      <color rgb="FF66FF99"/>
      <color rgb="FFD5FFDA"/>
      <color rgb="FFECEBFF"/>
      <color rgb="FFB9F7FF"/>
      <color rgb="FFFFFFCC"/>
      <color rgb="FFC5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Maree!$B$102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Maree!$C$98:$BE$98</c:f>
              <c:numCache>
                <c:formatCode>m/d/yyyy\ h:mm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</c:numCache>
            </c:numRef>
          </c:xVal>
          <c:yVal>
            <c:numRef>
              <c:f>Maree!$C$102:$BE$102</c:f>
              <c:numCache>
                <c:formatCode>0.00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Maree!$A$106</c:f>
              <c:strCache>
                <c:ptCount val="1"/>
                <c:pt idx="0">
                  <c:v>Passage à 8,7m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Maree!$D$106:$N$106</c:f>
              <c:numCache>
                <c:formatCode>m/d/yyyy\ h:mm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Maree!$D$110:$N$110</c:f>
              <c:numCache>
                <c:formatCode>General</c:formatCode>
                <c:ptCount val="11"/>
                <c:pt idx="0">
                  <c:v>8.6999999999999993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8.6999999999999993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ser>
          <c:idx val="2"/>
          <c:order val="2"/>
          <c:tx>
            <c:strRef>
              <c:f>Maree!$A$111</c:f>
              <c:strCache>
                <c:ptCount val="1"/>
                <c:pt idx="0">
                  <c:v>Passage a 13:26:00h</c:v>
                </c:pt>
              </c:strCache>
            </c:strRef>
          </c:tx>
          <c:spPr>
            <a:ln w="0" cap="rnd">
              <a:noFill/>
              <a:round/>
            </a:ln>
            <a:effectLst/>
          </c:spPr>
          <c:marker>
            <c:symbol val="star"/>
            <c:size val="7"/>
            <c:spPr>
              <a:noFill/>
              <a:ln w="9525">
                <a:solidFill>
                  <a:srgbClr val="F802C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Maree!$C$111:$L$111</c:f>
              <c:numCache>
                <c:formatCode>m/d/yyyy\ h:mm</c:formatCode>
                <c:ptCount val="10"/>
                <c:pt idx="0">
                  <c:v>45528.55972222222</c:v>
                </c:pt>
                <c:pt idx="1">
                  <c:v>45529.55972222222</c:v>
                </c:pt>
                <c:pt idx="2">
                  <c:v>25569</c:v>
                </c:pt>
                <c:pt idx="3">
                  <c:v>25569</c:v>
                </c:pt>
                <c:pt idx="4">
                  <c:v>25569</c:v>
                </c:pt>
                <c:pt idx="5">
                  <c:v>25569</c:v>
                </c:pt>
                <c:pt idx="6">
                  <c:v>25569</c:v>
                </c:pt>
                <c:pt idx="7">
                  <c:v>25569</c:v>
                </c:pt>
                <c:pt idx="8">
                  <c:v>25569</c:v>
                </c:pt>
                <c:pt idx="9">
                  <c:v>25569</c:v>
                </c:pt>
              </c:numCache>
            </c:numRef>
          </c:xVal>
          <c:yVal>
            <c:numRef>
              <c:f>Maree!$C$115:$L$115</c:f>
              <c:numCache>
                <c:formatCode>General</c:formatCode>
                <c:ptCount val="10"/>
                <c:pt idx="0">
                  <c:v>8.7066370558510133</c:v>
                </c:pt>
                <c:pt idx="1">
                  <c:v>9.285212006694108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31"/>
          <c:min val="45528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5.000000000000001E-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61</xdr:row>
      <xdr:rowOff>48792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82</xdr:row>
      <xdr:rowOff>10161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124089</xdr:colOff>
      <xdr:row>116</xdr:row>
      <xdr:rowOff>6614</xdr:rowOff>
    </xdr:from>
    <xdr:to>
      <xdr:col>28</xdr:col>
      <xdr:colOff>250030</xdr:colOff>
      <xdr:row>158</xdr:row>
      <xdr:rowOff>31749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93</xdr:row>
          <xdr:rowOff>142875</xdr:rowOff>
        </xdr:from>
        <xdr:to>
          <xdr:col>3</xdr:col>
          <xdr:colOff>95250</xdr:colOff>
          <xdr:row>96</xdr:row>
          <xdr:rowOff>57150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B3: Update maregramme par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1009650</xdr:colOff>
          <xdr:row>67</xdr:row>
          <xdr:rowOff>133350</xdr:rowOff>
        </xdr:from>
        <xdr:to>
          <xdr:col>18</xdr:col>
          <xdr:colOff>28575</xdr:colOff>
          <xdr:row>69</xdr:row>
          <xdr:rowOff>123825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B2: Update PM +x / BM + x  &amp; Par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68</xdr:row>
          <xdr:rowOff>114300</xdr:rowOff>
        </xdr:from>
        <xdr:to>
          <xdr:col>1</xdr:col>
          <xdr:colOff>685800</xdr:colOff>
          <xdr:row>70</xdr:row>
          <xdr:rowOff>123825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28" zoomScaleNormal="100" workbookViewId="0">
      <selection activeCell="J89" sqref="J89:O89"/>
    </sheetView>
  </sheetViews>
  <sheetFormatPr baseColWidth="10"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277" t="s">
        <v>79</v>
      </c>
      <c r="D1" s="277"/>
      <c r="E1" s="277"/>
      <c r="F1" s="277"/>
      <c r="G1" s="278" t="s">
        <v>80</v>
      </c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AB1" s="17"/>
      <c r="AC1" s="18"/>
      <c r="AD1" s="18"/>
      <c r="AM1" s="5"/>
    </row>
    <row r="2" spans="1:54" s="1" customFormat="1" ht="15" customHeight="1">
      <c r="C2" s="277"/>
      <c r="D2" s="277"/>
      <c r="E2" s="277"/>
      <c r="F2" s="277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AB2" s="17"/>
      <c r="AC2" s="18"/>
      <c r="AD2" s="18"/>
      <c r="AM2" s="5"/>
    </row>
    <row r="3" spans="1:54" s="1" customFormat="1" ht="15" customHeight="1">
      <c r="C3" s="277"/>
      <c r="D3" s="277"/>
      <c r="E3" s="277"/>
      <c r="F3" s="277"/>
      <c r="G3" s="279" t="s">
        <v>82</v>
      </c>
      <c r="H3" s="279"/>
      <c r="I3" s="279"/>
      <c r="J3" s="281" t="s">
        <v>81</v>
      </c>
      <c r="K3" s="281"/>
      <c r="L3" s="281"/>
      <c r="AB3" s="17"/>
      <c r="AC3" s="18"/>
      <c r="AD3" s="18"/>
      <c r="AM3" s="5"/>
    </row>
    <row r="4" spans="1:54" s="1" customFormat="1" ht="15" customHeight="1">
      <c r="C4" s="277"/>
      <c r="D4" s="277"/>
      <c r="E4" s="277"/>
      <c r="F4" s="277"/>
      <c r="G4" s="280"/>
      <c r="H4" s="280"/>
      <c r="I4" s="280"/>
      <c r="J4" s="282"/>
      <c r="K4" s="282"/>
      <c r="L4" s="282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60" t="s">
        <v>11</v>
      </c>
      <c r="E7" s="260"/>
      <c r="F7" s="260"/>
      <c r="G7" s="260"/>
      <c r="H7" s="260"/>
      <c r="I7" s="260"/>
      <c r="J7" s="14"/>
      <c r="O7" s="261" t="s">
        <v>12</v>
      </c>
      <c r="P7" s="262"/>
      <c r="Q7" s="262"/>
      <c r="R7" s="262"/>
      <c r="S7" s="262"/>
      <c r="T7" s="262"/>
      <c r="U7" s="263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64" t="s">
        <v>8</v>
      </c>
      <c r="E8" s="264"/>
      <c r="F8" s="264"/>
      <c r="G8" s="226" t="s">
        <v>7</v>
      </c>
      <c r="H8" s="226"/>
      <c r="I8" s="226"/>
      <c r="J8" s="180" t="s">
        <v>16</v>
      </c>
      <c r="K8" s="180"/>
      <c r="L8" s="180"/>
      <c r="M8" s="180"/>
      <c r="N8" s="180"/>
      <c r="O8" s="265" t="s">
        <v>13</v>
      </c>
      <c r="P8" s="266"/>
      <c r="Q8" s="266"/>
      <c r="R8" s="267"/>
      <c r="S8" s="177" t="s">
        <v>14</v>
      </c>
      <c r="T8" s="178"/>
      <c r="U8" s="179"/>
      <c r="V8" s="180" t="s">
        <v>16</v>
      </c>
      <c r="W8" s="180"/>
      <c r="X8" s="180"/>
      <c r="Y8" s="180"/>
      <c r="Z8" s="180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68" t="s">
        <v>26</v>
      </c>
      <c r="E9" s="269"/>
      <c r="F9" s="269"/>
      <c r="G9" s="226" t="e">
        <f t="array" ref="G9">heureConvert2Decimal(D9)</f>
        <v>#VALUE!</v>
      </c>
      <c r="H9" s="226"/>
      <c r="I9" s="226"/>
      <c r="J9" s="270" t="e">
        <f t="array" ref="J9">heureDecimal2Txt(G9)</f>
        <v>#VALUE!</v>
      </c>
      <c r="K9" s="270"/>
      <c r="L9" s="270"/>
      <c r="M9" s="270"/>
      <c r="N9" s="270"/>
      <c r="O9" s="165" t="s">
        <v>148</v>
      </c>
      <c r="P9" s="166"/>
      <c r="Q9" s="166"/>
      <c r="R9" s="167"/>
      <c r="S9" s="271">
        <f t="array" ref="S9">angleConvert2Decimal(O9)</f>
        <v>0.46666666666666667</v>
      </c>
      <c r="T9" s="272"/>
      <c r="U9" s="273"/>
      <c r="V9" s="270" t="e">
        <f t="array" ref="V9">angleDecimal2Txt(S9)</f>
        <v>#VALUE!</v>
      </c>
      <c r="W9" s="270"/>
      <c r="X9" s="270"/>
      <c r="Y9" s="270"/>
      <c r="Z9" s="270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69"/>
      <c r="E10" s="269"/>
      <c r="F10" s="269"/>
      <c r="G10" s="226"/>
      <c r="H10" s="226"/>
      <c r="I10" s="226"/>
      <c r="J10" s="270"/>
      <c r="K10" s="270"/>
      <c r="L10" s="270"/>
      <c r="M10" s="270"/>
      <c r="N10" s="270"/>
      <c r="O10" s="250"/>
      <c r="P10" s="251"/>
      <c r="Q10" s="251"/>
      <c r="R10" s="252"/>
      <c r="S10" s="274"/>
      <c r="T10" s="275"/>
      <c r="U10" s="276"/>
      <c r="V10" s="270"/>
      <c r="W10" s="270"/>
      <c r="X10" s="270"/>
      <c r="Y10" s="270"/>
      <c r="Z10" s="270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68"/>
      <c r="E11" s="269"/>
      <c r="F11" s="269"/>
      <c r="G11" s="226">
        <v>11.9</v>
      </c>
      <c r="H11" s="226"/>
      <c r="I11" s="226"/>
      <c r="J11" s="270" t="e">
        <f t="array" ref="J11">heureDecimal2Txt(G11)</f>
        <v>#VALUE!</v>
      </c>
      <c r="K11" s="270"/>
      <c r="L11" s="270"/>
      <c r="M11" s="270"/>
      <c r="N11" s="270"/>
      <c r="O11" s="165"/>
      <c r="P11" s="166"/>
      <c r="Q11" s="166"/>
      <c r="R11" s="167"/>
      <c r="S11" s="271">
        <f>S9-59.2166667</f>
        <v>-58.750000033333329</v>
      </c>
      <c r="T11" s="272"/>
      <c r="U11" s="273"/>
      <c r="V11" s="270" t="e">
        <f t="array" ref="V11">angleDecimal2Txt(S11)</f>
        <v>#VALUE!</v>
      </c>
      <c r="W11" s="270"/>
      <c r="X11" s="270"/>
      <c r="Y11" s="270"/>
      <c r="Z11" s="270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69"/>
      <c r="E12" s="269"/>
      <c r="F12" s="269"/>
      <c r="G12" s="226"/>
      <c r="H12" s="226"/>
      <c r="I12" s="226"/>
      <c r="J12" s="270"/>
      <c r="K12" s="270"/>
      <c r="L12" s="270"/>
      <c r="M12" s="270"/>
      <c r="N12" s="270"/>
      <c r="O12" s="250"/>
      <c r="P12" s="251"/>
      <c r="Q12" s="251"/>
      <c r="R12" s="252"/>
      <c r="S12" s="274"/>
      <c r="T12" s="275"/>
      <c r="U12" s="276"/>
      <c r="V12" s="270"/>
      <c r="W12" s="270"/>
      <c r="X12" s="270"/>
      <c r="Y12" s="270"/>
      <c r="Z12" s="270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57" t="s">
        <v>17</v>
      </c>
      <c r="E14" s="258"/>
      <c r="F14" s="259"/>
      <c r="G14" s="14"/>
      <c r="H14" s="14"/>
      <c r="I14" s="257" t="s">
        <v>35</v>
      </c>
      <c r="J14" s="258"/>
      <c r="K14" s="259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24" t="s">
        <v>44</v>
      </c>
      <c r="X14" s="224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23</v>
      </c>
      <c r="J15" s="24" t="s">
        <v>30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24" t="s">
        <v>45</v>
      </c>
      <c r="X15" s="224"/>
      <c r="Y15" s="19" t="s">
        <v>46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30</v>
      </c>
      <c r="J16" s="27" t="s">
        <v>23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53" t="s">
        <v>50</v>
      </c>
      <c r="X16" s="253"/>
      <c r="Y16" s="29" t="s">
        <v>49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24" t="s">
        <v>47</v>
      </c>
      <c r="X17" s="254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24" t="s">
        <v>48</v>
      </c>
      <c r="X18" s="254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24" t="s">
        <v>53</v>
      </c>
      <c r="X19" s="224"/>
      <c r="Y19" s="37" t="s">
        <v>51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24" t="s">
        <v>52</v>
      </c>
      <c r="X20" s="254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24" t="s">
        <v>54</v>
      </c>
      <c r="X21" s="254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57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24" t="s">
        <v>55</v>
      </c>
      <c r="X22" s="224"/>
      <c r="Y22" s="285" t="s">
        <v>56</v>
      </c>
      <c r="Z22" s="285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84"/>
      <c r="X23" s="284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34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109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2:65" s="1" customFormat="1" ht="15" customHeight="1" thickTop="1">
      <c r="C33" s="239" t="s">
        <v>36</v>
      </c>
      <c r="D33" s="255" t="s">
        <v>20</v>
      </c>
      <c r="E33" s="211">
        <f t="array" ref="E33">angleConvert2Decimal(I33)*VLOOKUP(H33,$D$16:$F$17,3)</f>
        <v>49.1</v>
      </c>
      <c r="F33" s="211"/>
      <c r="G33" s="212"/>
      <c r="H33" s="215" t="s">
        <v>1</v>
      </c>
      <c r="I33" s="217">
        <v>49.1</v>
      </c>
      <c r="J33" s="218"/>
      <c r="K33" s="218"/>
      <c r="L33" s="218"/>
      <c r="M33" s="219"/>
      <c r="N33" s="208" t="e">
        <f t="array" ref="N33">angleDecimal2Txt(E33)</f>
        <v>#VALUE!</v>
      </c>
      <c r="O33" s="208"/>
      <c r="P33" s="208"/>
      <c r="Q33" s="208"/>
      <c r="R33" s="208"/>
      <c r="S33" s="208"/>
      <c r="T33" s="208"/>
      <c r="U33" s="208"/>
      <c r="V33" s="208"/>
      <c r="W33" s="209"/>
      <c r="AA33" s="17"/>
      <c r="AB33" s="40" t="s">
        <v>110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2:65" s="1" customFormat="1" ht="15" customHeight="1" thickBot="1">
      <c r="C34" s="240"/>
      <c r="D34" s="256"/>
      <c r="E34" s="213"/>
      <c r="F34" s="213"/>
      <c r="G34" s="214"/>
      <c r="H34" s="216"/>
      <c r="I34" s="220"/>
      <c r="J34" s="221"/>
      <c r="K34" s="221"/>
      <c r="L34" s="221"/>
      <c r="M34" s="222"/>
      <c r="N34" s="206"/>
      <c r="O34" s="206"/>
      <c r="P34" s="206"/>
      <c r="Q34" s="206"/>
      <c r="R34" s="206"/>
      <c r="S34" s="206"/>
      <c r="T34" s="206"/>
      <c r="U34" s="206"/>
      <c r="V34" s="206"/>
      <c r="W34" s="207"/>
      <c r="X34" s="1" t="s">
        <v>117</v>
      </c>
      <c r="AA34" s="17"/>
      <c r="AB34" s="41" t="s">
        <v>105</v>
      </c>
      <c r="AC34" s="14"/>
      <c r="AD34" s="42" t="s">
        <v>25</v>
      </c>
      <c r="AE34" s="42" t="s">
        <v>27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2:65" s="1" customFormat="1" ht="15" customHeight="1" thickTop="1">
      <c r="C35" s="240"/>
      <c r="D35" s="227" t="s">
        <v>21</v>
      </c>
      <c r="E35" s="211">
        <f t="array" ref="E35">angleConvert2Decimal(I35)*VLOOKUP(H35,$E$16:$F$17,2)</f>
        <v>2.5</v>
      </c>
      <c r="F35" s="211"/>
      <c r="G35" s="212"/>
      <c r="H35" s="229" t="s">
        <v>3</v>
      </c>
      <c r="I35" s="231">
        <v>2.5</v>
      </c>
      <c r="J35" s="232"/>
      <c r="K35" s="232"/>
      <c r="L35" s="232"/>
      <c r="M35" s="233"/>
      <c r="N35" s="208" t="e">
        <f t="array" ref="N35">angleDecimal2Txt(E35)</f>
        <v>#VALUE!</v>
      </c>
      <c r="O35" s="208"/>
      <c r="P35" s="208"/>
      <c r="Q35" s="208"/>
      <c r="R35" s="208"/>
      <c r="S35" s="208"/>
      <c r="T35" s="208"/>
      <c r="U35" s="208"/>
      <c r="V35" s="208"/>
      <c r="W35" s="209"/>
      <c r="AA35" s="17"/>
      <c r="AB35" s="14"/>
      <c r="AC35" s="43" t="s">
        <v>106</v>
      </c>
      <c r="AD35" s="16">
        <f>$E$41-$E$35</f>
        <v>136.6</v>
      </c>
      <c r="AE35" s="42">
        <f>AD35*AC33</f>
        <v>2.3841197582242541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2:65" s="1" customFormat="1" ht="15" customHeight="1" thickBot="1">
      <c r="C36" s="241"/>
      <c r="D36" s="228"/>
      <c r="E36" s="213"/>
      <c r="F36" s="213"/>
      <c r="G36" s="214"/>
      <c r="H36" s="230"/>
      <c r="I36" s="234"/>
      <c r="J36" s="235"/>
      <c r="K36" s="235"/>
      <c r="L36" s="235"/>
      <c r="M36" s="236"/>
      <c r="N36" s="206"/>
      <c r="O36" s="206"/>
      <c r="P36" s="206"/>
      <c r="Q36" s="206"/>
      <c r="R36" s="206"/>
      <c r="S36" s="206"/>
      <c r="T36" s="206"/>
      <c r="U36" s="206"/>
      <c r="V36" s="206"/>
      <c r="W36" s="207"/>
      <c r="Z36" s="12"/>
      <c r="AA36" s="44"/>
      <c r="AB36" s="14"/>
      <c r="AC36" s="43" t="s">
        <v>107</v>
      </c>
      <c r="AD36" s="16">
        <f>$E$39-$E$33</f>
        <v>-0.10000000000000142</v>
      </c>
      <c r="AE36" s="42">
        <f>AD36*AC33</f>
        <v>-1.7453292519943543E-3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2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108</v>
      </c>
      <c r="AD37" s="43">
        <f>(E39+E33)/2</f>
        <v>49.05</v>
      </c>
      <c r="AE37" s="42">
        <f>AD37*AC33</f>
        <v>0.85608399810321856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2:65" s="1" customFormat="1" ht="15" customHeight="1" thickBot="1">
      <c r="C38" s="14"/>
      <c r="Y38" s="14"/>
      <c r="Z38" s="12"/>
      <c r="AA38" s="44"/>
      <c r="AB38" s="14"/>
      <c r="AC38" s="43" t="s">
        <v>127</v>
      </c>
      <c r="AD38" s="43">
        <f>ABS(AE35/AE36)*COS(AE37)</f>
        <v>895.27663346549798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2:65" s="1" customFormat="1" ht="15" customHeight="1" thickTop="1">
      <c r="C39" s="239" t="s">
        <v>9</v>
      </c>
      <c r="D39" s="255" t="s">
        <v>20</v>
      </c>
      <c r="E39" s="211">
        <f t="array" ref="E39">angleConvert2Decimal(I39)</f>
        <v>49</v>
      </c>
      <c r="F39" s="211"/>
      <c r="G39" s="212"/>
      <c r="H39" s="215" t="s">
        <v>1</v>
      </c>
      <c r="I39" s="217">
        <v>49</v>
      </c>
      <c r="J39" s="218"/>
      <c r="K39" s="218"/>
      <c r="L39" s="218"/>
      <c r="M39" s="219"/>
      <c r="N39" s="208" t="e">
        <f t="array" ref="N39">angleDecimal2Txt(E39)</f>
        <v>#VALUE!</v>
      </c>
      <c r="O39" s="208"/>
      <c r="P39" s="208"/>
      <c r="Q39" s="208"/>
      <c r="R39" s="208"/>
      <c r="S39" s="208"/>
      <c r="T39" s="208"/>
      <c r="U39" s="208"/>
      <c r="V39" s="208"/>
      <c r="W39" s="209"/>
      <c r="Y39" s="14"/>
      <c r="Z39" s="12"/>
      <c r="AA39" s="44"/>
      <c r="AB39" s="14"/>
      <c r="AC39" s="45" t="s">
        <v>118</v>
      </c>
      <c r="AD39" s="45">
        <f>ATAN(AD38)*$AC$32</f>
        <v>89.936002176820651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2:65" s="1" customFormat="1" ht="15" customHeight="1" thickBot="1">
      <c r="C40" s="240"/>
      <c r="D40" s="256"/>
      <c r="E40" s="213"/>
      <c r="F40" s="213"/>
      <c r="G40" s="214"/>
      <c r="H40" s="216"/>
      <c r="I40" s="220"/>
      <c r="J40" s="221"/>
      <c r="K40" s="221"/>
      <c r="L40" s="221"/>
      <c r="M40" s="222"/>
      <c r="N40" s="206"/>
      <c r="O40" s="206"/>
      <c r="P40" s="206"/>
      <c r="Q40" s="206"/>
      <c r="R40" s="206"/>
      <c r="S40" s="206"/>
      <c r="T40" s="206"/>
      <c r="U40" s="206"/>
      <c r="V40" s="206"/>
      <c r="W40" s="207"/>
      <c r="X40" s="1" t="s">
        <v>116</v>
      </c>
      <c r="Y40" s="14"/>
      <c r="Z40" s="12"/>
      <c r="AA40" s="44"/>
      <c r="AB40" s="14"/>
      <c r="AC40" s="45" t="s">
        <v>119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2:65" s="1" customFormat="1" ht="15" customHeight="1" thickTop="1">
      <c r="C41" s="240"/>
      <c r="D41" s="227" t="s">
        <v>21</v>
      </c>
      <c r="E41" s="211">
        <f t="array" ref="E41">angleConvert2Decimal(I41)*VLOOKUP(H41,$E$16:$F$17,2)</f>
        <v>139.1</v>
      </c>
      <c r="F41" s="211"/>
      <c r="G41" s="212"/>
      <c r="H41" s="229" t="s">
        <v>3</v>
      </c>
      <c r="I41" s="231">
        <v>139.1</v>
      </c>
      <c r="J41" s="232"/>
      <c r="K41" s="232"/>
      <c r="L41" s="232"/>
      <c r="M41" s="233"/>
      <c r="N41" s="208" t="e">
        <f t="array" ref="N41">angleDecimal2Txt(E41)</f>
        <v>#VALUE!</v>
      </c>
      <c r="O41" s="208"/>
      <c r="P41" s="208"/>
      <c r="Q41" s="208"/>
      <c r="R41" s="208"/>
      <c r="S41" s="208"/>
      <c r="T41" s="208"/>
      <c r="U41" s="208"/>
      <c r="V41" s="208"/>
      <c r="W41" s="209"/>
      <c r="Y41" s="14"/>
      <c r="Z41" s="12"/>
      <c r="AA41" s="44"/>
      <c r="AB41" s="14"/>
      <c r="AC41" s="45" t="s">
        <v>39</v>
      </c>
      <c r="AD41" s="45">
        <f>IF(AD40="NE",AD39,IF(AD40="NW",360-AD39,IF(AD40="SE",180-AD39,180+AD39)))</f>
        <v>90.063997823179349</v>
      </c>
      <c r="AE41" s="14">
        <f>AD41*AC33</f>
        <v>1.5719132995234855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2:65" s="1" customFormat="1" ht="15" customHeight="1" thickBot="1">
      <c r="C42" s="241"/>
      <c r="D42" s="228"/>
      <c r="E42" s="213"/>
      <c r="F42" s="213"/>
      <c r="G42" s="214"/>
      <c r="H42" s="230"/>
      <c r="I42" s="234"/>
      <c r="J42" s="235"/>
      <c r="K42" s="235"/>
      <c r="L42" s="235"/>
      <c r="M42" s="236"/>
      <c r="N42" s="206"/>
      <c r="O42" s="206"/>
      <c r="P42" s="206"/>
      <c r="Q42" s="206"/>
      <c r="R42" s="206"/>
      <c r="S42" s="206"/>
      <c r="T42" s="206"/>
      <c r="U42" s="206"/>
      <c r="V42" s="206"/>
      <c r="W42" s="207"/>
      <c r="Y42" s="14"/>
      <c r="Z42" s="12"/>
      <c r="AA42" s="44"/>
      <c r="AB42" s="14"/>
      <c r="AC42" s="45" t="s">
        <v>111</v>
      </c>
      <c r="AD42" s="45">
        <f>60*AD36/COS(AE41)</f>
        <v>5371.6631517123951</v>
      </c>
      <c r="AE42" s="14">
        <f>AD42*1.852</f>
        <v>9948.3201569713565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2:65" ht="15" customHeight="1">
      <c r="Z43" s="12"/>
      <c r="AA43" s="44"/>
      <c r="AB43" s="46" t="s">
        <v>112</v>
      </c>
      <c r="AC43" s="14"/>
      <c r="AE43" s="12"/>
      <c r="AF43" s="12"/>
      <c r="AG43" s="12"/>
    </row>
    <row r="44" spans="2:65" ht="15" customHeight="1">
      <c r="Z44" s="12"/>
      <c r="AA44" s="44"/>
      <c r="AB44" s="14"/>
      <c r="AC44" s="47" t="s">
        <v>106</v>
      </c>
      <c r="AD44" s="48">
        <f>$E$41-$E$35</f>
        <v>136.6</v>
      </c>
      <c r="AE44" s="49">
        <f>AD44*AC33</f>
        <v>2.3841197582242541</v>
      </c>
      <c r="AF44" s="12"/>
      <c r="AG44" s="12"/>
    </row>
    <row r="45" spans="2:65" ht="15" customHeight="1">
      <c r="E45" s="237" t="s">
        <v>129</v>
      </c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7"/>
      <c r="S45" s="237"/>
      <c r="U45" s="188" t="s">
        <v>37</v>
      </c>
      <c r="V45" s="189"/>
      <c r="W45" s="189"/>
      <c r="X45" s="190"/>
      <c r="AB45" s="14"/>
      <c r="AC45" s="50" t="s">
        <v>107</v>
      </c>
      <c r="AD45" s="16">
        <f>$E$39-$E$33</f>
        <v>-0.10000000000000142</v>
      </c>
      <c r="AE45" s="51" t="s">
        <v>121</v>
      </c>
      <c r="AF45" s="51" t="s">
        <v>122</v>
      </c>
      <c r="AG45" s="51" t="s">
        <v>123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2:65" s="1" customFormat="1" ht="15" customHeight="1">
      <c r="B46" s="223" t="s">
        <v>128</v>
      </c>
      <c r="C46" s="223"/>
      <c r="D46" s="14"/>
      <c r="E46" s="197" t="e">
        <f t="array" ref="E46">angleDecimal2Txt(I46,0)</f>
        <v>#VALUE!</v>
      </c>
      <c r="F46" s="197"/>
      <c r="G46" s="197"/>
      <c r="H46" s="197"/>
      <c r="I46" s="187">
        <f>IF(OR(AF57,AE55),AD58,AD41)</f>
        <v>90</v>
      </c>
      <c r="J46" s="187"/>
      <c r="K46" s="187"/>
      <c r="L46" s="238" t="e">
        <f t="array" ref="L46">angleDecimal2Txt(I46)</f>
        <v>#VALUE!</v>
      </c>
      <c r="M46" s="238"/>
      <c r="N46" s="238"/>
      <c r="O46" s="238"/>
      <c r="P46" s="238"/>
      <c r="Q46" s="238"/>
      <c r="R46" s="238"/>
      <c r="S46" s="238"/>
      <c r="U46" s="191">
        <f>IF(OR(AF57,AE55),AD59,AD42)</f>
        <v>5371.6598007930643</v>
      </c>
      <c r="V46" s="192"/>
      <c r="W46" s="192"/>
      <c r="X46" s="193"/>
      <c r="AA46" s="17"/>
      <c r="AB46" s="14"/>
      <c r="AC46" s="50" t="s">
        <v>114</v>
      </c>
      <c r="AD46" s="11">
        <f>AG46</f>
        <v>0.98647087183363136</v>
      </c>
      <c r="AE46" s="51">
        <f>PI()/4 + E33*$AC$33/2</f>
        <v>1.2138764947620562</v>
      </c>
      <c r="AF46" s="51">
        <f>TAN(AE46)</f>
        <v>2.6817535005930826</v>
      </c>
      <c r="AG46" s="51">
        <f>LN(AF46)</f>
        <v>0.98647087183363136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2:65" s="1" customFormat="1" ht="15" customHeight="1">
      <c r="B47" s="223"/>
      <c r="C47" s="223"/>
      <c r="D47" s="14"/>
      <c r="E47" s="197"/>
      <c r="F47" s="197"/>
      <c r="G47" s="197"/>
      <c r="H47" s="197"/>
      <c r="I47" s="187"/>
      <c r="J47" s="187"/>
      <c r="K47" s="187"/>
      <c r="L47" s="238"/>
      <c r="M47" s="238"/>
      <c r="N47" s="238"/>
      <c r="O47" s="238"/>
      <c r="P47" s="238"/>
      <c r="Q47" s="238"/>
      <c r="R47" s="238"/>
      <c r="S47" s="238"/>
      <c r="U47" s="194"/>
      <c r="V47" s="195"/>
      <c r="W47" s="195"/>
      <c r="X47" s="196"/>
      <c r="AA47" s="17"/>
      <c r="AB47" s="14"/>
      <c r="AC47" s="50" t="s">
        <v>113</v>
      </c>
      <c r="AD47" s="11">
        <f>AG47</f>
        <v>0.98380787273879144</v>
      </c>
      <c r="AE47" s="51">
        <f>PI()/4 + E39*$AC$33/2</f>
        <v>1.2130038301360591</v>
      </c>
      <c r="AF47" s="51">
        <f>TAN(AE47)</f>
        <v>2.674621493926824</v>
      </c>
      <c r="AG47" s="51">
        <f>LN(AF47)</f>
        <v>0.98380787273879144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2:65" ht="15" customHeight="1">
      <c r="AB48" s="14"/>
      <c r="AC48" s="50" t="s">
        <v>115</v>
      </c>
      <c r="AD48" s="11">
        <f>AD47-AD46</f>
        <v>-2.6629990948399129E-3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288" t="s">
        <v>112</v>
      </c>
      <c r="C49" s="288"/>
      <c r="E49" s="197" t="e">
        <f t="array" ref="E49">angleDecimal2Txt(I49,0)</f>
        <v>#VALUE!</v>
      </c>
      <c r="F49" s="197"/>
      <c r="G49" s="197"/>
      <c r="H49" s="197"/>
      <c r="I49" s="187">
        <f>AD52</f>
        <v>90.063997852876852</v>
      </c>
      <c r="J49" s="187"/>
      <c r="K49" s="187"/>
      <c r="L49" s="238" t="e">
        <f t="array" ref="L49">angleDecimal2Txt(I49)</f>
        <v>#VALUE!</v>
      </c>
      <c r="M49" s="238"/>
      <c r="N49" s="238"/>
      <c r="O49" s="238"/>
      <c r="P49" s="238"/>
      <c r="Q49" s="238"/>
      <c r="R49" s="238"/>
      <c r="S49" s="238"/>
      <c r="T49" s="1"/>
      <c r="U49" s="191">
        <f>AD53</f>
        <v>5371.6606590521533</v>
      </c>
      <c r="V49" s="192"/>
      <c r="W49" s="192"/>
      <c r="X49" s="193"/>
      <c r="AB49" s="14"/>
      <c r="AC49" s="43" t="s">
        <v>127</v>
      </c>
      <c r="AD49" s="42">
        <f>ABS(AE44/AD48)</f>
        <v>895.2762180219878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288"/>
      <c r="C50" s="288"/>
      <c r="E50" s="197"/>
      <c r="F50" s="197"/>
      <c r="G50" s="197"/>
      <c r="H50" s="197"/>
      <c r="I50" s="187"/>
      <c r="J50" s="187"/>
      <c r="K50" s="187"/>
      <c r="L50" s="238"/>
      <c r="M50" s="238"/>
      <c r="N50" s="238"/>
      <c r="O50" s="238"/>
      <c r="P50" s="238"/>
      <c r="Q50" s="238"/>
      <c r="R50" s="238"/>
      <c r="S50" s="238"/>
      <c r="T50" s="1"/>
      <c r="U50" s="194"/>
      <c r="V50" s="195"/>
      <c r="W50" s="195"/>
      <c r="X50" s="196"/>
      <c r="AA50" s="17"/>
      <c r="AB50" s="14"/>
      <c r="AC50" s="45" t="s">
        <v>118</v>
      </c>
      <c r="AD50" s="52">
        <f>ATAN(AD49)*$AC$32</f>
        <v>89.936002147123148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119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39</v>
      </c>
      <c r="AD52" s="45">
        <f>IF(AD51="NE",AD50,IF(AD51="NW",360-AD50,IF(AD51="SE",180-AD50,180+AD50)))</f>
        <v>90.063997852876852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111</v>
      </c>
      <c r="AD53" s="45">
        <f>ABS(60*AD45/COS(AD52*$AC$33))</f>
        <v>5371.6606590521533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120</v>
      </c>
      <c r="AC54" s="12"/>
      <c r="AD54" s="12"/>
      <c r="AE54" s="12" t="s">
        <v>125</v>
      </c>
      <c r="AF54" s="12" t="s">
        <v>126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124</v>
      </c>
      <c r="AD55" s="54">
        <f>E39-E33</f>
        <v>-0.10000000000000142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106</v>
      </c>
      <c r="AD56" s="48">
        <f>$E$41-$E$35</f>
        <v>136.6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127</v>
      </c>
      <c r="AD57" s="12">
        <f>ABS(AE35/AE36)*COS(AE37)</f>
        <v>895.27663346549798</v>
      </c>
      <c r="AF57" s="14" t="b">
        <f>IF(IFERROR(AD57,TRUE), TRUE, IF((AD57&gt;AF55),TRUE,FALSE))</f>
        <v>1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39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37" t="s">
        <v>130</v>
      </c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37"/>
      <c r="S59" s="237"/>
      <c r="U59" s="188" t="s">
        <v>37</v>
      </c>
      <c r="V59" s="189"/>
      <c r="W59" s="189"/>
      <c r="X59" s="190"/>
      <c r="AB59" s="12"/>
      <c r="AC59" s="57" t="s">
        <v>111</v>
      </c>
      <c r="AD59" s="57">
        <f>60 * ABS(AD56 * COS(AE37))</f>
        <v>5371.6598007930643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23" t="s">
        <v>112</v>
      </c>
      <c r="C60" s="223"/>
      <c r="E60" s="197" t="e">
        <f t="array" ref="E60">angleDecimal2Txt(I60,0)</f>
        <v>#VALUE!</v>
      </c>
      <c r="F60" s="197"/>
      <c r="G60" s="197"/>
      <c r="H60" s="197"/>
      <c r="I60" s="187">
        <f>AD66</f>
        <v>67.718563531590618</v>
      </c>
      <c r="J60" s="187"/>
      <c r="K60" s="187"/>
      <c r="L60" s="238" t="e">
        <f t="array" ref="L60">angleDecimal2Txt(I60)</f>
        <v>#VALUE!</v>
      </c>
      <c r="M60" s="238"/>
      <c r="N60" s="238"/>
      <c r="O60" s="238"/>
      <c r="P60" s="238"/>
      <c r="Q60" s="238"/>
      <c r="R60" s="238"/>
      <c r="S60" s="238"/>
      <c r="T60" s="1"/>
      <c r="U60" s="191">
        <f>AD64</f>
        <v>4501.6667210167871</v>
      </c>
      <c r="V60" s="192"/>
      <c r="W60" s="192"/>
      <c r="X60" s="193"/>
      <c r="AB60" s="41" t="s">
        <v>131</v>
      </c>
      <c r="AC60" s="12"/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23"/>
      <c r="C61" s="223"/>
      <c r="E61" s="197"/>
      <c r="F61" s="197"/>
      <c r="G61" s="197"/>
      <c r="H61" s="197"/>
      <c r="I61" s="187"/>
      <c r="J61" s="187"/>
      <c r="K61" s="187"/>
      <c r="L61" s="238"/>
      <c r="M61" s="238"/>
      <c r="N61" s="238"/>
      <c r="O61" s="238"/>
      <c r="P61" s="238"/>
      <c r="Q61" s="238"/>
      <c r="R61" s="238"/>
      <c r="S61" s="238"/>
      <c r="T61" s="1"/>
      <c r="U61" s="194"/>
      <c r="V61" s="195"/>
      <c r="W61" s="195"/>
      <c r="X61" s="196"/>
      <c r="AB61" s="12"/>
      <c r="AC61" s="12" t="s">
        <v>132</v>
      </c>
      <c r="AD61" s="54">
        <f>E41-E35</f>
        <v>136.6</v>
      </c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133</v>
      </c>
      <c r="AD62" s="12">
        <f>SIN(E39*AC33)*SIN(E33*AC33)+COS(E39*AC33)*COS(E33*AC33)*COS(AD61*AC33)</f>
        <v>0.25835070537528781</v>
      </c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AB63" s="12"/>
      <c r="AC63" s="14" t="s">
        <v>45</v>
      </c>
      <c r="AD63" s="14">
        <f>AE63*AC32</f>
        <v>75.027778683613121</v>
      </c>
      <c r="AE63" s="14">
        <f>ACOS(AD62)</f>
        <v>1.309481768486666</v>
      </c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AB64" s="12"/>
      <c r="AC64" s="58" t="s">
        <v>135</v>
      </c>
      <c r="AD64" s="56">
        <f>60*ACOS(AD62)*AC32</f>
        <v>4501.6667210167871</v>
      </c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AB65" s="12"/>
      <c r="AC65" s="12" t="s">
        <v>134</v>
      </c>
      <c r="AD65" s="12">
        <f>((SIN(E39*AC33)-SIN(E33*AC33)*AD62)/SIN(AE63)*COS(E33*AC33))</f>
        <v>0.37915637652931999</v>
      </c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136</v>
      </c>
      <c r="AD66" s="56">
        <f>AE66*AC32</f>
        <v>67.718563531590618</v>
      </c>
      <c r="AE66" s="14">
        <f>ACOS(AD65)</f>
        <v>1.1819118983472154</v>
      </c>
      <c r="AF66" s="12"/>
      <c r="AG66" s="12"/>
    </row>
    <row r="67" spans="2:65" s="1" customFormat="1" ht="15" customHeight="1" thickBot="1">
      <c r="B67" s="2" t="s">
        <v>38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239" t="s">
        <v>36</v>
      </c>
      <c r="D69" s="289" t="s">
        <v>20</v>
      </c>
      <c r="E69" s="211">
        <f t="array" ref="E69">angleConvert2Decimal(I69)*VLOOKUP(H69,D16:F17,3)</f>
        <v>40.016666666666666</v>
      </c>
      <c r="F69" s="211"/>
      <c r="G69" s="212"/>
      <c r="H69" s="215" t="s">
        <v>1</v>
      </c>
      <c r="I69" s="217" t="s">
        <v>103</v>
      </c>
      <c r="J69" s="218"/>
      <c r="K69" s="218"/>
      <c r="L69" s="218"/>
      <c r="M69" s="219"/>
      <c r="N69" s="208" t="e">
        <f t="array" ref="N69">angleDecimal2Txt(E69)</f>
        <v>#VALUE!</v>
      </c>
      <c r="O69" s="208"/>
      <c r="P69" s="208"/>
      <c r="Q69" s="208"/>
      <c r="R69" s="208"/>
      <c r="S69" s="208"/>
      <c r="T69" s="208"/>
      <c r="U69" s="208"/>
      <c r="V69" s="208"/>
      <c r="W69" s="209"/>
      <c r="AA69" s="17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240"/>
      <c r="D70" s="290"/>
      <c r="E70" s="213"/>
      <c r="F70" s="213"/>
      <c r="G70" s="214"/>
      <c r="H70" s="216"/>
      <c r="I70" s="220"/>
      <c r="J70" s="221"/>
      <c r="K70" s="221"/>
      <c r="L70" s="221"/>
      <c r="M70" s="222"/>
      <c r="N70" s="206"/>
      <c r="O70" s="206"/>
      <c r="P70" s="206"/>
      <c r="Q70" s="206"/>
      <c r="R70" s="206"/>
      <c r="S70" s="206"/>
      <c r="T70" s="206"/>
      <c r="U70" s="206"/>
      <c r="V70" s="206"/>
      <c r="W70" s="207"/>
      <c r="AA70" s="17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240"/>
      <c r="D71" s="290" t="s">
        <v>21</v>
      </c>
      <c r="E71" s="211">
        <f t="array" ref="E71">angleConvert2Decimal(I71)*VLOOKUP(H71,E16:F18,2)</f>
        <v>5.7166666666666668</v>
      </c>
      <c r="F71" s="211"/>
      <c r="G71" s="212"/>
      <c r="H71" s="229" t="s">
        <v>3</v>
      </c>
      <c r="I71" s="231" t="s">
        <v>104</v>
      </c>
      <c r="J71" s="232"/>
      <c r="K71" s="232"/>
      <c r="L71" s="232"/>
      <c r="M71" s="233"/>
      <c r="N71" s="208" t="e">
        <f t="array" ref="N71">angleDecimal2Txt(E71)</f>
        <v>#VALUE!</v>
      </c>
      <c r="O71" s="208"/>
      <c r="P71" s="208"/>
      <c r="Q71" s="208"/>
      <c r="R71" s="208"/>
      <c r="S71" s="208"/>
      <c r="T71" s="208"/>
      <c r="U71" s="208"/>
      <c r="V71" s="208"/>
      <c r="W71" s="209"/>
      <c r="AA71" s="17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241"/>
      <c r="D72" s="291"/>
      <c r="E72" s="213"/>
      <c r="F72" s="213"/>
      <c r="G72" s="214"/>
      <c r="H72" s="230"/>
      <c r="I72" s="234"/>
      <c r="J72" s="235"/>
      <c r="K72" s="235"/>
      <c r="L72" s="235"/>
      <c r="M72" s="236"/>
      <c r="N72" s="206"/>
      <c r="O72" s="206"/>
      <c r="P72" s="206"/>
      <c r="Q72" s="206"/>
      <c r="R72" s="206"/>
      <c r="S72" s="206"/>
      <c r="T72" s="206"/>
      <c r="U72" s="206"/>
      <c r="V72" s="206"/>
      <c r="W72" s="207"/>
      <c r="AA72" s="17"/>
      <c r="AB72" s="12" t="s">
        <v>138</v>
      </c>
      <c r="AC72" s="12">
        <f>F75*K15</f>
        <v>2.0943951023931953</v>
      </c>
      <c r="AD72" s="12" t="s">
        <v>27</v>
      </c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111</v>
      </c>
      <c r="AC73" s="12">
        <f>F77*F79/60</f>
        <v>0.33333333333333331</v>
      </c>
      <c r="AD73" s="12" t="s">
        <v>25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239" t="s">
        <v>40</v>
      </c>
      <c r="D75" s="298" t="s">
        <v>41</v>
      </c>
      <c r="E75" s="299"/>
      <c r="F75" s="307">
        <v>120</v>
      </c>
      <c r="G75" s="308"/>
      <c r="H75" s="308"/>
      <c r="I75" s="210">
        <v>120</v>
      </c>
      <c r="J75" s="210"/>
      <c r="K75" s="210"/>
      <c r="L75" s="210"/>
      <c r="M75" s="210"/>
      <c r="N75" s="208" t="e">
        <f t="array" ref="N75">angleDecimal2Txt(F75)</f>
        <v>#VALUE!</v>
      </c>
      <c r="O75" s="208"/>
      <c r="P75" s="208"/>
      <c r="Q75" s="208"/>
      <c r="R75" s="208"/>
      <c r="S75" s="208"/>
      <c r="T75" s="208"/>
      <c r="U75" s="208"/>
      <c r="V75" s="208"/>
      <c r="W75" s="209"/>
      <c r="AA75" s="17"/>
      <c r="AB75" s="12" t="s">
        <v>139</v>
      </c>
      <c r="AC75" s="12">
        <f>E69+AC73*COS(AC72)</f>
        <v>39.85</v>
      </c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294"/>
      <c r="D76" s="288"/>
      <c r="E76" s="300"/>
      <c r="F76" s="307"/>
      <c r="G76" s="308"/>
      <c r="H76" s="308"/>
      <c r="I76" s="210"/>
      <c r="J76" s="210"/>
      <c r="K76" s="210"/>
      <c r="L76" s="210"/>
      <c r="M76" s="210"/>
      <c r="N76" s="206"/>
      <c r="O76" s="206"/>
      <c r="P76" s="206"/>
      <c r="Q76" s="206"/>
      <c r="R76" s="206"/>
      <c r="S76" s="206"/>
      <c r="T76" s="206"/>
      <c r="U76" s="206"/>
      <c r="V76" s="206"/>
      <c r="W76" s="207"/>
      <c r="AA76" s="17"/>
      <c r="AB76" s="12" t="s">
        <v>140</v>
      </c>
      <c r="AC76" s="12">
        <f>(AC75+E69)/2</f>
        <v>39.933333333333337</v>
      </c>
      <c r="AD76" s="12">
        <f>AC76*K15</f>
        <v>0.69696814796306905</v>
      </c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294"/>
      <c r="D77" s="288" t="s">
        <v>40</v>
      </c>
      <c r="E77" s="300"/>
      <c r="F77" s="307">
        <f>I77</f>
        <v>10</v>
      </c>
      <c r="G77" s="308"/>
      <c r="H77" s="308"/>
      <c r="I77" s="210">
        <v>10</v>
      </c>
      <c r="J77" s="210"/>
      <c r="K77" s="210"/>
      <c r="L77" s="210"/>
      <c r="M77" s="210"/>
      <c r="N77" s="203"/>
      <c r="O77" s="203"/>
      <c r="P77" s="203"/>
      <c r="Q77" s="203"/>
      <c r="R77" s="203"/>
      <c r="S77" s="203"/>
      <c r="T77" s="203"/>
      <c r="U77" s="203"/>
      <c r="V77" s="203"/>
      <c r="W77" s="203"/>
      <c r="AA77" s="17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294"/>
      <c r="D78" s="288"/>
      <c r="E78" s="300"/>
      <c r="F78" s="307"/>
      <c r="G78" s="308"/>
      <c r="H78" s="308"/>
      <c r="I78" s="210"/>
      <c r="J78" s="210"/>
      <c r="K78" s="210"/>
      <c r="L78" s="210"/>
      <c r="M78" s="210"/>
      <c r="N78" s="203"/>
      <c r="O78" s="203"/>
      <c r="P78" s="203"/>
      <c r="Q78" s="203"/>
      <c r="R78" s="203"/>
      <c r="S78" s="203"/>
      <c r="T78" s="203"/>
      <c r="U78" s="203"/>
      <c r="V78" s="203"/>
      <c r="W78" s="203"/>
      <c r="AA78" s="17"/>
      <c r="AB78" s="1" t="s">
        <v>55</v>
      </c>
      <c r="AC78" s="1">
        <f>E71+AC73*SIN(AC72)/COS(AD76)</f>
        <v>6.0931379837585844</v>
      </c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294"/>
      <c r="D79" s="288" t="s">
        <v>43</v>
      </c>
      <c r="E79" s="300"/>
      <c r="F79" s="307">
        <v>2</v>
      </c>
      <c r="G79" s="308"/>
      <c r="H79" s="308"/>
      <c r="I79" s="306" t="s">
        <v>137</v>
      </c>
      <c r="J79" s="306"/>
      <c r="K79" s="306"/>
      <c r="L79" s="306"/>
      <c r="M79" s="306"/>
      <c r="N79" s="208" t="e">
        <f t="array" ref="N79">heureDecimal2Txt(F79)</f>
        <v>#VALUE!</v>
      </c>
      <c r="O79" s="208"/>
      <c r="P79" s="208"/>
      <c r="Q79" s="208"/>
      <c r="R79" s="208"/>
      <c r="S79" s="208"/>
      <c r="T79" s="208"/>
      <c r="U79" s="208"/>
      <c r="V79" s="208"/>
      <c r="W79" s="209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295"/>
      <c r="D80" s="309"/>
      <c r="E80" s="310"/>
      <c r="F80" s="307"/>
      <c r="G80" s="308"/>
      <c r="H80" s="308"/>
      <c r="I80" s="306"/>
      <c r="J80" s="306"/>
      <c r="K80" s="306"/>
      <c r="L80" s="306"/>
      <c r="M80" s="306"/>
      <c r="N80" s="206"/>
      <c r="O80" s="206"/>
      <c r="P80" s="206"/>
      <c r="Q80" s="206"/>
      <c r="R80" s="206"/>
      <c r="S80" s="206"/>
      <c r="T80" s="206"/>
      <c r="U80" s="206"/>
      <c r="V80" s="206"/>
      <c r="W80" s="207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303" t="s">
        <v>42</v>
      </c>
      <c r="G83" s="304"/>
      <c r="H83" s="304"/>
      <c r="I83" s="304"/>
      <c r="J83" s="304"/>
      <c r="K83" s="304"/>
      <c r="L83" s="304"/>
      <c r="M83" s="304"/>
      <c r="N83" s="304"/>
      <c r="O83" s="304"/>
      <c r="P83" s="304"/>
      <c r="Q83" s="304"/>
      <c r="R83" s="304"/>
      <c r="S83" s="304"/>
      <c r="T83" s="304"/>
      <c r="U83" s="304"/>
      <c r="V83" s="304"/>
      <c r="W83" s="304"/>
      <c r="X83" s="304"/>
      <c r="Y83" s="305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92" t="s">
        <v>20</v>
      </c>
      <c r="G84" s="296">
        <f>E69+F77*F79*COS(F75*K15)/60</f>
        <v>39.85</v>
      </c>
      <c r="H84" s="296"/>
      <c r="I84" s="296"/>
      <c r="J84" s="296"/>
      <c r="K84" s="296"/>
      <c r="L84" s="296"/>
      <c r="M84" s="296"/>
      <c r="N84" s="296"/>
      <c r="O84" s="296"/>
      <c r="P84" s="204" t="e">
        <f t="array" ref="P84">angleDecimal2Txt(G84)</f>
        <v>#VALUE!</v>
      </c>
      <c r="Q84" s="204"/>
      <c r="R84" s="204"/>
      <c r="S84" s="204"/>
      <c r="T84" s="204"/>
      <c r="U84" s="204"/>
      <c r="V84" s="204"/>
      <c r="W84" s="204"/>
      <c r="X84" s="204"/>
      <c r="Y84" s="205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93"/>
      <c r="G85" s="296"/>
      <c r="H85" s="296"/>
      <c r="I85" s="296"/>
      <c r="J85" s="296"/>
      <c r="K85" s="296"/>
      <c r="L85" s="296"/>
      <c r="M85" s="296"/>
      <c r="N85" s="296"/>
      <c r="O85" s="296"/>
      <c r="P85" s="206"/>
      <c r="Q85" s="206"/>
      <c r="R85" s="206"/>
      <c r="S85" s="206"/>
      <c r="T85" s="206"/>
      <c r="U85" s="206"/>
      <c r="V85" s="206"/>
      <c r="W85" s="206"/>
      <c r="X85" s="206"/>
      <c r="Y85" s="207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301" t="s">
        <v>21</v>
      </c>
      <c r="G86" s="297">
        <f>AC78</f>
        <v>6.0931379837585844</v>
      </c>
      <c r="H86" s="296"/>
      <c r="I86" s="296"/>
      <c r="J86" s="296"/>
      <c r="K86" s="296"/>
      <c r="L86" s="296"/>
      <c r="M86" s="296"/>
      <c r="N86" s="296"/>
      <c r="O86" s="296"/>
      <c r="P86" s="208" t="e">
        <f t="array" ref="P86">angleDecimal2Txt(G86)</f>
        <v>#VALUE!</v>
      </c>
      <c r="Q86" s="208"/>
      <c r="R86" s="208"/>
      <c r="S86" s="208"/>
      <c r="T86" s="208"/>
      <c r="U86" s="208"/>
      <c r="V86" s="208"/>
      <c r="W86" s="208"/>
      <c r="X86" s="208"/>
      <c r="Y86" s="209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302"/>
      <c r="G87" s="296"/>
      <c r="H87" s="296"/>
      <c r="I87" s="296"/>
      <c r="J87" s="296"/>
      <c r="K87" s="296"/>
      <c r="L87" s="296"/>
      <c r="M87" s="296"/>
      <c r="N87" s="296"/>
      <c r="O87" s="296"/>
      <c r="P87" s="206"/>
      <c r="Q87" s="206"/>
      <c r="R87" s="206"/>
      <c r="S87" s="206"/>
      <c r="T87" s="206"/>
      <c r="U87" s="206"/>
      <c r="V87" s="206"/>
      <c r="W87" s="206"/>
      <c r="X87" s="206"/>
      <c r="Y87" s="207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107</v>
      </c>
      <c r="G89" s="60"/>
      <c r="H89" s="286">
        <f>G84-E69</f>
        <v>-0.1666666666666643</v>
      </c>
      <c r="I89" s="287"/>
      <c r="J89" s="287" t="e">
        <f t="array" ref="J89">angleDecimal2Txt(H89)</f>
        <v>#VALUE!</v>
      </c>
      <c r="K89" s="287"/>
      <c r="L89" s="287"/>
      <c r="M89" s="287"/>
      <c r="N89" s="287"/>
      <c r="O89" s="287"/>
      <c r="AB89" s="12"/>
      <c r="AC89" s="12"/>
      <c r="AD89" s="12"/>
    </row>
    <row r="90" spans="2:61" ht="15" customHeight="1">
      <c r="F90" s="60" t="s">
        <v>141</v>
      </c>
      <c r="G90" s="60"/>
      <c r="H90" s="286">
        <f>G86-E71</f>
        <v>0.37647131709191761</v>
      </c>
      <c r="I90" s="287"/>
      <c r="J90" s="287" t="e">
        <f t="array" ref="J90">angleDecimal2Txt(H90)</f>
        <v>#VALUE!</v>
      </c>
      <c r="K90" s="287"/>
      <c r="L90" s="287"/>
      <c r="M90" s="287"/>
      <c r="N90" s="287"/>
      <c r="O90" s="287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150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42" t="s">
        <v>10</v>
      </c>
      <c r="D96" s="243"/>
      <c r="E96" s="243"/>
      <c r="F96" s="243"/>
      <c r="G96" s="243"/>
      <c r="H96" s="244"/>
      <c r="I96" s="246">
        <f>AB96</f>
        <v>-0.05</v>
      </c>
      <c r="J96" s="247"/>
      <c r="K96" s="247"/>
      <c r="L96" s="248" t="s">
        <v>59</v>
      </c>
      <c r="M96" s="249"/>
      <c r="N96" s="249"/>
      <c r="O96" s="283">
        <f>AB96</f>
        <v>-0.05</v>
      </c>
      <c r="P96" s="283"/>
      <c r="Q96" s="283"/>
      <c r="R96" s="283"/>
      <c r="S96" s="283"/>
      <c r="T96" s="283"/>
      <c r="U96" s="283"/>
      <c r="V96" s="283"/>
      <c r="W96" s="283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1:60" s="1" customFormat="1" ht="15" customHeight="1" thickTop="1" thickBot="1">
      <c r="C97" s="245" t="s">
        <v>15</v>
      </c>
      <c r="D97" s="245"/>
      <c r="E97" s="245"/>
      <c r="F97" s="245"/>
      <c r="G97" s="245"/>
      <c r="H97" s="245"/>
      <c r="I97" s="198">
        <f>AB97</f>
        <v>2.5833333333333335</v>
      </c>
      <c r="J97" s="199"/>
      <c r="K97" s="199"/>
      <c r="L97" s="200" t="s">
        <v>149</v>
      </c>
      <c r="M97" s="201"/>
      <c r="N97" s="202"/>
      <c r="O97" s="283">
        <f>AB97</f>
        <v>2.5833333333333335</v>
      </c>
      <c r="P97" s="283"/>
      <c r="Q97" s="283"/>
      <c r="R97" s="283"/>
      <c r="S97" s="283"/>
      <c r="T97" s="283"/>
      <c r="U97" s="283"/>
      <c r="V97" s="283"/>
      <c r="W97" s="283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1:60" s="1" customFormat="1" ht="15" customHeight="1" thickTop="1" thickBot="1">
      <c r="C98" s="245" t="s">
        <v>60</v>
      </c>
      <c r="D98" s="245"/>
      <c r="E98" s="245"/>
      <c r="F98" s="245"/>
      <c r="G98" s="245"/>
      <c r="H98" s="245"/>
      <c r="I98" s="198">
        <f>AB98</f>
        <v>2.5333333333333337</v>
      </c>
      <c r="J98" s="199"/>
      <c r="K98" s="199"/>
      <c r="L98" s="200" t="s">
        <v>149</v>
      </c>
      <c r="M98" s="201"/>
      <c r="N98" s="202"/>
      <c r="O98" s="283" t="e">
        <f t="array" ref="O98">angleDecimal2Txt(AC98)</f>
        <v>#VALUE!</v>
      </c>
      <c r="P98" s="283"/>
      <c r="Q98" s="283"/>
      <c r="R98" s="283"/>
      <c r="S98" s="283"/>
      <c r="T98" s="283"/>
      <c r="U98" s="283"/>
      <c r="V98" s="283"/>
      <c r="W98" s="283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1:60" s="1" customFormat="1" ht="15" customHeight="1" thickTop="1">
      <c r="C99" s="245" t="s">
        <v>61</v>
      </c>
      <c r="D99" s="245"/>
      <c r="E99" s="245"/>
      <c r="F99" s="245"/>
      <c r="G99" s="245"/>
      <c r="H99" s="245"/>
      <c r="I99" s="198">
        <v>13</v>
      </c>
      <c r="J99" s="199"/>
      <c r="K99" s="199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1:60" ht="15" customHeight="1">
      <c r="AA100" s="14"/>
      <c r="AB100" s="14"/>
      <c r="AC100" s="14"/>
    </row>
    <row r="101" spans="1:60" ht="15" customHeight="1">
      <c r="AA101" s="14"/>
      <c r="AB101" s="14"/>
      <c r="AC101" s="14"/>
    </row>
    <row r="102" spans="1:60" ht="15" customHeight="1">
      <c r="I102" s="163" t="s">
        <v>62</v>
      </c>
      <c r="J102" s="163"/>
      <c r="K102" s="163"/>
      <c r="L102" s="163">
        <f>I99/TAN(I98*PI()/180)</f>
        <v>293.82619257974028</v>
      </c>
      <c r="M102" s="163"/>
      <c r="AA102" s="14"/>
      <c r="AB102" s="14"/>
      <c r="AC102" s="14"/>
    </row>
    <row r="103" spans="1:60" ht="15" customHeight="1">
      <c r="I103" s="163" t="s">
        <v>37</v>
      </c>
      <c r="J103" s="163"/>
      <c r="K103" s="163"/>
      <c r="L103" s="163">
        <f>L102/1852</f>
        <v>0.15865345171692238</v>
      </c>
      <c r="M103" s="163"/>
      <c r="AA103" s="14"/>
      <c r="AB103" s="14"/>
      <c r="AC103" s="14"/>
    </row>
    <row r="104" spans="1:60" ht="15" customHeight="1">
      <c r="AA104" s="14"/>
      <c r="AB104" s="14"/>
      <c r="AC104" s="14"/>
    </row>
    <row r="105" spans="1:60" ht="15" customHeight="1">
      <c r="AA105" s="14"/>
      <c r="AB105" s="14"/>
      <c r="AC105" s="14"/>
    </row>
    <row r="106" spans="1:60" ht="15" customHeight="1">
      <c r="AA106" s="14"/>
      <c r="AB106" s="14"/>
      <c r="AC106" s="14"/>
    </row>
    <row r="107" spans="1:60" ht="15" customHeight="1" thickBot="1">
      <c r="AA107" s="14"/>
      <c r="AB107" s="14"/>
      <c r="AC107" s="14"/>
    </row>
    <row r="108" spans="1:60" ht="15" customHeight="1" thickBot="1">
      <c r="A108" s="1"/>
      <c r="B108" s="2" t="s">
        <v>142</v>
      </c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8"/>
      <c r="AB108" s="14"/>
      <c r="AC108" s="14"/>
    </row>
    <row r="109" spans="1:60" ht="1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7"/>
      <c r="AB109" s="14"/>
      <c r="AC109" s="14"/>
    </row>
    <row r="110" spans="1:60" ht="15" customHeight="1">
      <c r="A110" s="1"/>
      <c r="C110" s="12"/>
      <c r="D110" s="12"/>
      <c r="E110" s="51" t="s">
        <v>29</v>
      </c>
      <c r="F110" s="51" t="s">
        <v>167</v>
      </c>
      <c r="G110" s="51" t="s">
        <v>22</v>
      </c>
      <c r="H110" s="12"/>
      <c r="I110" s="12"/>
      <c r="J110" s="12"/>
      <c r="K110" s="12"/>
      <c r="L110" s="62"/>
      <c r="M110" s="12"/>
      <c r="N110" s="12"/>
      <c r="O110" s="12"/>
      <c r="P110" s="12" t="s">
        <v>33</v>
      </c>
      <c r="Q110" s="12" t="s">
        <v>146</v>
      </c>
      <c r="R110" s="12" t="s">
        <v>147</v>
      </c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4"/>
    </row>
    <row r="111" spans="1:60" ht="15" customHeight="1">
      <c r="A111" s="1"/>
      <c r="B111" s="1"/>
      <c r="C111" s="12"/>
      <c r="D111" s="12"/>
      <c r="E111" s="51">
        <v>23.13</v>
      </c>
      <c r="F111" s="51">
        <v>27.25</v>
      </c>
      <c r="G111" s="51">
        <v>328.93</v>
      </c>
      <c r="H111" s="12"/>
      <c r="I111" s="63" t="s">
        <v>144</v>
      </c>
      <c r="J111" s="63">
        <f>SIN(E112)*SIN(F112)+COS(E112)*COS(G112)*COS(F112)</f>
        <v>0.88012731306072611</v>
      </c>
      <c r="K111" s="12"/>
      <c r="L111" s="64" t="s">
        <v>143</v>
      </c>
      <c r="M111" s="65">
        <f>ASIN(J111)*$K$16</f>
        <v>61.657724934347911</v>
      </c>
      <c r="N111" s="12"/>
      <c r="O111" s="12"/>
      <c r="P111" s="12">
        <v>72.890799999999999</v>
      </c>
      <c r="Q111" s="12">
        <f>P111-M111</f>
        <v>11.233075065652088</v>
      </c>
      <c r="R111" s="12">
        <f>Q111*60</f>
        <v>673.98450393912526</v>
      </c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4"/>
    </row>
    <row r="112" spans="1:60" ht="15" customHeight="1">
      <c r="A112" s="1"/>
      <c r="B112" s="1"/>
      <c r="C112" s="12"/>
      <c r="D112" s="12"/>
      <c r="E112" s="66">
        <f>E111*$K$15</f>
        <v>0.4036946559862884</v>
      </c>
      <c r="F112" s="66">
        <f>F111*$K$15</f>
        <v>0.4756022211684548</v>
      </c>
      <c r="G112" s="66">
        <f>G111*$K$15</f>
        <v>5.740911508584948</v>
      </c>
      <c r="H112" s="12"/>
      <c r="I112" s="12"/>
      <c r="J112" s="12"/>
      <c r="K112" s="12"/>
      <c r="L112" s="67"/>
      <c r="M112" s="63">
        <f>M111*$K$15</f>
        <v>1.0761303093933756</v>
      </c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4"/>
    </row>
    <row r="113" spans="1:29" ht="15" customHeight="1">
      <c r="A113" s="1"/>
      <c r="B113" s="1"/>
      <c r="C113" s="12"/>
      <c r="D113" s="12"/>
      <c r="E113" s="12"/>
      <c r="F113" s="12"/>
      <c r="G113" s="12"/>
      <c r="H113" s="12"/>
      <c r="I113" s="63" t="s">
        <v>145</v>
      </c>
      <c r="J113" s="63">
        <f>((SIN(E112)-SIN(F112)*SIN(M112))/(COS(F112)*COS(M112)))</f>
        <v>-2.4093493424369321E-2</v>
      </c>
      <c r="K113" s="12"/>
      <c r="L113" s="60" t="s">
        <v>31</v>
      </c>
      <c r="M113" s="60">
        <f>ACOS(J113)*$K$16</f>
        <v>91.380589080089095</v>
      </c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4"/>
    </row>
    <row r="114" spans="1:29" ht="15" customHeight="1">
      <c r="H114" s="12"/>
      <c r="I114" s="12"/>
      <c r="J114" s="12"/>
      <c r="K114" s="12"/>
      <c r="L114" s="12"/>
      <c r="M114" s="12"/>
      <c r="N114" s="12"/>
      <c r="R114" s="14">
        <f>360-M113</f>
        <v>268.61941091991093</v>
      </c>
      <c r="AA114" s="14"/>
      <c r="AB114" s="14"/>
      <c r="AC114" s="14"/>
    </row>
    <row r="115" spans="1:29" ht="15" customHeight="1">
      <c r="H115" s="12"/>
      <c r="I115" s="12"/>
      <c r="J115" s="12"/>
      <c r="K115" s="12"/>
      <c r="L115" s="12"/>
      <c r="M115" s="12"/>
      <c r="N115" s="12"/>
      <c r="AA115" s="14"/>
      <c r="AB115" s="14"/>
      <c r="AC115" s="14"/>
    </row>
    <row r="116" spans="1:29" ht="15" customHeight="1">
      <c r="H116" s="12"/>
      <c r="I116" s="12"/>
      <c r="J116" s="12"/>
      <c r="K116" s="12"/>
      <c r="L116" s="12"/>
      <c r="M116" s="12"/>
      <c r="N116" s="12"/>
      <c r="AA116" s="14"/>
    </row>
    <row r="117" spans="1:29" ht="15" customHeight="1" thickBot="1">
      <c r="H117" s="12"/>
      <c r="I117" s="12"/>
      <c r="J117" s="12"/>
      <c r="K117" s="12"/>
      <c r="L117" s="12"/>
      <c r="M117" s="12"/>
      <c r="N117" s="12"/>
      <c r="AA117" s="14"/>
    </row>
    <row r="118" spans="1:29" ht="15" customHeight="1" thickBot="1">
      <c r="B118" s="2" t="s">
        <v>152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8"/>
    </row>
    <row r="119" spans="1:29" ht="15" customHeight="1">
      <c r="H119" s="12"/>
      <c r="I119" s="12"/>
      <c r="J119" s="12"/>
      <c r="K119" s="12"/>
      <c r="L119" s="12"/>
      <c r="M119" s="12"/>
      <c r="N119" s="12"/>
    </row>
    <row r="120" spans="1:29" ht="15" customHeight="1" thickBot="1">
      <c r="B120" s="14" t="s">
        <v>153</v>
      </c>
      <c r="O120" s="14" t="s">
        <v>154</v>
      </c>
    </row>
    <row r="121" spans="1:29" ht="15" customHeight="1" thickTop="1" thickBot="1">
      <c r="C121" s="225" t="s">
        <v>8</v>
      </c>
      <c r="D121" s="225"/>
      <c r="E121" s="225"/>
      <c r="F121" s="226" t="s">
        <v>7</v>
      </c>
      <c r="G121" s="226"/>
      <c r="H121" s="226"/>
      <c r="I121" s="180" t="s">
        <v>16</v>
      </c>
      <c r="J121" s="180"/>
      <c r="K121" s="180"/>
      <c r="L121" s="180"/>
      <c r="M121" s="180"/>
      <c r="N121" s="10"/>
      <c r="O121" s="174" t="s">
        <v>13</v>
      </c>
      <c r="P121" s="175"/>
      <c r="Q121" s="175"/>
      <c r="R121" s="176"/>
      <c r="S121" s="177" t="s">
        <v>14</v>
      </c>
      <c r="T121" s="178"/>
      <c r="U121" s="179"/>
      <c r="V121" s="180" t="s">
        <v>16</v>
      </c>
      <c r="W121" s="180"/>
      <c r="X121" s="180"/>
      <c r="Y121" s="180"/>
      <c r="Z121" s="180"/>
    </row>
    <row r="122" spans="1:29" ht="15" customHeight="1" thickTop="1" thickBot="1">
      <c r="C122" s="181" t="s">
        <v>26</v>
      </c>
      <c r="D122" s="182"/>
      <c r="E122" s="183"/>
      <c r="F122" s="184" t="e">
        <f t="array" ref="F122">heureConvert2Decimal(C122)</f>
        <v>#VALUE!</v>
      </c>
      <c r="G122" s="185"/>
      <c r="H122" s="186"/>
      <c r="I122" s="171" t="e">
        <f t="array" ref="I122">heureDecimal2Txt(F122)</f>
        <v>#VALUE!</v>
      </c>
      <c r="J122" s="172"/>
      <c r="K122" s="172"/>
      <c r="L122" s="172"/>
      <c r="M122" s="173"/>
      <c r="O122" s="165" t="s">
        <v>166</v>
      </c>
      <c r="P122" s="166"/>
      <c r="Q122" s="166"/>
      <c r="R122" s="167"/>
      <c r="S122" s="168">
        <f t="array" ref="S122">angleConvert2Decimal(O122)</f>
        <v>1</v>
      </c>
      <c r="T122" s="169"/>
      <c r="U122" s="170"/>
      <c r="V122" s="171" t="e">
        <f t="array" ref="V122">angleDecimal2Txt(S122)</f>
        <v>#VALUE!</v>
      </c>
      <c r="W122" s="172"/>
      <c r="X122" s="172"/>
      <c r="Y122" s="172"/>
      <c r="Z122" s="173"/>
    </row>
    <row r="123" spans="1:29" ht="15" customHeight="1" thickTop="1" thickBot="1">
      <c r="C123" s="181" t="s">
        <v>26</v>
      </c>
      <c r="D123" s="182"/>
      <c r="E123" s="183"/>
      <c r="F123" s="184" t="e">
        <f t="array" ref="F123">heureConvert2Decimal(C123)</f>
        <v>#VALUE!</v>
      </c>
      <c r="G123" s="185"/>
      <c r="H123" s="186"/>
      <c r="I123" s="171" t="e">
        <f t="array" ref="I123">heureDecimal2Txt(F123)</f>
        <v>#VALUE!</v>
      </c>
      <c r="J123" s="172"/>
      <c r="K123" s="172"/>
      <c r="L123" s="172"/>
      <c r="M123" s="173"/>
      <c r="O123" s="165" t="s">
        <v>148</v>
      </c>
      <c r="P123" s="166"/>
      <c r="Q123" s="166"/>
      <c r="R123" s="167"/>
      <c r="S123" s="168">
        <f t="array" ref="S123">angleConvert2Decimal(O123)</f>
        <v>0.46666666666666667</v>
      </c>
      <c r="T123" s="169"/>
      <c r="U123" s="170"/>
      <c r="V123" s="171" t="e">
        <f t="array" ref="V123">angleDecimal2Txt(S123)</f>
        <v>#VALUE!</v>
      </c>
      <c r="W123" s="172"/>
      <c r="X123" s="172"/>
      <c r="Y123" s="172"/>
      <c r="Z123" s="173"/>
    </row>
    <row r="124" spans="1:29" ht="15" customHeight="1" thickTop="1" thickBot="1">
      <c r="C124" s="181" t="s">
        <v>26</v>
      </c>
      <c r="D124" s="182"/>
      <c r="E124" s="183"/>
      <c r="F124" s="184" t="e">
        <f t="array" ref="F124">heureConvert2Decimal(C124)</f>
        <v>#VALUE!</v>
      </c>
      <c r="G124" s="185"/>
      <c r="H124" s="186"/>
      <c r="I124" s="171" t="e">
        <f t="array" ref="I124">heureDecimal2Txt(F124)</f>
        <v>#VALUE!</v>
      </c>
      <c r="J124" s="172"/>
      <c r="K124" s="172"/>
      <c r="L124" s="172"/>
      <c r="M124" s="173"/>
      <c r="O124" s="165" t="s">
        <v>148</v>
      </c>
      <c r="P124" s="166"/>
      <c r="Q124" s="166"/>
      <c r="R124" s="167"/>
      <c r="S124" s="168">
        <f t="array" ref="S124">angleConvert2Decimal(O124)</f>
        <v>0.46666666666666667</v>
      </c>
      <c r="T124" s="169"/>
      <c r="U124" s="170"/>
      <c r="V124" s="171" t="e">
        <f t="array" ref="V124">angleDecimal2Txt(S124)</f>
        <v>#VALUE!</v>
      </c>
      <c r="W124" s="172"/>
      <c r="X124" s="172"/>
      <c r="Y124" s="172"/>
      <c r="Z124" s="173"/>
    </row>
    <row r="125" spans="1:29" ht="15" customHeight="1" thickTop="1" thickBot="1">
      <c r="C125" s="181" t="s">
        <v>26</v>
      </c>
      <c r="D125" s="182"/>
      <c r="E125" s="183"/>
      <c r="F125" s="184" t="e">
        <f t="array" ref="F125">heureConvert2Decimal(C125)</f>
        <v>#VALUE!</v>
      </c>
      <c r="G125" s="185"/>
      <c r="H125" s="186"/>
      <c r="I125" s="171" t="e">
        <f t="array" ref="I125">heureDecimal2Txt(F125)</f>
        <v>#VALUE!</v>
      </c>
      <c r="J125" s="172"/>
      <c r="K125" s="172"/>
      <c r="L125" s="172"/>
      <c r="M125" s="173"/>
      <c r="O125" s="165" t="s">
        <v>148</v>
      </c>
      <c r="P125" s="166"/>
      <c r="Q125" s="166"/>
      <c r="R125" s="167"/>
      <c r="S125" s="168">
        <f t="array" ref="S125">angleConvert2Decimal(O125)</f>
        <v>0.46666666666666667</v>
      </c>
      <c r="T125" s="169"/>
      <c r="U125" s="170"/>
      <c r="V125" s="171" t="e">
        <f t="array" ref="V125">angleDecimal2Txt(S125)</f>
        <v>#VALUE!</v>
      </c>
      <c r="W125" s="172"/>
      <c r="X125" s="172"/>
      <c r="Y125" s="172"/>
      <c r="Z125" s="173"/>
    </row>
    <row r="126" spans="1:29" ht="15" customHeight="1" thickTop="1" thickBot="1">
      <c r="C126" s="181" t="s">
        <v>26</v>
      </c>
      <c r="D126" s="182"/>
      <c r="E126" s="183"/>
      <c r="F126" s="184" t="e">
        <f t="array" ref="F126">heureConvert2Decimal(C126)</f>
        <v>#VALUE!</v>
      </c>
      <c r="G126" s="185"/>
      <c r="H126" s="186"/>
      <c r="I126" s="171" t="e">
        <f t="array" ref="I126">heureDecimal2Txt(F126)</f>
        <v>#VALUE!</v>
      </c>
      <c r="J126" s="172"/>
      <c r="K126" s="172"/>
      <c r="L126" s="172"/>
      <c r="M126" s="173"/>
      <c r="O126" s="165" t="s">
        <v>148</v>
      </c>
      <c r="P126" s="166"/>
      <c r="Q126" s="166"/>
      <c r="R126" s="167"/>
      <c r="S126" s="168">
        <f t="array" ref="S126">angleConvert2Decimal(O126)</f>
        <v>0.46666666666666667</v>
      </c>
      <c r="T126" s="169"/>
      <c r="U126" s="170"/>
      <c r="V126" s="171" t="e">
        <f t="array" ref="V126">angleDecimal2Txt(S126)</f>
        <v>#VALUE!</v>
      </c>
      <c r="W126" s="172"/>
      <c r="X126" s="172"/>
      <c r="Y126" s="172"/>
      <c r="Z126" s="173"/>
    </row>
    <row r="127" spans="1:29" ht="15" customHeight="1" thickTop="1" thickBot="1">
      <c r="C127" s="181" t="s">
        <v>26</v>
      </c>
      <c r="D127" s="182"/>
      <c r="E127" s="183"/>
      <c r="F127" s="184" t="e">
        <f t="array" ref="F127">heureConvert2Decimal(C127)</f>
        <v>#VALUE!</v>
      </c>
      <c r="G127" s="185"/>
      <c r="H127" s="186"/>
      <c r="I127" s="171" t="e">
        <f t="array" ref="I127">heureDecimal2Txt(F127)</f>
        <v>#VALUE!</v>
      </c>
      <c r="J127" s="172"/>
      <c r="K127" s="172"/>
      <c r="L127" s="172"/>
      <c r="M127" s="173"/>
      <c r="O127" s="165" t="s">
        <v>148</v>
      </c>
      <c r="P127" s="166"/>
      <c r="Q127" s="166"/>
      <c r="R127" s="167"/>
      <c r="S127" s="168">
        <f t="array" ref="S127">angleConvert2Decimal(O127)</f>
        <v>0.46666666666666667</v>
      </c>
      <c r="T127" s="169"/>
      <c r="U127" s="170"/>
      <c r="V127" s="171" t="e">
        <f t="array" ref="V127">angleDecimal2Txt(S127)</f>
        <v>#VALUE!</v>
      </c>
      <c r="W127" s="172"/>
      <c r="X127" s="172"/>
      <c r="Y127" s="172"/>
      <c r="Z127" s="173"/>
    </row>
    <row r="128" spans="1:29" ht="15" customHeight="1" thickTop="1" thickBot="1">
      <c r="C128" s="181" t="s">
        <v>26</v>
      </c>
      <c r="D128" s="182"/>
      <c r="E128" s="183"/>
      <c r="F128" s="184" t="e">
        <f t="array" ref="F128">heureConvert2Decimal(C128)</f>
        <v>#VALUE!</v>
      </c>
      <c r="G128" s="185"/>
      <c r="H128" s="186"/>
      <c r="I128" s="171" t="e">
        <f t="array" ref="I128">heureDecimal2Txt(F128)</f>
        <v>#VALUE!</v>
      </c>
      <c r="J128" s="172"/>
      <c r="K128" s="172"/>
      <c r="L128" s="172"/>
      <c r="M128" s="173"/>
      <c r="O128" s="165" t="s">
        <v>148</v>
      </c>
      <c r="P128" s="166"/>
      <c r="Q128" s="166"/>
      <c r="R128" s="167"/>
      <c r="S128" s="168">
        <f t="array" ref="S128">angleConvert2Decimal(O128)</f>
        <v>0.46666666666666667</v>
      </c>
      <c r="T128" s="169"/>
      <c r="U128" s="170"/>
      <c r="V128" s="171" t="e">
        <f t="array" ref="V128">angleDecimal2Txt(S128)</f>
        <v>#VALUE!</v>
      </c>
      <c r="W128" s="172"/>
      <c r="X128" s="172"/>
      <c r="Y128" s="172"/>
      <c r="Z128" s="173"/>
    </row>
    <row r="129" spans="2:27" ht="15" customHeight="1" thickTop="1" thickBot="1">
      <c r="O129" s="165" t="s">
        <v>148</v>
      </c>
      <c r="P129" s="166"/>
      <c r="Q129" s="166"/>
      <c r="R129" s="167"/>
      <c r="S129" s="168">
        <f t="array" ref="S129">angleConvert2Decimal(O129)</f>
        <v>0.46666666666666667</v>
      </c>
      <c r="T129" s="169"/>
      <c r="U129" s="170"/>
      <c r="V129" s="171" t="e">
        <f t="array" ref="V129">angleDecimal2Txt(S129)</f>
        <v>#VALUE!</v>
      </c>
      <c r="W129" s="172"/>
      <c r="X129" s="172"/>
      <c r="Y129" s="172"/>
      <c r="Z129" s="173"/>
    </row>
    <row r="130" spans="2:27" ht="15" customHeight="1" thickTop="1" thickBot="1">
      <c r="O130" s="165" t="s">
        <v>148</v>
      </c>
      <c r="P130" s="166"/>
      <c r="Q130" s="166"/>
      <c r="R130" s="167"/>
      <c r="S130" s="168">
        <f t="array" ref="S130">angleConvert2Decimal(O130)</f>
        <v>0.46666666666666667</v>
      </c>
      <c r="T130" s="169"/>
      <c r="U130" s="170"/>
      <c r="V130" s="171" t="e">
        <f t="array" ref="V130">angleDecimal2Txt(S130)</f>
        <v>#VALUE!</v>
      </c>
      <c r="W130" s="172"/>
      <c r="X130" s="172"/>
      <c r="Y130" s="172"/>
      <c r="Z130" s="173"/>
    </row>
    <row r="131" spans="2:27" ht="15" customHeight="1" thickTop="1" thickBot="1">
      <c r="O131" s="165" t="s">
        <v>148</v>
      </c>
      <c r="P131" s="166"/>
      <c r="Q131" s="166"/>
      <c r="R131" s="167"/>
      <c r="S131" s="168">
        <f t="array" ref="S131">angleConvert2Decimal(O131)</f>
        <v>0.46666666666666667</v>
      </c>
      <c r="T131" s="169"/>
      <c r="U131" s="170"/>
      <c r="V131" s="171" t="e">
        <f t="array" ref="V131">angleDecimal2Txt(S131)</f>
        <v>#VALUE!</v>
      </c>
      <c r="W131" s="172"/>
      <c r="X131" s="172"/>
      <c r="Y131" s="172"/>
      <c r="Z131" s="173"/>
    </row>
    <row r="132" spans="2:27" ht="15" customHeight="1" thickTop="1" thickBot="1">
      <c r="O132" s="165" t="s">
        <v>148</v>
      </c>
      <c r="P132" s="166"/>
      <c r="Q132" s="166"/>
      <c r="R132" s="167"/>
      <c r="S132" s="168">
        <f t="array" ref="S132">angleConvert2Decimal(O132)</f>
        <v>0.46666666666666667</v>
      </c>
      <c r="T132" s="169"/>
      <c r="U132" s="170"/>
      <c r="V132" s="171" t="e">
        <f t="array" ref="V132">angleDecimal2Txt(S132)</f>
        <v>#VALUE!</v>
      </c>
      <c r="W132" s="172"/>
      <c r="X132" s="172"/>
      <c r="Y132" s="172"/>
      <c r="Z132" s="173"/>
    </row>
    <row r="133" spans="2:27" ht="15" customHeight="1" thickTop="1" thickBot="1">
      <c r="O133" s="165" t="s">
        <v>148</v>
      </c>
      <c r="P133" s="166"/>
      <c r="Q133" s="166"/>
      <c r="R133" s="167"/>
      <c r="S133" s="168">
        <f t="array" ref="S133">angleConvert2Decimal(O133)</f>
        <v>0.46666666666666667</v>
      </c>
      <c r="T133" s="169"/>
      <c r="U133" s="170"/>
      <c r="V133" s="171" t="e">
        <f t="array" ref="V133">angleDecimal2Txt(S133)</f>
        <v>#VALUE!</v>
      </c>
      <c r="W133" s="172"/>
      <c r="X133" s="172"/>
      <c r="Y133" s="172"/>
      <c r="Z133" s="173"/>
    </row>
    <row r="134" spans="2:27" ht="15" customHeight="1" thickTop="1" thickBot="1">
      <c r="O134" s="165" t="s">
        <v>148</v>
      </c>
      <c r="P134" s="166"/>
      <c r="Q134" s="166"/>
      <c r="R134" s="167"/>
      <c r="S134" s="168">
        <f t="array" ref="S134">angleConvert2Decimal(O134)</f>
        <v>0.46666666666666667</v>
      </c>
      <c r="T134" s="169"/>
      <c r="U134" s="170"/>
      <c r="V134" s="171" t="e">
        <f t="array" ref="V134">angleDecimal2Txt(S134)</f>
        <v>#VALUE!</v>
      </c>
      <c r="W134" s="172"/>
      <c r="X134" s="172"/>
      <c r="Y134" s="172"/>
      <c r="Z134" s="173"/>
    </row>
    <row r="135" spans="2:27" ht="15" customHeight="1" thickTop="1" thickBot="1">
      <c r="B135" s="2" t="s">
        <v>165</v>
      </c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2"/>
    </row>
    <row r="136" spans="2:27" ht="15" customHeight="1">
      <c r="C136" s="162" t="s">
        <v>161</v>
      </c>
      <c r="D136" s="68" t="s">
        <v>155</v>
      </c>
      <c r="E136" s="69">
        <v>5</v>
      </c>
      <c r="F136" s="70"/>
      <c r="G136" s="163" t="s">
        <v>163</v>
      </c>
      <c r="H136" s="163"/>
      <c r="I136" s="163"/>
      <c r="J136" s="163"/>
      <c r="L136" s="14" t="s">
        <v>159</v>
      </c>
      <c r="M136" s="14">
        <f>(E137-E139)/(E136-E138)</f>
        <v>4.9616666666666669</v>
      </c>
    </row>
    <row r="137" spans="2:27" ht="15" customHeight="1">
      <c r="C137" s="162"/>
      <c r="D137" s="68" t="s">
        <v>156</v>
      </c>
      <c r="E137" s="69">
        <v>23.23</v>
      </c>
      <c r="F137" s="71" t="s">
        <v>164</v>
      </c>
      <c r="G137" s="68" t="s">
        <v>58</v>
      </c>
      <c r="H137" s="69">
        <v>10.5</v>
      </c>
      <c r="I137" s="72" t="s">
        <v>151</v>
      </c>
      <c r="J137" s="73">
        <f>M136*H137+M137</f>
        <v>50.519166666666671</v>
      </c>
      <c r="L137" s="14" t="s">
        <v>160</v>
      </c>
      <c r="M137" s="14">
        <f>E137-M136*(E136)</f>
        <v>-1.5783333333333331</v>
      </c>
    </row>
    <row r="138" spans="2:27" ht="15" customHeight="1">
      <c r="C138" s="164" t="s">
        <v>162</v>
      </c>
      <c r="D138" s="74" t="s">
        <v>157</v>
      </c>
      <c r="E138" s="69">
        <v>11</v>
      </c>
      <c r="F138" s="70"/>
      <c r="G138" s="70"/>
      <c r="H138" s="70"/>
      <c r="I138" s="70"/>
      <c r="J138" s="70"/>
    </row>
    <row r="139" spans="2:27" ht="15" customHeight="1">
      <c r="C139" s="164"/>
      <c r="D139" s="74" t="s">
        <v>158</v>
      </c>
      <c r="E139" s="69">
        <v>53</v>
      </c>
      <c r="F139" s="70"/>
      <c r="G139" s="70"/>
      <c r="H139" s="70"/>
      <c r="I139" s="70"/>
      <c r="J139" s="70"/>
    </row>
    <row r="141" spans="2:27" ht="15" customHeight="1">
      <c r="C141" s="162" t="s">
        <v>161</v>
      </c>
      <c r="D141" s="68" t="s">
        <v>155</v>
      </c>
      <c r="E141" s="69">
        <v>0</v>
      </c>
      <c r="F141" s="70"/>
      <c r="G141" s="163" t="s">
        <v>163</v>
      </c>
      <c r="H141" s="163"/>
      <c r="I141" s="163"/>
      <c r="J141" s="163"/>
      <c r="L141" s="14" t="s">
        <v>159</v>
      </c>
      <c r="M141" s="14">
        <f>(E142-E144)/(E141-E143)</f>
        <v>1</v>
      </c>
    </row>
    <row r="142" spans="2:27" ht="15" customHeight="1">
      <c r="C142" s="162"/>
      <c r="D142" s="68" t="s">
        <v>156</v>
      </c>
      <c r="E142" s="69">
        <v>0</v>
      </c>
      <c r="F142" s="71" t="s">
        <v>164</v>
      </c>
      <c r="G142" s="68" t="s">
        <v>58</v>
      </c>
      <c r="H142" s="69">
        <v>10.5</v>
      </c>
      <c r="I142" s="72" t="s">
        <v>151</v>
      </c>
      <c r="J142" s="73">
        <f>M141*H142+M142</f>
        <v>10.5</v>
      </c>
      <c r="L142" s="14" t="s">
        <v>160</v>
      </c>
      <c r="M142" s="14">
        <f>E142-M141*(E141)</f>
        <v>0</v>
      </c>
    </row>
    <row r="143" spans="2:27" ht="15" customHeight="1">
      <c r="C143" s="164" t="s">
        <v>162</v>
      </c>
      <c r="D143" s="74" t="s">
        <v>157</v>
      </c>
      <c r="E143" s="69">
        <v>11</v>
      </c>
      <c r="F143" s="70"/>
      <c r="G143" s="70"/>
      <c r="H143" s="70"/>
      <c r="I143" s="70"/>
      <c r="J143" s="70"/>
    </row>
    <row r="144" spans="2:27" ht="15" customHeight="1">
      <c r="C144" s="164"/>
      <c r="D144" s="74" t="s">
        <v>158</v>
      </c>
      <c r="E144" s="69">
        <v>11</v>
      </c>
      <c r="F144" s="70"/>
      <c r="G144" s="70"/>
      <c r="H144" s="70"/>
      <c r="I144" s="70"/>
      <c r="J144" s="70"/>
    </row>
    <row r="146" spans="3:13" ht="15" customHeight="1">
      <c r="C146" s="162" t="s">
        <v>161</v>
      </c>
      <c r="D146" s="68" t="s">
        <v>155</v>
      </c>
      <c r="E146" s="69">
        <v>0</v>
      </c>
      <c r="F146" s="70"/>
      <c r="G146" s="163" t="s">
        <v>163</v>
      </c>
      <c r="H146" s="163"/>
      <c r="I146" s="163"/>
      <c r="J146" s="163"/>
      <c r="L146" s="14" t="s">
        <v>159</v>
      </c>
      <c r="M146" s="14">
        <f>(E147-E149)/(E146-E148)</f>
        <v>-1</v>
      </c>
    </row>
    <row r="147" spans="3:13" ht="15" customHeight="1">
      <c r="C147" s="162"/>
      <c r="D147" s="68" t="s">
        <v>156</v>
      </c>
      <c r="E147" s="69">
        <v>11</v>
      </c>
      <c r="F147" s="71" t="s">
        <v>164</v>
      </c>
      <c r="G147" s="68" t="s">
        <v>58</v>
      </c>
      <c r="H147" s="69">
        <v>10.5</v>
      </c>
      <c r="I147" s="72" t="s">
        <v>151</v>
      </c>
      <c r="J147" s="73">
        <f>M146*H147+M147</f>
        <v>0.5</v>
      </c>
      <c r="L147" s="14" t="s">
        <v>160</v>
      </c>
      <c r="M147" s="14">
        <f>E147-M146*(E146)</f>
        <v>11</v>
      </c>
    </row>
    <row r="148" spans="3:13" ht="15" customHeight="1">
      <c r="C148" s="164" t="s">
        <v>162</v>
      </c>
      <c r="D148" s="74" t="s">
        <v>157</v>
      </c>
      <c r="E148" s="69">
        <v>11</v>
      </c>
      <c r="F148" s="70"/>
      <c r="G148" s="70"/>
      <c r="H148" s="70"/>
      <c r="I148" s="70"/>
      <c r="J148" s="70"/>
    </row>
    <row r="149" spans="3:13" ht="15" customHeight="1">
      <c r="C149" s="164"/>
      <c r="D149" s="74" t="s">
        <v>158</v>
      </c>
      <c r="E149" s="69">
        <v>0</v>
      </c>
      <c r="F149" s="70"/>
      <c r="G149" s="70"/>
      <c r="H149" s="70"/>
      <c r="I149" s="70"/>
      <c r="J149" s="70"/>
    </row>
  </sheetData>
  <mergeCells count="206"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115"/>
  <sheetViews>
    <sheetView tabSelected="1" topLeftCell="A31" zoomScale="90" zoomScaleNormal="90" workbookViewId="0">
      <selection activeCell="AC41" sqref="AC41"/>
    </sheetView>
  </sheetViews>
  <sheetFormatPr baseColWidth="10" defaultColWidth="9.7109375" defaultRowHeight="15" outlineLevelCol="1"/>
  <cols>
    <col min="1" max="1" width="14.5703125" customWidth="1"/>
    <col min="2" max="2" width="12.28515625" customWidth="1"/>
    <col min="3" max="3" width="8.28515625" customWidth="1"/>
    <col min="4" max="4" width="12.5703125" customWidth="1"/>
    <col min="5" max="12" width="10" customWidth="1"/>
    <col min="13" max="13" width="12.7109375" customWidth="1"/>
    <col min="14" max="15" width="10" customWidth="1"/>
    <col min="16" max="17" width="10" style="83" customWidth="1"/>
    <col min="18" max="20" width="10.42578125" customWidth="1"/>
    <col min="21" max="26" width="2" customWidth="1"/>
    <col min="27" max="27" width="2" style="90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82" customFormat="1" ht="17.25" customHeight="1">
      <c r="C1" s="358" t="s">
        <v>79</v>
      </c>
      <c r="D1" s="358"/>
      <c r="E1" s="358"/>
      <c r="F1" s="358"/>
      <c r="G1" s="359" t="s">
        <v>80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59"/>
      <c r="U1" s="359"/>
      <c r="V1" s="359"/>
      <c r="W1" s="359"/>
      <c r="X1" s="359"/>
      <c r="Y1" s="359"/>
      <c r="AB1" s="347" t="s">
        <v>168</v>
      </c>
      <c r="AC1" s="347"/>
      <c r="AD1" s="347"/>
      <c r="AM1" s="84"/>
    </row>
    <row r="2" spans="2:48" s="82" customFormat="1" ht="17.25" customHeight="1">
      <c r="C2" s="358"/>
      <c r="D2" s="358"/>
      <c r="E2" s="358"/>
      <c r="F2" s="358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AB2" s="85" t="s">
        <v>85</v>
      </c>
      <c r="AC2"/>
      <c r="AD2"/>
      <c r="AM2" s="84"/>
    </row>
    <row r="3" spans="2:48" s="82" customFormat="1" ht="17.25" customHeight="1">
      <c r="C3" s="358"/>
      <c r="D3" s="358"/>
      <c r="E3" s="358"/>
      <c r="F3" s="358"/>
      <c r="G3" s="360" t="s">
        <v>82</v>
      </c>
      <c r="H3" s="360"/>
      <c r="I3" s="360"/>
      <c r="J3" s="362" t="s">
        <v>81</v>
      </c>
      <c r="K3" s="362"/>
      <c r="L3" s="362"/>
      <c r="AB3" s="86" t="s">
        <v>70</v>
      </c>
      <c r="AC3"/>
      <c r="AD3"/>
      <c r="AM3" s="84"/>
    </row>
    <row r="4" spans="2:48" s="82" customFormat="1" ht="17.25" customHeight="1">
      <c r="C4" s="358"/>
      <c r="D4" s="358"/>
      <c r="E4" s="358"/>
      <c r="F4" s="358"/>
      <c r="G4" s="361"/>
      <c r="H4" s="361"/>
      <c r="I4" s="361"/>
      <c r="J4" s="363"/>
      <c r="K4" s="363"/>
      <c r="L4" s="363"/>
      <c r="AB4" s="86" t="s">
        <v>71</v>
      </c>
      <c r="AC4"/>
      <c r="AD4"/>
      <c r="AM4" s="84"/>
    </row>
    <row r="5" spans="2:48" s="82" customFormat="1" ht="17.25" customHeight="1" thickBot="1">
      <c r="C5" s="87"/>
      <c r="D5" s="87"/>
      <c r="E5" s="87"/>
      <c r="F5" s="87"/>
      <c r="G5" s="87"/>
      <c r="AB5"/>
      <c r="AC5"/>
      <c r="AD5"/>
      <c r="AM5" s="84"/>
    </row>
    <row r="6" spans="2:48" s="82" customFormat="1" ht="17.25" customHeight="1" thickBot="1">
      <c r="B6" s="88" t="s">
        <v>169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B6"/>
      <c r="AC6"/>
      <c r="AD6"/>
      <c r="AM6" s="84"/>
    </row>
    <row r="7" spans="2:48">
      <c r="AC7" t="s">
        <v>90</v>
      </c>
      <c r="AD7" s="91">
        <f ca="1">TODAY()</f>
        <v>45543</v>
      </c>
      <c r="AI7" s="92">
        <f ca="1">AD7</f>
        <v>45543</v>
      </c>
      <c r="AQ7" t="s">
        <v>93</v>
      </c>
      <c r="AR7" t="s">
        <v>28</v>
      </c>
      <c r="AS7" t="s">
        <v>94</v>
      </c>
      <c r="AT7" t="s">
        <v>24</v>
      </c>
      <c r="AU7" t="s">
        <v>94</v>
      </c>
    </row>
    <row r="8" spans="2:48">
      <c r="B8" t="s">
        <v>218</v>
      </c>
      <c r="C8" t="b">
        <f>D8</f>
        <v>1</v>
      </c>
      <c r="D8" t="b">
        <f>TRUE</f>
        <v>1</v>
      </c>
      <c r="F8" s="340" t="s">
        <v>32</v>
      </c>
      <c r="G8" s="340"/>
      <c r="H8" s="340"/>
      <c r="I8" s="340"/>
      <c r="J8" s="340"/>
      <c r="K8" s="340"/>
      <c r="L8" s="340"/>
      <c r="M8" s="340"/>
      <c r="P8"/>
      <c r="R8" s="83"/>
      <c r="AA8"/>
      <c r="AB8" s="90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40" t="s">
        <v>69</v>
      </c>
      <c r="G9" s="340"/>
      <c r="H9" s="340"/>
      <c r="I9" s="340"/>
      <c r="J9" s="340" t="s">
        <v>72</v>
      </c>
      <c r="K9" s="340"/>
      <c r="L9" s="340"/>
      <c r="M9" s="340"/>
      <c r="P9"/>
      <c r="R9" s="83"/>
      <c r="AA9"/>
      <c r="AB9" s="90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40" t="s">
        <v>70</v>
      </c>
      <c r="G10" s="340"/>
      <c r="H10" s="340" t="s">
        <v>71</v>
      </c>
      <c r="I10" s="340"/>
      <c r="J10" s="340" t="s">
        <v>70</v>
      </c>
      <c r="K10" s="340"/>
      <c r="L10" s="340" t="s">
        <v>71</v>
      </c>
      <c r="M10" s="340"/>
      <c r="P10"/>
      <c r="Q10"/>
      <c r="AA10"/>
      <c r="AB10" s="90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50" t="s">
        <v>66</v>
      </c>
      <c r="C11" s="350"/>
      <c r="D11" s="337" t="s">
        <v>68</v>
      </c>
      <c r="E11" s="339"/>
      <c r="F11" s="93" t="s">
        <v>73</v>
      </c>
      <c r="G11" s="96" t="s">
        <v>217</v>
      </c>
      <c r="H11" s="93" t="s">
        <v>73</v>
      </c>
      <c r="I11" s="96" t="s">
        <v>217</v>
      </c>
      <c r="J11" s="93" t="s">
        <v>73</v>
      </c>
      <c r="K11" s="96" t="s">
        <v>217</v>
      </c>
      <c r="L11" s="93" t="s">
        <v>73</v>
      </c>
      <c r="M11" s="96" t="s">
        <v>217</v>
      </c>
      <c r="P11"/>
      <c r="Q11"/>
      <c r="AA11"/>
      <c r="AB11" s="90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28" t="s">
        <v>67</v>
      </c>
      <c r="C12" s="328"/>
      <c r="D12" s="322" t="s">
        <v>58</v>
      </c>
      <c r="E12" s="323"/>
      <c r="F12" s="97">
        <v>0.23</v>
      </c>
      <c r="G12" s="98" t="s">
        <v>75</v>
      </c>
      <c r="H12" s="97">
        <v>-2.1</v>
      </c>
      <c r="I12" s="99" t="s">
        <v>74</v>
      </c>
      <c r="J12" s="97">
        <v>0.13</v>
      </c>
      <c r="K12" s="98" t="s">
        <v>75</v>
      </c>
      <c r="L12" s="97">
        <v>-0.78</v>
      </c>
      <c r="M12" s="99" t="s">
        <v>77</v>
      </c>
      <c r="P12"/>
      <c r="Q12"/>
      <c r="AA12"/>
      <c r="AB12" s="90"/>
      <c r="AD12" t="str">
        <f>IF(ISBLANK(B12),AD11,B12)</f>
        <v>Brest</v>
      </c>
      <c r="AE12" t="str">
        <f t="shared" ref="AE12:AE28" si="0">LOWER(SUBSTITUTE(AD12," ",""))</f>
        <v>brest</v>
      </c>
      <c r="AF12" t="str">
        <f t="shared" ref="AF12:AF28" si="1">LOWER(SUBSTITUTE(D12," ",""))</f>
        <v>x</v>
      </c>
      <c r="AG12" t="str">
        <f t="shared" ref="AG12:AG28" si="2">CONCATENATE(AE12,"-",AF12)</f>
        <v>brest-x</v>
      </c>
      <c r="AI12">
        <f t="shared" ref="AI12:AI28" si="3">F12</f>
        <v>0.23</v>
      </c>
      <c r="AJ12" t="e">
        <f t="array" ref="AJ12">heureConvert2Decimal(G12)</f>
        <v>#VALUE!</v>
      </c>
      <c r="AK12">
        <f t="shared" ref="AK12:AK28" si="4">H12</f>
        <v>-2.1</v>
      </c>
      <c r="AL12" t="e">
        <f t="array" ref="AL12">heureConvert2Decimal(I12)</f>
        <v>#VALUE!</v>
      </c>
      <c r="AM12">
        <f t="shared" ref="AM12:AM28" si="5">J12</f>
        <v>0.13</v>
      </c>
      <c r="AN12" t="e">
        <f t="array" ref="AN12">heureConvert2Decimal(K12)</f>
        <v>#VALUE!</v>
      </c>
      <c r="AO12">
        <f t="shared" ref="AO12:AO28" si="6">L12</f>
        <v>-0.78</v>
      </c>
      <c r="AP12" t="e">
        <f t="array" ref="AP12">heureConvert2Decimal(M12)</f>
        <v>#VALUE!</v>
      </c>
    </row>
    <row r="13" spans="2:48" ht="15" customHeight="1">
      <c r="B13" s="328"/>
      <c r="C13" s="328"/>
      <c r="D13" s="322" t="s">
        <v>58</v>
      </c>
      <c r="E13" s="323"/>
      <c r="F13" s="97">
        <v>0.23</v>
      </c>
      <c r="G13" s="98" t="s">
        <v>75</v>
      </c>
      <c r="H13" s="97">
        <v>-2.1</v>
      </c>
      <c r="I13" s="99" t="s">
        <v>95</v>
      </c>
      <c r="J13" s="97">
        <v>0.13</v>
      </c>
      <c r="K13" s="98" t="s">
        <v>75</v>
      </c>
      <c r="L13" s="97">
        <v>-0.78</v>
      </c>
      <c r="M13" s="99" t="s">
        <v>77</v>
      </c>
      <c r="P13"/>
      <c r="Q13"/>
      <c r="AA13"/>
      <c r="AB13" s="90"/>
      <c r="AD13" t="str">
        <f>IF(ISBLANK(B13),AD12,B13)</f>
        <v>Brest</v>
      </c>
      <c r="AE13" t="str">
        <f t="shared" si="0"/>
        <v>brest</v>
      </c>
      <c r="AF13" t="str">
        <f t="shared" si="1"/>
        <v>x</v>
      </c>
      <c r="AG13" t="str">
        <f t="shared" si="2"/>
        <v>brest-x</v>
      </c>
      <c r="AI13">
        <f t="shared" si="3"/>
        <v>0.23</v>
      </c>
      <c r="AJ13" t="e">
        <f t="array" ref="AJ13">heureConvert2Decimal(G13)</f>
        <v>#VALUE!</v>
      </c>
      <c r="AK13">
        <f t="shared" si="4"/>
        <v>-2.1</v>
      </c>
      <c r="AL13" t="e">
        <f t="array" ref="AL13">heureConvert2Decimal(I13)</f>
        <v>#VALUE!</v>
      </c>
      <c r="AM13">
        <f t="shared" si="5"/>
        <v>0.13</v>
      </c>
      <c r="AN13" t="e">
        <f t="array" ref="AN13">heureConvert2Decimal(K13)</f>
        <v>#VALUE!</v>
      </c>
      <c r="AO13">
        <f t="shared" si="6"/>
        <v>-0.78</v>
      </c>
      <c r="AP13" t="e">
        <f t="array" ref="AP13">heureConvert2Decimal(M13)</f>
        <v>#VALUE!</v>
      </c>
    </row>
    <row r="14" spans="2:48" ht="15" customHeight="1" thickBot="1">
      <c r="B14" s="348"/>
      <c r="C14" s="348"/>
      <c r="D14" s="364" t="s">
        <v>58</v>
      </c>
      <c r="E14" s="365"/>
      <c r="F14" s="100">
        <v>0.23</v>
      </c>
      <c r="G14" s="101" t="s">
        <v>75</v>
      </c>
      <c r="H14" s="100">
        <v>-2.1</v>
      </c>
      <c r="I14" s="102" t="s">
        <v>74</v>
      </c>
      <c r="J14" s="100">
        <v>0.13</v>
      </c>
      <c r="K14" s="101" t="s">
        <v>75</v>
      </c>
      <c r="L14" s="100">
        <v>-0.78</v>
      </c>
      <c r="M14" s="102" t="s">
        <v>77</v>
      </c>
      <c r="P14"/>
      <c r="Q14"/>
      <c r="AA14"/>
      <c r="AB14" s="90"/>
      <c r="AD14" t="str">
        <f>IF(ISBLANK(B14),AD13,B14)</f>
        <v>Brest</v>
      </c>
      <c r="AE14" t="str">
        <f t="shared" si="0"/>
        <v>brest</v>
      </c>
      <c r="AF14" t="str">
        <f t="shared" si="1"/>
        <v>x</v>
      </c>
      <c r="AG14" t="str">
        <f t="shared" si="2"/>
        <v>brest-x</v>
      </c>
      <c r="AI14">
        <f t="shared" si="3"/>
        <v>0.23</v>
      </c>
      <c r="AJ14" t="e">
        <f t="array" ref="AJ14">heureConvert2Decimal(G14)</f>
        <v>#VALUE!</v>
      </c>
      <c r="AK14">
        <f t="shared" si="4"/>
        <v>-2.1</v>
      </c>
      <c r="AL14" t="e">
        <f t="array" ref="AL14">heureConvert2Decimal(I14)</f>
        <v>#VALUE!</v>
      </c>
      <c r="AM14">
        <f t="shared" si="5"/>
        <v>0.13</v>
      </c>
      <c r="AN14" t="e">
        <f t="array" ref="AN14">heureConvert2Decimal(K14)</f>
        <v>#VALUE!</v>
      </c>
      <c r="AO14">
        <f t="shared" si="6"/>
        <v>-0.78</v>
      </c>
      <c r="AP14" t="e">
        <f t="array" ref="AP14">heureConvert2Decimal(M14)</f>
        <v>#VALUE!</v>
      </c>
    </row>
    <row r="15" spans="2:48" ht="15" customHeight="1">
      <c r="B15" s="351" t="s">
        <v>83</v>
      </c>
      <c r="C15" s="352"/>
      <c r="D15" s="366" t="s">
        <v>204</v>
      </c>
      <c r="E15" s="367"/>
      <c r="F15" s="103">
        <v>-0.25</v>
      </c>
      <c r="G15" s="104">
        <v>0</v>
      </c>
      <c r="H15" s="103">
        <v>0</v>
      </c>
      <c r="I15" s="104">
        <v>-0.05</v>
      </c>
      <c r="J15" s="103">
        <v>-0.15</v>
      </c>
      <c r="K15" s="104">
        <v>0</v>
      </c>
      <c r="L15" s="103">
        <v>-0.1</v>
      </c>
      <c r="M15" s="105">
        <v>0</v>
      </c>
      <c r="P15"/>
      <c r="Q15"/>
      <c r="AA15"/>
      <c r="AB15" s="90"/>
      <c r="AD15" t="str">
        <f>IF(ISBLANK(B15),AD14,B15)</f>
        <v>Paimpol</v>
      </c>
      <c r="AE15" t="str">
        <f t="shared" si="0"/>
        <v>paimpol</v>
      </c>
      <c r="AF15" t="str">
        <f t="shared" si="1"/>
        <v>iledebrehat</v>
      </c>
      <c r="AG15" t="str">
        <f t="shared" si="2"/>
        <v>paimpol-iledebrehat</v>
      </c>
      <c r="AI15">
        <f t="shared" si="3"/>
        <v>-0.25</v>
      </c>
      <c r="AJ15" t="e">
        <f t="array" ref="AJ15">heureConvert2Decimal(G15)</f>
        <v>#VALUE!</v>
      </c>
      <c r="AK15">
        <f t="shared" si="4"/>
        <v>0</v>
      </c>
      <c r="AL15" t="e">
        <f t="array" ref="AL15">heureConvert2Decimal(I15)</f>
        <v>#VALUE!</v>
      </c>
      <c r="AM15">
        <f t="shared" si="5"/>
        <v>-0.15</v>
      </c>
      <c r="AN15" t="e">
        <f t="array" ref="AN15">heureConvert2Decimal(K15)</f>
        <v>#VALUE!</v>
      </c>
      <c r="AO15">
        <f t="shared" si="6"/>
        <v>-0.1</v>
      </c>
      <c r="AP15" t="e">
        <f t="array" ref="AP15">heureConvert2Decimal(M15)</f>
        <v>#VALUE!</v>
      </c>
    </row>
    <row r="16" spans="2:48" ht="15" customHeight="1">
      <c r="B16" s="353"/>
      <c r="C16" s="328"/>
      <c r="D16" s="322" t="s">
        <v>205</v>
      </c>
      <c r="E16" s="323"/>
      <c r="F16" s="106">
        <v>-0.85</v>
      </c>
      <c r="G16" s="107">
        <v>-0.1</v>
      </c>
      <c r="H16" s="106">
        <v>-0.05</v>
      </c>
      <c r="I16" s="107">
        <v>-0.2</v>
      </c>
      <c r="J16" s="106">
        <v>-0.6</v>
      </c>
      <c r="K16" s="107">
        <v>0</v>
      </c>
      <c r="L16" s="106">
        <v>-0.15</v>
      </c>
      <c r="M16" s="108">
        <v>-0.2</v>
      </c>
      <c r="P16"/>
      <c r="Q16"/>
      <c r="AA16"/>
      <c r="AB16" s="90"/>
      <c r="AD16" t="str">
        <f t="shared" ref="AD16:AD22" si="7">IF(ISBLANK(B16),AD15,B16)</f>
        <v>Paimpol</v>
      </c>
      <c r="AE16" t="str">
        <f t="shared" ref="AE16:AE22" si="8">LOWER(SUBSTITUTE(AD16," ",""))</f>
        <v>paimpol</v>
      </c>
      <c r="AF16" t="str">
        <f t="shared" si="1"/>
        <v>lesheauxdebrehat</v>
      </c>
      <c r="AG16" t="str">
        <f t="shared" ref="AG16:AG22" si="9">CONCATENATE(AE16,"-",AF16)</f>
        <v>paimpol-lesheauxdebrehat</v>
      </c>
      <c r="AI16">
        <f t="shared" ref="AI16:AI22" si="10">F16</f>
        <v>-0.85</v>
      </c>
      <c r="AJ16" t="e">
        <f t="array" ref="AJ16">heureConvert2Decimal(G16)</f>
        <v>#VALUE!</v>
      </c>
      <c r="AK16">
        <f t="shared" ref="AK16:AK22" si="11">H16</f>
        <v>-0.05</v>
      </c>
      <c r="AL16" t="e">
        <f t="array" ref="AL16">heureConvert2Decimal(I16)</f>
        <v>#VALUE!</v>
      </c>
      <c r="AM16">
        <f t="shared" ref="AM16:AM22" si="12">J16</f>
        <v>-0.6</v>
      </c>
      <c r="AN16" t="e">
        <f t="array" ref="AN16">heureConvert2Decimal(K16)</f>
        <v>#VALUE!</v>
      </c>
      <c r="AO16">
        <f t="shared" ref="AO16:AO22" si="13">L16</f>
        <v>-0.15</v>
      </c>
      <c r="AP16" t="e">
        <f t="array" ref="AP16">heureConvert2Decimal(M16)</f>
        <v>#VALUE!</v>
      </c>
    </row>
    <row r="17" spans="2:42">
      <c r="B17" s="353"/>
      <c r="C17" s="328"/>
      <c r="D17" s="320" t="s">
        <v>206</v>
      </c>
      <c r="E17" s="321"/>
      <c r="F17" s="106">
        <v>-0.25</v>
      </c>
      <c r="G17" s="107">
        <v>0</v>
      </c>
      <c r="H17" s="106">
        <v>-0.05</v>
      </c>
      <c r="I17" s="107">
        <v>-0.15</v>
      </c>
      <c r="J17" s="106">
        <v>-0.2</v>
      </c>
      <c r="K17" s="107">
        <v>0</v>
      </c>
      <c r="L17" s="106">
        <v>-0.05</v>
      </c>
      <c r="M17" s="108">
        <v>-0.1</v>
      </c>
      <c r="P17"/>
      <c r="Q17"/>
      <c r="AA17"/>
      <c r="AB17" s="90"/>
      <c r="AD17" t="str">
        <f t="shared" si="7"/>
        <v>Paimpol</v>
      </c>
      <c r="AE17" t="str">
        <f t="shared" si="8"/>
        <v>paimpol</v>
      </c>
      <c r="AF17" t="str">
        <f t="shared" si="1"/>
        <v>lezardrieux-port</v>
      </c>
      <c r="AG17" t="str">
        <f t="shared" si="9"/>
        <v>paimpol-lezardrieux-port</v>
      </c>
      <c r="AI17">
        <f t="shared" si="10"/>
        <v>-0.25</v>
      </c>
      <c r="AJ17" t="e">
        <f t="array" ref="AJ17">heureConvert2Decimal(G17)</f>
        <v>#VALUE!</v>
      </c>
      <c r="AK17">
        <f t="shared" si="11"/>
        <v>-0.05</v>
      </c>
      <c r="AL17" t="e">
        <f t="array" ref="AL17">heureConvert2Decimal(I17)</f>
        <v>#VALUE!</v>
      </c>
      <c r="AM17">
        <f t="shared" si="12"/>
        <v>-0.2</v>
      </c>
      <c r="AN17" t="e">
        <f t="array" ref="AN17">heureConvert2Decimal(K17)</f>
        <v>#VALUE!</v>
      </c>
      <c r="AO17">
        <f t="shared" si="13"/>
        <v>-0.05</v>
      </c>
      <c r="AP17" t="e">
        <f t="array" ref="AP17">heureConvert2Decimal(M17)</f>
        <v>#VALUE!</v>
      </c>
    </row>
    <row r="18" spans="2:42" ht="66">
      <c r="B18" s="353"/>
      <c r="C18" s="328"/>
      <c r="D18" s="320" t="s">
        <v>207</v>
      </c>
      <c r="E18" s="321"/>
      <c r="F18" s="106">
        <v>-0.75</v>
      </c>
      <c r="G18" s="107">
        <v>-0.05</v>
      </c>
      <c r="H18" s="106">
        <v>0.1</v>
      </c>
      <c r="I18" s="107">
        <v>-0.25</v>
      </c>
      <c r="J18" s="106">
        <v>-0.45</v>
      </c>
      <c r="K18" s="107">
        <v>-0.05</v>
      </c>
      <c r="L18" s="106">
        <v>-0.1</v>
      </c>
      <c r="M18" s="108">
        <v>-0.25</v>
      </c>
      <c r="P18" s="160" t="s">
        <v>283</v>
      </c>
      <c r="Q18"/>
      <c r="AA18"/>
      <c r="AB18" s="90"/>
      <c r="AD18" t="str">
        <f t="shared" si="7"/>
        <v>Paimpol</v>
      </c>
      <c r="AE18" t="str">
        <f t="shared" si="8"/>
        <v>paimpol</v>
      </c>
      <c r="AF18" t="str">
        <f t="shared" si="1"/>
        <v>treguier</v>
      </c>
      <c r="AG18" t="str">
        <f t="shared" si="9"/>
        <v>paimpol-treguier</v>
      </c>
      <c r="AI18">
        <f t="shared" si="10"/>
        <v>-0.75</v>
      </c>
      <c r="AJ18" t="e">
        <f t="array" ref="AJ18">heureConvert2Decimal(G18)</f>
        <v>#VALUE!</v>
      </c>
      <c r="AK18">
        <f t="shared" si="11"/>
        <v>0.1</v>
      </c>
      <c r="AL18" t="e">
        <f t="array" ref="AL18">heureConvert2Decimal(I18)</f>
        <v>#VALUE!</v>
      </c>
      <c r="AM18">
        <f t="shared" si="12"/>
        <v>-0.45</v>
      </c>
      <c r="AN18" t="e">
        <f t="array" ref="AN18">heureConvert2Decimal(K18)</f>
        <v>#VALUE!</v>
      </c>
      <c r="AO18">
        <f t="shared" si="13"/>
        <v>-0.1</v>
      </c>
      <c r="AP18" t="e">
        <f t="array" ref="AP18">heureConvert2Decimal(M18)</f>
        <v>#VALUE!</v>
      </c>
    </row>
    <row r="19" spans="2:42">
      <c r="B19" s="353"/>
      <c r="C19" s="328"/>
      <c r="D19" s="320" t="s">
        <v>208</v>
      </c>
      <c r="E19" s="321"/>
      <c r="F19" s="106">
        <v>0.7</v>
      </c>
      <c r="G19" s="107">
        <v>0.05</v>
      </c>
      <c r="H19" s="106">
        <v>0.1</v>
      </c>
      <c r="I19" s="107">
        <v>0.1</v>
      </c>
      <c r="J19" s="106">
        <v>0.45</v>
      </c>
      <c r="K19" s="107">
        <v>0</v>
      </c>
      <c r="L19" s="106">
        <v>0.25</v>
      </c>
      <c r="M19" s="108">
        <v>0.05</v>
      </c>
      <c r="P19"/>
      <c r="Q19"/>
      <c r="AA19"/>
      <c r="AB19" s="90"/>
      <c r="AD19" t="str">
        <f t="shared" si="7"/>
        <v>Paimpol</v>
      </c>
      <c r="AE19" t="str">
        <f t="shared" si="8"/>
        <v>paimpol</v>
      </c>
      <c r="AF19" t="str">
        <f t="shared" si="1"/>
        <v>lelegue-bouée</v>
      </c>
      <c r="AG19" t="str">
        <f t="shared" si="9"/>
        <v>paimpol-lelegue-bouée</v>
      </c>
      <c r="AI19">
        <f t="shared" si="10"/>
        <v>0.7</v>
      </c>
      <c r="AJ19" t="e">
        <f t="array" ref="AJ19">heureConvert2Decimal(G19)</f>
        <v>#VALUE!</v>
      </c>
      <c r="AK19">
        <f t="shared" si="11"/>
        <v>0.1</v>
      </c>
      <c r="AL19" t="e">
        <f t="array" ref="AL19">heureConvert2Decimal(I19)</f>
        <v>#VALUE!</v>
      </c>
      <c r="AM19">
        <f t="shared" si="12"/>
        <v>0.45</v>
      </c>
      <c r="AN19" t="e">
        <f t="array" ref="AN19">heureConvert2Decimal(K19)</f>
        <v>#VALUE!</v>
      </c>
      <c r="AO19">
        <f t="shared" si="13"/>
        <v>0.25</v>
      </c>
      <c r="AP19" t="e">
        <f t="array" ref="AP19">heureConvert2Decimal(M19)</f>
        <v>#VALUE!</v>
      </c>
    </row>
    <row r="20" spans="2:42" ht="115.5">
      <c r="B20" s="353"/>
      <c r="C20" s="328"/>
      <c r="D20" s="320" t="s">
        <v>209</v>
      </c>
      <c r="E20" s="321"/>
      <c r="F20" s="106">
        <v>-1.45</v>
      </c>
      <c r="G20" s="107">
        <v>-0.25</v>
      </c>
      <c r="H20" s="106">
        <v>-0.05</v>
      </c>
      <c r="I20" s="107">
        <v>-0.45</v>
      </c>
      <c r="J20" s="106">
        <v>-0.95</v>
      </c>
      <c r="K20" s="107">
        <v>-0.2</v>
      </c>
      <c r="L20" s="106">
        <v>-0.3</v>
      </c>
      <c r="M20" s="108">
        <v>-0.4</v>
      </c>
      <c r="P20" s="161" t="s">
        <v>284</v>
      </c>
      <c r="Q20"/>
      <c r="AA20"/>
      <c r="AB20" s="90"/>
      <c r="AD20" t="str">
        <f t="shared" si="7"/>
        <v>Paimpol</v>
      </c>
      <c r="AE20" t="str">
        <f t="shared" si="8"/>
        <v>paimpol</v>
      </c>
      <c r="AF20" t="str">
        <f t="shared" si="1"/>
        <v>perrosguirrec</v>
      </c>
      <c r="AG20" t="str">
        <f t="shared" si="9"/>
        <v>paimpol-perrosguirrec</v>
      </c>
      <c r="AI20">
        <f t="shared" si="10"/>
        <v>-1.45</v>
      </c>
      <c r="AJ20" t="e">
        <f t="array" ref="AJ20">heureConvert2Decimal(G20)</f>
        <v>#VALUE!</v>
      </c>
      <c r="AK20">
        <f t="shared" si="11"/>
        <v>-0.05</v>
      </c>
      <c r="AL20" t="e">
        <f t="array" ref="AL20">heureConvert2Decimal(I20)</f>
        <v>#VALUE!</v>
      </c>
      <c r="AM20">
        <f t="shared" si="12"/>
        <v>-0.95</v>
      </c>
      <c r="AN20" t="e">
        <f t="array" ref="AN20">heureConvert2Decimal(K20)</f>
        <v>#VALUE!</v>
      </c>
      <c r="AO20">
        <f t="shared" si="13"/>
        <v>-0.3</v>
      </c>
      <c r="AP20" t="e">
        <f t="array" ref="AP20">heureConvert2Decimal(M20)</f>
        <v>#VALUE!</v>
      </c>
    </row>
    <row r="21" spans="2:42">
      <c r="B21" s="353"/>
      <c r="C21" s="328"/>
      <c r="D21" s="320" t="s">
        <v>210</v>
      </c>
      <c r="E21" s="321"/>
      <c r="F21" s="106">
        <v>-0.05</v>
      </c>
      <c r="G21" s="107">
        <v>-0.05</v>
      </c>
      <c r="H21" s="106">
        <v>0</v>
      </c>
      <c r="I21" s="107">
        <v>-0.35</v>
      </c>
      <c r="J21" s="106">
        <v>-0.65</v>
      </c>
      <c r="K21" s="107">
        <v>-0.1</v>
      </c>
      <c r="L21" s="106">
        <v>-0.25</v>
      </c>
      <c r="M21" s="108">
        <v>-0.3</v>
      </c>
      <c r="P21"/>
      <c r="Q21"/>
      <c r="AA21"/>
      <c r="AB21" s="90"/>
      <c r="AD21" t="str">
        <f t="shared" si="7"/>
        <v>Paimpol</v>
      </c>
      <c r="AE21" t="str">
        <f t="shared" si="8"/>
        <v>paimpol</v>
      </c>
      <c r="AF21" t="str">
        <f t="shared" si="1"/>
        <v>portbeni</v>
      </c>
      <c r="AG21" t="str">
        <f t="shared" si="9"/>
        <v>paimpol-portbeni</v>
      </c>
      <c r="AI21">
        <f t="shared" si="10"/>
        <v>-0.05</v>
      </c>
      <c r="AJ21" t="e">
        <f t="array" ref="AJ21">heureConvert2Decimal(G21)</f>
        <v>#VALUE!</v>
      </c>
      <c r="AK21">
        <f t="shared" si="11"/>
        <v>0</v>
      </c>
      <c r="AL21" t="e">
        <f t="array" ref="AL21">heureConvert2Decimal(I21)</f>
        <v>#VALUE!</v>
      </c>
      <c r="AM21">
        <f t="shared" si="12"/>
        <v>-0.65</v>
      </c>
      <c r="AN21" t="e">
        <f t="array" ref="AN21">heureConvert2Decimal(K21)</f>
        <v>#VALUE!</v>
      </c>
      <c r="AO21">
        <f t="shared" si="13"/>
        <v>-0.25</v>
      </c>
      <c r="AP21" t="e">
        <f t="array" ref="AP21">heureConvert2Decimal(M21)</f>
        <v>#VALUE!</v>
      </c>
    </row>
    <row r="22" spans="2:42" ht="95.25">
      <c r="B22" s="353"/>
      <c r="C22" s="328"/>
      <c r="D22" s="322" t="s">
        <v>211</v>
      </c>
      <c r="E22" s="323"/>
      <c r="F22" s="106">
        <v>-1.5</v>
      </c>
      <c r="G22" s="107">
        <v>-0.25</v>
      </c>
      <c r="H22" s="106">
        <v>0</v>
      </c>
      <c r="I22" s="107">
        <v>-0.45</v>
      </c>
      <c r="J22" s="106">
        <v>-0.95</v>
      </c>
      <c r="K22" s="107">
        <v>-0.2</v>
      </c>
      <c r="L22" s="106">
        <v>-0.3</v>
      </c>
      <c r="M22" s="108">
        <v>-0.4</v>
      </c>
      <c r="P22" s="161" t="s">
        <v>285</v>
      </c>
      <c r="Q22"/>
      <c r="AA22"/>
      <c r="AB22" s="90"/>
      <c r="AD22" t="str">
        <f t="shared" si="7"/>
        <v>Paimpol</v>
      </c>
      <c r="AE22" t="str">
        <f t="shared" si="8"/>
        <v>paimpol</v>
      </c>
      <c r="AF22" t="str">
        <f t="shared" si="1"/>
        <v>ploumanach</v>
      </c>
      <c r="AG22" t="str">
        <f t="shared" si="9"/>
        <v>paimpol-ploumanach</v>
      </c>
      <c r="AI22">
        <f t="shared" si="10"/>
        <v>-1.5</v>
      </c>
      <c r="AJ22" t="e">
        <f t="array" ref="AJ22">heureConvert2Decimal(G22)</f>
        <v>#VALUE!</v>
      </c>
      <c r="AK22">
        <f t="shared" si="11"/>
        <v>0</v>
      </c>
      <c r="AL22" t="e">
        <f t="array" ref="AL22">heureConvert2Decimal(I22)</f>
        <v>#VALUE!</v>
      </c>
      <c r="AM22">
        <f t="shared" si="12"/>
        <v>-0.95</v>
      </c>
      <c r="AN22" t="e">
        <f t="array" ref="AN22">heureConvert2Decimal(K22)</f>
        <v>#VALUE!</v>
      </c>
      <c r="AO22">
        <f t="shared" si="13"/>
        <v>-0.3</v>
      </c>
      <c r="AP22" t="e">
        <f t="array" ref="AP22">heureConvert2Decimal(M22)</f>
        <v>#VALUE!</v>
      </c>
    </row>
    <row r="23" spans="2:42" ht="15" customHeight="1">
      <c r="B23" s="353"/>
      <c r="C23" s="328"/>
      <c r="D23" s="322" t="s">
        <v>212</v>
      </c>
      <c r="E23" s="323"/>
      <c r="F23" s="99">
        <v>0.5</v>
      </c>
      <c r="G23" s="107" t="s">
        <v>214</v>
      </c>
      <c r="H23" s="97">
        <v>0.14000000000000001</v>
      </c>
      <c r="I23" s="99" t="s">
        <v>213</v>
      </c>
      <c r="J23" s="97">
        <v>0.32</v>
      </c>
      <c r="K23" s="98" t="s">
        <v>214</v>
      </c>
      <c r="L23" s="97">
        <v>0.1</v>
      </c>
      <c r="M23" s="109" t="s">
        <v>215</v>
      </c>
      <c r="P23"/>
      <c r="Q23"/>
      <c r="AA23"/>
      <c r="AB23" s="90"/>
      <c r="AD23" t="str">
        <f>IF(ISBLANK(B23),AD15,B23)</f>
        <v>Paimpol</v>
      </c>
      <c r="AE23" t="str">
        <f t="shared" si="0"/>
        <v>paimpol</v>
      </c>
      <c r="AF23" t="str">
        <f t="shared" si="1"/>
        <v>stquay-port</v>
      </c>
      <c r="AG23" t="str">
        <f t="shared" si="2"/>
        <v>paimpol-stquay-port</v>
      </c>
      <c r="AI23">
        <f t="shared" si="3"/>
        <v>0.5</v>
      </c>
      <c r="AJ23" t="e">
        <f t="array" ref="AJ23">heureConvert2Decimal(G23)</f>
        <v>#VALUE!</v>
      </c>
      <c r="AK23">
        <f t="shared" si="4"/>
        <v>0.14000000000000001</v>
      </c>
      <c r="AL23" t="e">
        <f t="array" ref="AL23">heureConvert2Decimal(I23)</f>
        <v>#VALUE!</v>
      </c>
      <c r="AM23">
        <f t="shared" si="5"/>
        <v>0.32</v>
      </c>
      <c r="AN23" t="e">
        <f t="array" ref="AN23">heureConvert2Decimal(K23)</f>
        <v>#VALUE!</v>
      </c>
      <c r="AO23">
        <f t="shared" si="6"/>
        <v>0.1</v>
      </c>
      <c r="AP23" t="e">
        <f t="array" ref="AP23">heureConvert2Decimal(M23)</f>
        <v>#VALUE!</v>
      </c>
    </row>
    <row r="24" spans="2:42" ht="15" customHeight="1" thickBot="1">
      <c r="B24" s="354"/>
      <c r="C24" s="355"/>
      <c r="D24" s="324" t="s">
        <v>83</v>
      </c>
      <c r="E24" s="325"/>
      <c r="F24" s="110">
        <v>0</v>
      </c>
      <c r="G24" s="111">
        <v>0</v>
      </c>
      <c r="H24" s="110">
        <v>0</v>
      </c>
      <c r="I24" s="111">
        <v>0</v>
      </c>
      <c r="J24" s="110">
        <v>0</v>
      </c>
      <c r="K24" s="111">
        <v>0</v>
      </c>
      <c r="L24" s="110">
        <v>0</v>
      </c>
      <c r="M24" s="112">
        <v>0</v>
      </c>
      <c r="P24"/>
      <c r="Q24"/>
      <c r="AA24"/>
      <c r="AB24" s="90"/>
      <c r="AD24" t="str">
        <f>IF(ISBLANK(B24),AD23,B24)</f>
        <v>Paimpol</v>
      </c>
      <c r="AE24" t="str">
        <f t="shared" si="0"/>
        <v>paimpol</v>
      </c>
      <c r="AF24" t="str">
        <f t="shared" si="1"/>
        <v>paimpol</v>
      </c>
      <c r="AG24" t="str">
        <f t="shared" si="2"/>
        <v>paimpol-paimpol</v>
      </c>
      <c r="AI24">
        <f t="shared" si="3"/>
        <v>0</v>
      </c>
      <c r="AJ24" t="e">
        <f t="array" ref="AJ24">heureConvert2Decimal(G24)</f>
        <v>#VALUE!</v>
      </c>
      <c r="AK24">
        <f t="shared" si="4"/>
        <v>0</v>
      </c>
      <c r="AL24" t="e">
        <f t="array" ref="AL24">heureConvert2Decimal(I24)</f>
        <v>#VALUE!</v>
      </c>
      <c r="AM24">
        <f t="shared" si="5"/>
        <v>0</v>
      </c>
      <c r="AN24" t="e">
        <f t="array" ref="AN24">heureConvert2Decimal(K24)</f>
        <v>#VALUE!</v>
      </c>
      <c r="AO24">
        <f t="shared" si="6"/>
        <v>0</v>
      </c>
      <c r="AP24" t="e">
        <f t="array" ref="AP24">heureConvert2Decimal(M24)</f>
        <v>#VALUE!</v>
      </c>
    </row>
    <row r="25" spans="2:42" ht="15" customHeight="1">
      <c r="B25" s="349" t="s">
        <v>84</v>
      </c>
      <c r="C25" s="349"/>
      <c r="D25" s="326" t="s">
        <v>58</v>
      </c>
      <c r="E25" s="327"/>
      <c r="F25" s="113">
        <v>0.1</v>
      </c>
      <c r="G25" s="114" t="s">
        <v>75</v>
      </c>
      <c r="H25" s="113">
        <v>-2.1</v>
      </c>
      <c r="I25" s="115" t="s">
        <v>74</v>
      </c>
      <c r="J25" s="113">
        <v>0.13</v>
      </c>
      <c r="K25" s="114" t="s">
        <v>75</v>
      </c>
      <c r="L25" s="113">
        <v>-0.78</v>
      </c>
      <c r="M25" s="115" t="s">
        <v>77</v>
      </c>
      <c r="P25"/>
      <c r="Q25"/>
      <c r="AA25"/>
      <c r="AB25" s="90"/>
      <c r="AD25" t="str">
        <f>IF(ISBLANK(B25),AD14,B25)</f>
        <v>StMalo</v>
      </c>
      <c r="AE25" t="str">
        <f t="shared" si="0"/>
        <v>stmalo</v>
      </c>
      <c r="AF25" t="str">
        <f t="shared" si="1"/>
        <v>x</v>
      </c>
      <c r="AG25" t="str">
        <f t="shared" si="2"/>
        <v>stmalo-x</v>
      </c>
      <c r="AI25">
        <f t="shared" si="3"/>
        <v>0.1</v>
      </c>
      <c r="AJ25" t="e">
        <f t="array" ref="AJ25">heureConvert2Decimal(G25)</f>
        <v>#VALUE!</v>
      </c>
      <c r="AK25">
        <f t="shared" si="4"/>
        <v>-2.1</v>
      </c>
      <c r="AL25" t="e">
        <f t="array" ref="AL25">heureConvert2Decimal(I25)</f>
        <v>#VALUE!</v>
      </c>
      <c r="AM25">
        <f t="shared" si="5"/>
        <v>0.13</v>
      </c>
      <c r="AN25" t="e">
        <f t="array" ref="AN25">heureConvert2Decimal(K25)</f>
        <v>#VALUE!</v>
      </c>
      <c r="AO25">
        <f t="shared" si="6"/>
        <v>-0.78</v>
      </c>
      <c r="AP25" t="e">
        <f t="array" ref="AP25">heureConvert2Decimal(M25)</f>
        <v>#VALUE!</v>
      </c>
    </row>
    <row r="26" spans="2:42" ht="15" customHeight="1">
      <c r="B26" s="328"/>
      <c r="C26" s="328"/>
      <c r="D26" s="322" t="s">
        <v>58</v>
      </c>
      <c r="E26" s="323"/>
      <c r="F26" s="97">
        <v>0.23</v>
      </c>
      <c r="G26" s="98" t="s">
        <v>75</v>
      </c>
      <c r="H26" s="97">
        <v>-2.1</v>
      </c>
      <c r="I26" s="99" t="s">
        <v>74</v>
      </c>
      <c r="J26" s="97">
        <v>0.13</v>
      </c>
      <c r="K26" s="98" t="s">
        <v>75</v>
      </c>
      <c r="L26" s="97">
        <v>-0.78</v>
      </c>
      <c r="M26" s="99" t="s">
        <v>77</v>
      </c>
      <c r="P26"/>
      <c r="Q26"/>
      <c r="AA26"/>
      <c r="AB26" s="90"/>
      <c r="AD26" t="str">
        <f>IF(ISBLANK(B26),AD25,B26)</f>
        <v>StMalo</v>
      </c>
      <c r="AE26" t="str">
        <f t="shared" si="0"/>
        <v>stmalo</v>
      </c>
      <c r="AF26" t="str">
        <f t="shared" si="1"/>
        <v>x</v>
      </c>
      <c r="AG26" t="str">
        <f t="shared" si="2"/>
        <v>stmalo-x</v>
      </c>
      <c r="AI26">
        <f t="shared" si="3"/>
        <v>0.23</v>
      </c>
      <c r="AJ26" t="e">
        <f t="array" ref="AJ26">heureConvert2Decimal(G26)</f>
        <v>#VALUE!</v>
      </c>
      <c r="AK26">
        <f t="shared" si="4"/>
        <v>-2.1</v>
      </c>
      <c r="AL26" t="e">
        <f t="array" ref="AL26">heureConvert2Decimal(I26)</f>
        <v>#VALUE!</v>
      </c>
      <c r="AM26">
        <f t="shared" si="5"/>
        <v>0.13</v>
      </c>
      <c r="AN26" t="e">
        <f t="array" ref="AN26">heureConvert2Decimal(K26)</f>
        <v>#VALUE!</v>
      </c>
      <c r="AO26">
        <f t="shared" si="6"/>
        <v>-0.78</v>
      </c>
      <c r="AP26" t="e">
        <f t="array" ref="AP26">heureConvert2Decimal(M26)</f>
        <v>#VALUE!</v>
      </c>
    </row>
    <row r="27" spans="2:42" ht="15" customHeight="1">
      <c r="B27" s="328"/>
      <c r="C27" s="328"/>
      <c r="D27" s="322" t="s">
        <v>58</v>
      </c>
      <c r="E27" s="323"/>
      <c r="F27" s="97">
        <v>0.23</v>
      </c>
      <c r="G27" s="98" t="s">
        <v>75</v>
      </c>
      <c r="H27" s="97">
        <v>-2.1</v>
      </c>
      <c r="I27" s="99" t="s">
        <v>74</v>
      </c>
      <c r="J27" s="97">
        <v>0.13</v>
      </c>
      <c r="K27" s="98" t="s">
        <v>75</v>
      </c>
      <c r="L27" s="97">
        <v>-0.78</v>
      </c>
      <c r="M27" s="99" t="s">
        <v>77</v>
      </c>
      <c r="P27"/>
      <c r="Q27"/>
      <c r="AA27"/>
      <c r="AB27" s="90"/>
      <c r="AD27" t="str">
        <f>IF(ISBLANK(B27),AD26,B27)</f>
        <v>StMalo</v>
      </c>
      <c r="AE27" t="str">
        <f t="shared" si="0"/>
        <v>stmalo</v>
      </c>
      <c r="AF27" t="str">
        <f t="shared" si="1"/>
        <v>x</v>
      </c>
      <c r="AG27" t="str">
        <f t="shared" si="2"/>
        <v>stmalo-x</v>
      </c>
      <c r="AI27">
        <f t="shared" si="3"/>
        <v>0.23</v>
      </c>
      <c r="AJ27" t="e">
        <f t="array" ref="AJ27">heureConvert2Decimal(G27)</f>
        <v>#VALUE!</v>
      </c>
      <c r="AK27">
        <f t="shared" si="4"/>
        <v>-2.1</v>
      </c>
      <c r="AL27" t="e">
        <f t="array" ref="AL27">heureConvert2Decimal(I27)</f>
        <v>#VALUE!</v>
      </c>
      <c r="AM27">
        <f t="shared" si="5"/>
        <v>0.13</v>
      </c>
      <c r="AN27" t="e">
        <f t="array" ref="AN27">heureConvert2Decimal(K27)</f>
        <v>#VALUE!</v>
      </c>
      <c r="AO27">
        <f t="shared" si="6"/>
        <v>-0.78</v>
      </c>
      <c r="AP27" t="e">
        <f t="array" ref="AP27">heureConvert2Decimal(M27)</f>
        <v>#VALUE!</v>
      </c>
    </row>
    <row r="28" spans="2:42" ht="15" customHeight="1">
      <c r="B28" s="328" t="s">
        <v>238</v>
      </c>
      <c r="C28" s="328"/>
      <c r="D28" s="328" t="s">
        <v>238</v>
      </c>
      <c r="E28" s="328"/>
      <c r="F28" s="97">
        <v>0</v>
      </c>
      <c r="G28" s="98" t="s">
        <v>170</v>
      </c>
      <c r="H28" s="97">
        <v>0</v>
      </c>
      <c r="I28" s="98" t="s">
        <v>170</v>
      </c>
      <c r="J28" s="97">
        <v>0</v>
      </c>
      <c r="K28" s="98" t="s">
        <v>170</v>
      </c>
      <c r="L28" s="97">
        <v>0</v>
      </c>
      <c r="M28" s="98" t="s">
        <v>170</v>
      </c>
      <c r="P28"/>
      <c r="Q28"/>
      <c r="AA28"/>
      <c r="AB28" s="90"/>
      <c r="AD28" t="str">
        <f>IF(ISBLANK(B28),AD27,B28)</f>
        <v>PasDeCorrection</v>
      </c>
      <c r="AE28" t="str">
        <f t="shared" si="0"/>
        <v>pasdecorrection</v>
      </c>
      <c r="AF28" t="str">
        <f t="shared" si="1"/>
        <v>pasdecorrection</v>
      </c>
      <c r="AG28" t="str">
        <f t="shared" si="2"/>
        <v>pasdecorrection-pasdecorrection</v>
      </c>
      <c r="AI28">
        <f t="shared" si="3"/>
        <v>0</v>
      </c>
      <c r="AJ28" t="e">
        <f t="array" ref="AJ28">heureConvert2Decimal(G28)</f>
        <v>#VALUE!</v>
      </c>
      <c r="AK28">
        <f t="shared" si="4"/>
        <v>0</v>
      </c>
      <c r="AL28" t="e">
        <f t="array" ref="AL28">heureConvert2Decimal(I28)</f>
        <v>#VALUE!</v>
      </c>
      <c r="AM28">
        <f t="shared" si="5"/>
        <v>0</v>
      </c>
      <c r="AN28" t="e">
        <f t="array" ref="AN28">heureConvert2Decimal(K28)</f>
        <v>#VALUE!</v>
      </c>
      <c r="AO28">
        <f t="shared" si="6"/>
        <v>0</v>
      </c>
      <c r="AP28" t="e">
        <f t="array" ref="AP28">heureConvert2Decimal(M28)</f>
        <v>#VALUE!</v>
      </c>
    </row>
    <row r="29" spans="2:42">
      <c r="P29"/>
      <c r="Q29"/>
      <c r="AA29"/>
    </row>
    <row r="30" spans="2:42">
      <c r="C30" s="95" t="s">
        <v>68</v>
      </c>
      <c r="D30" s="116" t="s">
        <v>216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172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95" t="s">
        <v>66</v>
      </c>
      <c r="D31" s="116" t="s">
        <v>275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171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88" t="s">
        <v>173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K34" t="s">
        <v>273</v>
      </c>
      <c r="AL34">
        <v>5.39</v>
      </c>
    </row>
    <row r="35" spans="2:54">
      <c r="H35" s="341" t="s">
        <v>102</v>
      </c>
      <c r="I35" s="341"/>
      <c r="J35" s="341"/>
      <c r="K35" s="341"/>
      <c r="L35" s="341"/>
      <c r="M35" s="342"/>
      <c r="N35" s="342"/>
      <c r="O35" s="342"/>
      <c r="P35"/>
      <c r="Q35"/>
      <c r="AK35" t="s">
        <v>274</v>
      </c>
      <c r="AL35">
        <v>7.31</v>
      </c>
    </row>
    <row r="36" spans="2:54">
      <c r="C36" s="350" t="s">
        <v>78</v>
      </c>
      <c r="D36" s="350"/>
      <c r="E36" s="350"/>
      <c r="F36" s="350"/>
      <c r="G36" s="350"/>
      <c r="H36" s="343" t="s">
        <v>86</v>
      </c>
      <c r="I36" s="345" t="s">
        <v>220</v>
      </c>
      <c r="J36" s="315" t="s">
        <v>191</v>
      </c>
      <c r="K36" s="315"/>
      <c r="L36" s="316"/>
      <c r="M36" s="317" t="s">
        <v>192</v>
      </c>
      <c r="N36" s="317"/>
      <c r="O36" s="317"/>
      <c r="P36" s="317"/>
      <c r="Q36" s="317"/>
    </row>
    <row r="37" spans="2:54">
      <c r="C37" s="94" t="s">
        <v>85</v>
      </c>
      <c r="D37" s="94" t="s">
        <v>0</v>
      </c>
      <c r="E37" s="94" t="s">
        <v>6</v>
      </c>
      <c r="F37" s="94" t="s">
        <v>63</v>
      </c>
      <c r="G37" s="94" t="s">
        <v>98</v>
      </c>
      <c r="H37" s="344"/>
      <c r="I37" s="346"/>
      <c r="J37" s="119" t="s">
        <v>64</v>
      </c>
      <c r="K37" s="356" t="s">
        <v>6</v>
      </c>
      <c r="L37" s="357"/>
      <c r="M37" s="118" t="s">
        <v>187</v>
      </c>
      <c r="N37" s="317" t="s">
        <v>188</v>
      </c>
      <c r="O37" s="317"/>
      <c r="P37" s="317" t="s">
        <v>194</v>
      </c>
      <c r="Q37" s="317"/>
      <c r="AB37" t="s">
        <v>87</v>
      </c>
      <c r="AC37" t="s">
        <v>0</v>
      </c>
      <c r="AD37" t="s">
        <v>175</v>
      </c>
      <c r="AE37" t="s">
        <v>176</v>
      </c>
      <c r="AF37" t="s">
        <v>174</v>
      </c>
      <c r="AG37" t="s">
        <v>88</v>
      </c>
      <c r="AH37" t="s">
        <v>89</v>
      </c>
      <c r="AI37" t="s">
        <v>91</v>
      </c>
      <c r="AJ37" t="s">
        <v>92</v>
      </c>
      <c r="AK37" t="s">
        <v>96</v>
      </c>
      <c r="AL37" t="s">
        <v>186</v>
      </c>
      <c r="AM37" t="s">
        <v>63</v>
      </c>
      <c r="AN37" t="s">
        <v>76</v>
      </c>
      <c r="AO37" t="s">
        <v>184</v>
      </c>
      <c r="AP37" t="s">
        <v>185</v>
      </c>
      <c r="AQ37" t="s">
        <v>189</v>
      </c>
      <c r="AR37" t="s">
        <v>190</v>
      </c>
      <c r="AS37" s="120" t="s">
        <v>177</v>
      </c>
      <c r="AT37" s="120" t="s">
        <v>178</v>
      </c>
      <c r="AU37" s="329" t="s">
        <v>179</v>
      </c>
      <c r="AV37" s="329"/>
      <c r="AW37" s="329"/>
      <c r="AX37" s="329"/>
      <c r="AY37" s="329"/>
      <c r="AZ37" s="329"/>
      <c r="BA37" s="329"/>
      <c r="BB37" s="329"/>
    </row>
    <row r="38" spans="2:54">
      <c r="C38" s="122" t="str">
        <f>IF(G38&gt;G39,"PM","BM")</f>
        <v>BM</v>
      </c>
      <c r="D38" s="77" t="s">
        <v>239</v>
      </c>
      <c r="E38" s="75" t="s">
        <v>240</v>
      </c>
      <c r="F38" s="75"/>
      <c r="G38" s="79">
        <v>2.64</v>
      </c>
      <c r="H38" s="117" t="e">
        <f>IF(AL38,"Y","N")</f>
        <v>#VALUE!</v>
      </c>
      <c r="I38" s="117" t="e">
        <f>IF(AN38,"Y","N")</f>
        <v>#VALUE!</v>
      </c>
      <c r="J38" s="123" t="e">
        <f>IF(AL38,AO38,NA())</f>
        <v>#VALUE!</v>
      </c>
      <c r="K38" s="315" t="e">
        <f t="array" ref="K38">IF(AL38,heureDecimal2Txt(AP38),NA())</f>
        <v>#VALUE!</v>
      </c>
      <c r="L38" s="316"/>
      <c r="M38" s="118" t="e">
        <f>G38+J38</f>
        <v>#VALUE!</v>
      </c>
      <c r="N38" s="317" t="e">
        <f t="array" ref="N38">IF(AL38,dateEpoch2Txt(AR38),NA())</f>
        <v>#VALUE!</v>
      </c>
      <c r="O38" s="317"/>
      <c r="P38" s="318" t="e">
        <f>IF(AL38,AR38/3600, NA())</f>
        <v>#VALUE!</v>
      </c>
      <c r="Q38" s="319"/>
      <c r="AB38" t="b">
        <f>(C38=$AB$3)</f>
        <v>0</v>
      </c>
      <c r="AC38">
        <f>IF(ISBLANK(D38),0,dateConvert2Decimal(D38))</f>
        <v>1425168000</v>
      </c>
      <c r="AD38" t="e">
        <f t="array" ref="AD38">IF(ISBLANK(E38),0,heureConvert2Decimal(E38))*3600</f>
        <v>#VALUE!</v>
      </c>
      <c r="AE38" t="e">
        <f>AC38+AD38</f>
        <v>#VALUE!</v>
      </c>
      <c r="AF38" s="124" t="b">
        <f>IF(AB38, IF(ISNUMBER(F38), TRUE, FALSE), IF(AF39,AF39,AF37))</f>
        <v>1</v>
      </c>
      <c r="AG38" s="124" t="b">
        <f>ISNUMBER(G38)</f>
        <v>1</v>
      </c>
      <c r="AH38" s="124" t="b">
        <f>AC38&gt;0</f>
        <v>1</v>
      </c>
      <c r="AI38" s="124" t="e">
        <f>AD38&gt;0</f>
        <v>#VALUE!</v>
      </c>
      <c r="AJ38" s="124" t="b">
        <f>IF(AG38,IF(G38&gt;0,TRUE,FALSE),FALSE)</f>
        <v>1</v>
      </c>
      <c r="AK38" t="e">
        <f>IF(AND(AI38,AH38),6,0)</f>
        <v>#VALUE!</v>
      </c>
      <c r="AL38" s="124" t="e">
        <f>AND(AJ38,AI38,AH38,AF38,(AK38&gt;$AL$34),(AK38&lt;$AL$35))</f>
        <v>#VALUE!</v>
      </c>
      <c r="AM38" t="e">
        <f>IF(AL38,IF(AND(AL38,AB38),F38,F39),-1)</f>
        <v>#VALUE!</v>
      </c>
      <c r="AN38" t="e">
        <f>AND(AL38,AM38&gt;70)</f>
        <v>#VALUE!</v>
      </c>
      <c r="AO38">
        <f t="shared" ref="AO38:AO64" si="14">IF($AS$38, IF($AN38, IF($AB38,$AU$40,$AW$40),IF($AB38,$AY$40,$BA$40)),0)</f>
        <v>0</v>
      </c>
      <c r="AP38">
        <f t="shared" ref="AP38:AP64" si="15">IF($AS$38, IF($AN38, IF($AB38,$AV$40,$AX$40),IF($AB38,$AZ$40,$BB$40)),0)</f>
        <v>0</v>
      </c>
      <c r="AQ38">
        <f>G38+AO38</f>
        <v>2.64</v>
      </c>
      <c r="AR38" t="e">
        <f>AE38+AP38*3600</f>
        <v>#VALUE!</v>
      </c>
      <c r="AS38" s="330" t="b">
        <f>ISNUMBER($AD$30)</f>
        <v>0</v>
      </c>
      <c r="AT38" s="330" t="e">
        <f>$AE$30</f>
        <v>#N/A</v>
      </c>
      <c r="AU38" s="329" t="s">
        <v>180</v>
      </c>
      <c r="AV38" s="329"/>
      <c r="AW38" s="329" t="s">
        <v>181</v>
      </c>
      <c r="AX38" s="329"/>
      <c r="AY38" s="329" t="s">
        <v>182</v>
      </c>
      <c r="AZ38" s="329"/>
      <c r="BA38" s="329" t="s">
        <v>183</v>
      </c>
      <c r="BB38" s="329"/>
    </row>
    <row r="39" spans="2:54">
      <c r="C39" s="122" t="str">
        <f t="shared" ref="C39:C64" si="16">IF(C38=$AB$3,$AB$4,$AB$3)</f>
        <v>PM</v>
      </c>
      <c r="D39" s="78" t="s">
        <v>239</v>
      </c>
      <c r="E39" s="76" t="s">
        <v>241</v>
      </c>
      <c r="F39" s="76">
        <v>71</v>
      </c>
      <c r="G39" s="80">
        <v>11.8</v>
      </c>
      <c r="H39" s="117" t="e">
        <f>IF(AL39,"Y","N")</f>
        <v>#VALUE!</v>
      </c>
      <c r="I39" s="117" t="e">
        <f>IF(AN39,"Y","N")</f>
        <v>#VALUE!</v>
      </c>
      <c r="J39" s="123" t="e">
        <f>IF(AL39,AO39,NA())</f>
        <v>#VALUE!</v>
      </c>
      <c r="K39" s="315" t="e">
        <f t="array" ref="K39">IF(AL39,heureDecimal2Txt(AP39),NA())</f>
        <v>#VALUE!</v>
      </c>
      <c r="L39" s="316"/>
      <c r="M39" s="118" t="e">
        <f>G39+J39</f>
        <v>#VALUE!</v>
      </c>
      <c r="N39" s="317" t="e">
        <f t="array" ref="N39">IF(AL39,dateEpoch2Txt(AR39),NA())</f>
        <v>#VALUE!</v>
      </c>
      <c r="O39" s="317"/>
      <c r="P39" s="318" t="e">
        <f>IF(AL39,AR39/3600, NA())</f>
        <v>#VALUE!</v>
      </c>
      <c r="Q39" s="319"/>
      <c r="AB39" t="b">
        <f>(C39=$AB$3)</f>
        <v>1</v>
      </c>
      <c r="AC39">
        <f>IF(ISBLANK(D39),0,dateConvert2Decimal(D39))</f>
        <v>1425168000</v>
      </c>
      <c r="AD39" t="e">
        <f t="array" ref="AD39">IF(ISBLANK(E39),0,heureConvert2Decimal(E39))*3600</f>
        <v>#VALUE!</v>
      </c>
      <c r="AE39" t="e">
        <f>AC39+AD39</f>
        <v>#VALUE!</v>
      </c>
      <c r="AF39" s="124" t="b">
        <f>IF(AB39, IF(ISNUMBER(F39), TRUE, FALSE), IF(AF40,AF40,AF38))</f>
        <v>1</v>
      </c>
      <c r="AG39" s="124" t="b">
        <f>ISNUMBER(G39)</f>
        <v>1</v>
      </c>
      <c r="AH39" s="124" t="b">
        <f>AC39&gt;0</f>
        <v>1</v>
      </c>
      <c r="AI39" s="124" t="e">
        <f>AD39&gt;0</f>
        <v>#VALUE!</v>
      </c>
      <c r="AJ39" s="124" t="b">
        <f>IF(AG39,IF(G39&gt;0,TRUE,FALSE),FALSE)</f>
        <v>1</v>
      </c>
      <c r="AK39" t="e">
        <f>IF(AND(AI39,AH39),(AE39-AE38)/3600,0)</f>
        <v>#VALUE!</v>
      </c>
      <c r="AL39" s="124" t="e">
        <f>AND(AJ39,AI39,AH39,AF39,(AK39&gt;$AL$34),(AK39&lt;$AL$35))</f>
        <v>#VALUE!</v>
      </c>
      <c r="AM39" t="e">
        <f>IF(AL39,IF(AND(AL39,AB39),F39,F40),-1)</f>
        <v>#VALUE!</v>
      </c>
      <c r="AN39" t="e">
        <f>AND(AL39,AM39&gt;70)</f>
        <v>#VALUE!</v>
      </c>
      <c r="AO39">
        <f t="shared" si="14"/>
        <v>0</v>
      </c>
      <c r="AP39">
        <f t="shared" si="15"/>
        <v>0</v>
      </c>
      <c r="AQ39">
        <f>G39+AO39</f>
        <v>11.8</v>
      </c>
      <c r="AR39" t="e">
        <f>AE39+AP39*3600</f>
        <v>#VALUE!</v>
      </c>
      <c r="AS39" s="330"/>
      <c r="AT39" s="330"/>
      <c r="AU39" s="120">
        <v>3</v>
      </c>
      <c r="AV39" s="120">
        <v>4</v>
      </c>
      <c r="AW39" s="120">
        <v>5</v>
      </c>
      <c r="AX39" s="120">
        <v>6</v>
      </c>
      <c r="AY39" s="120">
        <v>7</v>
      </c>
      <c r="AZ39" s="120">
        <v>8</v>
      </c>
      <c r="BA39" s="120">
        <v>9</v>
      </c>
      <c r="BB39" s="120">
        <v>10</v>
      </c>
    </row>
    <row r="40" spans="2:54">
      <c r="C40" s="122" t="str">
        <f t="shared" si="16"/>
        <v>BM</v>
      </c>
      <c r="D40" s="77" t="s">
        <v>239</v>
      </c>
      <c r="E40" s="75" t="s">
        <v>242</v>
      </c>
      <c r="F40" s="75"/>
      <c r="G40" s="79">
        <v>2.89</v>
      </c>
      <c r="H40" s="117" t="e">
        <f>IF(AL40,"Y","N")</f>
        <v>#VALUE!</v>
      </c>
      <c r="I40" s="117" t="e">
        <f>IF(AN40,"Y","N")</f>
        <v>#VALUE!</v>
      </c>
      <c r="J40" s="123" t="e">
        <f>IF(AL40,AO40,NA())</f>
        <v>#VALUE!</v>
      </c>
      <c r="K40" s="315" t="e">
        <f t="array" ref="K40">IF(AL40,heureDecimal2Txt(AP40),NA())</f>
        <v>#VALUE!</v>
      </c>
      <c r="L40" s="316"/>
      <c r="M40" s="118" t="e">
        <f>G40+J40</f>
        <v>#VALUE!</v>
      </c>
      <c r="N40" s="317" t="e">
        <f t="array" ref="N40">IF(AL40,dateEpoch2Txt(AR40),NA())</f>
        <v>#VALUE!</v>
      </c>
      <c r="O40" s="317"/>
      <c r="P40" s="318" t="e">
        <f>IF(AL40,AR40/3600, NA())</f>
        <v>#VALUE!</v>
      </c>
      <c r="Q40" s="319"/>
      <c r="AB40" t="b">
        <f t="shared" ref="AB40:AB64" si="17">(C40=$AB$3)</f>
        <v>0</v>
      </c>
      <c r="AC40">
        <f>IF(ISBLANK(D40),0,dateConvert2Decimal(D40))</f>
        <v>1425168000</v>
      </c>
      <c r="AD40" t="e">
        <f t="array" ref="AD40">IF(ISBLANK(E40),0,heureConvert2Decimal(E40))*3600</f>
        <v>#VALUE!</v>
      </c>
      <c r="AE40" t="e">
        <f t="shared" ref="AE40:AE64" si="18">AC40+AD40</f>
        <v>#VALUE!</v>
      </c>
      <c r="AF40" s="124" t="b">
        <f t="shared" ref="AF40:AF64" si="19">IF(AB40, IF(ISNUMBER(F40), TRUE, FALSE), IF(AF41,AF41,AF39))</f>
        <v>1</v>
      </c>
      <c r="AG40" s="124" t="b">
        <f t="shared" ref="AG40:AG64" si="20">ISNUMBER(G40)</f>
        <v>1</v>
      </c>
      <c r="AH40" s="124" t="b">
        <f t="shared" ref="AH40:AH64" si="21">AC40&gt;0</f>
        <v>1</v>
      </c>
      <c r="AI40" s="124" t="e">
        <f t="shared" ref="AI40:AI64" si="22">AD40&gt;0</f>
        <v>#VALUE!</v>
      </c>
      <c r="AJ40" s="124" t="b">
        <f t="shared" ref="AJ40:AJ64" si="23">IF(AG40,IF(G40&gt;0,TRUE,FALSE),FALSE)</f>
        <v>1</v>
      </c>
      <c r="AK40" t="e">
        <f t="shared" ref="AK40:AK64" si="24">IF(AND(AI40,AH40),(AE40-AE39)/3600,0)</f>
        <v>#VALUE!</v>
      </c>
      <c r="AL40" s="124" t="e">
        <f t="shared" ref="AL40:AL64" si="25">AND(AJ40,AI40,AH40,AF40,(AK40&gt;$AL$34),(AK40&lt;$AL$35))</f>
        <v>#VALUE!</v>
      </c>
      <c r="AM40" t="e">
        <f t="shared" ref="AM40:AM64" si="26">IF(AL40,IF(AND(AL40,AB40),F40,F41),-1)</f>
        <v>#VALUE!</v>
      </c>
      <c r="AN40" t="e">
        <f t="shared" ref="AN40:AN64" si="27">AND(AL40,AM40&gt;70)</f>
        <v>#VALUE!</v>
      </c>
      <c r="AO40">
        <f t="shared" si="14"/>
        <v>0</v>
      </c>
      <c r="AP40">
        <f t="shared" si="15"/>
        <v>0</v>
      </c>
      <c r="AQ40">
        <f t="shared" ref="AQ40:AQ64" si="28">G40+AO40</f>
        <v>2.89</v>
      </c>
      <c r="AR40" t="e">
        <f t="shared" ref="AR40:AR64" si="29">AE40+AP40*3600</f>
        <v>#VALUE!</v>
      </c>
      <c r="AS40" s="330"/>
      <c r="AT40" s="330"/>
      <c r="AU40" s="330" t="e">
        <f t="shared" ref="AU40:BB40" si="30">VLOOKUP($AT$38,$AG$12:$AP$28,AU39, FALSE)</f>
        <v>#N/A</v>
      </c>
      <c r="AV40" s="330" t="e">
        <f t="shared" si="30"/>
        <v>#N/A</v>
      </c>
      <c r="AW40" s="330" t="e">
        <f t="shared" si="30"/>
        <v>#N/A</v>
      </c>
      <c r="AX40" s="330" t="e">
        <f t="shared" si="30"/>
        <v>#N/A</v>
      </c>
      <c r="AY40" s="330" t="e">
        <f t="shared" si="30"/>
        <v>#N/A</v>
      </c>
      <c r="AZ40" s="330" t="e">
        <f t="shared" si="30"/>
        <v>#N/A</v>
      </c>
      <c r="BA40" s="330" t="e">
        <f t="shared" si="30"/>
        <v>#N/A</v>
      </c>
      <c r="BB40" s="330" t="e">
        <f t="shared" si="30"/>
        <v>#N/A</v>
      </c>
    </row>
    <row r="41" spans="2:54">
      <c r="C41" s="122" t="str">
        <f t="shared" si="16"/>
        <v>PM</v>
      </c>
      <c r="D41" s="78" t="s">
        <v>239</v>
      </c>
      <c r="E41" s="76" t="s">
        <v>243</v>
      </c>
      <c r="F41" s="76">
        <v>66</v>
      </c>
      <c r="G41" s="80">
        <v>10.93</v>
      </c>
      <c r="H41" s="117" t="e">
        <f>IF(AL41,"Y","N")</f>
        <v>#VALUE!</v>
      </c>
      <c r="I41" s="117" t="e">
        <f>IF(AN41,"Y","N")</f>
        <v>#VALUE!</v>
      </c>
      <c r="J41" s="123" t="e">
        <f>IF(AL41,AO41,NA())</f>
        <v>#VALUE!</v>
      </c>
      <c r="K41" s="315" t="e">
        <f t="array" ref="K41">IF(AL41,heureDecimal2Txt(AP41),NA())</f>
        <v>#VALUE!</v>
      </c>
      <c r="L41" s="316"/>
      <c r="M41" s="118" t="e">
        <f>G41+J41</f>
        <v>#VALUE!</v>
      </c>
      <c r="N41" s="317" t="e">
        <f t="array" ref="N41">IF(AL41,dateEpoch2Txt(AR41),NA())</f>
        <v>#VALUE!</v>
      </c>
      <c r="O41" s="317"/>
      <c r="P41" s="318" t="e">
        <f>IF(AL41,AR41/3600, NA())</f>
        <v>#VALUE!</v>
      </c>
      <c r="Q41" s="319"/>
      <c r="AB41" t="b">
        <f t="shared" si="17"/>
        <v>1</v>
      </c>
      <c r="AC41" t="e">
        <f t="array" ref="AC41">IF(ISBLANK(D41),0,dateConvert2Decimal(D41))</f>
        <v>#VALUE!</v>
      </c>
      <c r="AD41" t="e">
        <f t="array" ref="AD41">IF(ISBLANK(E41),0,heureConvert2Decimal(E41))*3600</f>
        <v>#VALUE!</v>
      </c>
      <c r="AE41" t="e">
        <f t="shared" si="18"/>
        <v>#VALUE!</v>
      </c>
      <c r="AF41" s="124" t="b">
        <f t="shared" si="19"/>
        <v>1</v>
      </c>
      <c r="AG41" s="124" t="b">
        <f t="shared" si="20"/>
        <v>1</v>
      </c>
      <c r="AH41" s="124" t="e">
        <f t="shared" si="21"/>
        <v>#VALUE!</v>
      </c>
      <c r="AI41" s="124" t="e">
        <f t="shared" si="22"/>
        <v>#VALUE!</v>
      </c>
      <c r="AJ41" s="124" t="b">
        <f t="shared" si="23"/>
        <v>1</v>
      </c>
      <c r="AK41" t="e">
        <f t="shared" si="24"/>
        <v>#VALUE!</v>
      </c>
      <c r="AL41" s="124" t="e">
        <f t="shared" si="25"/>
        <v>#VALUE!</v>
      </c>
      <c r="AM41" t="e">
        <f t="shared" si="26"/>
        <v>#VALUE!</v>
      </c>
      <c r="AN41" t="e">
        <f t="shared" si="27"/>
        <v>#VALUE!</v>
      </c>
      <c r="AO41">
        <f t="shared" si="14"/>
        <v>0</v>
      </c>
      <c r="AP41">
        <f t="shared" si="15"/>
        <v>0</v>
      </c>
      <c r="AQ41">
        <f t="shared" si="28"/>
        <v>10.93</v>
      </c>
      <c r="AR41" t="e">
        <f t="shared" si="29"/>
        <v>#VALUE!</v>
      </c>
      <c r="AS41" s="330"/>
      <c r="AT41" s="330"/>
      <c r="AU41" s="330"/>
      <c r="AV41" s="330"/>
      <c r="AW41" s="330"/>
      <c r="AX41" s="330"/>
      <c r="AY41" s="330"/>
      <c r="AZ41" s="330"/>
      <c r="BA41" s="330"/>
      <c r="BB41" s="330"/>
    </row>
    <row r="42" spans="2:54">
      <c r="C42" s="122" t="str">
        <f t="shared" si="16"/>
        <v>BM</v>
      </c>
      <c r="D42" s="77" t="s">
        <v>244</v>
      </c>
      <c r="E42" s="75" t="s">
        <v>245</v>
      </c>
      <c r="F42" s="75"/>
      <c r="G42" s="79">
        <v>3.13</v>
      </c>
      <c r="H42" s="117" t="e">
        <f>IF(AL42,"Y","N")</f>
        <v>#VALUE!</v>
      </c>
      <c r="I42" s="117" t="e">
        <f>IF(AN42,"Y","N")</f>
        <v>#VALUE!</v>
      </c>
      <c r="J42" s="123" t="e">
        <f>IF(AL42,AO42,NA())</f>
        <v>#VALUE!</v>
      </c>
      <c r="K42" s="315" t="e">
        <f t="array" ref="K42">IF(AL42,heureDecimal2Txt(AP42),NA())</f>
        <v>#VALUE!</v>
      </c>
      <c r="L42" s="316"/>
      <c r="M42" s="118" t="e">
        <f>G42+J42</f>
        <v>#VALUE!</v>
      </c>
      <c r="N42" s="317" t="e">
        <f t="array" ref="N42">IF(AL42,dateEpoch2Txt(AR42),NA())</f>
        <v>#VALUE!</v>
      </c>
      <c r="O42" s="317"/>
      <c r="P42" s="318" t="e">
        <f>IF(AL42,AR42/3600, NA())</f>
        <v>#VALUE!</v>
      </c>
      <c r="Q42" s="319"/>
      <c r="AB42" t="b">
        <f t="shared" si="17"/>
        <v>0</v>
      </c>
      <c r="AC42" t="e">
        <f t="array" ref="AC42">IF(ISBLANK(D42),0,dateConvert2Decimal(D42))</f>
        <v>#VALUE!</v>
      </c>
      <c r="AD42" t="e">
        <f t="array" ref="AD42">IF(ISBLANK(E42),0,heureConvert2Decimal(E42))*3600</f>
        <v>#VALUE!</v>
      </c>
      <c r="AE42" t="e">
        <f t="shared" si="18"/>
        <v>#VALUE!</v>
      </c>
      <c r="AF42" s="124" t="b">
        <f t="shared" si="19"/>
        <v>1</v>
      </c>
      <c r="AG42" s="124" t="b">
        <f t="shared" si="20"/>
        <v>1</v>
      </c>
      <c r="AH42" s="124" t="e">
        <f t="shared" si="21"/>
        <v>#VALUE!</v>
      </c>
      <c r="AI42" s="124" t="e">
        <f t="shared" si="22"/>
        <v>#VALUE!</v>
      </c>
      <c r="AJ42" s="124" t="b">
        <f t="shared" si="23"/>
        <v>1</v>
      </c>
      <c r="AK42" t="e">
        <f t="shared" si="24"/>
        <v>#VALUE!</v>
      </c>
      <c r="AL42" s="124" t="e">
        <f t="shared" si="25"/>
        <v>#VALUE!</v>
      </c>
      <c r="AM42" t="e">
        <f t="shared" si="26"/>
        <v>#VALUE!</v>
      </c>
      <c r="AN42" t="e">
        <f t="shared" si="27"/>
        <v>#VALUE!</v>
      </c>
      <c r="AO42">
        <f t="shared" si="14"/>
        <v>0</v>
      </c>
      <c r="AP42">
        <f t="shared" si="15"/>
        <v>0</v>
      </c>
      <c r="AQ42">
        <f t="shared" si="28"/>
        <v>3.13</v>
      </c>
      <c r="AR42" t="e">
        <f t="shared" si="29"/>
        <v>#VALUE!</v>
      </c>
      <c r="AS42" s="330"/>
      <c r="AT42" s="330"/>
      <c r="AU42" s="330"/>
      <c r="AV42" s="330"/>
      <c r="AW42" s="330"/>
      <c r="AX42" s="330"/>
      <c r="AY42" s="330"/>
      <c r="AZ42" s="330"/>
      <c r="BA42" s="330"/>
      <c r="BB42" s="330"/>
    </row>
    <row r="43" spans="2:54">
      <c r="C43" s="122" t="str">
        <f t="shared" si="16"/>
        <v>PM</v>
      </c>
      <c r="D43" s="78" t="s">
        <v>244</v>
      </c>
      <c r="E43" s="76" t="s">
        <v>246</v>
      </c>
      <c r="F43" s="76">
        <v>61</v>
      </c>
      <c r="G43" s="80">
        <v>10.59</v>
      </c>
      <c r="H43" s="117" t="e">
        <f t="shared" ref="H43:H64" si="31">IF(AL43,"Y","N")</f>
        <v>#VALUE!</v>
      </c>
      <c r="I43" s="117" t="e">
        <f t="shared" ref="I43:I64" si="32">IF(AN43,"Y","N")</f>
        <v>#VALUE!</v>
      </c>
      <c r="J43" s="123" t="e">
        <f t="shared" ref="J43:J64" si="33">IF(AL43,AO43,NA())</f>
        <v>#VALUE!</v>
      </c>
      <c r="K43" s="315" t="e">
        <f t="array" ref="K43">IF(AL43,heureDecimal2Txt(AP43),NA())</f>
        <v>#VALUE!</v>
      </c>
      <c r="L43" s="316"/>
      <c r="M43" s="118" t="e">
        <f t="shared" ref="M43:M64" si="34">G43+J43</f>
        <v>#VALUE!</v>
      </c>
      <c r="N43" s="317" t="e">
        <f t="array" ref="N43">IF(AL43,dateEpoch2Txt(AR43),NA())</f>
        <v>#VALUE!</v>
      </c>
      <c r="O43" s="317"/>
      <c r="P43" s="318" t="e">
        <f t="shared" ref="P43:P64" si="35">IF(AL43,AR43/3600, NA())</f>
        <v>#VALUE!</v>
      </c>
      <c r="Q43" s="319"/>
      <c r="AB43" t="b">
        <f t="shared" si="17"/>
        <v>1</v>
      </c>
      <c r="AC43" t="e">
        <f t="array" ref="AC43">IF(ISBLANK(D43),0,dateConvert2Decimal(D43))</f>
        <v>#VALUE!</v>
      </c>
      <c r="AD43" t="e">
        <f t="array" ref="AD43">IF(ISBLANK(E43),0,heureConvert2Decimal(E43))*3600</f>
        <v>#VALUE!</v>
      </c>
      <c r="AE43" t="e">
        <f t="shared" si="18"/>
        <v>#VALUE!</v>
      </c>
      <c r="AF43" s="124" t="b">
        <f t="shared" si="19"/>
        <v>1</v>
      </c>
      <c r="AG43" s="124" t="b">
        <f t="shared" si="20"/>
        <v>1</v>
      </c>
      <c r="AH43" s="124" t="e">
        <f t="shared" si="21"/>
        <v>#VALUE!</v>
      </c>
      <c r="AI43" s="124" t="e">
        <f t="shared" si="22"/>
        <v>#VALUE!</v>
      </c>
      <c r="AJ43" s="124" t="b">
        <f t="shared" si="23"/>
        <v>1</v>
      </c>
      <c r="AK43" t="e">
        <f t="shared" si="24"/>
        <v>#VALUE!</v>
      </c>
      <c r="AL43" s="124" t="e">
        <f t="shared" si="25"/>
        <v>#VALUE!</v>
      </c>
      <c r="AM43" t="e">
        <f t="shared" si="26"/>
        <v>#VALUE!</v>
      </c>
      <c r="AN43" t="e">
        <f t="shared" si="27"/>
        <v>#VALUE!</v>
      </c>
      <c r="AO43">
        <f t="shared" si="14"/>
        <v>0</v>
      </c>
      <c r="AP43">
        <f t="shared" si="15"/>
        <v>0</v>
      </c>
      <c r="AQ43">
        <f t="shared" si="28"/>
        <v>10.59</v>
      </c>
      <c r="AR43" t="e">
        <f t="shared" si="29"/>
        <v>#VALUE!</v>
      </c>
      <c r="AS43" s="330"/>
      <c r="AT43" s="330"/>
      <c r="AU43" s="330"/>
      <c r="AV43" s="330"/>
      <c r="AW43" s="330"/>
      <c r="AX43" s="330"/>
      <c r="AY43" s="330"/>
      <c r="AZ43" s="330"/>
      <c r="BA43" s="330"/>
      <c r="BB43" s="330"/>
    </row>
    <row r="44" spans="2:54">
      <c r="C44" s="122" t="str">
        <f t="shared" si="16"/>
        <v>BM</v>
      </c>
      <c r="D44" s="77" t="s">
        <v>244</v>
      </c>
      <c r="E44" s="75" t="s">
        <v>247</v>
      </c>
      <c r="F44" s="75"/>
      <c r="G44" s="79">
        <v>3.43</v>
      </c>
      <c r="H44" s="117" t="e">
        <f t="shared" si="31"/>
        <v>#VALUE!</v>
      </c>
      <c r="I44" s="117" t="e">
        <f t="shared" si="32"/>
        <v>#VALUE!</v>
      </c>
      <c r="J44" s="123" t="e">
        <f t="shared" si="33"/>
        <v>#VALUE!</v>
      </c>
      <c r="K44" s="315" t="e">
        <f t="array" ref="K44">IF(AL44,heureDecimal2Txt(AP44),NA())</f>
        <v>#VALUE!</v>
      </c>
      <c r="L44" s="316"/>
      <c r="M44" s="118" t="e">
        <f t="shared" si="34"/>
        <v>#VALUE!</v>
      </c>
      <c r="N44" s="317" t="e">
        <f t="array" ref="N44">IF(AL44,dateEpoch2Txt(AR44),NA())</f>
        <v>#VALUE!</v>
      </c>
      <c r="O44" s="317"/>
      <c r="P44" s="318" t="e">
        <f t="shared" si="35"/>
        <v>#VALUE!</v>
      </c>
      <c r="Q44" s="319"/>
      <c r="AB44" t="b">
        <f t="shared" si="17"/>
        <v>0</v>
      </c>
      <c r="AC44" t="e">
        <f t="array" ref="AC44">IF(ISBLANK(D44),0,dateConvert2Decimal(D44))</f>
        <v>#VALUE!</v>
      </c>
      <c r="AD44" t="e">
        <f t="array" ref="AD44">IF(ISBLANK(E44),0,heureConvert2Decimal(E44))*3600</f>
        <v>#VALUE!</v>
      </c>
      <c r="AE44" t="e">
        <f t="shared" si="18"/>
        <v>#VALUE!</v>
      </c>
      <c r="AF44" s="124" t="b">
        <f t="shared" si="19"/>
        <v>1</v>
      </c>
      <c r="AG44" s="124" t="b">
        <f t="shared" si="20"/>
        <v>1</v>
      </c>
      <c r="AH44" s="124" t="e">
        <f t="shared" si="21"/>
        <v>#VALUE!</v>
      </c>
      <c r="AI44" s="124" t="e">
        <f t="shared" si="22"/>
        <v>#VALUE!</v>
      </c>
      <c r="AJ44" s="124" t="b">
        <f t="shared" si="23"/>
        <v>1</v>
      </c>
      <c r="AK44" t="e">
        <f t="shared" si="24"/>
        <v>#VALUE!</v>
      </c>
      <c r="AL44" s="124" t="e">
        <f t="shared" si="25"/>
        <v>#VALUE!</v>
      </c>
      <c r="AM44" t="e">
        <f t="shared" si="26"/>
        <v>#VALUE!</v>
      </c>
      <c r="AN44" t="e">
        <f t="shared" si="27"/>
        <v>#VALUE!</v>
      </c>
      <c r="AO44">
        <f t="shared" si="14"/>
        <v>0</v>
      </c>
      <c r="AP44">
        <f t="shared" si="15"/>
        <v>0</v>
      </c>
      <c r="AQ44">
        <f t="shared" si="28"/>
        <v>3.43</v>
      </c>
      <c r="AR44" t="e">
        <f t="shared" si="29"/>
        <v>#VALUE!</v>
      </c>
      <c r="AS44" s="330"/>
      <c r="AT44" s="330"/>
      <c r="AU44" s="330"/>
      <c r="AV44" s="330"/>
      <c r="AW44" s="330"/>
      <c r="AX44" s="330"/>
      <c r="AY44" s="330"/>
      <c r="AZ44" s="330"/>
      <c r="BA44" s="330"/>
      <c r="BB44" s="330"/>
    </row>
    <row r="45" spans="2:54">
      <c r="C45" s="122" t="str">
        <f t="shared" si="16"/>
        <v>PM</v>
      </c>
      <c r="D45" s="78" t="s">
        <v>244</v>
      </c>
      <c r="E45" s="76" t="s">
        <v>248</v>
      </c>
      <c r="F45" s="76">
        <v>56</v>
      </c>
      <c r="G45" s="80">
        <v>10.31</v>
      </c>
      <c r="H45" s="117" t="e">
        <f t="shared" si="31"/>
        <v>#VALUE!</v>
      </c>
      <c r="I45" s="117" t="e">
        <f t="shared" si="32"/>
        <v>#VALUE!</v>
      </c>
      <c r="J45" s="123" t="e">
        <f t="shared" si="33"/>
        <v>#VALUE!</v>
      </c>
      <c r="K45" s="315" t="e">
        <f t="array" ref="K45">IF(AL45,heureDecimal2Txt(AP45),NA())</f>
        <v>#VALUE!</v>
      </c>
      <c r="L45" s="316"/>
      <c r="M45" s="118" t="e">
        <f t="shared" si="34"/>
        <v>#VALUE!</v>
      </c>
      <c r="N45" s="317" t="e">
        <f t="array" ref="N45">IF(AL45,dateEpoch2Txt(AR45),NA())</f>
        <v>#VALUE!</v>
      </c>
      <c r="O45" s="317"/>
      <c r="P45" s="318" t="e">
        <f t="shared" si="35"/>
        <v>#VALUE!</v>
      </c>
      <c r="Q45" s="319"/>
      <c r="AB45" t="b">
        <f t="shared" si="17"/>
        <v>1</v>
      </c>
      <c r="AC45" t="e">
        <f t="array" ref="AC45">IF(ISBLANK(D45),0,dateConvert2Decimal(D45))</f>
        <v>#VALUE!</v>
      </c>
      <c r="AD45" t="e">
        <f t="array" ref="AD45">IF(ISBLANK(E45),0,heureConvert2Decimal(E45))*3600</f>
        <v>#VALUE!</v>
      </c>
      <c r="AE45" t="e">
        <f t="shared" si="18"/>
        <v>#VALUE!</v>
      </c>
      <c r="AF45" s="124" t="b">
        <f t="shared" si="19"/>
        <v>1</v>
      </c>
      <c r="AG45" s="124" t="b">
        <f t="shared" si="20"/>
        <v>1</v>
      </c>
      <c r="AH45" s="124" t="e">
        <f t="shared" si="21"/>
        <v>#VALUE!</v>
      </c>
      <c r="AI45" s="124" t="e">
        <f t="shared" si="22"/>
        <v>#VALUE!</v>
      </c>
      <c r="AJ45" s="124" t="b">
        <f t="shared" si="23"/>
        <v>1</v>
      </c>
      <c r="AK45" t="e">
        <f t="shared" si="24"/>
        <v>#VALUE!</v>
      </c>
      <c r="AL45" s="124" t="e">
        <f t="shared" si="25"/>
        <v>#VALUE!</v>
      </c>
      <c r="AM45" t="e">
        <f t="shared" si="26"/>
        <v>#VALUE!</v>
      </c>
      <c r="AN45" t="e">
        <f t="shared" si="27"/>
        <v>#VALUE!</v>
      </c>
      <c r="AO45">
        <f t="shared" si="14"/>
        <v>0</v>
      </c>
      <c r="AP45">
        <f t="shared" si="15"/>
        <v>0</v>
      </c>
      <c r="AQ45">
        <f t="shared" si="28"/>
        <v>10.31</v>
      </c>
      <c r="AR45" t="e">
        <f t="shared" si="29"/>
        <v>#VALUE!</v>
      </c>
      <c r="AS45" s="330"/>
      <c r="AT45" s="330"/>
      <c r="AU45" s="330"/>
      <c r="AV45" s="330"/>
      <c r="AW45" s="330"/>
      <c r="AX45" s="330"/>
      <c r="AY45" s="330"/>
      <c r="AZ45" s="330"/>
      <c r="BA45" s="330"/>
      <c r="BB45" s="330"/>
    </row>
    <row r="46" spans="2:54">
      <c r="C46" s="122" t="str">
        <f t="shared" si="16"/>
        <v>BM</v>
      </c>
      <c r="D46" s="77" t="s">
        <v>249</v>
      </c>
      <c r="E46" s="75" t="s">
        <v>250</v>
      </c>
      <c r="F46" s="75"/>
      <c r="G46" s="79">
        <v>3.72</v>
      </c>
      <c r="H46" s="117" t="e">
        <f t="shared" si="31"/>
        <v>#VALUE!</v>
      </c>
      <c r="I46" s="117" t="e">
        <f t="shared" si="32"/>
        <v>#VALUE!</v>
      </c>
      <c r="J46" s="123" t="e">
        <f t="shared" si="33"/>
        <v>#VALUE!</v>
      </c>
      <c r="K46" s="315" t="e">
        <f t="array" ref="K46">IF(AL46,heureDecimal2Txt(AP46),NA())</f>
        <v>#VALUE!</v>
      </c>
      <c r="L46" s="316"/>
      <c r="M46" s="118" t="e">
        <f t="shared" si="34"/>
        <v>#VALUE!</v>
      </c>
      <c r="N46" s="317" t="e">
        <f t="array" ref="N46">IF(AL46,dateEpoch2Txt(AR46),NA())</f>
        <v>#VALUE!</v>
      </c>
      <c r="O46" s="317"/>
      <c r="P46" s="318" t="e">
        <f t="shared" si="35"/>
        <v>#VALUE!</v>
      </c>
      <c r="Q46" s="319"/>
      <c r="AB46" t="b">
        <f t="shared" si="17"/>
        <v>0</v>
      </c>
      <c r="AC46" t="e">
        <f t="array" ref="AC46">IF(ISBLANK(D46),0,dateConvert2Decimal(D46))</f>
        <v>#VALUE!</v>
      </c>
      <c r="AD46" t="e">
        <f t="array" ref="AD46">IF(ISBLANK(E46),0,heureConvert2Decimal(E46))*3600</f>
        <v>#VALUE!</v>
      </c>
      <c r="AE46" t="e">
        <f t="shared" si="18"/>
        <v>#VALUE!</v>
      </c>
      <c r="AF46" s="124" t="b">
        <f t="shared" si="19"/>
        <v>1</v>
      </c>
      <c r="AG46" s="124" t="b">
        <f t="shared" si="20"/>
        <v>1</v>
      </c>
      <c r="AH46" s="124" t="e">
        <f t="shared" si="21"/>
        <v>#VALUE!</v>
      </c>
      <c r="AI46" s="124" t="e">
        <f t="shared" si="22"/>
        <v>#VALUE!</v>
      </c>
      <c r="AJ46" s="124" t="b">
        <f t="shared" si="23"/>
        <v>1</v>
      </c>
      <c r="AK46" t="e">
        <f t="shared" si="24"/>
        <v>#VALUE!</v>
      </c>
      <c r="AL46" s="124" t="e">
        <f t="shared" si="25"/>
        <v>#VALUE!</v>
      </c>
      <c r="AM46" t="e">
        <f t="shared" si="26"/>
        <v>#VALUE!</v>
      </c>
      <c r="AN46" t="e">
        <f t="shared" si="27"/>
        <v>#VALUE!</v>
      </c>
      <c r="AO46">
        <f t="shared" si="14"/>
        <v>0</v>
      </c>
      <c r="AP46">
        <f t="shared" si="15"/>
        <v>0</v>
      </c>
      <c r="AQ46">
        <f t="shared" si="28"/>
        <v>3.72</v>
      </c>
      <c r="AR46" t="e">
        <f t="shared" si="29"/>
        <v>#VALUE!</v>
      </c>
      <c r="AS46" s="330"/>
      <c r="AT46" s="330"/>
      <c r="AU46" s="330"/>
      <c r="AV46" s="330"/>
      <c r="AW46" s="330"/>
      <c r="AX46" s="330"/>
      <c r="AY46" s="330"/>
      <c r="AZ46" s="330"/>
      <c r="BA46" s="330"/>
      <c r="BB46" s="330"/>
    </row>
    <row r="47" spans="2:54">
      <c r="C47" s="122" t="str">
        <f t="shared" si="16"/>
        <v>PM</v>
      </c>
      <c r="D47" s="78" t="s">
        <v>249</v>
      </c>
      <c r="E47" s="76" t="s">
        <v>251</v>
      </c>
      <c r="F47" s="76">
        <v>50</v>
      </c>
      <c r="G47" s="80">
        <v>10</v>
      </c>
      <c r="H47" s="117" t="e">
        <f t="shared" si="31"/>
        <v>#VALUE!</v>
      </c>
      <c r="I47" s="117" t="e">
        <f t="shared" si="32"/>
        <v>#VALUE!</v>
      </c>
      <c r="J47" s="123" t="e">
        <f t="shared" si="33"/>
        <v>#VALUE!</v>
      </c>
      <c r="K47" s="315" t="e">
        <f t="array" ref="K47">IF(AL47,heureDecimal2Txt(AP47),NA())</f>
        <v>#VALUE!</v>
      </c>
      <c r="L47" s="316"/>
      <c r="M47" s="118" t="e">
        <f t="shared" si="34"/>
        <v>#VALUE!</v>
      </c>
      <c r="N47" s="317" t="e">
        <f t="array" ref="N47">IF(AL47,dateEpoch2Txt(AR47),NA())</f>
        <v>#VALUE!</v>
      </c>
      <c r="O47" s="317"/>
      <c r="P47" s="318" t="e">
        <f t="shared" si="35"/>
        <v>#VALUE!</v>
      </c>
      <c r="Q47" s="319"/>
      <c r="AB47" t="b">
        <f t="shared" si="17"/>
        <v>1</v>
      </c>
      <c r="AC47" t="e">
        <f t="array" ref="AC47">IF(ISBLANK(D47),0,dateConvert2Decimal(D47))</f>
        <v>#VALUE!</v>
      </c>
      <c r="AD47" t="e">
        <f t="array" ref="AD47">IF(ISBLANK(E47),0,heureConvert2Decimal(E47))*3600</f>
        <v>#VALUE!</v>
      </c>
      <c r="AE47" t="e">
        <f t="shared" si="18"/>
        <v>#VALUE!</v>
      </c>
      <c r="AF47" s="124" t="b">
        <f t="shared" si="19"/>
        <v>1</v>
      </c>
      <c r="AG47" s="124" t="b">
        <f t="shared" si="20"/>
        <v>1</v>
      </c>
      <c r="AH47" s="124" t="e">
        <f t="shared" si="21"/>
        <v>#VALUE!</v>
      </c>
      <c r="AI47" s="124" t="e">
        <f t="shared" si="22"/>
        <v>#VALUE!</v>
      </c>
      <c r="AJ47" s="124" t="b">
        <f t="shared" si="23"/>
        <v>1</v>
      </c>
      <c r="AK47" t="e">
        <f t="shared" si="24"/>
        <v>#VALUE!</v>
      </c>
      <c r="AL47" s="124" t="e">
        <f t="shared" si="25"/>
        <v>#VALUE!</v>
      </c>
      <c r="AM47" t="e">
        <f t="shared" si="26"/>
        <v>#VALUE!</v>
      </c>
      <c r="AN47" t="e">
        <f t="shared" si="27"/>
        <v>#VALUE!</v>
      </c>
      <c r="AO47">
        <f t="shared" si="14"/>
        <v>0</v>
      </c>
      <c r="AP47">
        <f t="shared" si="15"/>
        <v>0</v>
      </c>
      <c r="AQ47">
        <f t="shared" si="28"/>
        <v>10</v>
      </c>
      <c r="AR47" t="e">
        <f t="shared" si="29"/>
        <v>#VALUE!</v>
      </c>
      <c r="AS47" s="330"/>
      <c r="AT47" s="330"/>
      <c r="AU47" s="330"/>
      <c r="AV47" s="330"/>
      <c r="AW47" s="330"/>
      <c r="AX47" s="330"/>
      <c r="AY47" s="330"/>
      <c r="AZ47" s="330"/>
      <c r="BA47" s="330"/>
      <c r="BB47" s="330"/>
    </row>
    <row r="48" spans="2:54">
      <c r="C48" s="122" t="str">
        <f t="shared" si="16"/>
        <v>BM</v>
      </c>
      <c r="D48" s="77" t="s">
        <v>249</v>
      </c>
      <c r="E48" s="75" t="s">
        <v>252</v>
      </c>
      <c r="F48" s="75"/>
      <c r="G48" s="79">
        <v>4.5999999999999996</v>
      </c>
      <c r="H48" s="117" t="e">
        <f t="shared" si="31"/>
        <v>#VALUE!</v>
      </c>
      <c r="I48" s="117" t="e">
        <f t="shared" si="32"/>
        <v>#VALUE!</v>
      </c>
      <c r="J48" s="123" t="e">
        <f t="shared" si="33"/>
        <v>#VALUE!</v>
      </c>
      <c r="K48" s="315" t="e">
        <f t="array" ref="K48">IF(AL48,heureDecimal2Txt(AP48),NA())</f>
        <v>#VALUE!</v>
      </c>
      <c r="L48" s="316"/>
      <c r="M48" s="118" t="e">
        <f t="shared" si="34"/>
        <v>#VALUE!</v>
      </c>
      <c r="N48" s="317" t="e">
        <f t="array" ref="N48">IF(AL48,dateEpoch2Txt(AR48),NA())</f>
        <v>#VALUE!</v>
      </c>
      <c r="O48" s="317"/>
      <c r="P48" s="318" t="e">
        <f t="shared" si="35"/>
        <v>#VALUE!</v>
      </c>
      <c r="Q48" s="319"/>
      <c r="AB48" t="b">
        <f t="shared" si="17"/>
        <v>0</v>
      </c>
      <c r="AC48" t="e">
        <f t="array" ref="AC48">IF(ISBLANK(D48),0,dateConvert2Decimal(D48))</f>
        <v>#VALUE!</v>
      </c>
      <c r="AD48" t="e">
        <f t="array" ref="AD48">IF(ISBLANK(E48),0,heureConvert2Decimal(E48))*3600</f>
        <v>#VALUE!</v>
      </c>
      <c r="AE48" t="e">
        <f t="shared" si="18"/>
        <v>#VALUE!</v>
      </c>
      <c r="AF48" s="124" t="b">
        <f t="shared" si="19"/>
        <v>1</v>
      </c>
      <c r="AG48" s="124" t="b">
        <f t="shared" si="20"/>
        <v>1</v>
      </c>
      <c r="AH48" s="124" t="e">
        <f t="shared" si="21"/>
        <v>#VALUE!</v>
      </c>
      <c r="AI48" s="124" t="e">
        <f t="shared" si="22"/>
        <v>#VALUE!</v>
      </c>
      <c r="AJ48" s="124" t="b">
        <f t="shared" si="23"/>
        <v>1</v>
      </c>
      <c r="AK48" t="e">
        <f t="shared" si="24"/>
        <v>#VALUE!</v>
      </c>
      <c r="AL48" s="124" t="e">
        <f t="shared" si="25"/>
        <v>#VALUE!</v>
      </c>
      <c r="AM48" t="e">
        <f t="shared" si="26"/>
        <v>#VALUE!</v>
      </c>
      <c r="AN48" t="e">
        <f t="shared" si="27"/>
        <v>#VALUE!</v>
      </c>
      <c r="AO48">
        <f t="shared" si="14"/>
        <v>0</v>
      </c>
      <c r="AP48">
        <f t="shared" si="15"/>
        <v>0</v>
      </c>
      <c r="AQ48">
        <f t="shared" si="28"/>
        <v>4.5999999999999996</v>
      </c>
      <c r="AR48" t="e">
        <f t="shared" si="29"/>
        <v>#VALUE!</v>
      </c>
      <c r="AS48" s="330"/>
      <c r="AT48" s="330"/>
      <c r="AU48" s="330"/>
      <c r="AV48" s="330"/>
      <c r="AW48" s="330"/>
      <c r="AX48" s="330"/>
      <c r="AY48" s="330"/>
      <c r="AZ48" s="330"/>
      <c r="BA48" s="330"/>
      <c r="BB48" s="330"/>
    </row>
    <row r="49" spans="3:54">
      <c r="C49" s="122" t="str">
        <f t="shared" si="16"/>
        <v>PM</v>
      </c>
      <c r="D49" s="78" t="s">
        <v>249</v>
      </c>
      <c r="E49" s="76" t="s">
        <v>253</v>
      </c>
      <c r="F49" s="76">
        <v>44</v>
      </c>
      <c r="G49" s="80">
        <v>9.61</v>
      </c>
      <c r="H49" s="117" t="e">
        <f t="shared" ref="H49:H54" si="36">IF(AL49,"Y","N")</f>
        <v>#VALUE!</v>
      </c>
      <c r="I49" s="117" t="e">
        <f t="shared" ref="I49:I54" si="37">IF(AN49,"Y","N")</f>
        <v>#VALUE!</v>
      </c>
      <c r="J49" s="123" t="e">
        <f t="shared" ref="J49:J54" si="38">IF(AL49,AO49,NA())</f>
        <v>#VALUE!</v>
      </c>
      <c r="K49" s="315" t="e">
        <f t="array" ref="K49">IF(AL49,heureDecimal2Txt(AP49),NA())</f>
        <v>#VALUE!</v>
      </c>
      <c r="L49" s="316"/>
      <c r="M49" s="118" t="e">
        <f t="shared" ref="M49:M54" si="39">G49+J49</f>
        <v>#VALUE!</v>
      </c>
      <c r="N49" s="317" t="e">
        <f t="array" ref="N49">IF(AL49,dateEpoch2Txt(AR49),NA())</f>
        <v>#VALUE!</v>
      </c>
      <c r="O49" s="317"/>
      <c r="P49" s="318" t="e">
        <f t="shared" ref="P49:P54" si="40">IF(AL49,AR49/3600, NA())</f>
        <v>#VALUE!</v>
      </c>
      <c r="Q49" s="319"/>
      <c r="AB49" t="b">
        <f t="shared" si="17"/>
        <v>1</v>
      </c>
      <c r="AC49" t="e">
        <f t="array" ref="AC49">IF(ISBLANK(D49),0,dateConvert2Decimal(D49))</f>
        <v>#VALUE!</v>
      </c>
      <c r="AD49" t="e">
        <f t="array" ref="AD49">IF(ISBLANK(E49),0,heureConvert2Decimal(E49))*3600</f>
        <v>#VALUE!</v>
      </c>
      <c r="AE49" t="e">
        <f t="shared" si="18"/>
        <v>#VALUE!</v>
      </c>
      <c r="AF49" s="124" t="b">
        <f t="shared" si="19"/>
        <v>1</v>
      </c>
      <c r="AG49" s="124" t="b">
        <f t="shared" si="20"/>
        <v>1</v>
      </c>
      <c r="AH49" s="124" t="e">
        <f t="shared" si="21"/>
        <v>#VALUE!</v>
      </c>
      <c r="AI49" s="124" t="e">
        <f t="shared" si="22"/>
        <v>#VALUE!</v>
      </c>
      <c r="AJ49" s="124" t="b">
        <f t="shared" si="23"/>
        <v>1</v>
      </c>
      <c r="AK49" t="e">
        <f t="shared" si="24"/>
        <v>#VALUE!</v>
      </c>
      <c r="AL49" s="124" t="e">
        <f t="shared" si="25"/>
        <v>#VALUE!</v>
      </c>
      <c r="AM49" t="e">
        <f t="shared" si="26"/>
        <v>#VALUE!</v>
      </c>
      <c r="AN49" t="e">
        <f t="shared" si="27"/>
        <v>#VALUE!</v>
      </c>
      <c r="AO49">
        <f t="shared" si="14"/>
        <v>0</v>
      </c>
      <c r="AP49">
        <f t="shared" si="15"/>
        <v>0</v>
      </c>
      <c r="AQ49">
        <f t="shared" si="28"/>
        <v>9.61</v>
      </c>
      <c r="AR49" t="e">
        <f t="shared" si="29"/>
        <v>#VALUE!</v>
      </c>
      <c r="AS49" s="330"/>
      <c r="AT49" s="330"/>
      <c r="AU49" s="330"/>
      <c r="AV49" s="330"/>
      <c r="AW49" s="330"/>
      <c r="AX49" s="330"/>
      <c r="AY49" s="330"/>
      <c r="AZ49" s="330"/>
      <c r="BA49" s="330"/>
      <c r="BB49" s="330"/>
    </row>
    <row r="50" spans="3:54">
      <c r="C50" s="122" t="str">
        <f t="shared" si="16"/>
        <v>BM</v>
      </c>
      <c r="D50" s="77" t="s">
        <v>254</v>
      </c>
      <c r="E50" s="75" t="s">
        <v>255</v>
      </c>
      <c r="F50" s="75"/>
      <c r="G50" s="79">
        <v>4.38</v>
      </c>
      <c r="H50" s="117" t="e">
        <f t="shared" si="36"/>
        <v>#VALUE!</v>
      </c>
      <c r="I50" s="117" t="e">
        <f t="shared" si="37"/>
        <v>#VALUE!</v>
      </c>
      <c r="J50" s="123" t="e">
        <f t="shared" si="38"/>
        <v>#VALUE!</v>
      </c>
      <c r="K50" s="315" t="e">
        <f t="array" ref="K50">IF(AL50,heureDecimal2Txt(AP50),NA())</f>
        <v>#VALUE!</v>
      </c>
      <c r="L50" s="316"/>
      <c r="M50" s="118" t="e">
        <f t="shared" si="39"/>
        <v>#VALUE!</v>
      </c>
      <c r="N50" s="317" t="e">
        <f t="array" ref="N50">IF(AL50,dateEpoch2Txt(AR50),NA())</f>
        <v>#VALUE!</v>
      </c>
      <c r="O50" s="317"/>
      <c r="P50" s="318" t="e">
        <f t="shared" si="40"/>
        <v>#VALUE!</v>
      </c>
      <c r="Q50" s="319"/>
      <c r="AB50" t="b">
        <f t="shared" si="17"/>
        <v>0</v>
      </c>
      <c r="AC50" t="e">
        <f t="array" ref="AC50">IF(ISBLANK(D50),0,dateConvert2Decimal(D50))</f>
        <v>#VALUE!</v>
      </c>
      <c r="AD50" t="e">
        <f t="array" ref="AD50">IF(ISBLANK(E50),0,heureConvert2Decimal(E50))*3600</f>
        <v>#VALUE!</v>
      </c>
      <c r="AE50" t="e">
        <f t="shared" si="18"/>
        <v>#VALUE!</v>
      </c>
      <c r="AF50" s="124" t="b">
        <f t="shared" si="19"/>
        <v>1</v>
      </c>
      <c r="AG50" s="124" t="b">
        <f t="shared" si="20"/>
        <v>1</v>
      </c>
      <c r="AH50" s="124" t="e">
        <f t="shared" si="21"/>
        <v>#VALUE!</v>
      </c>
      <c r="AI50" s="124" t="e">
        <f t="shared" si="22"/>
        <v>#VALUE!</v>
      </c>
      <c r="AJ50" s="124" t="b">
        <f t="shared" si="23"/>
        <v>1</v>
      </c>
      <c r="AK50" t="e">
        <f t="shared" si="24"/>
        <v>#VALUE!</v>
      </c>
      <c r="AL50" s="124" t="e">
        <f t="shared" si="25"/>
        <v>#VALUE!</v>
      </c>
      <c r="AM50" t="e">
        <f t="shared" si="26"/>
        <v>#VALUE!</v>
      </c>
      <c r="AN50" t="e">
        <f t="shared" si="27"/>
        <v>#VALUE!</v>
      </c>
      <c r="AO50">
        <f t="shared" si="14"/>
        <v>0</v>
      </c>
      <c r="AP50">
        <f t="shared" si="15"/>
        <v>0</v>
      </c>
      <c r="AQ50">
        <f t="shared" si="28"/>
        <v>4.38</v>
      </c>
      <c r="AR50" t="e">
        <f t="shared" si="29"/>
        <v>#VALUE!</v>
      </c>
      <c r="AS50" s="330"/>
      <c r="AT50" s="330"/>
      <c r="AU50" s="330"/>
      <c r="AV50" s="330"/>
      <c r="AW50" s="330"/>
      <c r="AX50" s="330"/>
      <c r="AY50" s="330"/>
      <c r="AZ50" s="330"/>
      <c r="BA50" s="330"/>
      <c r="BB50" s="330"/>
    </row>
    <row r="51" spans="3:54">
      <c r="C51" s="122" t="str">
        <f t="shared" si="16"/>
        <v>PM</v>
      </c>
      <c r="D51" s="78" t="s">
        <v>254</v>
      </c>
      <c r="E51" s="76" t="s">
        <v>256</v>
      </c>
      <c r="F51" s="76">
        <v>39</v>
      </c>
      <c r="G51" s="80">
        <v>9.32</v>
      </c>
      <c r="H51" s="117" t="e">
        <f t="shared" si="36"/>
        <v>#VALUE!</v>
      </c>
      <c r="I51" s="117" t="e">
        <f t="shared" si="37"/>
        <v>#VALUE!</v>
      </c>
      <c r="J51" s="123" t="e">
        <f t="shared" si="38"/>
        <v>#VALUE!</v>
      </c>
      <c r="K51" s="315" t="e">
        <f t="array" ref="K51">IF(AL51,heureDecimal2Txt(AP51),NA())</f>
        <v>#VALUE!</v>
      </c>
      <c r="L51" s="316"/>
      <c r="M51" s="118" t="e">
        <f t="shared" si="39"/>
        <v>#VALUE!</v>
      </c>
      <c r="N51" s="317" t="e">
        <f t="array" ref="N51">IF(AL51,dateEpoch2Txt(AR51),NA())</f>
        <v>#VALUE!</v>
      </c>
      <c r="O51" s="317"/>
      <c r="P51" s="318" t="e">
        <f t="shared" si="40"/>
        <v>#VALUE!</v>
      </c>
      <c r="Q51" s="319"/>
      <c r="AB51" t="b">
        <f t="shared" si="17"/>
        <v>1</v>
      </c>
      <c r="AC51" t="e">
        <f t="array" ref="AC51">IF(ISBLANK(D51),0,dateConvert2Decimal(D51))</f>
        <v>#VALUE!</v>
      </c>
      <c r="AD51" t="e">
        <f t="array" ref="AD51">IF(ISBLANK(E51),0,heureConvert2Decimal(E51))*3600</f>
        <v>#VALUE!</v>
      </c>
      <c r="AE51" t="e">
        <f t="shared" si="18"/>
        <v>#VALUE!</v>
      </c>
      <c r="AF51" s="124" t="b">
        <f t="shared" si="19"/>
        <v>1</v>
      </c>
      <c r="AG51" s="124" t="b">
        <f t="shared" si="20"/>
        <v>1</v>
      </c>
      <c r="AH51" s="124" t="e">
        <f t="shared" si="21"/>
        <v>#VALUE!</v>
      </c>
      <c r="AI51" s="124" t="e">
        <f t="shared" si="22"/>
        <v>#VALUE!</v>
      </c>
      <c r="AJ51" s="124" t="b">
        <f t="shared" si="23"/>
        <v>1</v>
      </c>
      <c r="AK51" t="e">
        <f t="shared" si="24"/>
        <v>#VALUE!</v>
      </c>
      <c r="AL51" s="124" t="e">
        <f t="shared" si="25"/>
        <v>#VALUE!</v>
      </c>
      <c r="AM51" t="e">
        <f t="shared" si="26"/>
        <v>#VALUE!</v>
      </c>
      <c r="AN51" t="e">
        <f t="shared" si="27"/>
        <v>#VALUE!</v>
      </c>
      <c r="AO51">
        <f t="shared" si="14"/>
        <v>0</v>
      </c>
      <c r="AP51">
        <f t="shared" si="15"/>
        <v>0</v>
      </c>
      <c r="AQ51">
        <f t="shared" si="28"/>
        <v>9.32</v>
      </c>
      <c r="AR51" t="e">
        <f t="shared" si="29"/>
        <v>#VALUE!</v>
      </c>
      <c r="AS51" s="330"/>
      <c r="AT51" s="330"/>
      <c r="AU51" s="330"/>
      <c r="AV51" s="330"/>
      <c r="AW51" s="330"/>
      <c r="AX51" s="330"/>
      <c r="AY51" s="330"/>
      <c r="AZ51" s="330"/>
      <c r="BA51" s="330"/>
      <c r="BB51" s="330"/>
    </row>
    <row r="52" spans="3:54">
      <c r="C52" s="122" t="str">
        <f t="shared" si="16"/>
        <v>BM</v>
      </c>
      <c r="D52" s="77" t="s">
        <v>254</v>
      </c>
      <c r="E52" s="75" t="s">
        <v>257</v>
      </c>
      <c r="F52" s="75"/>
      <c r="G52" s="79">
        <v>4.71</v>
      </c>
      <c r="H52" s="117" t="e">
        <f t="shared" si="36"/>
        <v>#VALUE!</v>
      </c>
      <c r="I52" s="117" t="e">
        <f t="shared" si="37"/>
        <v>#VALUE!</v>
      </c>
      <c r="J52" s="123" t="e">
        <f t="shared" si="38"/>
        <v>#VALUE!</v>
      </c>
      <c r="K52" s="315" t="e">
        <f t="array" ref="K52">IF(AL52,heureDecimal2Txt(AP52),NA())</f>
        <v>#VALUE!</v>
      </c>
      <c r="L52" s="316"/>
      <c r="M52" s="118" t="e">
        <f t="shared" si="39"/>
        <v>#VALUE!</v>
      </c>
      <c r="N52" s="317" t="e">
        <f t="array" ref="N52">IF(AL52,dateEpoch2Txt(AR52),NA())</f>
        <v>#VALUE!</v>
      </c>
      <c r="O52" s="317"/>
      <c r="P52" s="318" t="e">
        <f t="shared" si="40"/>
        <v>#VALUE!</v>
      </c>
      <c r="Q52" s="319"/>
      <c r="AB52" t="b">
        <f t="shared" si="17"/>
        <v>0</v>
      </c>
      <c r="AC52" t="e">
        <f t="array" ref="AC52">IF(ISBLANK(D52),0,dateConvert2Decimal(D52))</f>
        <v>#VALUE!</v>
      </c>
      <c r="AD52" t="e">
        <f t="array" ref="AD52">IF(ISBLANK(E52),0,heureConvert2Decimal(E52))*3600</f>
        <v>#VALUE!</v>
      </c>
      <c r="AE52" t="e">
        <f t="shared" si="18"/>
        <v>#VALUE!</v>
      </c>
      <c r="AF52" s="124" t="b">
        <f t="shared" si="19"/>
        <v>1</v>
      </c>
      <c r="AG52" s="124" t="b">
        <f t="shared" si="20"/>
        <v>1</v>
      </c>
      <c r="AH52" s="124" t="e">
        <f t="shared" si="21"/>
        <v>#VALUE!</v>
      </c>
      <c r="AI52" s="124" t="e">
        <f t="shared" si="22"/>
        <v>#VALUE!</v>
      </c>
      <c r="AJ52" s="124" t="b">
        <f t="shared" si="23"/>
        <v>1</v>
      </c>
      <c r="AK52" t="e">
        <f t="shared" si="24"/>
        <v>#VALUE!</v>
      </c>
      <c r="AL52" s="124" t="e">
        <f t="shared" si="25"/>
        <v>#VALUE!</v>
      </c>
      <c r="AM52" t="e">
        <f t="shared" si="26"/>
        <v>#VALUE!</v>
      </c>
      <c r="AN52" t="e">
        <f t="shared" si="27"/>
        <v>#VALUE!</v>
      </c>
      <c r="AO52">
        <f t="shared" si="14"/>
        <v>0</v>
      </c>
      <c r="AP52">
        <f t="shared" si="15"/>
        <v>0</v>
      </c>
      <c r="AQ52">
        <f t="shared" si="28"/>
        <v>4.71</v>
      </c>
      <c r="AR52" t="e">
        <f t="shared" si="29"/>
        <v>#VALUE!</v>
      </c>
      <c r="AS52" s="330"/>
      <c r="AT52" s="330"/>
      <c r="AU52" s="330"/>
      <c r="AV52" s="330"/>
      <c r="AW52" s="330"/>
      <c r="AX52" s="330"/>
      <c r="AY52" s="330"/>
      <c r="AZ52" s="330"/>
      <c r="BA52" s="330"/>
      <c r="BB52" s="330"/>
    </row>
    <row r="53" spans="3:54">
      <c r="C53" s="122" t="str">
        <f t="shared" si="16"/>
        <v>PM</v>
      </c>
      <c r="D53" s="78" t="s">
        <v>254</v>
      </c>
      <c r="E53" s="76" t="s">
        <v>258</v>
      </c>
      <c r="F53" s="76">
        <v>33</v>
      </c>
      <c r="G53" s="80">
        <v>8.83</v>
      </c>
      <c r="H53" s="117" t="e">
        <f t="shared" si="36"/>
        <v>#VALUE!</v>
      </c>
      <c r="I53" s="117" t="e">
        <f t="shared" si="37"/>
        <v>#VALUE!</v>
      </c>
      <c r="J53" s="123" t="e">
        <f t="shared" si="38"/>
        <v>#VALUE!</v>
      </c>
      <c r="K53" s="315" t="e">
        <f t="array" ref="K53">IF(AL53,heureDecimal2Txt(AP53),NA())</f>
        <v>#VALUE!</v>
      </c>
      <c r="L53" s="316"/>
      <c r="M53" s="118" t="e">
        <f t="shared" si="39"/>
        <v>#VALUE!</v>
      </c>
      <c r="N53" s="317" t="e">
        <f t="array" ref="N53">IF(AL53,dateEpoch2Txt(AR53),NA())</f>
        <v>#VALUE!</v>
      </c>
      <c r="O53" s="317"/>
      <c r="P53" s="318" t="e">
        <f t="shared" si="40"/>
        <v>#VALUE!</v>
      </c>
      <c r="Q53" s="319"/>
      <c r="AB53" t="b">
        <f t="shared" si="17"/>
        <v>1</v>
      </c>
      <c r="AC53" t="e">
        <f t="array" ref="AC53">IF(ISBLANK(D53),0,dateConvert2Decimal(D53))</f>
        <v>#VALUE!</v>
      </c>
      <c r="AD53" t="e">
        <f t="array" ref="AD53">IF(ISBLANK(E53),0,heureConvert2Decimal(E53))*3600</f>
        <v>#VALUE!</v>
      </c>
      <c r="AE53" t="e">
        <f t="shared" si="18"/>
        <v>#VALUE!</v>
      </c>
      <c r="AF53" s="124" t="b">
        <f t="shared" si="19"/>
        <v>1</v>
      </c>
      <c r="AG53" s="124" t="b">
        <f t="shared" si="20"/>
        <v>1</v>
      </c>
      <c r="AH53" s="124" t="e">
        <f t="shared" si="21"/>
        <v>#VALUE!</v>
      </c>
      <c r="AI53" s="124" t="e">
        <f t="shared" si="22"/>
        <v>#VALUE!</v>
      </c>
      <c r="AJ53" s="124" t="b">
        <f t="shared" si="23"/>
        <v>1</v>
      </c>
      <c r="AK53" t="e">
        <f t="shared" si="24"/>
        <v>#VALUE!</v>
      </c>
      <c r="AL53" s="124" t="e">
        <f t="shared" si="25"/>
        <v>#VALUE!</v>
      </c>
      <c r="AM53" t="e">
        <f t="shared" si="26"/>
        <v>#VALUE!</v>
      </c>
      <c r="AN53" t="e">
        <f t="shared" si="27"/>
        <v>#VALUE!</v>
      </c>
      <c r="AO53">
        <f t="shared" si="14"/>
        <v>0</v>
      </c>
      <c r="AP53">
        <f t="shared" si="15"/>
        <v>0</v>
      </c>
      <c r="AQ53">
        <f t="shared" si="28"/>
        <v>8.83</v>
      </c>
      <c r="AR53" t="e">
        <f t="shared" si="29"/>
        <v>#VALUE!</v>
      </c>
      <c r="AS53" s="330"/>
      <c r="AT53" s="330"/>
      <c r="AU53" s="330"/>
      <c r="AV53" s="330"/>
      <c r="AW53" s="330"/>
      <c r="AX53" s="330"/>
      <c r="AY53" s="330"/>
      <c r="AZ53" s="330"/>
      <c r="BA53" s="330"/>
      <c r="BB53" s="330"/>
    </row>
    <row r="54" spans="3:54">
      <c r="C54" s="122" t="str">
        <f t="shared" si="16"/>
        <v>BM</v>
      </c>
      <c r="D54" s="77" t="s">
        <v>259</v>
      </c>
      <c r="E54" s="75" t="s">
        <v>260</v>
      </c>
      <c r="F54" s="75"/>
      <c r="G54" s="79">
        <v>5.5</v>
      </c>
      <c r="H54" s="117" t="e">
        <f t="shared" si="36"/>
        <v>#VALUE!</v>
      </c>
      <c r="I54" s="117" t="e">
        <f t="shared" si="37"/>
        <v>#VALUE!</v>
      </c>
      <c r="J54" s="123" t="e">
        <f t="shared" si="38"/>
        <v>#VALUE!</v>
      </c>
      <c r="K54" s="315" t="e">
        <f t="array" ref="K54">IF(AL54,heureDecimal2Txt(AP54),NA())</f>
        <v>#VALUE!</v>
      </c>
      <c r="L54" s="316"/>
      <c r="M54" s="118" t="e">
        <f t="shared" si="39"/>
        <v>#VALUE!</v>
      </c>
      <c r="N54" s="317" t="e">
        <f t="array" ref="N54">IF(AL54,dateEpoch2Txt(AR54),NA())</f>
        <v>#VALUE!</v>
      </c>
      <c r="O54" s="317"/>
      <c r="P54" s="318" t="e">
        <f t="shared" si="40"/>
        <v>#VALUE!</v>
      </c>
      <c r="Q54" s="319"/>
      <c r="AB54" t="b">
        <f t="shared" si="17"/>
        <v>0</v>
      </c>
      <c r="AC54" t="e">
        <f t="array" ref="AC54">IF(ISBLANK(D54),0,dateConvert2Decimal(D54))</f>
        <v>#VALUE!</v>
      </c>
      <c r="AD54" t="e">
        <f t="array" ref="AD54">IF(ISBLANK(E54),0,heureConvert2Decimal(E54))*3600</f>
        <v>#VALUE!</v>
      </c>
      <c r="AE54" t="e">
        <f t="shared" si="18"/>
        <v>#VALUE!</v>
      </c>
      <c r="AF54" s="124" t="b">
        <f t="shared" si="19"/>
        <v>1</v>
      </c>
      <c r="AG54" s="124" t="b">
        <f t="shared" si="20"/>
        <v>1</v>
      </c>
      <c r="AH54" s="124" t="e">
        <f t="shared" si="21"/>
        <v>#VALUE!</v>
      </c>
      <c r="AI54" s="124" t="e">
        <f t="shared" si="22"/>
        <v>#VALUE!</v>
      </c>
      <c r="AJ54" s="124" t="b">
        <f t="shared" si="23"/>
        <v>1</v>
      </c>
      <c r="AK54" t="e">
        <f t="shared" si="24"/>
        <v>#VALUE!</v>
      </c>
      <c r="AL54" s="124" t="e">
        <f t="shared" si="25"/>
        <v>#VALUE!</v>
      </c>
      <c r="AM54" t="e">
        <f t="shared" si="26"/>
        <v>#VALUE!</v>
      </c>
      <c r="AN54" t="e">
        <f t="shared" si="27"/>
        <v>#VALUE!</v>
      </c>
      <c r="AO54">
        <f t="shared" si="14"/>
        <v>0</v>
      </c>
      <c r="AP54">
        <f t="shared" si="15"/>
        <v>0</v>
      </c>
      <c r="AQ54">
        <f t="shared" si="28"/>
        <v>5.5</v>
      </c>
      <c r="AR54" t="e">
        <f t="shared" si="29"/>
        <v>#VALUE!</v>
      </c>
      <c r="AS54" s="330"/>
      <c r="AT54" s="330"/>
      <c r="AU54" s="330"/>
      <c r="AV54" s="330"/>
      <c r="AW54" s="330"/>
      <c r="AX54" s="330"/>
      <c r="AY54" s="330"/>
      <c r="AZ54" s="330"/>
      <c r="BA54" s="330"/>
      <c r="BB54" s="330"/>
    </row>
    <row r="55" spans="3:54">
      <c r="C55" s="122" t="str">
        <f t="shared" si="16"/>
        <v>PM</v>
      </c>
      <c r="D55" s="78" t="s">
        <v>259</v>
      </c>
      <c r="E55" s="76" t="s">
        <v>261</v>
      </c>
      <c r="F55" s="76">
        <v>29</v>
      </c>
      <c r="G55" s="80">
        <v>8.59</v>
      </c>
      <c r="H55" s="117" t="e">
        <f t="shared" si="31"/>
        <v>#VALUE!</v>
      </c>
      <c r="I55" s="117" t="e">
        <f t="shared" si="32"/>
        <v>#VALUE!</v>
      </c>
      <c r="J55" s="123" t="e">
        <f t="shared" si="33"/>
        <v>#VALUE!</v>
      </c>
      <c r="K55" s="315" t="e">
        <f t="array" ref="K55">IF(AL55,heureDecimal2Txt(AP55),NA())</f>
        <v>#VALUE!</v>
      </c>
      <c r="L55" s="316"/>
      <c r="M55" s="118" t="e">
        <f t="shared" si="34"/>
        <v>#VALUE!</v>
      </c>
      <c r="N55" s="317" t="e">
        <f t="array" ref="N55">IF(AL55,dateEpoch2Txt(AR55),NA())</f>
        <v>#VALUE!</v>
      </c>
      <c r="O55" s="317"/>
      <c r="P55" s="318" t="e">
        <f t="shared" si="35"/>
        <v>#VALUE!</v>
      </c>
      <c r="Q55" s="319"/>
      <c r="AB55" t="b">
        <f t="shared" si="17"/>
        <v>1</v>
      </c>
      <c r="AC55" t="e">
        <f t="array" ref="AC55">IF(ISBLANK(D55),0,dateConvert2Decimal(D55))</f>
        <v>#VALUE!</v>
      </c>
      <c r="AD55" t="e">
        <f t="array" ref="AD55">IF(ISBLANK(E55),0,heureConvert2Decimal(E55))*3600</f>
        <v>#VALUE!</v>
      </c>
      <c r="AE55" t="e">
        <f t="shared" si="18"/>
        <v>#VALUE!</v>
      </c>
      <c r="AF55" s="124" t="b">
        <f t="shared" si="19"/>
        <v>1</v>
      </c>
      <c r="AG55" s="124" t="b">
        <f t="shared" si="20"/>
        <v>1</v>
      </c>
      <c r="AH55" s="124" t="e">
        <f t="shared" si="21"/>
        <v>#VALUE!</v>
      </c>
      <c r="AI55" s="124" t="e">
        <f t="shared" si="22"/>
        <v>#VALUE!</v>
      </c>
      <c r="AJ55" s="124" t="b">
        <f t="shared" si="23"/>
        <v>1</v>
      </c>
      <c r="AK55" t="e">
        <f t="shared" si="24"/>
        <v>#VALUE!</v>
      </c>
      <c r="AL55" s="124" t="e">
        <f t="shared" si="25"/>
        <v>#VALUE!</v>
      </c>
      <c r="AM55" t="e">
        <f t="shared" si="26"/>
        <v>#VALUE!</v>
      </c>
      <c r="AN55" t="e">
        <f t="shared" si="27"/>
        <v>#VALUE!</v>
      </c>
      <c r="AO55">
        <f t="shared" si="14"/>
        <v>0</v>
      </c>
      <c r="AP55">
        <f t="shared" si="15"/>
        <v>0</v>
      </c>
      <c r="AQ55">
        <f t="shared" si="28"/>
        <v>8.59</v>
      </c>
      <c r="AR55" t="e">
        <f t="shared" si="29"/>
        <v>#VALUE!</v>
      </c>
      <c r="AS55" s="330"/>
      <c r="AT55" s="330"/>
      <c r="AU55" s="330"/>
      <c r="AV55" s="330"/>
      <c r="AW55" s="330"/>
      <c r="AX55" s="330"/>
      <c r="AY55" s="330"/>
      <c r="AZ55" s="330"/>
      <c r="BA55" s="330"/>
      <c r="BB55" s="330"/>
    </row>
    <row r="56" spans="3:54">
      <c r="C56" s="122" t="str">
        <f t="shared" si="16"/>
        <v>BM</v>
      </c>
      <c r="D56" s="77" t="s">
        <v>259</v>
      </c>
      <c r="E56" s="75" t="s">
        <v>262</v>
      </c>
      <c r="F56" s="75"/>
      <c r="G56" s="79">
        <v>5.22</v>
      </c>
      <c r="H56" s="117" t="e">
        <f t="shared" si="31"/>
        <v>#VALUE!</v>
      </c>
      <c r="I56" s="117" t="e">
        <f t="shared" si="32"/>
        <v>#VALUE!</v>
      </c>
      <c r="J56" s="123" t="e">
        <f t="shared" si="33"/>
        <v>#VALUE!</v>
      </c>
      <c r="K56" s="315" t="e">
        <f t="array" ref="K56">IF(AL56,heureDecimal2Txt(AP56),NA())</f>
        <v>#VALUE!</v>
      </c>
      <c r="L56" s="316"/>
      <c r="M56" s="118" t="e">
        <f t="shared" si="34"/>
        <v>#VALUE!</v>
      </c>
      <c r="N56" s="317" t="e">
        <f t="array" ref="N56">IF(AL56,dateEpoch2Txt(AR56),NA())</f>
        <v>#VALUE!</v>
      </c>
      <c r="O56" s="317"/>
      <c r="P56" s="318" t="e">
        <f t="shared" si="35"/>
        <v>#VALUE!</v>
      </c>
      <c r="Q56" s="319"/>
      <c r="AB56" t="b">
        <f t="shared" si="17"/>
        <v>0</v>
      </c>
      <c r="AC56" t="e">
        <f t="array" ref="AC56">IF(ISBLANK(D56),0,dateConvert2Decimal(D56))</f>
        <v>#VALUE!</v>
      </c>
      <c r="AD56" t="e">
        <f t="array" ref="AD56">IF(ISBLANK(E56),0,heureConvert2Decimal(E56))*3600</f>
        <v>#VALUE!</v>
      </c>
      <c r="AE56" t="e">
        <f t="shared" si="18"/>
        <v>#VALUE!</v>
      </c>
      <c r="AF56" s="124" t="b">
        <f t="shared" si="19"/>
        <v>1</v>
      </c>
      <c r="AG56" s="124" t="b">
        <f t="shared" si="20"/>
        <v>1</v>
      </c>
      <c r="AH56" s="124" t="e">
        <f t="shared" si="21"/>
        <v>#VALUE!</v>
      </c>
      <c r="AI56" s="124" t="e">
        <f t="shared" si="22"/>
        <v>#VALUE!</v>
      </c>
      <c r="AJ56" s="124" t="b">
        <f t="shared" si="23"/>
        <v>1</v>
      </c>
      <c r="AK56" t="e">
        <f t="shared" si="24"/>
        <v>#VALUE!</v>
      </c>
      <c r="AL56" s="124" t="e">
        <f t="shared" si="25"/>
        <v>#VALUE!</v>
      </c>
      <c r="AM56" t="e">
        <f t="shared" si="26"/>
        <v>#VALUE!</v>
      </c>
      <c r="AN56" t="e">
        <f t="shared" si="27"/>
        <v>#VALUE!</v>
      </c>
      <c r="AO56">
        <f t="shared" si="14"/>
        <v>0</v>
      </c>
      <c r="AP56">
        <f t="shared" si="15"/>
        <v>0</v>
      </c>
      <c r="AQ56">
        <f t="shared" si="28"/>
        <v>5.22</v>
      </c>
      <c r="AR56" t="e">
        <f t="shared" si="29"/>
        <v>#VALUE!</v>
      </c>
      <c r="AS56" s="330"/>
      <c r="AT56" s="330"/>
      <c r="AU56" s="330"/>
      <c r="AV56" s="330"/>
      <c r="AW56" s="330"/>
      <c r="AX56" s="330"/>
      <c r="AY56" s="330"/>
      <c r="AZ56" s="330"/>
      <c r="BA56" s="330"/>
      <c r="BB56" s="330"/>
    </row>
    <row r="57" spans="3:54">
      <c r="C57" s="122" t="str">
        <f t="shared" si="16"/>
        <v>PM</v>
      </c>
      <c r="D57" s="78" t="s">
        <v>263</v>
      </c>
      <c r="E57" s="76" t="s">
        <v>264</v>
      </c>
      <c r="F57" s="76">
        <v>28</v>
      </c>
      <c r="G57" s="80">
        <v>8.2200000000000006</v>
      </c>
      <c r="H57" s="117" t="e">
        <f t="shared" si="31"/>
        <v>#VALUE!</v>
      </c>
      <c r="I57" s="117" t="e">
        <f t="shared" si="32"/>
        <v>#VALUE!</v>
      </c>
      <c r="J57" s="123" t="e">
        <f t="shared" si="33"/>
        <v>#VALUE!</v>
      </c>
      <c r="K57" s="315" t="e">
        <f t="array" ref="K57">IF(AL57,heureDecimal2Txt(AP57),NA())</f>
        <v>#VALUE!</v>
      </c>
      <c r="L57" s="316"/>
      <c r="M57" s="118" t="e">
        <f t="shared" si="34"/>
        <v>#VALUE!</v>
      </c>
      <c r="N57" s="317" t="e">
        <f t="array" ref="N57">IF(AL57,dateEpoch2Txt(AR57),NA())</f>
        <v>#VALUE!</v>
      </c>
      <c r="O57" s="317"/>
      <c r="P57" s="318" t="e">
        <f t="shared" si="35"/>
        <v>#VALUE!</v>
      </c>
      <c r="Q57" s="319"/>
      <c r="AB57" t="b">
        <f t="shared" si="17"/>
        <v>1</v>
      </c>
      <c r="AC57" t="e">
        <f t="array" ref="AC57">IF(ISBLANK(D57),0,dateConvert2Decimal(D57))</f>
        <v>#VALUE!</v>
      </c>
      <c r="AD57" t="e">
        <f t="array" ref="AD57">IF(ISBLANK(E57),0,heureConvert2Decimal(E57))*3600</f>
        <v>#VALUE!</v>
      </c>
      <c r="AE57" t="e">
        <f t="shared" si="18"/>
        <v>#VALUE!</v>
      </c>
      <c r="AF57" s="124" t="b">
        <f t="shared" si="19"/>
        <v>1</v>
      </c>
      <c r="AG57" s="124" t="b">
        <f t="shared" si="20"/>
        <v>1</v>
      </c>
      <c r="AH57" s="124" t="e">
        <f t="shared" si="21"/>
        <v>#VALUE!</v>
      </c>
      <c r="AI57" s="124" t="e">
        <f t="shared" si="22"/>
        <v>#VALUE!</v>
      </c>
      <c r="AJ57" s="124" t="b">
        <f t="shared" si="23"/>
        <v>1</v>
      </c>
      <c r="AK57" t="e">
        <f t="shared" si="24"/>
        <v>#VALUE!</v>
      </c>
      <c r="AL57" s="124" t="e">
        <f t="shared" si="25"/>
        <v>#VALUE!</v>
      </c>
      <c r="AM57" t="e">
        <f t="shared" si="26"/>
        <v>#VALUE!</v>
      </c>
      <c r="AN57" t="e">
        <f t="shared" si="27"/>
        <v>#VALUE!</v>
      </c>
      <c r="AO57">
        <f t="shared" si="14"/>
        <v>0</v>
      </c>
      <c r="AP57">
        <f t="shared" si="15"/>
        <v>0</v>
      </c>
      <c r="AQ57">
        <f t="shared" si="28"/>
        <v>8.2200000000000006</v>
      </c>
      <c r="AR57" t="e">
        <f t="shared" si="29"/>
        <v>#VALUE!</v>
      </c>
      <c r="AS57" s="330"/>
      <c r="AT57" s="330"/>
      <c r="AU57" s="330"/>
      <c r="AV57" s="330"/>
      <c r="AW57" s="330"/>
      <c r="AX57" s="330"/>
      <c r="AY57" s="330"/>
      <c r="AZ57" s="330"/>
      <c r="BA57" s="330"/>
      <c r="BB57" s="330"/>
    </row>
    <row r="58" spans="3:54">
      <c r="C58" s="122" t="str">
        <f t="shared" si="16"/>
        <v>BM</v>
      </c>
      <c r="D58" s="77" t="s">
        <v>263</v>
      </c>
      <c r="E58" s="75" t="s">
        <v>265</v>
      </c>
      <c r="F58" s="75"/>
      <c r="G58" s="79">
        <v>5.46</v>
      </c>
      <c r="H58" s="117" t="e">
        <f t="shared" si="31"/>
        <v>#VALUE!</v>
      </c>
      <c r="I58" s="117" t="e">
        <f t="shared" si="32"/>
        <v>#VALUE!</v>
      </c>
      <c r="J58" s="123" t="e">
        <f t="shared" si="33"/>
        <v>#VALUE!</v>
      </c>
      <c r="K58" s="315" t="e">
        <f t="array" ref="K58">IF(AL58,heureDecimal2Txt(AP58),NA())</f>
        <v>#VALUE!</v>
      </c>
      <c r="L58" s="316"/>
      <c r="M58" s="118" t="e">
        <f t="shared" si="34"/>
        <v>#VALUE!</v>
      </c>
      <c r="N58" s="317" t="e">
        <f t="array" ref="N58">IF(AL58,dateEpoch2Txt(AR58),NA())</f>
        <v>#VALUE!</v>
      </c>
      <c r="O58" s="317"/>
      <c r="P58" s="318" t="e">
        <f t="shared" si="35"/>
        <v>#VALUE!</v>
      </c>
      <c r="Q58" s="319"/>
      <c r="AB58" t="b">
        <f t="shared" si="17"/>
        <v>0</v>
      </c>
      <c r="AC58" t="e">
        <f t="array" ref="AC58">IF(ISBLANK(D58),0,dateConvert2Decimal(D58))</f>
        <v>#VALUE!</v>
      </c>
      <c r="AD58" t="e">
        <f t="array" ref="AD58">IF(ISBLANK(E58),0,heureConvert2Decimal(E58))*3600</f>
        <v>#VALUE!</v>
      </c>
      <c r="AE58" t="e">
        <f t="shared" si="18"/>
        <v>#VALUE!</v>
      </c>
      <c r="AF58" s="124" t="b">
        <f t="shared" si="19"/>
        <v>1</v>
      </c>
      <c r="AG58" s="124" t="b">
        <f t="shared" si="20"/>
        <v>1</v>
      </c>
      <c r="AH58" s="124" t="e">
        <f t="shared" si="21"/>
        <v>#VALUE!</v>
      </c>
      <c r="AI58" s="124" t="e">
        <f t="shared" si="22"/>
        <v>#VALUE!</v>
      </c>
      <c r="AJ58" s="124" t="b">
        <f t="shared" si="23"/>
        <v>1</v>
      </c>
      <c r="AK58" t="e">
        <f t="shared" si="24"/>
        <v>#VALUE!</v>
      </c>
      <c r="AL58" s="124" t="e">
        <f t="shared" si="25"/>
        <v>#VALUE!</v>
      </c>
      <c r="AM58" t="e">
        <f t="shared" si="26"/>
        <v>#VALUE!</v>
      </c>
      <c r="AN58" t="e">
        <f t="shared" si="27"/>
        <v>#VALUE!</v>
      </c>
      <c r="AO58">
        <f t="shared" si="14"/>
        <v>0</v>
      </c>
      <c r="AP58">
        <f t="shared" si="15"/>
        <v>0</v>
      </c>
      <c r="AQ58">
        <f t="shared" si="28"/>
        <v>5.46</v>
      </c>
      <c r="AR58" t="e">
        <f t="shared" si="29"/>
        <v>#VALUE!</v>
      </c>
      <c r="AS58" s="330"/>
      <c r="AT58" s="330"/>
      <c r="AU58" s="330"/>
      <c r="AV58" s="330"/>
      <c r="AW58" s="330"/>
      <c r="AX58" s="330"/>
      <c r="AY58" s="330"/>
      <c r="AZ58" s="330"/>
      <c r="BA58" s="330"/>
      <c r="BB58" s="330"/>
    </row>
    <row r="59" spans="3:54">
      <c r="C59" s="122" t="str">
        <f t="shared" si="16"/>
        <v>PM</v>
      </c>
      <c r="D59" s="78" t="s">
        <v>263</v>
      </c>
      <c r="E59" s="76" t="s">
        <v>266</v>
      </c>
      <c r="F59" s="76">
        <v>31</v>
      </c>
      <c r="G59" s="80">
        <v>8.3699999999999992</v>
      </c>
      <c r="H59" s="117" t="e">
        <f t="shared" si="31"/>
        <v>#VALUE!</v>
      </c>
      <c r="I59" s="117" t="e">
        <f t="shared" si="32"/>
        <v>#VALUE!</v>
      </c>
      <c r="J59" s="123" t="e">
        <f t="shared" si="33"/>
        <v>#VALUE!</v>
      </c>
      <c r="K59" s="315" t="e">
        <f t="array" ref="K59">IF(AL59,heureDecimal2Txt(AP59),NA())</f>
        <v>#VALUE!</v>
      </c>
      <c r="L59" s="316"/>
      <c r="M59" s="118" t="e">
        <f t="shared" si="34"/>
        <v>#VALUE!</v>
      </c>
      <c r="N59" s="317" t="e">
        <f t="array" ref="N59">IF(AL59,dateEpoch2Txt(AR59),NA())</f>
        <v>#VALUE!</v>
      </c>
      <c r="O59" s="317"/>
      <c r="P59" s="318" t="e">
        <f t="shared" si="35"/>
        <v>#VALUE!</v>
      </c>
      <c r="Q59" s="319"/>
      <c r="AB59" t="b">
        <f t="shared" si="17"/>
        <v>1</v>
      </c>
      <c r="AC59" t="e">
        <f t="array" ref="AC59">IF(ISBLANK(D59),0,dateConvert2Decimal(D59))</f>
        <v>#VALUE!</v>
      </c>
      <c r="AD59" t="e">
        <f t="array" ref="AD59">IF(ISBLANK(E59),0,heureConvert2Decimal(E59))*3600</f>
        <v>#VALUE!</v>
      </c>
      <c r="AE59" t="e">
        <f t="shared" si="18"/>
        <v>#VALUE!</v>
      </c>
      <c r="AF59" s="124" t="b">
        <f t="shared" si="19"/>
        <v>1</v>
      </c>
      <c r="AG59" s="124" t="b">
        <f t="shared" si="20"/>
        <v>1</v>
      </c>
      <c r="AH59" s="124" t="e">
        <f t="shared" si="21"/>
        <v>#VALUE!</v>
      </c>
      <c r="AI59" s="124" t="e">
        <f t="shared" si="22"/>
        <v>#VALUE!</v>
      </c>
      <c r="AJ59" s="124" t="b">
        <f t="shared" si="23"/>
        <v>1</v>
      </c>
      <c r="AK59" t="e">
        <f t="shared" si="24"/>
        <v>#VALUE!</v>
      </c>
      <c r="AL59" s="124" t="e">
        <f t="shared" si="25"/>
        <v>#VALUE!</v>
      </c>
      <c r="AM59" t="e">
        <f t="shared" si="26"/>
        <v>#VALUE!</v>
      </c>
      <c r="AN59" t="e">
        <f t="shared" si="27"/>
        <v>#VALUE!</v>
      </c>
      <c r="AO59">
        <f t="shared" si="14"/>
        <v>0</v>
      </c>
      <c r="AP59">
        <f t="shared" si="15"/>
        <v>0</v>
      </c>
      <c r="AQ59">
        <f t="shared" si="28"/>
        <v>8.3699999999999992</v>
      </c>
      <c r="AR59" t="e">
        <f t="shared" si="29"/>
        <v>#VALUE!</v>
      </c>
      <c r="AS59" s="330"/>
      <c r="AT59" s="330"/>
      <c r="AU59" s="330"/>
      <c r="AV59" s="330"/>
      <c r="AW59" s="330"/>
      <c r="AX59" s="330"/>
      <c r="AY59" s="330"/>
      <c r="AZ59" s="330"/>
      <c r="BA59" s="330"/>
      <c r="BB59" s="330"/>
    </row>
    <row r="60" spans="3:54">
      <c r="C60" s="122" t="str">
        <f t="shared" si="16"/>
        <v>BM</v>
      </c>
      <c r="D60" s="77" t="s">
        <v>263</v>
      </c>
      <c r="E60" s="75" t="s">
        <v>267</v>
      </c>
      <c r="F60" s="75"/>
      <c r="G60" s="79">
        <v>5.8</v>
      </c>
      <c r="H60" s="117" t="e">
        <f>IF(AL60,"Y","N")</f>
        <v>#VALUE!</v>
      </c>
      <c r="I60" s="117" t="e">
        <f>IF(AN60,"Y","N")</f>
        <v>#VALUE!</v>
      </c>
      <c r="J60" s="123" t="e">
        <f>IF(AL60,AO60,NA())</f>
        <v>#VALUE!</v>
      </c>
      <c r="K60" s="315" t="e">
        <f t="array" ref="K60">IF(AL60,heureDecimal2Txt(AP60),NA())</f>
        <v>#VALUE!</v>
      </c>
      <c r="L60" s="316"/>
      <c r="M60" s="118" t="e">
        <f>G60+J60</f>
        <v>#VALUE!</v>
      </c>
      <c r="N60" s="317" t="e">
        <f t="array" ref="N60">IF(AL60,dateEpoch2Txt(AR60),NA())</f>
        <v>#VALUE!</v>
      </c>
      <c r="O60" s="317"/>
      <c r="P60" s="318" t="e">
        <f>IF(AL60,AR60/3600, NA())</f>
        <v>#VALUE!</v>
      </c>
      <c r="Q60" s="319"/>
      <c r="AB60" t="b">
        <f t="shared" si="17"/>
        <v>0</v>
      </c>
      <c r="AC60" t="e">
        <f t="array" ref="AC60">IF(ISBLANK(D60),0,dateConvert2Decimal(D60))</f>
        <v>#VALUE!</v>
      </c>
      <c r="AD60" t="e">
        <f t="array" ref="AD60">IF(ISBLANK(E60),0,heureConvert2Decimal(E60))*3600</f>
        <v>#VALUE!</v>
      </c>
      <c r="AE60" t="e">
        <f t="shared" si="18"/>
        <v>#VALUE!</v>
      </c>
      <c r="AF60" s="124" t="b">
        <f t="shared" si="19"/>
        <v>1</v>
      </c>
      <c r="AG60" s="124" t="b">
        <f t="shared" si="20"/>
        <v>1</v>
      </c>
      <c r="AH60" s="124" t="e">
        <f t="shared" si="21"/>
        <v>#VALUE!</v>
      </c>
      <c r="AI60" s="124" t="e">
        <f t="shared" si="22"/>
        <v>#VALUE!</v>
      </c>
      <c r="AJ60" s="124" t="b">
        <f t="shared" si="23"/>
        <v>1</v>
      </c>
      <c r="AK60" t="e">
        <f t="shared" si="24"/>
        <v>#VALUE!</v>
      </c>
      <c r="AL60" s="124" t="e">
        <f t="shared" si="25"/>
        <v>#VALUE!</v>
      </c>
      <c r="AM60" t="e">
        <f t="shared" si="26"/>
        <v>#VALUE!</v>
      </c>
      <c r="AN60" t="e">
        <f t="shared" si="27"/>
        <v>#VALUE!</v>
      </c>
      <c r="AO60">
        <f t="shared" si="14"/>
        <v>0</v>
      </c>
      <c r="AP60">
        <f t="shared" si="15"/>
        <v>0</v>
      </c>
      <c r="AQ60">
        <f t="shared" si="28"/>
        <v>5.8</v>
      </c>
      <c r="AR60" t="e">
        <f t="shared" si="29"/>
        <v>#VALUE!</v>
      </c>
      <c r="AS60" s="330"/>
      <c r="AT60" s="330"/>
      <c r="AU60" s="330"/>
      <c r="AV60" s="330"/>
      <c r="AW60" s="330"/>
      <c r="AX60" s="330"/>
      <c r="AY60" s="330"/>
      <c r="AZ60" s="330"/>
      <c r="BA60" s="330"/>
      <c r="BB60" s="330"/>
    </row>
    <row r="61" spans="3:54">
      <c r="C61" s="122" t="str">
        <f t="shared" si="16"/>
        <v>PM</v>
      </c>
      <c r="D61" s="78" t="s">
        <v>268</v>
      </c>
      <c r="E61" s="76" t="s">
        <v>269</v>
      </c>
      <c r="F61" s="76">
        <v>37</v>
      </c>
      <c r="G61" s="80">
        <v>8.59</v>
      </c>
      <c r="H61" s="117" t="e">
        <f>IF(AL61,"Y","N")</f>
        <v>#VALUE!</v>
      </c>
      <c r="I61" s="117" t="e">
        <f>IF(AN61,"Y","N")</f>
        <v>#VALUE!</v>
      </c>
      <c r="J61" s="123" t="e">
        <f>IF(AL61,AO61,NA())</f>
        <v>#VALUE!</v>
      </c>
      <c r="K61" s="315" t="e">
        <f t="array" ref="K61">IF(AL61,heureDecimal2Txt(AP61),NA())</f>
        <v>#VALUE!</v>
      </c>
      <c r="L61" s="316"/>
      <c r="M61" s="118" t="e">
        <f>G61+J61</f>
        <v>#VALUE!</v>
      </c>
      <c r="N61" s="317" t="e">
        <f t="array" ref="N61">IF(AL61,dateEpoch2Txt(AR61),NA())</f>
        <v>#VALUE!</v>
      </c>
      <c r="O61" s="317"/>
      <c r="P61" s="318" t="e">
        <f>IF(AL61,AR61/3600, NA())</f>
        <v>#VALUE!</v>
      </c>
      <c r="Q61" s="319"/>
      <c r="AB61" t="b">
        <f t="shared" si="17"/>
        <v>1</v>
      </c>
      <c r="AC61" t="e">
        <f t="array" ref="AC61">IF(ISBLANK(D61),0,dateConvert2Decimal(D61))</f>
        <v>#VALUE!</v>
      </c>
      <c r="AD61" t="e">
        <f t="array" ref="AD61">IF(ISBLANK(E61),0,heureConvert2Decimal(E61))*3600</f>
        <v>#VALUE!</v>
      </c>
      <c r="AE61" t="e">
        <f t="shared" si="18"/>
        <v>#VALUE!</v>
      </c>
      <c r="AF61" s="124" t="b">
        <f t="shared" si="19"/>
        <v>1</v>
      </c>
      <c r="AG61" s="124" t="b">
        <f t="shared" si="20"/>
        <v>1</v>
      </c>
      <c r="AH61" s="124" t="e">
        <f t="shared" si="21"/>
        <v>#VALUE!</v>
      </c>
      <c r="AI61" s="124" t="e">
        <f t="shared" si="22"/>
        <v>#VALUE!</v>
      </c>
      <c r="AJ61" s="124" t="b">
        <f t="shared" si="23"/>
        <v>1</v>
      </c>
      <c r="AK61" t="e">
        <f t="shared" si="24"/>
        <v>#VALUE!</v>
      </c>
      <c r="AL61" s="124" t="e">
        <f t="shared" si="25"/>
        <v>#VALUE!</v>
      </c>
      <c r="AM61" t="e">
        <f t="shared" si="26"/>
        <v>#VALUE!</v>
      </c>
      <c r="AN61" t="e">
        <f t="shared" si="27"/>
        <v>#VALUE!</v>
      </c>
      <c r="AO61">
        <f t="shared" si="14"/>
        <v>0</v>
      </c>
      <c r="AP61">
        <f t="shared" si="15"/>
        <v>0</v>
      </c>
      <c r="AQ61">
        <f t="shared" si="28"/>
        <v>8.59</v>
      </c>
      <c r="AR61" t="e">
        <f t="shared" si="29"/>
        <v>#VALUE!</v>
      </c>
      <c r="AS61" s="330"/>
      <c r="AT61" s="330"/>
      <c r="AU61" s="330"/>
      <c r="AV61" s="330"/>
      <c r="AW61" s="330"/>
      <c r="AX61" s="330"/>
      <c r="AY61" s="330"/>
      <c r="AZ61" s="330"/>
      <c r="BA61" s="330"/>
      <c r="BB61" s="330"/>
    </row>
    <row r="62" spans="3:54">
      <c r="C62" s="122" t="str">
        <f t="shared" si="16"/>
        <v>BM</v>
      </c>
      <c r="D62" s="77" t="s">
        <v>268</v>
      </c>
      <c r="E62" s="75" t="s">
        <v>270</v>
      </c>
      <c r="F62" s="75"/>
      <c r="G62" s="79">
        <v>4.99</v>
      </c>
      <c r="H62" s="117" t="e">
        <f>IF(AL62,"Y","N")</f>
        <v>#VALUE!</v>
      </c>
      <c r="I62" s="117" t="e">
        <f>IF(AN62,"Y","N")</f>
        <v>#VALUE!</v>
      </c>
      <c r="J62" s="123" t="e">
        <f>IF(AL62,AO62,NA())</f>
        <v>#VALUE!</v>
      </c>
      <c r="K62" s="315" t="e">
        <f t="array" ref="K62">IF(AL62,heureDecimal2Txt(AP62),NA())</f>
        <v>#VALUE!</v>
      </c>
      <c r="L62" s="316"/>
      <c r="M62" s="118" t="e">
        <f>G62+J62</f>
        <v>#VALUE!</v>
      </c>
      <c r="N62" s="317" t="e">
        <f t="array" ref="N62">IF(AL62,dateEpoch2Txt(AR62),NA())</f>
        <v>#VALUE!</v>
      </c>
      <c r="O62" s="317"/>
      <c r="P62" s="318" t="e">
        <f>IF(AL62,AR62/3600, NA())</f>
        <v>#VALUE!</v>
      </c>
      <c r="Q62" s="319"/>
      <c r="AB62" t="b">
        <f t="shared" si="17"/>
        <v>0</v>
      </c>
      <c r="AC62" t="e">
        <f t="array" ref="AC62">IF(ISBLANK(D62),0,dateConvert2Decimal(D62))</f>
        <v>#VALUE!</v>
      </c>
      <c r="AD62" t="e">
        <f t="array" ref="AD62">IF(ISBLANK(E62),0,heureConvert2Decimal(E62))*3600</f>
        <v>#VALUE!</v>
      </c>
      <c r="AE62" t="e">
        <f t="shared" si="18"/>
        <v>#VALUE!</v>
      </c>
      <c r="AF62" s="124" t="b">
        <f t="shared" si="19"/>
        <v>1</v>
      </c>
      <c r="AG62" s="124" t="b">
        <f t="shared" si="20"/>
        <v>1</v>
      </c>
      <c r="AH62" s="124" t="e">
        <f t="shared" si="21"/>
        <v>#VALUE!</v>
      </c>
      <c r="AI62" s="124" t="e">
        <f t="shared" si="22"/>
        <v>#VALUE!</v>
      </c>
      <c r="AJ62" s="124" t="b">
        <f t="shared" si="23"/>
        <v>1</v>
      </c>
      <c r="AK62" t="e">
        <f t="shared" si="24"/>
        <v>#VALUE!</v>
      </c>
      <c r="AL62" s="124" t="e">
        <f t="shared" si="25"/>
        <v>#VALUE!</v>
      </c>
      <c r="AM62" t="e">
        <f t="shared" si="26"/>
        <v>#VALUE!</v>
      </c>
      <c r="AN62" t="e">
        <f t="shared" si="27"/>
        <v>#VALUE!</v>
      </c>
      <c r="AO62">
        <f t="shared" si="14"/>
        <v>0</v>
      </c>
      <c r="AP62">
        <f t="shared" si="15"/>
        <v>0</v>
      </c>
      <c r="AQ62">
        <f t="shared" si="28"/>
        <v>4.99</v>
      </c>
      <c r="AR62" t="e">
        <f t="shared" si="29"/>
        <v>#VALUE!</v>
      </c>
      <c r="AS62" s="330"/>
      <c r="AT62" s="330"/>
      <c r="AU62" s="330"/>
      <c r="AV62" s="330"/>
      <c r="AW62" s="330"/>
      <c r="AX62" s="330"/>
      <c r="AY62" s="330"/>
      <c r="AZ62" s="330"/>
      <c r="BA62" s="330"/>
      <c r="BB62" s="330"/>
    </row>
    <row r="63" spans="3:54">
      <c r="C63" s="122" t="str">
        <f t="shared" si="16"/>
        <v>PM</v>
      </c>
      <c r="D63" s="78" t="s">
        <v>268</v>
      </c>
      <c r="E63" s="76" t="s">
        <v>271</v>
      </c>
      <c r="F63" s="76">
        <v>45</v>
      </c>
      <c r="G63" s="80">
        <v>9.19</v>
      </c>
      <c r="H63" s="117" t="e">
        <f>IF(AL63,"Y","N")</f>
        <v>#VALUE!</v>
      </c>
      <c r="I63" s="117" t="e">
        <f>IF(AN63,"Y","N")</f>
        <v>#VALUE!</v>
      </c>
      <c r="J63" s="123" t="e">
        <f>IF(AL63,AO63,NA())</f>
        <v>#VALUE!</v>
      </c>
      <c r="K63" s="315" t="e">
        <f t="array" ref="K63">IF(AL63,heureDecimal2Txt(AP63),NA())</f>
        <v>#VALUE!</v>
      </c>
      <c r="L63" s="316"/>
      <c r="M63" s="118" t="e">
        <f>G63+J63</f>
        <v>#VALUE!</v>
      </c>
      <c r="N63" s="317" t="e">
        <f t="array" ref="N63">IF(AL63,dateEpoch2Txt(AR63),NA())</f>
        <v>#VALUE!</v>
      </c>
      <c r="O63" s="317"/>
      <c r="P63" s="318" t="e">
        <f>IF(AL63,AR63/3600, NA())</f>
        <v>#VALUE!</v>
      </c>
      <c r="Q63" s="319"/>
      <c r="AB63" t="b">
        <f t="shared" si="17"/>
        <v>1</v>
      </c>
      <c r="AC63" t="e">
        <f t="array" ref="AC63">IF(ISBLANK(D63),0,dateConvert2Decimal(D63))</f>
        <v>#VALUE!</v>
      </c>
      <c r="AD63" t="e">
        <f t="array" ref="AD63">IF(ISBLANK(E63),0,heureConvert2Decimal(E63))*3600</f>
        <v>#VALUE!</v>
      </c>
      <c r="AE63" t="e">
        <f t="shared" si="18"/>
        <v>#VALUE!</v>
      </c>
      <c r="AF63" s="124" t="b">
        <f t="shared" si="19"/>
        <v>1</v>
      </c>
      <c r="AG63" s="124" t="b">
        <f t="shared" si="20"/>
        <v>1</v>
      </c>
      <c r="AH63" s="124" t="e">
        <f t="shared" si="21"/>
        <v>#VALUE!</v>
      </c>
      <c r="AI63" s="124" t="e">
        <f t="shared" si="22"/>
        <v>#VALUE!</v>
      </c>
      <c r="AJ63" s="124" t="b">
        <f t="shared" si="23"/>
        <v>1</v>
      </c>
      <c r="AK63" t="e">
        <f t="shared" si="24"/>
        <v>#VALUE!</v>
      </c>
      <c r="AL63" s="124" t="e">
        <f t="shared" si="25"/>
        <v>#VALUE!</v>
      </c>
      <c r="AM63" t="e">
        <f t="shared" si="26"/>
        <v>#VALUE!</v>
      </c>
      <c r="AN63" t="e">
        <f t="shared" si="27"/>
        <v>#VALUE!</v>
      </c>
      <c r="AO63">
        <f t="shared" si="14"/>
        <v>0</v>
      </c>
      <c r="AP63">
        <f t="shared" si="15"/>
        <v>0</v>
      </c>
      <c r="AQ63">
        <f t="shared" si="28"/>
        <v>9.19</v>
      </c>
      <c r="AR63" t="e">
        <f t="shared" si="29"/>
        <v>#VALUE!</v>
      </c>
      <c r="AS63" s="330"/>
      <c r="AT63" s="330"/>
      <c r="AU63" s="330"/>
      <c r="AV63" s="330"/>
      <c r="AW63" s="330"/>
      <c r="AX63" s="330"/>
      <c r="AY63" s="330"/>
      <c r="AZ63" s="330"/>
      <c r="BA63" s="330"/>
      <c r="BB63" s="330"/>
    </row>
    <row r="64" spans="3:54">
      <c r="C64" s="122" t="str">
        <f t="shared" si="16"/>
        <v>BM</v>
      </c>
      <c r="D64" s="77" t="s">
        <v>268</v>
      </c>
      <c r="E64" s="75" t="s">
        <v>272</v>
      </c>
      <c r="F64" s="75"/>
      <c r="G64" s="79">
        <v>4.12</v>
      </c>
      <c r="H64" s="117" t="e">
        <f t="shared" si="31"/>
        <v>#VALUE!</v>
      </c>
      <c r="I64" s="117" t="e">
        <f t="shared" si="32"/>
        <v>#VALUE!</v>
      </c>
      <c r="J64" s="123" t="e">
        <f t="shared" si="33"/>
        <v>#VALUE!</v>
      </c>
      <c r="K64" s="315" t="e">
        <f t="array" ref="K64">IF(AL64,heureDecimal2Txt(AP64),NA())</f>
        <v>#VALUE!</v>
      </c>
      <c r="L64" s="316"/>
      <c r="M64" s="118" t="e">
        <f t="shared" si="34"/>
        <v>#VALUE!</v>
      </c>
      <c r="N64" s="317" t="e">
        <f t="array" ref="N64">IF(AL64,dateEpoch2Txt(AR64),NA())</f>
        <v>#VALUE!</v>
      </c>
      <c r="O64" s="317"/>
      <c r="P64" s="318" t="e">
        <f t="shared" si="35"/>
        <v>#VALUE!</v>
      </c>
      <c r="Q64" s="319"/>
      <c r="AB64" t="b">
        <f t="shared" si="17"/>
        <v>0</v>
      </c>
      <c r="AC64" t="e">
        <f t="array" ref="AC64">IF(ISBLANK(D64),0,dateConvert2Decimal(D64))</f>
        <v>#VALUE!</v>
      </c>
      <c r="AD64" t="e">
        <f t="array" ref="AD64">IF(ISBLANK(E64),0,heureConvert2Decimal(E64))*3600</f>
        <v>#VALUE!</v>
      </c>
      <c r="AE64" t="e">
        <f t="shared" si="18"/>
        <v>#VALUE!</v>
      </c>
      <c r="AF64" s="124" t="b">
        <f t="shared" si="19"/>
        <v>1</v>
      </c>
      <c r="AG64" s="124" t="b">
        <f t="shared" si="20"/>
        <v>1</v>
      </c>
      <c r="AH64" s="124" t="e">
        <f t="shared" si="21"/>
        <v>#VALUE!</v>
      </c>
      <c r="AI64" s="124" t="e">
        <f t="shared" si="22"/>
        <v>#VALUE!</v>
      </c>
      <c r="AJ64" s="124" t="b">
        <f t="shared" si="23"/>
        <v>1</v>
      </c>
      <c r="AK64" t="e">
        <f t="shared" si="24"/>
        <v>#VALUE!</v>
      </c>
      <c r="AL64" s="124" t="e">
        <f t="shared" si="25"/>
        <v>#VALUE!</v>
      </c>
      <c r="AM64" t="e">
        <f t="shared" si="26"/>
        <v>#VALUE!</v>
      </c>
      <c r="AN64" t="e">
        <f t="shared" si="27"/>
        <v>#VALUE!</v>
      </c>
      <c r="AO64">
        <f t="shared" si="14"/>
        <v>0</v>
      </c>
      <c r="AP64">
        <f t="shared" si="15"/>
        <v>0</v>
      </c>
      <c r="AQ64">
        <f t="shared" si="28"/>
        <v>4.12</v>
      </c>
      <c r="AR64" t="e">
        <f t="shared" si="29"/>
        <v>#VALUE!</v>
      </c>
      <c r="AS64" s="330"/>
      <c r="AT64" s="330"/>
      <c r="AU64" s="330"/>
      <c r="AV64" s="330"/>
      <c r="AW64" s="330"/>
      <c r="AX64" s="330"/>
      <c r="AY64" s="330"/>
      <c r="AZ64" s="330"/>
      <c r="BA64" s="330"/>
      <c r="BB64" s="330"/>
    </row>
    <row r="65" spans="1:31">
      <c r="P65"/>
      <c r="Q65"/>
      <c r="Y65" s="331"/>
      <c r="Z65" s="331"/>
      <c r="AA65" s="331"/>
    </row>
    <row r="66" spans="1:31" ht="15.75" thickBot="1">
      <c r="P66"/>
      <c r="Q66"/>
      <c r="Y66" s="331"/>
      <c r="Z66" s="331"/>
      <c r="AA66" s="331"/>
    </row>
    <row r="67" spans="1:31" ht="15.75" customHeight="1" thickBot="1">
      <c r="B67" s="332" t="s">
        <v>193</v>
      </c>
      <c r="C67" s="333"/>
      <c r="D67" s="333"/>
      <c r="E67" s="333"/>
      <c r="F67" s="333"/>
      <c r="G67" s="333"/>
      <c r="H67" s="333"/>
      <c r="I67" s="333"/>
      <c r="J67" s="333"/>
      <c r="K67" s="333"/>
      <c r="L67" s="333"/>
      <c r="M67" s="333"/>
      <c r="N67" s="333"/>
      <c r="O67" s="333"/>
      <c r="P67" s="333"/>
      <c r="Q67" s="333"/>
      <c r="R67" s="333"/>
      <c r="S67" s="333"/>
      <c r="T67" s="333"/>
      <c r="U67" s="333"/>
      <c r="V67" s="333"/>
      <c r="W67" s="333"/>
      <c r="X67" s="333"/>
      <c r="Y67" s="333"/>
      <c r="Z67" s="333"/>
    </row>
    <row r="68" spans="1:31">
      <c r="C68" s="337" t="s">
        <v>99</v>
      </c>
      <c r="D68" s="338"/>
      <c r="E68" s="338"/>
      <c r="F68" s="339"/>
    </row>
    <row r="69" spans="1:31">
      <c r="C69" t="s">
        <v>97</v>
      </c>
      <c r="D69">
        <v>8.6999999999999993</v>
      </c>
      <c r="E69" t="s">
        <v>65</v>
      </c>
    </row>
    <row r="70" spans="1:31">
      <c r="C70" t="s">
        <v>100</v>
      </c>
      <c r="D70" s="125" t="s">
        <v>219</v>
      </c>
      <c r="E70" t="e">
        <f t="array" ref="E70">heureConvert2Decimal(D70)</f>
        <v>#VALUE!</v>
      </c>
    </row>
    <row r="71" spans="1:31">
      <c r="N71" t="s">
        <v>58</v>
      </c>
      <c r="O71" t="s">
        <v>232</v>
      </c>
      <c r="P71" s="83" t="s">
        <v>227</v>
      </c>
      <c r="Q71" s="83" t="s">
        <v>228</v>
      </c>
      <c r="R71" s="83" t="s">
        <v>236</v>
      </c>
      <c r="S71" s="83" t="s">
        <v>237</v>
      </c>
      <c r="T71" s="120" t="s">
        <v>94</v>
      </c>
      <c r="U71" s="329" t="s">
        <v>229</v>
      </c>
      <c r="V71" s="329"/>
      <c r="W71" s="329"/>
      <c r="X71" s="329"/>
      <c r="Y71" s="329"/>
      <c r="Z71" s="329"/>
    </row>
    <row r="72" spans="1:31" ht="15" customHeight="1">
      <c r="A72" s="313" t="s">
        <v>276</v>
      </c>
      <c r="B72" s="314"/>
      <c r="C72" s="314"/>
      <c r="D72" s="311" t="str">
        <f>CONCATENATE("Heure passage a la hauteur:",D69,"m")</f>
        <v>Heure passage a la hauteur:8,7m</v>
      </c>
      <c r="E72" s="312"/>
      <c r="F72" s="312"/>
      <c r="G72" s="312"/>
      <c r="I72" s="85"/>
      <c r="J72" s="126" t="str">
        <f>CONCATENATE("Hauteur a heure de passage :", D70)</f>
        <v>Hauteur a heure de passage :13:26:00</v>
      </c>
      <c r="K72" s="126"/>
      <c r="M72" s="330" t="s">
        <v>226</v>
      </c>
      <c r="N72" s="370" t="s">
        <v>235</v>
      </c>
      <c r="O72" s="330" t="e">
        <f>heureConvert2Decimal($N$72)</f>
        <v>#VALUE!</v>
      </c>
      <c r="P72" s="121">
        <v>479077.43333333335</v>
      </c>
      <c r="Q72" s="121">
        <v>479076.35</v>
      </c>
      <c r="R72" s="121">
        <v>479077.43333333335</v>
      </c>
      <c r="S72" s="127"/>
      <c r="T72" s="120"/>
      <c r="U72" s="128"/>
      <c r="V72" s="128"/>
      <c r="W72" s="128"/>
      <c r="X72" s="128"/>
      <c r="Y72" s="128"/>
      <c r="Z72" s="128"/>
      <c r="AD72" s="83"/>
    </row>
    <row r="73" spans="1:31" ht="15" customHeight="1">
      <c r="A73" s="156" t="s">
        <v>277</v>
      </c>
      <c r="B73" s="157"/>
      <c r="C73" s="155">
        <v>38</v>
      </c>
      <c r="D73" s="311"/>
      <c r="E73" s="312"/>
      <c r="F73" s="312"/>
      <c r="G73" s="312"/>
      <c r="I73" s="129" t="s">
        <v>101</v>
      </c>
      <c r="J73" s="372" t="s">
        <v>0</v>
      </c>
      <c r="K73" s="373"/>
      <c r="M73" s="330"/>
      <c r="N73" s="370"/>
      <c r="O73" s="330"/>
      <c r="P73" s="121"/>
      <c r="Q73" s="121"/>
      <c r="R73" s="121"/>
      <c r="S73" s="127"/>
      <c r="T73" s="120"/>
      <c r="U73" s="128"/>
      <c r="V73" s="128"/>
      <c r="W73" s="128"/>
      <c r="X73" s="128"/>
      <c r="Y73" s="128"/>
      <c r="Z73" s="128"/>
      <c r="AC73" s="130" t="s">
        <v>195</v>
      </c>
    </row>
    <row r="74" spans="1:31" ht="15" customHeight="1">
      <c r="A74" s="158" t="s">
        <v>278</v>
      </c>
      <c r="B74" s="159"/>
      <c r="C74" s="155">
        <v>64</v>
      </c>
      <c r="D74" t="s">
        <v>0</v>
      </c>
      <c r="F74" t="s">
        <v>16</v>
      </c>
      <c r="I74" s="131" t="e">
        <f t="array" aca="1" ref="I74" ca="1">IF(OR(ISNA(AC74),ISNA(AC76)),-1,mareeHauteurAHeureDoneeDuJour($E$70,AC74,G73,AC76,F75))</f>
        <v>#NAME?</v>
      </c>
      <c r="J74" s="374" t="e">
        <f t="array" aca="1" ref="J74" ca="1">IF(AE75&lt;0,"Pas de solution",dateEpoch2Txt( AE75*3600))</f>
        <v>#NAME?</v>
      </c>
      <c r="K74" s="374"/>
      <c r="M74" s="330"/>
      <c r="N74" s="370"/>
      <c r="O74" s="330"/>
      <c r="P74" s="121"/>
      <c r="Q74" s="121"/>
      <c r="R74" s="121"/>
      <c r="S74" s="127"/>
      <c r="T74" s="120"/>
      <c r="U74" s="128"/>
      <c r="V74" s="128"/>
      <c r="W74" s="128"/>
      <c r="X74" s="128"/>
      <c r="Y74" s="128"/>
      <c r="Z74" s="128"/>
      <c r="AC74" s="132" t="e">
        <f>P38</f>
        <v>#VALUE!</v>
      </c>
      <c r="AE74" s="133" t="s">
        <v>0</v>
      </c>
    </row>
    <row r="75" spans="1:31" ht="15" customHeight="1">
      <c r="A75" s="158" t="s">
        <v>282</v>
      </c>
      <c r="B75" s="159"/>
      <c r="C75" s="155" t="s">
        <v>94</v>
      </c>
      <c r="I75" s="334"/>
      <c r="J75" s="334"/>
      <c r="K75" s="335"/>
      <c r="M75" s="330"/>
      <c r="N75" s="370"/>
      <c r="O75" s="330"/>
      <c r="P75" s="121"/>
      <c r="Q75" s="121"/>
      <c r="R75" s="121"/>
      <c r="S75" s="127"/>
      <c r="T75" s="120"/>
      <c r="U75" s="128"/>
      <c r="V75" s="128"/>
      <c r="W75" s="128"/>
      <c r="X75" s="128"/>
      <c r="Y75" s="128"/>
      <c r="Z75" s="128"/>
      <c r="AD75" s="134" t="e">
        <f t="array" aca="1" ref="AD75" ca="1">IF(OR(ISNA(AC74),ISNA(AC76)),-1,mareeHeureAHauteurDonee($D$69,AC74,G73,AC76,F75))</f>
        <v>#NAME?</v>
      </c>
      <c r="AE75" s="135" t="e">
        <f t="array" aca="1" ref="AE75" ca="1">IF(OR(ISNA(AC74),ISNA(AC76),(I74&lt;0)),-1,mareeHeureAHauteurDonee(I74,AC74,G73,AC76,F75))</f>
        <v>#NAME?</v>
      </c>
    </row>
    <row r="76" spans="1:31">
      <c r="A76" s="158" t="s">
        <v>279</v>
      </c>
      <c r="B76" s="159"/>
      <c r="C76" s="155" t="s">
        <v>111</v>
      </c>
      <c r="I76" s="136" t="e">
        <f t="array" aca="1" ref="I76" ca="1">IF(OR(ISNA(AC76),ISNA(AC78)),-1,mareeHauteurAHeureDoneeDuJour($E$70,AC76,F75,AC78,F77))</f>
        <v>#NAME?</v>
      </c>
      <c r="J76" s="375" t="e">
        <f t="array" aca="1" ref="J76" ca="1">IF(AE77&lt;0,"Pas de solution",dateEpoch2Txt( AE77*3600))</f>
        <v>#NAME?</v>
      </c>
      <c r="K76" s="375"/>
      <c r="M76" s="330"/>
      <c r="N76" s="370"/>
      <c r="O76" s="330"/>
      <c r="P76" s="121"/>
      <c r="Q76" s="121"/>
      <c r="R76" s="121"/>
      <c r="S76" s="127"/>
      <c r="T76" s="120"/>
      <c r="U76" s="128"/>
      <c r="V76" s="128"/>
      <c r="W76" s="128"/>
      <c r="X76" s="128"/>
      <c r="Y76" s="128"/>
      <c r="Z76" s="128"/>
      <c r="AC76" s="132" t="e">
        <f>P39</f>
        <v>#VALUE!</v>
      </c>
      <c r="AE76" s="137"/>
    </row>
    <row r="77" spans="1:31" ht="15" customHeight="1">
      <c r="A77" s="158" t="s">
        <v>280</v>
      </c>
      <c r="B77" s="159"/>
      <c r="C77" s="155" t="s">
        <v>281</v>
      </c>
      <c r="I77" s="336"/>
      <c r="J77" s="336"/>
      <c r="K77" s="336"/>
      <c r="M77" s="330"/>
      <c r="N77" s="370"/>
      <c r="O77" s="330"/>
      <c r="P77" s="121"/>
      <c r="Q77" s="121"/>
      <c r="R77" s="121"/>
      <c r="S77" s="127"/>
      <c r="T77" s="120"/>
      <c r="U77" s="128"/>
      <c r="V77" s="128"/>
      <c r="W77" s="128"/>
      <c r="X77" s="128"/>
      <c r="Y77" s="128"/>
      <c r="Z77" s="128"/>
      <c r="AD77" s="134" t="e">
        <f t="array" aca="1" ref="AD77" ca="1">IF(OR(ISNA(AC76),ISNA(AC78)),-1,mareeHeureAHauteurDonee($D$69,AC76,F75,AC78,F77))</f>
        <v>#NAME?</v>
      </c>
      <c r="AE77" s="135" t="e">
        <f t="array" aca="1" ref="AE77" ca="1">IF(OR(ISNA(AC76),ISNA(AC78),(I76&lt;0)),-1,mareeHeureAHauteurDonee(I76,AC76,F75,AC78,F77))</f>
        <v>#NAME?</v>
      </c>
    </row>
    <row r="78" spans="1:31">
      <c r="I78" s="138" t="e">
        <f t="array" aca="1" ref="I78" ca="1">IF(OR(ISNA(AC78),ISNA(AC80)),-1,mareeHauteurAHeureDoneeDuJour($E$70,AC78,F77,AC80,#REF!))</f>
        <v>#NAME?</v>
      </c>
      <c r="J78" s="329" t="e">
        <f t="array" aca="1" ref="J78" ca="1">IF(AE79&lt;0,"Pas de solution",dateEpoch2Txt( AE79*3600))</f>
        <v>#NAME?</v>
      </c>
      <c r="K78" s="329"/>
      <c r="M78" s="330" t="s">
        <v>231</v>
      </c>
      <c r="N78" s="370" t="s">
        <v>230</v>
      </c>
      <c r="O78" s="330" t="e">
        <f>heureConvert2Decimal($N$72)</f>
        <v>#VALUE!</v>
      </c>
      <c r="P78" s="121"/>
      <c r="Q78" s="121"/>
      <c r="R78" s="121"/>
      <c r="S78" s="127"/>
      <c r="T78" s="120"/>
      <c r="U78" s="128"/>
      <c r="V78" s="128"/>
      <c r="W78" s="128"/>
      <c r="X78" s="128"/>
      <c r="Y78" s="128"/>
      <c r="Z78" s="128"/>
      <c r="AC78" s="132" t="e">
        <f>P40</f>
        <v>#VALUE!</v>
      </c>
      <c r="AE78" s="137"/>
    </row>
    <row r="79" spans="1:31" ht="15" customHeight="1">
      <c r="I79" s="336"/>
      <c r="J79" s="336"/>
      <c r="K79" s="336"/>
      <c r="M79" s="330"/>
      <c r="N79" s="370"/>
      <c r="O79" s="330"/>
      <c r="P79" s="121"/>
      <c r="Q79" s="121"/>
      <c r="R79" s="121"/>
      <c r="S79" s="127"/>
      <c r="T79" s="120"/>
      <c r="U79" s="128"/>
      <c r="V79" s="128"/>
      <c r="W79" s="128"/>
      <c r="X79" s="128"/>
      <c r="Y79" s="128"/>
      <c r="Z79" s="128"/>
      <c r="AD79" s="134" t="e">
        <f t="array" aca="1" ref="AD79" ca="1">IF(OR(ISNA(AC78),ISNA(AC80)),-1,mareeHeureAHauteurDonee($D$69,AC78,F77,AC80,#REF!))</f>
        <v>#NAME?</v>
      </c>
      <c r="AE79" s="135" t="e">
        <f t="array" aca="1" ref="AE79" ca="1">IF(OR(ISNA(AC78),ISNA(AC80),(I78&lt;0)),-1,mareeHeureAHauteurDonee(I78,AC78,F77,AC80,#REF!))</f>
        <v>#NAME?</v>
      </c>
    </row>
    <row r="80" spans="1:31">
      <c r="I80" s="138" t="e">
        <f t="array" aca="1" ref="I80" ca="1">IF(OR(ISNA(AC80),ISNA(AC82)),-1,mareeHauteurAHeureDoneeDuJour($E$70,AC80,#REF!,AC82,F81))</f>
        <v>#NAME?</v>
      </c>
      <c r="J80" s="329" t="e">
        <f t="array" aca="1" ref="J80" ca="1">IF(AE81&lt;0,"Pas de solution",dateEpoch2Txt( AE81*3600))</f>
        <v>#NAME?</v>
      </c>
      <c r="K80" s="329"/>
      <c r="M80" s="330"/>
      <c r="N80" s="370"/>
      <c r="O80" s="330"/>
      <c r="P80" s="121"/>
      <c r="Q80" s="121"/>
      <c r="R80" s="121"/>
      <c r="S80" s="127"/>
      <c r="T80" s="120"/>
      <c r="U80" s="128"/>
      <c r="V80" s="128"/>
      <c r="W80" s="128"/>
      <c r="X80" s="128"/>
      <c r="Y80" s="128"/>
      <c r="Z80" s="128"/>
      <c r="AC80" s="132" t="e">
        <f>P41</f>
        <v>#VALUE!</v>
      </c>
      <c r="AE80" s="137"/>
    </row>
    <row r="81" spans="3:31" ht="15" customHeight="1">
      <c r="I81" s="336"/>
      <c r="J81" s="336"/>
      <c r="K81" s="336"/>
      <c r="M81" s="330"/>
      <c r="N81" s="370"/>
      <c r="O81" s="330"/>
      <c r="P81" s="121"/>
      <c r="Q81" s="121"/>
      <c r="R81" s="121"/>
      <c r="S81" s="127"/>
      <c r="T81" s="120"/>
      <c r="U81" s="128"/>
      <c r="V81" s="128"/>
      <c r="W81" s="128"/>
      <c r="X81" s="128"/>
      <c r="Y81" s="128"/>
      <c r="Z81" s="128"/>
      <c r="AD81" s="134" t="e">
        <f t="array" aca="1" ref="AD81" ca="1">IF(OR(ISNA(AC80),ISNA(AC82)),-1,mareeHeureAHauteurDonee($D$69,AC80,#REF!,AC82,F81))</f>
        <v>#NAME?</v>
      </c>
      <c r="AE81" s="135" t="e">
        <f t="array" aca="1" ref="AE81" ca="1">IF(OR(ISNA(AC80),ISNA(AC82),(I80&lt;0)),-1,mareeHeureAHauteurDonee(I80,AC80,#REF!,AC82,F81))</f>
        <v>#NAME?</v>
      </c>
    </row>
    <row r="82" spans="3:31">
      <c r="I82" s="138" t="e">
        <f t="array" aca="1" ref="I82" ca="1">IF(OR(ISNA(AC82),ISNA(AC84)),-1,mareeHauteurAHeureDoneeDuJour($E$70,AC82,F81,AC84,F83))</f>
        <v>#NAME?</v>
      </c>
      <c r="J82" s="329" t="e">
        <f t="array" aca="1" ref="J82" ca="1">IF(AE83&lt;0,"Pas de solution",dateEpoch2Txt( AE83*3600))</f>
        <v>#NAME?</v>
      </c>
      <c r="K82" s="329"/>
      <c r="M82" s="330"/>
      <c r="N82" s="370"/>
      <c r="O82" s="330"/>
      <c r="P82" s="121"/>
      <c r="Q82" s="121"/>
      <c r="R82" s="121"/>
      <c r="S82" s="127"/>
      <c r="T82" s="120"/>
      <c r="U82" s="128"/>
      <c r="V82" s="128"/>
      <c r="W82" s="128"/>
      <c r="X82" s="128"/>
      <c r="Y82" s="128"/>
      <c r="Z82" s="128"/>
      <c r="AC82" s="132" t="e">
        <f>P42</f>
        <v>#VALUE!</v>
      </c>
      <c r="AE82" s="137"/>
    </row>
    <row r="83" spans="3:31" ht="15" customHeight="1">
      <c r="I83" s="336"/>
      <c r="J83" s="336"/>
      <c r="K83" s="336"/>
      <c r="M83" s="330"/>
      <c r="N83" s="370"/>
      <c r="O83" s="330"/>
      <c r="P83" s="121"/>
      <c r="Q83" s="121"/>
      <c r="R83" s="121"/>
      <c r="S83" s="127"/>
      <c r="T83" s="120"/>
      <c r="U83" s="128"/>
      <c r="V83" s="128"/>
      <c r="W83" s="128"/>
      <c r="X83" s="128"/>
      <c r="Y83" s="128"/>
      <c r="Z83" s="128"/>
      <c r="AD83" s="134" t="e">
        <f t="array" aca="1" ref="AD83" ca="1">IF(OR(ISNA(AC82),ISNA(AC84)),-1,mareeHeureAHauteurDonee($D$69,AC82,F81,AC84,F83))</f>
        <v>#NAME?</v>
      </c>
      <c r="AE83" s="135" t="e">
        <f t="array" aca="1" ref="AE83" ca="1">IF(OR(ISNA(AC82),ISNA(AC84),(I82&lt;0)),-1,mareeHeureAHauteurDonee(I82,AC82,F81,AC84,F83))</f>
        <v>#NAME?</v>
      </c>
    </row>
    <row r="84" spans="3:31">
      <c r="I84" s="138" t="e">
        <f t="array" aca="1" ref="I84" ca="1">IF(OR(ISNA(AC84),ISNA(AC86)),-1,mareeHauteurAHeureDoneeDuJour($E$70,AC84,F83,AC86,F85))</f>
        <v>#NAME?</v>
      </c>
      <c r="J84" s="329" t="e">
        <f t="array" aca="1" ref="J84" ca="1">IF(AE85&lt;0,"Pas de solution",dateEpoch2Txt( AE85*3600))</f>
        <v>#NAME?</v>
      </c>
      <c r="K84" s="329"/>
      <c r="M84" s="330" t="s">
        <v>233</v>
      </c>
      <c r="N84" s="368" t="s">
        <v>234</v>
      </c>
      <c r="O84" s="369"/>
      <c r="P84" s="139"/>
      <c r="Q84" s="139"/>
      <c r="R84" s="139"/>
      <c r="S84" s="140"/>
      <c r="T84" s="120"/>
      <c r="U84" s="128"/>
      <c r="V84" s="128"/>
      <c r="W84" s="128"/>
      <c r="X84" s="128"/>
      <c r="Y84" s="128"/>
      <c r="Z84" s="128"/>
      <c r="AC84" s="132" t="e">
        <f>P58</f>
        <v>#VALUE!</v>
      </c>
      <c r="AE84" s="137"/>
    </row>
    <row r="85" spans="3:31" ht="15" customHeight="1">
      <c r="I85" s="336"/>
      <c r="J85" s="336"/>
      <c r="K85" s="336"/>
      <c r="M85" s="330"/>
      <c r="N85" s="368" t="s">
        <v>234</v>
      </c>
      <c r="O85" s="369"/>
      <c r="P85" s="139"/>
      <c r="Q85" s="139"/>
      <c r="R85" s="139"/>
      <c r="S85" s="140"/>
      <c r="T85" s="120"/>
      <c r="U85" s="128"/>
      <c r="V85" s="128"/>
      <c r="W85" s="128"/>
      <c r="X85" s="128"/>
      <c r="Y85" s="128"/>
      <c r="Z85" s="128"/>
      <c r="AD85" s="134" t="e">
        <f t="array" aca="1" ref="AD85" ca="1">IF(OR(ISNA(AC84),ISNA(AC86)),-1,mareeHeureAHauteurDonee($D$69,AC84,F83,AC86,F85))</f>
        <v>#NAME?</v>
      </c>
      <c r="AE85" s="135" t="e">
        <f t="array" aca="1" ref="AE85" ca="1">IF(OR(ISNA(AC84),ISNA(AC86),(I84&lt;0)),-1,mareeHeureAHauteurDonee(I84,AC84,F83,AC86,F85))</f>
        <v>#NAME?</v>
      </c>
    </row>
    <row r="86" spans="3:31">
      <c r="I86" s="138" t="e">
        <f t="array" aca="1" ref="I86" ca="1">IF(OR(ISNA(AC86),ISNA(AC88)),-1,mareeHauteurAHeureDoneeDuJour($E$70,AC86,F85,AC88,F87))</f>
        <v>#NAME?</v>
      </c>
      <c r="J86" s="329" t="e">
        <f t="array" aca="1" ref="J86" ca="1">IF(AE87&lt;0,"Pas de solution",dateEpoch2Txt( AE87*3600))</f>
        <v>#NAME?</v>
      </c>
      <c r="K86" s="329"/>
      <c r="M86" s="330"/>
      <c r="N86" s="368" t="s">
        <v>234</v>
      </c>
      <c r="O86" s="369"/>
      <c r="P86" s="139"/>
      <c r="Q86" s="139"/>
      <c r="R86" s="139"/>
      <c r="S86" s="140"/>
      <c r="T86" s="120"/>
      <c r="U86" s="128"/>
      <c r="V86" s="128"/>
      <c r="W86" s="128"/>
      <c r="X86" s="128"/>
      <c r="Y86" s="128"/>
      <c r="Z86" s="128"/>
      <c r="AC86" s="132" t="e">
        <f>P59</f>
        <v>#VALUE!</v>
      </c>
      <c r="AE86" s="137"/>
    </row>
    <row r="87" spans="3:31" ht="15" customHeight="1">
      <c r="I87" s="336"/>
      <c r="J87" s="336"/>
      <c r="K87" s="336"/>
      <c r="M87" s="330"/>
      <c r="N87" s="368" t="s">
        <v>234</v>
      </c>
      <c r="O87" s="369"/>
      <c r="P87" s="139"/>
      <c r="Q87" s="139"/>
      <c r="R87" s="139"/>
      <c r="S87" s="140"/>
      <c r="T87" s="120"/>
      <c r="U87" s="128"/>
      <c r="V87" s="128"/>
      <c r="W87" s="128"/>
      <c r="X87" s="128"/>
      <c r="Y87" s="128"/>
      <c r="Z87" s="128"/>
      <c r="AD87" s="134" t="e">
        <f t="array" aca="1" ref="AD87" ca="1">IF(OR(ISNA(AC86),ISNA(AC88)),-1,mareeHeureAHauteurDonee($D$69,AC86,F85,AC88,F87))</f>
        <v>#NAME?</v>
      </c>
      <c r="AE87" s="135" t="e">
        <f t="array" aca="1" ref="AE87" ca="1">IF(OR(ISNA(AC86),ISNA(AC88),(I86&lt;0)),-1,mareeHeureAHauteurDonee(I86,AC86,F85,AC88,F87))</f>
        <v>#NAME?</v>
      </c>
    </row>
    <row r="88" spans="3:31">
      <c r="I88" s="138" t="e">
        <f t="array" aca="1" ref="I88" ca="1">IF(OR(ISNA(AC88),ISNA(AC90)),-1,mareeHauteurAHeureDoneeDuJour($E$70,AC88,F87,AC90,F89))</f>
        <v>#NAME?</v>
      </c>
      <c r="J88" s="329" t="e">
        <f t="array" aca="1" ref="J88" ca="1">IF(AE89&lt;0,"Pas de solution",dateEpoch2Txt( AE89*3600))</f>
        <v>#NAME?</v>
      </c>
      <c r="K88" s="329"/>
      <c r="M88" s="330"/>
      <c r="N88" s="368" t="s">
        <v>234</v>
      </c>
      <c r="O88" s="369"/>
      <c r="P88" s="139"/>
      <c r="Q88" s="139"/>
      <c r="R88" s="139"/>
      <c r="S88" s="140"/>
      <c r="T88" s="120"/>
      <c r="U88" s="128"/>
      <c r="V88" s="128"/>
      <c r="W88" s="128"/>
      <c r="X88" s="128"/>
      <c r="Y88" s="128"/>
      <c r="Z88" s="128"/>
      <c r="AC88" s="132" t="e">
        <f>P63</f>
        <v>#VALUE!</v>
      </c>
      <c r="AE88" s="137"/>
    </row>
    <row r="89" spans="3:31" ht="15" customHeight="1">
      <c r="I89" s="336"/>
      <c r="J89" s="336"/>
      <c r="K89" s="336"/>
      <c r="M89" s="330"/>
      <c r="N89" s="368" t="s">
        <v>234</v>
      </c>
      <c r="O89" s="369"/>
      <c r="P89" s="139"/>
      <c r="Q89" s="139"/>
      <c r="R89" s="139"/>
      <c r="S89" s="140"/>
      <c r="T89" s="120"/>
      <c r="U89" s="128"/>
      <c r="V89" s="128"/>
      <c r="W89" s="128"/>
      <c r="X89" s="128"/>
      <c r="Y89" s="128"/>
      <c r="Z89" s="128"/>
      <c r="AD89" s="134" t="e">
        <f t="array" aca="1" ref="AD89" ca="1">IF(OR(ISNA(AC88),ISNA(AC90)),-1,mareeHeureAHauteurDonee($D$69,AC88,F87,AC90,F89))</f>
        <v>#NAME?</v>
      </c>
      <c r="AE89" s="135" t="e">
        <f t="array" aca="1" ref="AE89" ca="1">IF(OR(ISNA(AC88),ISNA(AC90),(I88&lt;0)),-1,mareeHeureAHauteurDonee(I88,AC88,F87,AC90,F89))</f>
        <v>#NAME?</v>
      </c>
    </row>
    <row r="90" spans="3:31">
      <c r="I90" s="138" t="e">
        <f t="array" aca="1" ref="I90" ca="1">IF(OR(ISNA(AC90),ISNA(AC92)),-1,mareeHauteurAHeureDoneeDuJour($E$70,AC90,F89,AC92,F91))</f>
        <v>#NAME?</v>
      </c>
      <c r="J90" s="329" t="e">
        <f t="array" aca="1" ref="J90" ca="1">IF(AE91&lt;0,"Pas de solution",dateEpoch2Txt( AE91*3600))</f>
        <v>#NAME?</v>
      </c>
      <c r="K90" s="329"/>
      <c r="M90" s="330"/>
      <c r="N90" s="368" t="s">
        <v>234</v>
      </c>
      <c r="O90" s="369"/>
      <c r="P90" s="139"/>
      <c r="Q90" s="139"/>
      <c r="R90" s="139"/>
      <c r="S90" s="140"/>
      <c r="T90" s="120"/>
      <c r="U90" s="128"/>
      <c r="V90" s="128"/>
      <c r="W90" s="128"/>
      <c r="X90" s="128"/>
      <c r="Y90" s="128"/>
      <c r="Z90" s="128"/>
      <c r="AC90" s="132" t="e">
        <f>P64</f>
        <v>#VALUE!</v>
      </c>
      <c r="AE90" s="137"/>
    </row>
    <row r="91" spans="3:31" ht="15" customHeight="1">
      <c r="I91" s="336"/>
      <c r="J91" s="336"/>
      <c r="K91" s="336"/>
      <c r="M91" s="330"/>
      <c r="N91" s="368" t="s">
        <v>234</v>
      </c>
      <c r="O91" s="369"/>
      <c r="P91" s="139"/>
      <c r="Q91" s="139"/>
      <c r="R91" s="139"/>
      <c r="S91" s="140"/>
      <c r="T91" s="120"/>
      <c r="U91" s="128"/>
      <c r="V91" s="128"/>
      <c r="W91" s="128"/>
      <c r="X91" s="128"/>
      <c r="Y91" s="128"/>
      <c r="Z91" s="128"/>
      <c r="AD91" s="134" t="e">
        <f t="array" aca="1" ref="AD91" ca="1">IF(OR(ISNA(AC90),ISNA(AC92)),-1,mareeHeureAHauteurDonee($D$69,AC90,F89,AC92,F91))</f>
        <v>#NAME?</v>
      </c>
      <c r="AE91" s="135" t="e">
        <f t="array" aca="1" ref="AE91" ca="1">IF(OR(ISNA(AC90),ISNA(AC92),(I90&lt;0)),-1,mareeHeureAHauteurDonee(I90,AC90,F89,AC92,F91))</f>
        <v>#NAME?</v>
      </c>
    </row>
    <row r="92" spans="3:31">
      <c r="M92" s="330"/>
      <c r="N92" s="368" t="s">
        <v>234</v>
      </c>
      <c r="O92" s="369"/>
      <c r="P92" s="139"/>
      <c r="Q92" s="139"/>
      <c r="R92" s="139"/>
      <c r="S92" s="140"/>
      <c r="T92" s="120"/>
      <c r="U92" s="128"/>
      <c r="V92" s="128"/>
      <c r="W92" s="128"/>
      <c r="X92" s="128"/>
      <c r="Y92" s="128"/>
      <c r="Z92" s="128"/>
      <c r="AC92" s="132" t="e">
        <f>#REF!</f>
        <v>#REF!</v>
      </c>
    </row>
    <row r="93" spans="3:31">
      <c r="M93" s="330"/>
      <c r="N93" s="368" t="s">
        <v>234</v>
      </c>
      <c r="O93" s="369"/>
      <c r="P93" s="139"/>
      <c r="Q93" s="139"/>
      <c r="R93" s="139"/>
      <c r="S93" s="140"/>
      <c r="T93" s="120"/>
      <c r="U93" s="128"/>
      <c r="V93" s="128"/>
      <c r="W93" s="128"/>
      <c r="X93" s="128"/>
      <c r="Y93" s="128"/>
      <c r="Z93" s="128"/>
    </row>
    <row r="94" spans="3:31">
      <c r="C94" s="141"/>
      <c r="D94" s="142" t="s">
        <v>222</v>
      </c>
      <c r="E94" s="143"/>
      <c r="F94" s="143"/>
      <c r="G94" s="143"/>
      <c r="H94" s="143"/>
      <c r="P94"/>
      <c r="Q94"/>
    </row>
    <row r="95" spans="3:31">
      <c r="C95" s="371"/>
      <c r="D95" s="371"/>
      <c r="E95" s="143" t="s">
        <v>224</v>
      </c>
      <c r="F95" s="144"/>
      <c r="G95" s="143"/>
      <c r="H95" s="143"/>
      <c r="K95" s="92"/>
    </row>
    <row r="96" spans="3:31" ht="15.75" thickBot="1">
      <c r="C96" s="143"/>
      <c r="D96" s="143"/>
      <c r="E96" s="143" t="s">
        <v>223</v>
      </c>
      <c r="F96" s="143"/>
      <c r="G96" s="143"/>
      <c r="H96" s="143"/>
    </row>
    <row r="97" spans="1:58" ht="15.75" thickBot="1">
      <c r="B97" s="332" t="s">
        <v>196</v>
      </c>
      <c r="C97" s="333"/>
      <c r="D97" s="333"/>
      <c r="E97" s="333"/>
      <c r="F97" s="333"/>
      <c r="G97" s="333"/>
      <c r="H97" s="333"/>
      <c r="I97" s="333"/>
      <c r="J97" s="333"/>
      <c r="K97" s="333"/>
      <c r="L97" s="333"/>
      <c r="M97" s="333"/>
      <c r="N97" s="333"/>
      <c r="O97" s="333"/>
      <c r="P97" s="333"/>
      <c r="Q97" s="333"/>
      <c r="R97" s="333"/>
      <c r="S97" s="333"/>
      <c r="T97" s="333"/>
      <c r="U97" s="333"/>
      <c r="V97" s="333"/>
      <c r="W97" s="333"/>
      <c r="X97" s="333"/>
      <c r="Y97" s="333"/>
      <c r="Z97" s="333"/>
    </row>
    <row r="98" spans="1:58">
      <c r="A98" s="141">
        <v>25569</v>
      </c>
      <c r="B98" t="s">
        <v>221</v>
      </c>
      <c r="C98" s="145" t="e">
        <f>C99/24</f>
        <v>#VALUE!</v>
      </c>
      <c r="D98" s="145" t="e">
        <f t="shared" ref="D98:BE98" si="41">D99/24</f>
        <v>#VALUE!</v>
      </c>
      <c r="E98" s="145" t="e">
        <f t="shared" si="41"/>
        <v>#VALUE!</v>
      </c>
      <c r="F98" s="145" t="e">
        <f t="shared" si="41"/>
        <v>#VALUE!</v>
      </c>
      <c r="G98" s="145" t="e">
        <f t="shared" si="41"/>
        <v>#VALUE!</v>
      </c>
      <c r="H98" s="145" t="e">
        <f t="shared" si="41"/>
        <v>#VALUE!</v>
      </c>
      <c r="I98" s="145" t="e">
        <f t="shared" si="41"/>
        <v>#VALUE!</v>
      </c>
      <c r="J98" s="145" t="e">
        <f t="shared" si="41"/>
        <v>#VALUE!</v>
      </c>
      <c r="K98" s="145" t="e">
        <f t="shared" si="41"/>
        <v>#VALUE!</v>
      </c>
      <c r="L98" s="145" t="e">
        <f t="shared" si="41"/>
        <v>#VALUE!</v>
      </c>
      <c r="M98" s="145" t="e">
        <f t="shared" si="41"/>
        <v>#VALUE!</v>
      </c>
      <c r="N98" s="145" t="e">
        <f t="shared" si="41"/>
        <v>#VALUE!</v>
      </c>
      <c r="O98" s="145" t="e">
        <f t="shared" si="41"/>
        <v>#VALUE!</v>
      </c>
      <c r="P98" s="145" t="e">
        <f t="shared" si="41"/>
        <v>#VALUE!</v>
      </c>
      <c r="Q98" s="145" t="e">
        <f t="shared" si="41"/>
        <v>#VALUE!</v>
      </c>
      <c r="R98" s="145" t="e">
        <f t="shared" si="41"/>
        <v>#VALUE!</v>
      </c>
      <c r="S98" s="145" t="e">
        <f t="shared" si="41"/>
        <v>#VALUE!</v>
      </c>
      <c r="T98" s="145" t="e">
        <f t="shared" si="41"/>
        <v>#VALUE!</v>
      </c>
      <c r="U98" s="145" t="e">
        <f t="shared" si="41"/>
        <v>#VALUE!</v>
      </c>
      <c r="V98" s="145" t="e">
        <f t="shared" si="41"/>
        <v>#VALUE!</v>
      </c>
      <c r="W98" s="145" t="e">
        <f t="shared" si="41"/>
        <v>#VALUE!</v>
      </c>
      <c r="X98" s="145" t="e">
        <f t="shared" si="41"/>
        <v>#VALUE!</v>
      </c>
      <c r="Y98" s="145" t="e">
        <f t="shared" si="41"/>
        <v>#VALUE!</v>
      </c>
      <c r="Z98" s="145" t="e">
        <f t="shared" si="41"/>
        <v>#VALUE!</v>
      </c>
      <c r="AA98" s="145" t="e">
        <f t="shared" si="41"/>
        <v>#VALUE!</v>
      </c>
      <c r="AB98" s="145" t="e">
        <f t="shared" si="41"/>
        <v>#VALUE!</v>
      </c>
      <c r="AC98" s="145" t="e">
        <f t="shared" si="41"/>
        <v>#VALUE!</v>
      </c>
      <c r="AD98" s="145" t="e">
        <f t="shared" si="41"/>
        <v>#VALUE!</v>
      </c>
      <c r="AE98" s="145" t="e">
        <f t="shared" si="41"/>
        <v>#VALUE!</v>
      </c>
      <c r="AF98" s="145" t="e">
        <f t="shared" si="41"/>
        <v>#VALUE!</v>
      </c>
      <c r="AG98" s="145" t="e">
        <f t="shared" si="41"/>
        <v>#VALUE!</v>
      </c>
      <c r="AH98" s="145" t="e">
        <f t="shared" si="41"/>
        <v>#VALUE!</v>
      </c>
      <c r="AI98" s="145" t="e">
        <f t="shared" si="41"/>
        <v>#VALUE!</v>
      </c>
      <c r="AJ98" s="145" t="e">
        <f t="shared" si="41"/>
        <v>#VALUE!</v>
      </c>
      <c r="AK98" s="145" t="e">
        <f t="shared" si="41"/>
        <v>#VALUE!</v>
      </c>
      <c r="AL98" s="145" t="e">
        <f t="shared" si="41"/>
        <v>#VALUE!</v>
      </c>
      <c r="AM98" s="145" t="e">
        <f t="shared" si="41"/>
        <v>#VALUE!</v>
      </c>
      <c r="AN98" s="145" t="e">
        <f t="shared" si="41"/>
        <v>#VALUE!</v>
      </c>
      <c r="AO98" s="145" t="e">
        <f t="shared" si="41"/>
        <v>#VALUE!</v>
      </c>
      <c r="AP98" s="145" t="e">
        <f t="shared" si="41"/>
        <v>#VALUE!</v>
      </c>
      <c r="AQ98" s="145" t="e">
        <f t="shared" si="41"/>
        <v>#VALUE!</v>
      </c>
      <c r="AR98" s="145" t="e">
        <f t="shared" si="41"/>
        <v>#VALUE!</v>
      </c>
      <c r="AS98" s="145" t="e">
        <f t="shared" si="41"/>
        <v>#VALUE!</v>
      </c>
      <c r="AT98" s="145" t="e">
        <f t="shared" si="41"/>
        <v>#VALUE!</v>
      </c>
      <c r="AU98" s="145" t="e">
        <f t="shared" si="41"/>
        <v>#VALUE!</v>
      </c>
      <c r="AV98" s="145" t="e">
        <f t="shared" si="41"/>
        <v>#VALUE!</v>
      </c>
      <c r="AW98" s="145" t="e">
        <f t="shared" si="41"/>
        <v>#VALUE!</v>
      </c>
      <c r="AX98" s="145" t="e">
        <f t="shared" si="41"/>
        <v>#VALUE!</v>
      </c>
      <c r="AY98" s="145" t="e">
        <f t="shared" si="41"/>
        <v>#VALUE!</v>
      </c>
      <c r="AZ98" s="145" t="e">
        <f t="shared" si="41"/>
        <v>#VALUE!</v>
      </c>
      <c r="BA98" s="145" t="e">
        <f t="shared" si="41"/>
        <v>#VALUE!</v>
      </c>
      <c r="BB98" s="145" t="e">
        <f t="shared" si="41"/>
        <v>#VALUE!</v>
      </c>
      <c r="BC98" s="145" t="e">
        <f t="shared" si="41"/>
        <v>#VALUE!</v>
      </c>
      <c r="BD98" s="145" t="e">
        <f t="shared" si="41"/>
        <v>#VALUE!</v>
      </c>
      <c r="BE98" s="145" t="e">
        <f t="shared" si="41"/>
        <v>#REF!</v>
      </c>
      <c r="BF98" s="145"/>
    </row>
    <row r="99" spans="1:58">
      <c r="A99" s="144">
        <f>A98*24</f>
        <v>613656</v>
      </c>
      <c r="B99" t="s">
        <v>225</v>
      </c>
      <c r="C99" s="92" t="e">
        <f>C101+$A$99</f>
        <v>#VALUE!</v>
      </c>
      <c r="D99" s="92" t="e">
        <f t="shared" ref="D99:BE99" si="42">D101+$A$99</f>
        <v>#VALUE!</v>
      </c>
      <c r="E99" s="92" t="e">
        <f t="shared" si="42"/>
        <v>#VALUE!</v>
      </c>
      <c r="F99" s="92" t="e">
        <f t="shared" si="42"/>
        <v>#VALUE!</v>
      </c>
      <c r="G99" s="92" t="e">
        <f t="shared" si="42"/>
        <v>#VALUE!</v>
      </c>
      <c r="H99" s="92" t="e">
        <f t="shared" si="42"/>
        <v>#VALUE!</v>
      </c>
      <c r="I99" s="92" t="e">
        <f t="shared" si="42"/>
        <v>#VALUE!</v>
      </c>
      <c r="J99" s="92" t="e">
        <f t="shared" si="42"/>
        <v>#VALUE!</v>
      </c>
      <c r="K99" s="92" t="e">
        <f t="shared" si="42"/>
        <v>#VALUE!</v>
      </c>
      <c r="L99" s="92" t="e">
        <f t="shared" si="42"/>
        <v>#VALUE!</v>
      </c>
      <c r="M99" s="92" t="e">
        <f t="shared" si="42"/>
        <v>#VALUE!</v>
      </c>
      <c r="N99" s="92" t="e">
        <f t="shared" si="42"/>
        <v>#VALUE!</v>
      </c>
      <c r="O99" s="92" t="e">
        <f t="shared" si="42"/>
        <v>#VALUE!</v>
      </c>
      <c r="P99" s="92" t="e">
        <f t="shared" si="42"/>
        <v>#VALUE!</v>
      </c>
      <c r="Q99" s="92" t="e">
        <f t="shared" si="42"/>
        <v>#VALUE!</v>
      </c>
      <c r="R99" s="92" t="e">
        <f t="shared" si="42"/>
        <v>#VALUE!</v>
      </c>
      <c r="S99" s="92" t="e">
        <f t="shared" si="42"/>
        <v>#VALUE!</v>
      </c>
      <c r="T99" s="92" t="e">
        <f t="shared" si="42"/>
        <v>#VALUE!</v>
      </c>
      <c r="U99" s="92" t="e">
        <f t="shared" si="42"/>
        <v>#VALUE!</v>
      </c>
      <c r="V99" s="92" t="e">
        <f t="shared" si="42"/>
        <v>#VALUE!</v>
      </c>
      <c r="W99" s="92" t="e">
        <f t="shared" si="42"/>
        <v>#VALUE!</v>
      </c>
      <c r="X99" s="92" t="e">
        <f t="shared" si="42"/>
        <v>#VALUE!</v>
      </c>
      <c r="Y99" s="92" t="e">
        <f t="shared" si="42"/>
        <v>#VALUE!</v>
      </c>
      <c r="Z99" s="92" t="e">
        <f t="shared" si="42"/>
        <v>#VALUE!</v>
      </c>
      <c r="AA99" s="92" t="e">
        <f t="shared" si="42"/>
        <v>#VALUE!</v>
      </c>
      <c r="AB99" s="92" t="e">
        <f t="shared" si="42"/>
        <v>#VALUE!</v>
      </c>
      <c r="AC99" s="92" t="e">
        <f t="shared" si="42"/>
        <v>#VALUE!</v>
      </c>
      <c r="AD99" s="92" t="e">
        <f t="shared" si="42"/>
        <v>#VALUE!</v>
      </c>
      <c r="AE99" s="92" t="e">
        <f t="shared" si="42"/>
        <v>#VALUE!</v>
      </c>
      <c r="AF99" s="92" t="e">
        <f t="shared" si="42"/>
        <v>#VALUE!</v>
      </c>
      <c r="AG99" s="92" t="e">
        <f t="shared" si="42"/>
        <v>#VALUE!</v>
      </c>
      <c r="AH99" s="92" t="e">
        <f t="shared" si="42"/>
        <v>#VALUE!</v>
      </c>
      <c r="AI99" s="92" t="e">
        <f t="shared" si="42"/>
        <v>#VALUE!</v>
      </c>
      <c r="AJ99" s="92" t="e">
        <f t="shared" si="42"/>
        <v>#VALUE!</v>
      </c>
      <c r="AK99" s="92" t="e">
        <f t="shared" si="42"/>
        <v>#VALUE!</v>
      </c>
      <c r="AL99" s="92" t="e">
        <f t="shared" si="42"/>
        <v>#VALUE!</v>
      </c>
      <c r="AM99" s="92" t="e">
        <f t="shared" si="42"/>
        <v>#VALUE!</v>
      </c>
      <c r="AN99" s="92" t="e">
        <f t="shared" si="42"/>
        <v>#VALUE!</v>
      </c>
      <c r="AO99" s="92" t="e">
        <f t="shared" si="42"/>
        <v>#VALUE!</v>
      </c>
      <c r="AP99" s="92" t="e">
        <f t="shared" si="42"/>
        <v>#VALUE!</v>
      </c>
      <c r="AQ99" s="92" t="e">
        <f t="shared" si="42"/>
        <v>#VALUE!</v>
      </c>
      <c r="AR99" s="92" t="e">
        <f t="shared" si="42"/>
        <v>#VALUE!</v>
      </c>
      <c r="AS99" s="92" t="e">
        <f t="shared" si="42"/>
        <v>#VALUE!</v>
      </c>
      <c r="AT99" s="92" t="e">
        <f t="shared" si="42"/>
        <v>#VALUE!</v>
      </c>
      <c r="AU99" s="92" t="e">
        <f t="shared" si="42"/>
        <v>#VALUE!</v>
      </c>
      <c r="AV99" s="92" t="e">
        <f t="shared" si="42"/>
        <v>#VALUE!</v>
      </c>
      <c r="AW99" s="92" t="e">
        <f t="shared" si="42"/>
        <v>#VALUE!</v>
      </c>
      <c r="AX99" s="92" t="e">
        <f t="shared" si="42"/>
        <v>#VALUE!</v>
      </c>
      <c r="AY99" s="92" t="e">
        <f t="shared" si="42"/>
        <v>#VALUE!</v>
      </c>
      <c r="AZ99" s="92" t="e">
        <f t="shared" si="42"/>
        <v>#VALUE!</v>
      </c>
      <c r="BA99" s="92" t="e">
        <f t="shared" si="42"/>
        <v>#VALUE!</v>
      </c>
      <c r="BB99" s="92" t="e">
        <f t="shared" si="42"/>
        <v>#VALUE!</v>
      </c>
      <c r="BC99" s="92" t="e">
        <f t="shared" si="42"/>
        <v>#VALUE!</v>
      </c>
      <c r="BD99" s="92" t="e">
        <f t="shared" si="42"/>
        <v>#VALUE!</v>
      </c>
      <c r="BE99" s="92" t="e">
        <f t="shared" si="42"/>
        <v>#REF!</v>
      </c>
      <c r="BF99" s="92"/>
    </row>
    <row r="100" spans="1:58">
      <c r="A100" s="92"/>
      <c r="B100" t="s">
        <v>200</v>
      </c>
      <c r="C100" t="e">
        <f t="array" ref="C100">dateEpoch2Txt(C101*3600)</f>
        <v>#VALUE!</v>
      </c>
      <c r="D100" t="e">
        <f t="array" ref="D100">dateEpoch2Txt(D101*3600)</f>
        <v>#VALUE!</v>
      </c>
      <c r="E100" t="e">
        <f t="array" ref="E100">dateEpoch2Txt(E101*3600)</f>
        <v>#VALUE!</v>
      </c>
      <c r="F100" t="e">
        <f t="array" ref="F100">dateEpoch2Txt(F101*3600)</f>
        <v>#VALUE!</v>
      </c>
      <c r="G100" t="e">
        <f t="array" ref="G100">dateEpoch2Txt(G101*3600)</f>
        <v>#VALUE!</v>
      </c>
      <c r="H100" t="e">
        <f t="array" ref="H100">dateEpoch2Txt(H101*3600)</f>
        <v>#VALUE!</v>
      </c>
      <c r="I100" t="e">
        <f t="array" ref="I100">dateEpoch2Txt(I101*3600)</f>
        <v>#VALUE!</v>
      </c>
      <c r="J100" t="e">
        <f t="array" ref="J100">dateEpoch2Txt(J101*3600)</f>
        <v>#VALUE!</v>
      </c>
      <c r="K100" t="e">
        <f t="array" ref="K100">dateEpoch2Txt(K101*3600)</f>
        <v>#VALUE!</v>
      </c>
      <c r="L100" t="e">
        <f t="array" ref="L100">dateEpoch2Txt(L101*3600)</f>
        <v>#VALUE!</v>
      </c>
      <c r="M100" t="e">
        <f t="array" ref="M100">dateEpoch2Txt(M101*3600)</f>
        <v>#VALUE!</v>
      </c>
      <c r="N100" t="e">
        <f t="array" ref="N100">dateEpoch2Txt(N101*3600)</f>
        <v>#VALUE!</v>
      </c>
      <c r="O100" t="e">
        <f t="array" ref="O100">dateEpoch2Txt(O101*3600)</f>
        <v>#VALUE!</v>
      </c>
      <c r="P100" t="e">
        <f t="array" ref="P100">dateEpoch2Txt(P101*3600)</f>
        <v>#VALUE!</v>
      </c>
      <c r="Q100" t="e">
        <f t="array" ref="Q100">dateEpoch2Txt(Q101*3600)</f>
        <v>#VALUE!</v>
      </c>
      <c r="R100" t="e">
        <f t="array" ref="R100">dateEpoch2Txt(R101*3600)</f>
        <v>#VALUE!</v>
      </c>
      <c r="S100" t="e">
        <f t="array" ref="S100">dateEpoch2Txt(S101*3600)</f>
        <v>#VALUE!</v>
      </c>
      <c r="T100" t="e">
        <f t="array" ref="T100">dateEpoch2Txt(T101*3600)</f>
        <v>#VALUE!</v>
      </c>
      <c r="U100" t="e">
        <f t="array" ref="U100">dateEpoch2Txt(U101*3600)</f>
        <v>#VALUE!</v>
      </c>
      <c r="V100" t="e">
        <f t="array" ref="V100">dateEpoch2Txt(V101*3600)</f>
        <v>#VALUE!</v>
      </c>
      <c r="W100" t="e">
        <f t="array" ref="W100">dateEpoch2Txt(W101*3600)</f>
        <v>#VALUE!</v>
      </c>
      <c r="X100" t="e">
        <f t="array" ref="X100">dateEpoch2Txt(X101*3600)</f>
        <v>#VALUE!</v>
      </c>
      <c r="Y100" t="e">
        <f t="array" ref="Y100">dateEpoch2Txt(Y101*3600)</f>
        <v>#VALUE!</v>
      </c>
      <c r="Z100" t="e">
        <f t="array" ref="Z100">dateEpoch2Txt(Z101*3600)</f>
        <v>#VALUE!</v>
      </c>
      <c r="AA100" t="e">
        <f t="array" ref="AA100">dateEpoch2Txt(AA101*3600)</f>
        <v>#VALUE!</v>
      </c>
      <c r="AB100" t="e">
        <f t="array" ref="AB100">dateEpoch2Txt(AB101*3600)</f>
        <v>#VALUE!</v>
      </c>
      <c r="AC100" t="e">
        <f t="array" ref="AC100">dateEpoch2Txt(AC101*3600)</f>
        <v>#VALUE!</v>
      </c>
      <c r="AD100" t="e">
        <f t="array" ref="AD100">dateEpoch2Txt(AD101*3600)</f>
        <v>#VALUE!</v>
      </c>
      <c r="AE100" t="e">
        <f t="array" ref="AE100">dateEpoch2Txt(AE101*3600)</f>
        <v>#VALUE!</v>
      </c>
      <c r="AF100" t="e">
        <f t="array" ref="AF100">dateEpoch2Txt(AF101*3600)</f>
        <v>#VALUE!</v>
      </c>
      <c r="AG100" t="e">
        <f t="array" ref="AG100">dateEpoch2Txt(AG101*3600)</f>
        <v>#VALUE!</v>
      </c>
      <c r="AH100" t="e">
        <f t="array" ref="AH100">dateEpoch2Txt(AH101*3600)</f>
        <v>#VALUE!</v>
      </c>
      <c r="AI100" t="e">
        <f t="array" ref="AI100">dateEpoch2Txt(AI101*3600)</f>
        <v>#VALUE!</v>
      </c>
      <c r="AJ100" t="e">
        <f t="array" ref="AJ100">dateEpoch2Txt(AJ101*3600)</f>
        <v>#VALUE!</v>
      </c>
      <c r="AK100" t="e">
        <f t="array" ref="AK100">dateEpoch2Txt(AK101*3600)</f>
        <v>#VALUE!</v>
      </c>
      <c r="AL100" t="e">
        <f t="array" ref="AL100">dateEpoch2Txt(AL101*3600)</f>
        <v>#VALUE!</v>
      </c>
      <c r="AM100" t="e">
        <f t="array" ref="AM100">dateEpoch2Txt(AM101*3600)</f>
        <v>#VALUE!</v>
      </c>
      <c r="AN100" t="e">
        <f t="array" ref="AN100">dateEpoch2Txt(AN101*3600)</f>
        <v>#VALUE!</v>
      </c>
      <c r="AO100" t="e">
        <f t="array" ref="AO100">dateEpoch2Txt(AO101*3600)</f>
        <v>#VALUE!</v>
      </c>
      <c r="AP100" t="e">
        <f t="array" ref="AP100">dateEpoch2Txt(AP101*3600)</f>
        <v>#VALUE!</v>
      </c>
      <c r="AQ100" t="e">
        <f t="array" ref="AQ100">dateEpoch2Txt(AQ101*3600)</f>
        <v>#VALUE!</v>
      </c>
      <c r="AR100" t="e">
        <f t="array" ref="AR100">dateEpoch2Txt(AR101*3600)</f>
        <v>#VALUE!</v>
      </c>
      <c r="AS100" t="e">
        <f t="array" ref="AS100">dateEpoch2Txt(AS101*3600)</f>
        <v>#VALUE!</v>
      </c>
      <c r="AT100" t="e">
        <f t="array" ref="AT100">dateEpoch2Txt(AT101*3600)</f>
        <v>#VALUE!</v>
      </c>
      <c r="AU100" t="e">
        <f t="array" ref="AU100">dateEpoch2Txt(AU101*3600)</f>
        <v>#VALUE!</v>
      </c>
      <c r="AV100" t="e">
        <f t="array" ref="AV100">dateEpoch2Txt(AV101*3600)</f>
        <v>#VALUE!</v>
      </c>
      <c r="AW100" t="e">
        <f t="array" ref="AW100">dateEpoch2Txt(AW101*3600)</f>
        <v>#VALUE!</v>
      </c>
      <c r="AX100" t="e">
        <f t="array" ref="AX100">dateEpoch2Txt(AX101*3600)</f>
        <v>#VALUE!</v>
      </c>
      <c r="AY100" t="e">
        <f t="array" ref="AY100">dateEpoch2Txt(AY101*3600)</f>
        <v>#VALUE!</v>
      </c>
      <c r="AZ100" t="e">
        <f t="array" ref="AZ100">dateEpoch2Txt(AZ101*3600)</f>
        <v>#VALUE!</v>
      </c>
      <c r="BA100" t="e">
        <f t="array" ref="BA100">dateEpoch2Txt(BA101*3600)</f>
        <v>#VALUE!</v>
      </c>
      <c r="BB100" t="e">
        <f t="array" ref="BB100">dateEpoch2Txt(BB101*3600)</f>
        <v>#VALUE!</v>
      </c>
      <c r="BC100" t="e">
        <f t="array" ref="BC100">dateEpoch2Txt(BC101*3600)</f>
        <v>#VALUE!</v>
      </c>
      <c r="BD100" t="e">
        <f t="array" ref="BD100">dateEpoch2Txt(BD101*3600)</f>
        <v>#VALUE!</v>
      </c>
      <c r="BE100" t="e">
        <f t="array" ref="BE100">dateEpoch2Txt(BE101*3600)</f>
        <v>#VALUE!</v>
      </c>
    </row>
    <row r="101" spans="1:58">
      <c r="A101" s="92"/>
      <c r="B101" s="92" t="s">
        <v>6</v>
      </c>
      <c r="C101" s="146" t="e">
        <f>IF(NOT(ISNA(AC74)),AC74,0)</f>
        <v>#VALUE!</v>
      </c>
      <c r="D101" s="147" t="e">
        <f>C101+D103</f>
        <v>#VALUE!</v>
      </c>
      <c r="E101" s="147" t="e">
        <f>D101+E103</f>
        <v>#VALUE!</v>
      </c>
      <c r="F101" s="147" t="e">
        <f>E101+F103</f>
        <v>#VALUE!</v>
      </c>
      <c r="G101" s="147" t="e">
        <f>F101+G103</f>
        <v>#VALUE!</v>
      </c>
      <c r="H101" s="147" t="e">
        <f>G101+H103</f>
        <v>#VALUE!</v>
      </c>
      <c r="I101" s="146" t="e">
        <f>IF(NOT(ISNA(AC76)),AC76,C101+6)</f>
        <v>#VALUE!</v>
      </c>
      <c r="J101" s="147" t="e">
        <f>I101+J103</f>
        <v>#VALUE!</v>
      </c>
      <c r="K101" s="147" t="e">
        <f>J101+K103</f>
        <v>#VALUE!</v>
      </c>
      <c r="L101" s="147" t="e">
        <f>K101+L103</f>
        <v>#VALUE!</v>
      </c>
      <c r="M101" s="147" t="e">
        <f>L101+M103</f>
        <v>#VALUE!</v>
      </c>
      <c r="N101" s="147" t="e">
        <f>M101+N103</f>
        <v>#VALUE!</v>
      </c>
      <c r="O101" s="146" t="e">
        <f>IF(NOT(ISNA(AC78)),AC78,I101+6)</f>
        <v>#VALUE!</v>
      </c>
      <c r="P101" s="147" t="e">
        <f>O101+P103</f>
        <v>#VALUE!</v>
      </c>
      <c r="Q101" s="147" t="e">
        <f>P101+Q103</f>
        <v>#VALUE!</v>
      </c>
      <c r="R101" s="147" t="e">
        <f>Q101+R103</f>
        <v>#VALUE!</v>
      </c>
      <c r="S101" s="147" t="e">
        <f>R101+S103</f>
        <v>#VALUE!</v>
      </c>
      <c r="T101" s="147" t="e">
        <f>S101+T103</f>
        <v>#VALUE!</v>
      </c>
      <c r="U101" s="146" t="e">
        <f>IF(NOT(ISNA(AC80)),AC80,O101+6)</f>
        <v>#VALUE!</v>
      </c>
      <c r="V101" s="147" t="e">
        <f>U101+V103</f>
        <v>#VALUE!</v>
      </c>
      <c r="W101" s="147" t="e">
        <f>V101+W103</f>
        <v>#VALUE!</v>
      </c>
      <c r="X101" s="147" t="e">
        <f>W101+X103</f>
        <v>#VALUE!</v>
      </c>
      <c r="Y101" s="147" t="e">
        <f>X101+Y103</f>
        <v>#VALUE!</v>
      </c>
      <c r="Z101" s="147" t="e">
        <f>Y101+Z103</f>
        <v>#VALUE!</v>
      </c>
      <c r="AA101" s="146" t="e">
        <f>IF(NOT(ISNA(AC82)),AC82,U101+6)</f>
        <v>#VALUE!</v>
      </c>
      <c r="AB101" s="147" t="e">
        <f>AA101+AB103</f>
        <v>#VALUE!</v>
      </c>
      <c r="AC101" s="147" t="e">
        <f>AB101+AC103</f>
        <v>#VALUE!</v>
      </c>
      <c r="AD101" s="147" t="e">
        <f>AC101+AD103</f>
        <v>#VALUE!</v>
      </c>
      <c r="AE101" s="147" t="e">
        <f>AD101+AE103</f>
        <v>#VALUE!</v>
      </c>
      <c r="AF101" s="147" t="e">
        <f>AE101+AF103</f>
        <v>#VALUE!</v>
      </c>
      <c r="AG101" s="146" t="e">
        <f>IF(NOT(ISNA(AC84)),AC84,AA101+6)</f>
        <v>#VALUE!</v>
      </c>
      <c r="AH101" s="147" t="e">
        <f>AG101+AH103</f>
        <v>#VALUE!</v>
      </c>
      <c r="AI101" s="147" t="e">
        <f>AH101+AI103</f>
        <v>#VALUE!</v>
      </c>
      <c r="AJ101" s="147" t="e">
        <f>AI101+AJ103</f>
        <v>#VALUE!</v>
      </c>
      <c r="AK101" s="147" t="e">
        <f>AJ101+AK103</f>
        <v>#VALUE!</v>
      </c>
      <c r="AL101" s="147" t="e">
        <f>AK101+AL103</f>
        <v>#VALUE!</v>
      </c>
      <c r="AM101" s="146" t="e">
        <f>IF(NOT(ISNA(AC86)),AC86,AG101+6)</f>
        <v>#VALUE!</v>
      </c>
      <c r="AN101" s="147" t="e">
        <f>AM101+AN103</f>
        <v>#VALUE!</v>
      </c>
      <c r="AO101" s="147" t="e">
        <f>AN101+AO103</f>
        <v>#VALUE!</v>
      </c>
      <c r="AP101" s="147" t="e">
        <f>AO101+AP103</f>
        <v>#VALUE!</v>
      </c>
      <c r="AQ101" s="147" t="e">
        <f>AP101+AQ103</f>
        <v>#VALUE!</v>
      </c>
      <c r="AR101" s="147" t="e">
        <f>AQ101+AR103</f>
        <v>#VALUE!</v>
      </c>
      <c r="AS101" s="146" t="e">
        <f>IF(NOT(ISNA(AC88)),AC88,AM101+6)</f>
        <v>#VALUE!</v>
      </c>
      <c r="AT101" s="147" t="e">
        <f>AS101+AT103</f>
        <v>#VALUE!</v>
      </c>
      <c r="AU101" s="147" t="e">
        <f>AT101+AU103</f>
        <v>#VALUE!</v>
      </c>
      <c r="AV101" s="147" t="e">
        <f>AU101+AV103</f>
        <v>#VALUE!</v>
      </c>
      <c r="AW101" s="147" t="e">
        <f>AV101+AW103</f>
        <v>#VALUE!</v>
      </c>
      <c r="AX101" s="147" t="e">
        <f>AW101+AX103</f>
        <v>#VALUE!</v>
      </c>
      <c r="AY101" s="146" t="e">
        <f>IF(NOT(ISNA(AC90)),AC90,AS101+6)</f>
        <v>#VALUE!</v>
      </c>
      <c r="AZ101" s="147" t="e">
        <f>AY101+AZ103</f>
        <v>#VALUE!</v>
      </c>
      <c r="BA101" s="147" t="e">
        <f>AZ101+BA103</f>
        <v>#VALUE!</v>
      </c>
      <c r="BB101" s="147" t="e">
        <f>BA101+BB103</f>
        <v>#VALUE!</v>
      </c>
      <c r="BC101" s="147" t="e">
        <f>BB101+BC103</f>
        <v>#VALUE!</v>
      </c>
      <c r="BD101" s="147" t="e">
        <f>BC101+BD103</f>
        <v>#VALUE!</v>
      </c>
      <c r="BE101" s="146" t="e">
        <f>IF(NOT(ISNA(AC92)),AC92,AY101+6)</f>
        <v>#REF!</v>
      </c>
    </row>
    <row r="102" spans="1:58">
      <c r="B102" s="92" t="s">
        <v>64</v>
      </c>
      <c r="C102" s="146">
        <f>IF(NOT(ISNA(AC74)),G73,0)</f>
        <v>0</v>
      </c>
      <c r="D102" s="147">
        <f>C102+D104</f>
        <v>0</v>
      </c>
      <c r="E102" s="147">
        <f>C102+E104</f>
        <v>0</v>
      </c>
      <c r="F102" s="147">
        <f>C102+F104</f>
        <v>0</v>
      </c>
      <c r="G102" s="147">
        <f>C102+G104</f>
        <v>0</v>
      </c>
      <c r="H102" s="147">
        <f>C102+H104</f>
        <v>0</v>
      </c>
      <c r="I102" s="146">
        <f>IF(NOT(ISNA(AC76)),F75,C102)</f>
        <v>0</v>
      </c>
      <c r="J102" s="147">
        <f>I102+J104</f>
        <v>0</v>
      </c>
      <c r="K102" s="147">
        <f>I102+K104</f>
        <v>0</v>
      </c>
      <c r="L102" s="147">
        <f>I102+L104</f>
        <v>0</v>
      </c>
      <c r="M102" s="147">
        <f>I102+M104</f>
        <v>0</v>
      </c>
      <c r="N102" s="147">
        <f>I102+N104</f>
        <v>0</v>
      </c>
      <c r="O102" s="146">
        <f>IF(NOT(ISNA(AC78)),F77,I102)</f>
        <v>0</v>
      </c>
      <c r="P102" s="147" t="e">
        <f>O102+P104</f>
        <v>#REF!</v>
      </c>
      <c r="Q102" s="147" t="e">
        <f>O102+Q104</f>
        <v>#REF!</v>
      </c>
      <c r="R102" s="147" t="e">
        <f>O102+R104</f>
        <v>#REF!</v>
      </c>
      <c r="S102" s="147" t="e">
        <f>O102+S104</f>
        <v>#REF!</v>
      </c>
      <c r="T102" s="147" t="e">
        <f>O102+T104</f>
        <v>#REF!</v>
      </c>
      <c r="U102" s="146" t="e">
        <f>IF(NOT(ISNA(AC80)),#REF!,O102)</f>
        <v>#REF!</v>
      </c>
      <c r="V102" s="147" t="e">
        <f>U102+V104</f>
        <v>#REF!</v>
      </c>
      <c r="W102" s="147" t="e">
        <f>U102+W104</f>
        <v>#REF!</v>
      </c>
      <c r="X102" s="147" t="e">
        <f>U102+X104</f>
        <v>#REF!</v>
      </c>
      <c r="Y102" s="147" t="e">
        <f>U102+Y104</f>
        <v>#REF!</v>
      </c>
      <c r="Z102" s="147" t="e">
        <f>U102+Z104</f>
        <v>#REF!</v>
      </c>
      <c r="AA102" s="146">
        <f>IF(NOT(ISNA(AC82)),F81,U102)</f>
        <v>0</v>
      </c>
      <c r="AB102" s="147">
        <f>AA102+AB104</f>
        <v>0</v>
      </c>
      <c r="AC102" s="147">
        <f>AA102+AC104</f>
        <v>0</v>
      </c>
      <c r="AD102" s="147">
        <f>AA102+AD104</f>
        <v>0</v>
      </c>
      <c r="AE102" s="147">
        <f>AA102+AE104</f>
        <v>0</v>
      </c>
      <c r="AF102" s="147">
        <f>AA102+AF104</f>
        <v>0</v>
      </c>
      <c r="AG102" s="146">
        <f>IF(NOT(ISNA(AC84)),F83,AA102)</f>
        <v>0</v>
      </c>
      <c r="AH102" s="147">
        <f>AG102+AH104</f>
        <v>0</v>
      </c>
      <c r="AI102" s="147">
        <f>AG102+AI104</f>
        <v>0</v>
      </c>
      <c r="AJ102" s="147">
        <f>AG102+AJ104</f>
        <v>0</v>
      </c>
      <c r="AK102" s="147">
        <f>AG102+AK104</f>
        <v>0</v>
      </c>
      <c r="AL102" s="147">
        <f>AG102+AL104</f>
        <v>0</v>
      </c>
      <c r="AM102" s="146">
        <f>IF(NOT(ISNA(AC86)),F85,AG102)</f>
        <v>0</v>
      </c>
      <c r="AN102" s="147">
        <f>AM102+AN104</f>
        <v>0</v>
      </c>
      <c r="AO102" s="147">
        <f>AM102+AO104</f>
        <v>0</v>
      </c>
      <c r="AP102" s="147">
        <f>AM102+AP104</f>
        <v>0</v>
      </c>
      <c r="AQ102" s="147">
        <f>AM102+AQ104</f>
        <v>0</v>
      </c>
      <c r="AR102" s="147">
        <f>AM102+AR104</f>
        <v>0</v>
      </c>
      <c r="AS102" s="146">
        <f>IF(NOT(ISNA(AC88)),F87,AM102)</f>
        <v>0</v>
      </c>
      <c r="AT102" s="147">
        <f>AS102+AT104</f>
        <v>0</v>
      </c>
      <c r="AU102" s="147">
        <f>AS102+AU104</f>
        <v>0</v>
      </c>
      <c r="AV102" s="147">
        <f>AS102+AV104</f>
        <v>0</v>
      </c>
      <c r="AW102" s="147">
        <f>AS102+AW104</f>
        <v>0</v>
      </c>
      <c r="AX102" s="147">
        <f>AS102+AX104</f>
        <v>0</v>
      </c>
      <c r="AY102" s="146">
        <f>IF(NOT(ISNA(AC90)),F89,AS102)</f>
        <v>0</v>
      </c>
      <c r="AZ102" s="147">
        <f>AY102+AZ104</f>
        <v>0</v>
      </c>
      <c r="BA102" s="147">
        <f>AY102+BA104</f>
        <v>0</v>
      </c>
      <c r="BB102" s="147">
        <f>AY102+BB104</f>
        <v>0</v>
      </c>
      <c r="BC102" s="147">
        <f>AY102+BC104</f>
        <v>0</v>
      </c>
      <c r="BD102" s="147">
        <f>AY102+BD104</f>
        <v>0</v>
      </c>
      <c r="BE102" s="146">
        <f>IF(NOT(ISNA(AC92)),F91,AY102)</f>
        <v>0</v>
      </c>
    </row>
    <row r="103" spans="1:58">
      <c r="C103" t="s">
        <v>197</v>
      </c>
      <c r="D103" s="92" t="e">
        <f>(I101-C101)/6</f>
        <v>#VALUE!</v>
      </c>
      <c r="E103" s="92" t="e">
        <f>D103</f>
        <v>#VALUE!</v>
      </c>
      <c r="F103" s="92" t="e">
        <f>D103</f>
        <v>#VALUE!</v>
      </c>
      <c r="G103" s="92" t="e">
        <f>D103</f>
        <v>#VALUE!</v>
      </c>
      <c r="H103" s="92" t="e">
        <f>D103</f>
        <v>#VALUE!</v>
      </c>
      <c r="I103" t="s">
        <v>197</v>
      </c>
      <c r="J103" s="92" t="e">
        <f>(O101-I101)/6</f>
        <v>#VALUE!</v>
      </c>
      <c r="K103" s="92" t="e">
        <f>J103</f>
        <v>#VALUE!</v>
      </c>
      <c r="L103" s="92" t="e">
        <f>J103</f>
        <v>#VALUE!</v>
      </c>
      <c r="M103" s="92" t="e">
        <f>J103</f>
        <v>#VALUE!</v>
      </c>
      <c r="N103" s="92" t="e">
        <f>J103</f>
        <v>#VALUE!</v>
      </c>
      <c r="O103" t="s">
        <v>197</v>
      </c>
      <c r="P103" s="92" t="e">
        <f>(U101-O101)/6</f>
        <v>#VALUE!</v>
      </c>
      <c r="Q103" s="92" t="e">
        <f>P103</f>
        <v>#VALUE!</v>
      </c>
      <c r="R103" s="92" t="e">
        <f>P103</f>
        <v>#VALUE!</v>
      </c>
      <c r="S103" s="92" t="e">
        <f>P103</f>
        <v>#VALUE!</v>
      </c>
      <c r="T103" s="92" t="e">
        <f>P103</f>
        <v>#VALUE!</v>
      </c>
      <c r="U103" t="s">
        <v>197</v>
      </c>
      <c r="V103" s="92" t="e">
        <f>(AA101-U101)/6</f>
        <v>#VALUE!</v>
      </c>
      <c r="W103" s="92" t="e">
        <f>V103</f>
        <v>#VALUE!</v>
      </c>
      <c r="X103" s="92" t="e">
        <f>V103</f>
        <v>#VALUE!</v>
      </c>
      <c r="Y103" s="92" t="e">
        <f>V103</f>
        <v>#VALUE!</v>
      </c>
      <c r="Z103" s="92" t="e">
        <f>V103</f>
        <v>#VALUE!</v>
      </c>
      <c r="AA103" t="s">
        <v>197</v>
      </c>
      <c r="AB103" s="92" t="e">
        <f>(AG101-AA101)/6</f>
        <v>#VALUE!</v>
      </c>
      <c r="AC103" s="92" t="e">
        <f>AB103</f>
        <v>#VALUE!</v>
      </c>
      <c r="AD103" s="92" t="e">
        <f>AB103</f>
        <v>#VALUE!</v>
      </c>
      <c r="AE103" s="92" t="e">
        <f>AB103</f>
        <v>#VALUE!</v>
      </c>
      <c r="AF103" s="92" t="e">
        <f>AB103</f>
        <v>#VALUE!</v>
      </c>
      <c r="AG103" t="s">
        <v>197</v>
      </c>
      <c r="AH103" s="92" t="e">
        <f>(AM101-AG101)/6</f>
        <v>#VALUE!</v>
      </c>
      <c r="AI103" s="92" t="e">
        <f>AH103</f>
        <v>#VALUE!</v>
      </c>
      <c r="AJ103" s="92" t="e">
        <f>AH103</f>
        <v>#VALUE!</v>
      </c>
      <c r="AK103" s="92" t="e">
        <f>AH103</f>
        <v>#VALUE!</v>
      </c>
      <c r="AL103" s="92" t="e">
        <f>AH103</f>
        <v>#VALUE!</v>
      </c>
      <c r="AM103" t="s">
        <v>197</v>
      </c>
      <c r="AN103" s="92" t="e">
        <f>(AS101-AM101)/6</f>
        <v>#VALUE!</v>
      </c>
      <c r="AO103" s="92" t="e">
        <f>AN103</f>
        <v>#VALUE!</v>
      </c>
      <c r="AP103" s="92" t="e">
        <f>AN103</f>
        <v>#VALUE!</v>
      </c>
      <c r="AQ103" s="92" t="e">
        <f>AN103</f>
        <v>#VALUE!</v>
      </c>
      <c r="AR103" s="92" t="e">
        <f>AN103</f>
        <v>#VALUE!</v>
      </c>
      <c r="AS103" t="s">
        <v>197</v>
      </c>
      <c r="AT103" s="92" t="e">
        <f>(AY101-AS101)/6</f>
        <v>#VALUE!</v>
      </c>
      <c r="AU103" s="92" t="e">
        <f>AT103</f>
        <v>#VALUE!</v>
      </c>
      <c r="AV103" s="92" t="e">
        <f>AT103</f>
        <v>#VALUE!</v>
      </c>
      <c r="AW103" s="92" t="e">
        <f>AT103</f>
        <v>#VALUE!</v>
      </c>
      <c r="AX103" s="92" t="e">
        <f>AT103</f>
        <v>#VALUE!</v>
      </c>
      <c r="AY103" t="s">
        <v>197</v>
      </c>
      <c r="AZ103" s="92" t="e">
        <f>(BE101-AY101)/6</f>
        <v>#REF!</v>
      </c>
      <c r="BA103" s="92" t="e">
        <f>AZ103</f>
        <v>#REF!</v>
      </c>
      <c r="BB103" s="92" t="e">
        <f>AZ103</f>
        <v>#REF!</v>
      </c>
      <c r="BC103" s="92" t="e">
        <f>AZ103</f>
        <v>#REF!</v>
      </c>
      <c r="BD103" s="92" t="e">
        <f>AZ103</f>
        <v>#REF!</v>
      </c>
    </row>
    <row r="104" spans="1:58">
      <c r="C104" t="s">
        <v>198</v>
      </c>
      <c r="D104">
        <f>(I102-C102)*D105/12</f>
        <v>0</v>
      </c>
      <c r="E104">
        <f>(I102-C102)*E105/12</f>
        <v>0</v>
      </c>
      <c r="F104">
        <f>(I102-C102)*F105/12</f>
        <v>0</v>
      </c>
      <c r="G104">
        <f>(I102-C102)*G105/12</f>
        <v>0</v>
      </c>
      <c r="H104">
        <f>(I102-C102)*H105/12</f>
        <v>0</v>
      </c>
      <c r="J104">
        <f>(O102-I102)*J105/12</f>
        <v>0</v>
      </c>
      <c r="K104">
        <f>(O102-I102)*K105/12</f>
        <v>0</v>
      </c>
      <c r="L104">
        <f>(O102-I102)*L105/12</f>
        <v>0</v>
      </c>
      <c r="M104">
        <f>(O102-I102)*M105/12</f>
        <v>0</v>
      </c>
      <c r="N104">
        <f>(O102-I102)*N105/12</f>
        <v>0</v>
      </c>
      <c r="P104" t="e">
        <f>(U102-O102)*P105/12</f>
        <v>#REF!</v>
      </c>
      <c r="Q104" t="e">
        <f>(U102-O102)*Q105/12</f>
        <v>#REF!</v>
      </c>
      <c r="R104" t="e">
        <f>(U102-O102)*R105/12</f>
        <v>#REF!</v>
      </c>
      <c r="S104" t="e">
        <f>(U102-O102)*S105/12</f>
        <v>#REF!</v>
      </c>
      <c r="T104" t="e">
        <f>(U102-O102)*T105/12</f>
        <v>#REF!</v>
      </c>
      <c r="V104" t="e">
        <f>(AA102-U102)*V105/12</f>
        <v>#REF!</v>
      </c>
      <c r="W104" t="e">
        <f>(AA102-U102)*W105/12</f>
        <v>#REF!</v>
      </c>
      <c r="X104" t="e">
        <f>(AA102-U102)*X105/12</f>
        <v>#REF!</v>
      </c>
      <c r="Y104" t="e">
        <f>(AA102-U102)*Y105/12</f>
        <v>#REF!</v>
      </c>
      <c r="Z104" t="e">
        <f>(AA102-U102)*Z105/12</f>
        <v>#REF!</v>
      </c>
      <c r="AB104">
        <f>(AG102-AA102)*AB105/12</f>
        <v>0</v>
      </c>
      <c r="AC104">
        <f>(AG102-AA102)*AC105/12</f>
        <v>0</v>
      </c>
      <c r="AD104">
        <f>(AG102-AA102)*AD105/12</f>
        <v>0</v>
      </c>
      <c r="AE104">
        <f>(AG102-AA102)*AE105/12</f>
        <v>0</v>
      </c>
      <c r="AF104">
        <f>(AG102-AA102)*AF105/12</f>
        <v>0</v>
      </c>
      <c r="AH104">
        <f>(AM102-AG102)*AH105/12</f>
        <v>0</v>
      </c>
      <c r="AI104">
        <f>(AM102-AG102)*AI105/12</f>
        <v>0</v>
      </c>
      <c r="AJ104">
        <f>(AM102-AG102)*AJ105/12</f>
        <v>0</v>
      </c>
      <c r="AK104">
        <f>(AM102-AG102)*AK105/12</f>
        <v>0</v>
      </c>
      <c r="AL104">
        <f>(AM102-AG102)*AL105/12</f>
        <v>0</v>
      </c>
      <c r="AN104">
        <f>(AS102-AM102)*AN105/12</f>
        <v>0</v>
      </c>
      <c r="AO104">
        <f>(AS102-AM102)*AO105/12</f>
        <v>0</v>
      </c>
      <c r="AP104">
        <f>(AS102-AM102)*AP105/12</f>
        <v>0</v>
      </c>
      <c r="AQ104">
        <f>(AS102-AM102)*AQ105/12</f>
        <v>0</v>
      </c>
      <c r="AR104">
        <f>(AS102-AM102)*AR105/12</f>
        <v>0</v>
      </c>
      <c r="AT104">
        <f>(AY102-AS102)*AT105/12</f>
        <v>0</v>
      </c>
      <c r="AU104">
        <f>(AY102-AS102)*AU105/12</f>
        <v>0</v>
      </c>
      <c r="AV104">
        <f>(AY102-AS102)*AV105/12</f>
        <v>0</v>
      </c>
      <c r="AW104">
        <f>(AY102-AS102)*AW105/12</f>
        <v>0</v>
      </c>
      <c r="AX104">
        <f>(AY102-AS102)*AX105/12</f>
        <v>0</v>
      </c>
      <c r="AZ104">
        <f>(BE102-AY102)*AZ105/12</f>
        <v>0</v>
      </c>
      <c r="BA104">
        <f>(BE102-AY102)*BA105/12</f>
        <v>0</v>
      </c>
      <c r="BB104">
        <f>(BE102-AY102)*BB105/12</f>
        <v>0</v>
      </c>
      <c r="BC104">
        <f>(BE102-AY102)*BC105/12</f>
        <v>0</v>
      </c>
      <c r="BD104">
        <f>(BE102-AY102)*BD105/12</f>
        <v>0</v>
      </c>
    </row>
    <row r="105" spans="1:58">
      <c r="C105" t="s">
        <v>199</v>
      </c>
      <c r="D105">
        <v>1</v>
      </c>
      <c r="E105">
        <v>3</v>
      </c>
      <c r="F105">
        <v>6</v>
      </c>
      <c r="G105">
        <v>9</v>
      </c>
      <c r="H105">
        <v>11</v>
      </c>
      <c r="J105">
        <v>1</v>
      </c>
      <c r="K105">
        <v>3</v>
      </c>
      <c r="L105">
        <v>6</v>
      </c>
      <c r="M105">
        <v>9</v>
      </c>
      <c r="N105">
        <v>11</v>
      </c>
      <c r="P105">
        <v>1</v>
      </c>
      <c r="Q105">
        <v>3</v>
      </c>
      <c r="R105">
        <v>6</v>
      </c>
      <c r="S105">
        <v>9</v>
      </c>
      <c r="T105">
        <v>11</v>
      </c>
      <c r="V105">
        <v>1</v>
      </c>
      <c r="W105">
        <v>3</v>
      </c>
      <c r="X105">
        <v>6</v>
      </c>
      <c r="Y105">
        <v>9</v>
      </c>
      <c r="Z105">
        <v>11</v>
      </c>
      <c r="AB105">
        <v>1</v>
      </c>
      <c r="AC105">
        <v>3</v>
      </c>
      <c r="AD105">
        <v>6</v>
      </c>
      <c r="AE105">
        <v>9</v>
      </c>
      <c r="AF105">
        <v>11</v>
      </c>
      <c r="AH105">
        <v>1</v>
      </c>
      <c r="AI105">
        <v>3</v>
      </c>
      <c r="AJ105">
        <v>6</v>
      </c>
      <c r="AK105">
        <v>9</v>
      </c>
      <c r="AL105">
        <v>11</v>
      </c>
      <c r="AN105">
        <v>1</v>
      </c>
      <c r="AO105">
        <v>3</v>
      </c>
      <c r="AP105">
        <v>6</v>
      </c>
      <c r="AQ105">
        <v>9</v>
      </c>
      <c r="AR105">
        <v>11</v>
      </c>
      <c r="AT105">
        <v>1</v>
      </c>
      <c r="AU105">
        <v>3</v>
      </c>
      <c r="AV105">
        <v>6</v>
      </c>
      <c r="AW105">
        <v>9</v>
      </c>
      <c r="AX105">
        <v>11</v>
      </c>
      <c r="AZ105">
        <v>1</v>
      </c>
      <c r="BA105">
        <v>3</v>
      </c>
      <c r="BB105">
        <v>6</v>
      </c>
      <c r="BC105">
        <v>9</v>
      </c>
      <c r="BD105">
        <v>11</v>
      </c>
    </row>
    <row r="106" spans="1:58" ht="15" customHeight="1">
      <c r="A106" s="376" t="str">
        <f>CONCATENATE("Passage à ",D110,"m")</f>
        <v>Passage à 8,7m</v>
      </c>
      <c r="B106" s="378" t="s">
        <v>221</v>
      </c>
      <c r="C106" s="378"/>
      <c r="D106" s="148" t="e">
        <f t="shared" ref="D106:N106" si="43">D107/24</f>
        <v>#VALUE!</v>
      </c>
      <c r="E106" s="148" t="e">
        <f t="shared" ca="1" si="43"/>
        <v>#NAME?</v>
      </c>
      <c r="F106" s="148" t="e">
        <f t="shared" ca="1" si="43"/>
        <v>#NAME?</v>
      </c>
      <c r="G106" s="148" t="e">
        <f t="shared" ca="1" si="43"/>
        <v>#NAME?</v>
      </c>
      <c r="H106" s="148" t="e">
        <f t="shared" ca="1" si="43"/>
        <v>#NAME?</v>
      </c>
      <c r="I106" s="148" t="e">
        <f t="shared" ca="1" si="43"/>
        <v>#NAME?</v>
      </c>
      <c r="J106" s="148" t="e">
        <f t="shared" ca="1" si="43"/>
        <v>#NAME?</v>
      </c>
      <c r="K106" s="148" t="e">
        <f t="shared" ca="1" si="43"/>
        <v>#NAME?</v>
      </c>
      <c r="L106" s="148" t="e">
        <f t="shared" ca="1" si="43"/>
        <v>#NAME?</v>
      </c>
      <c r="M106" s="148" t="e">
        <f t="shared" ca="1" si="43"/>
        <v>#NAME?</v>
      </c>
      <c r="N106" s="148" t="e">
        <f t="shared" si="43"/>
        <v>#REF!</v>
      </c>
      <c r="P106"/>
      <c r="Q106"/>
    </row>
    <row r="107" spans="1:58">
      <c r="A107" s="376"/>
      <c r="B107" s="378"/>
      <c r="C107" s="378"/>
      <c r="D107" s="149" t="e">
        <f>D109+$A$99</f>
        <v>#VALUE!</v>
      </c>
      <c r="E107" s="149" t="e">
        <f ca="1">E109+$A$99</f>
        <v>#NAME?</v>
      </c>
      <c r="F107" s="149" t="e">
        <f ca="1">F109+$A$99</f>
        <v>#NAME?</v>
      </c>
      <c r="G107" s="149" t="e">
        <f ca="1">G109+$A$99</f>
        <v>#NAME?</v>
      </c>
      <c r="H107" s="149" t="e">
        <f t="shared" ref="H107:N107" ca="1" si="44">H109+$A$99</f>
        <v>#NAME?</v>
      </c>
      <c r="I107" s="149" t="e">
        <f t="shared" ca="1" si="44"/>
        <v>#NAME?</v>
      </c>
      <c r="J107" s="149" t="e">
        <f t="shared" ca="1" si="44"/>
        <v>#NAME?</v>
      </c>
      <c r="K107" s="149" t="e">
        <f t="shared" ca="1" si="44"/>
        <v>#NAME?</v>
      </c>
      <c r="L107" s="149" t="e">
        <f t="shared" ca="1" si="44"/>
        <v>#NAME?</v>
      </c>
      <c r="M107" s="149" t="e">
        <f t="shared" ca="1" si="44"/>
        <v>#NAME?</v>
      </c>
      <c r="N107" s="149" t="e">
        <f t="shared" si="44"/>
        <v>#REF!</v>
      </c>
      <c r="P107"/>
      <c r="Q107"/>
    </row>
    <row r="108" spans="1:58">
      <c r="A108" s="376"/>
      <c r="B108" s="378" t="s">
        <v>200</v>
      </c>
      <c r="C108" s="378"/>
      <c r="D108" s="150" t="e">
        <f>dateEpoch2Txt(D109*3600)</f>
        <v>#VALUE!</v>
      </c>
      <c r="E108" s="150" t="e">
        <f ca="1">dateEpoch2Txt(E109*3600)</f>
        <v>#VALUE!</v>
      </c>
      <c r="F108" s="150" t="e">
        <f ca="1">dateEpoch2Txt(F109*3600)</f>
        <v>#VALUE!</v>
      </c>
      <c r="G108" s="150" t="e">
        <f ca="1">dateEpoch2Txt(G109*3600)</f>
        <v>#VALUE!</v>
      </c>
      <c r="H108" s="150" t="e">
        <f ca="1">dateEpoch2Txt(H109*3600)</f>
        <v>#VALUE!</v>
      </c>
      <c r="I108" s="150" t="e">
        <f ca="1">dateEpoch2Txt(I109*3600)</f>
        <v>#VALUE!</v>
      </c>
      <c r="J108" s="150" t="e">
        <f ca="1">dateEpoch2Txt(J109*3600)</f>
        <v>#VALUE!</v>
      </c>
      <c r="K108" s="150" t="e">
        <f ca="1">dateEpoch2Txt(K109*3600)</f>
        <v>#VALUE!</v>
      </c>
      <c r="L108" s="150" t="e">
        <f ca="1">dateEpoch2Txt(L109*3600)</f>
        <v>#VALUE!</v>
      </c>
      <c r="M108" s="150" t="e">
        <f ca="1">dateEpoch2Txt(M109*3600)</f>
        <v>#VALUE!</v>
      </c>
      <c r="N108" s="150" t="e">
        <f>dateEpoch2Txt(N109*3600)</f>
        <v>#VALUE!</v>
      </c>
      <c r="P108"/>
      <c r="Q108"/>
    </row>
    <row r="109" spans="1:58">
      <c r="A109" s="376"/>
      <c r="B109" s="378" t="s">
        <v>201</v>
      </c>
      <c r="C109" s="378"/>
      <c r="D109" s="149" t="e">
        <f>C101</f>
        <v>#VALUE!</v>
      </c>
      <c r="E109" s="149" t="e">
        <f ca="1">AD75</f>
        <v>#NAME?</v>
      </c>
      <c r="F109" s="149" t="e">
        <f ca="1">IF(AD77&gt;0,AD77,E109)</f>
        <v>#NAME?</v>
      </c>
      <c r="G109" s="149" t="e">
        <f ca="1">IF(AD79&gt;0,AD79,F109)</f>
        <v>#NAME?</v>
      </c>
      <c r="H109" s="149" t="e">
        <f ca="1">IF(AD81&gt;0,AD81,G109)</f>
        <v>#NAME?</v>
      </c>
      <c r="I109" s="151" t="e">
        <f ca="1">IF(AD83&gt;0,AD83,H109)</f>
        <v>#NAME?</v>
      </c>
      <c r="J109" s="149" t="e">
        <f ca="1">IF(AD85&gt;0,AD85,I109)</f>
        <v>#NAME?</v>
      </c>
      <c r="K109" s="149" t="e">
        <f ca="1">IF(AD87&gt;0,AD87,J109)</f>
        <v>#NAME?</v>
      </c>
      <c r="L109" s="149" t="e">
        <f ca="1">IF(AD89&gt;0,AD89,K109)</f>
        <v>#NAME?</v>
      </c>
      <c r="M109" s="149" t="e">
        <f ca="1">IF(AD91&gt;0,AD91,L109)</f>
        <v>#NAME?</v>
      </c>
      <c r="N109" s="149" t="e">
        <f>BE101</f>
        <v>#REF!</v>
      </c>
      <c r="P109"/>
      <c r="AA109"/>
    </row>
    <row r="110" spans="1:58">
      <c r="A110" s="376"/>
      <c r="B110" s="378" t="s">
        <v>202</v>
      </c>
      <c r="C110" s="378"/>
      <c r="D110" s="150">
        <f t="shared" ref="D110:N110" si="45">$D$69</f>
        <v>8.6999999999999993</v>
      </c>
      <c r="E110" s="150">
        <f t="shared" si="45"/>
        <v>8.6999999999999993</v>
      </c>
      <c r="F110" s="150">
        <f t="shared" si="45"/>
        <v>8.6999999999999993</v>
      </c>
      <c r="G110" s="150">
        <f t="shared" si="45"/>
        <v>8.6999999999999993</v>
      </c>
      <c r="H110" s="150">
        <f t="shared" si="45"/>
        <v>8.6999999999999993</v>
      </c>
      <c r="I110" s="150">
        <f t="shared" si="45"/>
        <v>8.6999999999999993</v>
      </c>
      <c r="J110" s="150">
        <f t="shared" si="45"/>
        <v>8.6999999999999993</v>
      </c>
      <c r="K110" s="150">
        <f t="shared" si="45"/>
        <v>8.6999999999999993</v>
      </c>
      <c r="L110" s="150">
        <f t="shared" si="45"/>
        <v>8.6999999999999993</v>
      </c>
      <c r="M110" s="150">
        <f t="shared" si="45"/>
        <v>8.6999999999999993</v>
      </c>
      <c r="N110" s="150">
        <f t="shared" si="45"/>
        <v>8.6999999999999993</v>
      </c>
      <c r="P110"/>
      <c r="AA110"/>
    </row>
    <row r="111" spans="1:58" ht="15" customHeight="1">
      <c r="A111" s="377" t="str">
        <f>CONCATENATE("Passage a ",D70,"h")</f>
        <v>Passage a 13:26:00h</v>
      </c>
      <c r="B111" s="81" t="s">
        <v>221</v>
      </c>
      <c r="C111" s="152">
        <f>C112/24</f>
        <v>45528.55972222222</v>
      </c>
      <c r="D111" s="152">
        <f>D112/24</f>
        <v>45529.55972222222</v>
      </c>
      <c r="E111" s="152">
        <f>E112/24</f>
        <v>25569</v>
      </c>
      <c r="F111" s="152">
        <f t="shared" ref="F111:L111" si="46">F112/24</f>
        <v>25569</v>
      </c>
      <c r="G111" s="152">
        <f t="shared" si="46"/>
        <v>25569</v>
      </c>
      <c r="H111" s="152">
        <f t="shared" si="46"/>
        <v>25569</v>
      </c>
      <c r="I111" s="152">
        <f t="shared" si="46"/>
        <v>25569</v>
      </c>
      <c r="J111" s="152">
        <f t="shared" si="46"/>
        <v>25569</v>
      </c>
      <c r="K111" s="152">
        <f t="shared" si="46"/>
        <v>25569</v>
      </c>
      <c r="L111" s="152">
        <f t="shared" si="46"/>
        <v>25569</v>
      </c>
      <c r="M111" s="124"/>
      <c r="N111" s="124"/>
      <c r="P111"/>
      <c r="AA111"/>
    </row>
    <row r="112" spans="1:58">
      <c r="A112" s="377"/>
      <c r="B112" s="81"/>
      <c r="C112" s="153">
        <f>C114+$A$99</f>
        <v>1092685.4333333333</v>
      </c>
      <c r="D112" s="153">
        <f>D114+$A$99</f>
        <v>1092709.4333333333</v>
      </c>
      <c r="E112" s="153">
        <f>E114+$A$99</f>
        <v>613656</v>
      </c>
      <c r="F112" s="153">
        <f t="shared" ref="F112:L112" si="47">F114+$A$99</f>
        <v>613656</v>
      </c>
      <c r="G112" s="153">
        <f t="shared" si="47"/>
        <v>613656</v>
      </c>
      <c r="H112" s="153">
        <f t="shared" si="47"/>
        <v>613656</v>
      </c>
      <c r="I112" s="153">
        <f t="shared" si="47"/>
        <v>613656</v>
      </c>
      <c r="J112" s="153">
        <f t="shared" si="47"/>
        <v>613656</v>
      </c>
      <c r="K112" s="153">
        <f t="shared" si="47"/>
        <v>613656</v>
      </c>
      <c r="L112" s="153">
        <f t="shared" si="47"/>
        <v>613656</v>
      </c>
      <c r="M112" s="124"/>
      <c r="N112" s="124"/>
      <c r="P112"/>
      <c r="AA112"/>
    </row>
    <row r="113" spans="1:27">
      <c r="A113" s="377"/>
      <c r="B113" s="81" t="s">
        <v>200</v>
      </c>
      <c r="C113" s="81" t="e">
        <f>dateEpoch2Txt(C114*3600)</f>
        <v>#VALUE!</v>
      </c>
      <c r="D113" s="81" t="e">
        <f>dateEpoch2Txt(D114*3600)</f>
        <v>#VALUE!</v>
      </c>
      <c r="E113" s="81">
        <f t="shared" ref="E113:L113" si="48">IF(NOT(ISBLANK(E114)),0,)</f>
        <v>0</v>
      </c>
      <c r="F113" s="81">
        <f t="shared" si="48"/>
        <v>0</v>
      </c>
      <c r="G113" s="81">
        <f t="shared" si="48"/>
        <v>0</v>
      </c>
      <c r="H113" s="81">
        <f t="shared" si="48"/>
        <v>0</v>
      </c>
      <c r="I113" s="81">
        <f t="shared" si="48"/>
        <v>0</v>
      </c>
      <c r="J113" s="81">
        <f t="shared" si="48"/>
        <v>0</v>
      </c>
      <c r="K113" s="81">
        <f t="shared" si="48"/>
        <v>0</v>
      </c>
      <c r="L113" s="81">
        <f t="shared" si="48"/>
        <v>0</v>
      </c>
      <c r="M113" s="124"/>
      <c r="N113" s="124"/>
      <c r="P113" s="91"/>
      <c r="Q113" s="154"/>
      <c r="AA113"/>
    </row>
    <row r="114" spans="1:27">
      <c r="A114" s="377"/>
      <c r="B114" s="81" t="s">
        <v>203</v>
      </c>
      <c r="C114" s="81">
        <v>479029.43333333335</v>
      </c>
      <c r="D114" s="81">
        <v>479053.43333333335</v>
      </c>
      <c r="E114" s="81"/>
      <c r="F114" s="81"/>
      <c r="G114" s="81"/>
      <c r="H114" s="81"/>
      <c r="I114" s="153"/>
      <c r="J114" s="153"/>
      <c r="K114" s="153"/>
      <c r="L114" s="153"/>
    </row>
    <row r="115" spans="1:27">
      <c r="A115" s="377"/>
      <c r="B115" s="81" t="s">
        <v>202</v>
      </c>
      <c r="C115" s="81">
        <v>8.7066370558510133</v>
      </c>
      <c r="D115" s="81">
        <v>9.285212006694108</v>
      </c>
      <c r="E115" s="81"/>
      <c r="F115" s="81"/>
      <c r="G115" s="81"/>
      <c r="H115" s="81"/>
      <c r="I115" s="81"/>
      <c r="J115" s="81"/>
      <c r="K115" s="81"/>
      <c r="L115" s="81"/>
    </row>
  </sheetData>
  <dataConsolidate/>
  <mergeCells count="192">
    <mergeCell ref="A106:A110"/>
    <mergeCell ref="A111:A115"/>
    <mergeCell ref="B106:C106"/>
    <mergeCell ref="B107:C107"/>
    <mergeCell ref="B108:C108"/>
    <mergeCell ref="B109:C109"/>
    <mergeCell ref="B110:C110"/>
    <mergeCell ref="N78:N83"/>
    <mergeCell ref="C95:D95"/>
    <mergeCell ref="I91:K91"/>
    <mergeCell ref="B97:Z97"/>
    <mergeCell ref="J90:K90"/>
    <mergeCell ref="I81:K81"/>
    <mergeCell ref="I83:K83"/>
    <mergeCell ref="I85:K85"/>
    <mergeCell ref="I87:K87"/>
    <mergeCell ref="I89:K89"/>
    <mergeCell ref="J78:K78"/>
    <mergeCell ref="O78:O83"/>
    <mergeCell ref="M78:M83"/>
    <mergeCell ref="N84:O84"/>
    <mergeCell ref="M84:M93"/>
    <mergeCell ref="J88:K88"/>
    <mergeCell ref="I79:K79"/>
    <mergeCell ref="N86:O86"/>
    <mergeCell ref="N87:O87"/>
    <mergeCell ref="N89:O89"/>
    <mergeCell ref="N90:O90"/>
    <mergeCell ref="N91:O91"/>
    <mergeCell ref="N92:O92"/>
    <mergeCell ref="N93:O93"/>
    <mergeCell ref="N88:O88"/>
    <mergeCell ref="BA38:BB38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N39:O39"/>
    <mergeCell ref="N40:O40"/>
    <mergeCell ref="N41:O41"/>
    <mergeCell ref="N42:O42"/>
    <mergeCell ref="N58:O58"/>
    <mergeCell ref="N59:O59"/>
    <mergeCell ref="N63:O63"/>
    <mergeCell ref="N64:O64"/>
    <mergeCell ref="N85:O85"/>
    <mergeCell ref="N72:N77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J80:K80"/>
    <mergeCell ref="J82:K82"/>
    <mergeCell ref="J84:K84"/>
    <mergeCell ref="J86:K86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O72:O77"/>
    <mergeCell ref="Y65:AA65"/>
    <mergeCell ref="Y66:AA66"/>
    <mergeCell ref="B67:Z67"/>
    <mergeCell ref="I75:K75"/>
    <mergeCell ref="I77:K77"/>
    <mergeCell ref="P38:Q38"/>
    <mergeCell ref="P39:Q39"/>
    <mergeCell ref="C68:F68"/>
    <mergeCell ref="P64:Q64"/>
    <mergeCell ref="U71:Z71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40:Q40"/>
    <mergeCell ref="P41:Q41"/>
    <mergeCell ref="P42:Q42"/>
    <mergeCell ref="P58:Q58"/>
    <mergeCell ref="P59:Q59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N61:O61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K52:L52"/>
    <mergeCell ref="N52:O52"/>
    <mergeCell ref="P52:Q52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M72:M77"/>
    <mergeCell ref="J73:K73"/>
    <mergeCell ref="J74:K74"/>
    <mergeCell ref="J76:K76"/>
  </mergeCells>
  <conditionalFormatting sqref="H38:H64">
    <cfRule type="cellIs" dxfId="4" priority="8" operator="equal">
      <formula>"Y"</formula>
    </cfRule>
  </conditionalFormatting>
  <conditionalFormatting sqref="AF38:AJ38">
    <cfRule type="cellIs" dxfId="3" priority="6" operator="equal">
      <formula>FALSE</formula>
    </cfRule>
  </conditionalFormatting>
  <conditionalFormatting sqref="AL38:AL64">
    <cfRule type="cellIs" dxfId="2" priority="5" operator="equal">
      <formula>FALSE</formula>
    </cfRule>
  </conditionalFormatting>
  <conditionalFormatting sqref="I38:I64">
    <cfRule type="cellIs" dxfId="1" priority="3" operator="equal">
      <formula>"Y"</formula>
    </cfRule>
  </conditionalFormatting>
  <conditionalFormatting sqref="AF39:AJ64"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B3_Bouton6_Cliquer">
                <anchor moveWithCells="1" sizeWithCells="1">
                  <from>
                    <xdr:col>0</xdr:col>
                    <xdr:colOff>28575</xdr:colOff>
                    <xdr:row>93</xdr:row>
                    <xdr:rowOff>142875</xdr:rowOff>
                  </from>
                  <to>
                    <xdr:col>3</xdr:col>
                    <xdr:colOff>95250</xdr:colOff>
                    <xdr:row>96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5" name="Button 76">
              <controlPr defaultSize="0" print="0" autoFill="0" autoPict="0" macro="[0]!B2_Bouton76_Cliquer">
                <anchor moveWithCells="1" sizeWithCells="1">
                  <from>
                    <xdr:col>12</xdr:col>
                    <xdr:colOff>1009650</xdr:colOff>
                    <xdr:row>67</xdr:row>
                    <xdr:rowOff>133350</xdr:rowOff>
                  </from>
                  <to>
                    <xdr:col>18</xdr:col>
                    <xdr:colOff>28575</xdr:colOff>
                    <xdr:row>69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6" name="Button 80">
              <controlPr defaultSize="0" print="0" autoFill="0" autoPict="0" macro="[0]!B1_CalculHeureEtHauteurPassage">
                <anchor moveWithCells="1" sizeWithCells="1">
                  <from>
                    <xdr:col>0</xdr:col>
                    <xdr:colOff>123825</xdr:colOff>
                    <xdr:row>68</xdr:row>
                    <xdr:rowOff>114300</xdr:rowOff>
                  </from>
                  <to>
                    <xdr:col>1</xdr:col>
                    <xdr:colOff>685800</xdr:colOff>
                    <xdr:row>70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Nav</vt:lpstr>
      <vt:lpstr>Maree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2024-09-08T20:26:52Z</dcterms:modified>
</cp:coreProperties>
</file>