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BD32767D-A27E-444F-BD52-64CE2CECD55F}" xr6:coauthVersionLast="47" xr6:coauthVersionMax="47" xr10:uidLastSave="{00000000-0000-0000-0000-000000000000}"/>
  <bookViews>
    <workbookView xWindow="0" yWindow="465" windowWidth="28800" windowHeight="15030" tabRatio="872" activeTab="2" xr2:uid="{00000000-000D-0000-FFFF-FFFF00000000}"/>
  </bookViews>
  <sheets>
    <sheet name="Nav" sheetId="3" r:id="rId1"/>
    <sheet name="Maree" sheetId="4" r:id="rId2"/>
    <sheet name="Sheet1" sheetId="5" r:id="rId3"/>
  </sheets>
  <functionGroups builtInGroupCount="19"/>
  <definedNames>
    <definedName name="_xlnm._FilterDatabase" localSheetId="1" hidden="1">Maree!$C$23:$D$23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2" i="5" l="1" a="1"/>
  <c r="AW2" i="5" a="1"/>
  <c r="AO2" i="5" a="1"/>
  <c r="AK2" i="5" a="1"/>
  <c r="AG2" i="5" a="1"/>
  <c r="AC2" i="5" a="1"/>
  <c r="Y2" i="5" a="1"/>
  <c r="U2" i="5" a="1"/>
  <c r="M2" i="5" a="1"/>
  <c r="I2" i="5" a="1"/>
  <c r="E2" i="5" a="1"/>
  <c r="BE2" i="5" a="1"/>
  <c r="AS2" i="5" a="1"/>
  <c r="Q2" i="5" a="1"/>
  <c r="BD2" i="5" a="1"/>
  <c r="AV2" i="5" a="1"/>
  <c r="AN2" i="5" a="1"/>
  <c r="AJ2" i="5" a="1"/>
  <c r="AB2" i="5" a="1"/>
  <c r="T2" i="5" a="1"/>
  <c r="L2" i="5" a="1"/>
  <c r="D2" i="5" a="1"/>
  <c r="W2" i="5" a="1"/>
  <c r="K2" i="5" a="1"/>
  <c r="R2" i="5" a="1"/>
  <c r="AZ2" i="5" a="1"/>
  <c r="AR2" i="5" a="1"/>
  <c r="AF2" i="5" a="1"/>
  <c r="X2" i="5" a="1"/>
  <c r="P2" i="5" a="1"/>
  <c r="H2" i="5" a="1"/>
  <c r="AA2" i="5" a="1"/>
  <c r="O2" i="5" a="1"/>
  <c r="V2" i="5" a="1"/>
  <c r="F2" i="5" a="1"/>
  <c r="BC2" i="5" a="1"/>
  <c r="AY2" i="5" a="1"/>
  <c r="AU2" i="5" a="1"/>
  <c r="AQ2" i="5" a="1"/>
  <c r="AM2" i="5" a="1"/>
  <c r="AI2" i="5" a="1"/>
  <c r="AE2" i="5" a="1"/>
  <c r="S2" i="5" a="1"/>
  <c r="G2" i="5" a="1"/>
  <c r="N2" i="5" a="1"/>
  <c r="BB2" i="5" a="1"/>
  <c r="AX2" i="5" a="1"/>
  <c r="AT2" i="5" a="1"/>
  <c r="AP2" i="5" a="1"/>
  <c r="AL2" i="5" a="1"/>
  <c r="AH2" i="5" a="1"/>
  <c r="AD2" i="5" a="1"/>
  <c r="Z2" i="5" a="1"/>
  <c r="J2" i="5" a="1"/>
  <c r="C2" i="5" a="1"/>
  <c r="BA3" i="5" a="1"/>
  <c r="AS3" i="5" a="1"/>
  <c r="AK3" i="5" a="1"/>
  <c r="AC3" i="5" a="1"/>
  <c r="U3" i="5" a="1"/>
  <c r="M3" i="5" a="1"/>
  <c r="I3" i="5" a="1"/>
  <c r="AY3" i="5" a="1"/>
  <c r="AM3" i="5" a="1"/>
  <c r="AA3" i="5" a="1"/>
  <c r="O3" i="5" a="1"/>
  <c r="G3" i="5" a="1"/>
  <c r="BE3" i="5" a="1"/>
  <c r="AW3" i="5" a="1"/>
  <c r="AO3" i="5" a="1"/>
  <c r="AG3" i="5" a="1"/>
  <c r="Y3" i="5" a="1"/>
  <c r="Q3" i="5" a="1"/>
  <c r="E3" i="5" a="1"/>
  <c r="BC3" i="5" a="1"/>
  <c r="AI3" i="5" a="1"/>
  <c r="S3" i="5" a="1"/>
  <c r="BD3" i="5" a="1"/>
  <c r="AZ3" i="5" a="1"/>
  <c r="AV3" i="5" a="1"/>
  <c r="AR3" i="5" a="1"/>
  <c r="AN3" i="5" a="1"/>
  <c r="AJ3" i="5" a="1"/>
  <c r="AF3" i="5" a="1"/>
  <c r="AB3" i="5" a="1"/>
  <c r="X3" i="5" a="1"/>
  <c r="T3" i="5" a="1"/>
  <c r="P3" i="5" a="1"/>
  <c r="L3" i="5" a="1"/>
  <c r="H3" i="5" a="1"/>
  <c r="D3" i="5" a="1"/>
  <c r="AU3" i="5" a="1"/>
  <c r="AQ3" i="5" a="1"/>
  <c r="AE3" i="5" a="1"/>
  <c r="K3" i="5" a="1"/>
  <c r="BB3" i="5" a="1"/>
  <c r="AX3" i="5" a="1"/>
  <c r="AT3" i="5" a="1"/>
  <c r="AP3" i="5" a="1"/>
  <c r="AL3" i="5" a="1"/>
  <c r="AH3" i="5" a="1"/>
  <c r="AD3" i="5" a="1"/>
  <c r="Z3" i="5" a="1"/>
  <c r="V3" i="5" a="1"/>
  <c r="R3" i="5" a="1"/>
  <c r="N3" i="5" a="1"/>
  <c r="J3" i="5" a="1"/>
  <c r="F3" i="5" a="1"/>
  <c r="W3" i="5" a="1"/>
  <c r="C3" i="5" a="1"/>
  <c r="J2" i="5" l="1"/>
  <c r="Z2" i="5"/>
  <c r="AD2" i="5"/>
  <c r="AH2" i="5"/>
  <c r="AL2" i="5"/>
  <c r="AP2" i="5"/>
  <c r="AT2" i="5"/>
  <c r="AX2" i="5"/>
  <c r="BB2" i="5"/>
  <c r="N2" i="5"/>
  <c r="G2" i="5"/>
  <c r="S2" i="5"/>
  <c r="AE2" i="5"/>
  <c r="AI2" i="5"/>
  <c r="AM2" i="5"/>
  <c r="AQ2" i="5"/>
  <c r="AU2" i="5"/>
  <c r="AY2" i="5"/>
  <c r="BC2" i="5"/>
  <c r="F2" i="5"/>
  <c r="V2" i="5"/>
  <c r="O2" i="5"/>
  <c r="AA2" i="5"/>
  <c r="H2" i="5"/>
  <c r="P2" i="5"/>
  <c r="X2" i="5"/>
  <c r="AF2" i="5"/>
  <c r="AR2" i="5"/>
  <c r="AZ2" i="5"/>
  <c r="R2" i="5"/>
  <c r="K2" i="5"/>
  <c r="W2" i="5"/>
  <c r="D2" i="5"/>
  <c r="L2" i="5"/>
  <c r="T2" i="5"/>
  <c r="AB2" i="5"/>
  <c r="AJ2" i="5"/>
  <c r="AN2" i="5"/>
  <c r="AV2" i="5"/>
  <c r="BD2" i="5"/>
  <c r="Q2" i="5"/>
  <c r="AS2" i="5"/>
  <c r="BE2" i="5"/>
  <c r="E2" i="5"/>
  <c r="I2" i="5"/>
  <c r="M2" i="5"/>
  <c r="U2" i="5"/>
  <c r="Y2" i="5"/>
  <c r="AC2" i="5"/>
  <c r="AG2" i="5"/>
  <c r="AK2" i="5"/>
  <c r="AO2" i="5"/>
  <c r="AW2" i="5"/>
  <c r="BA2" i="5"/>
  <c r="C2" i="5"/>
  <c r="W3" i="5"/>
  <c r="F3" i="5"/>
  <c r="J3" i="5"/>
  <c r="N3" i="5"/>
  <c r="R3" i="5"/>
  <c r="V3" i="5"/>
  <c r="Z3" i="5"/>
  <c r="AD3" i="5"/>
  <c r="AH3" i="5"/>
  <c r="AL3" i="5"/>
  <c r="AP3" i="5"/>
  <c r="AT3" i="5"/>
  <c r="AX3" i="5"/>
  <c r="BB3" i="5"/>
  <c r="K3" i="5"/>
  <c r="AE3" i="5"/>
  <c r="AQ3" i="5"/>
  <c r="AU3" i="5"/>
  <c r="D3" i="5"/>
  <c r="H3" i="5"/>
  <c r="L3" i="5"/>
  <c r="P3" i="5"/>
  <c r="T3" i="5"/>
  <c r="X3" i="5"/>
  <c r="AB3" i="5"/>
  <c r="AF3" i="5"/>
  <c r="AJ3" i="5"/>
  <c r="AN3" i="5"/>
  <c r="AR3" i="5"/>
  <c r="AV3" i="5"/>
  <c r="AZ3" i="5"/>
  <c r="BD3" i="5"/>
  <c r="S3" i="5"/>
  <c r="AI3" i="5"/>
  <c r="BC3" i="5"/>
  <c r="E3" i="5"/>
  <c r="Q3" i="5"/>
  <c r="Y3" i="5"/>
  <c r="AG3" i="5"/>
  <c r="AO3" i="5"/>
  <c r="AW3" i="5"/>
  <c r="BE3" i="5"/>
  <c r="G3" i="5"/>
  <c r="O3" i="5"/>
  <c r="AA3" i="5"/>
  <c r="AM3" i="5"/>
  <c r="AY3" i="5"/>
  <c r="I3" i="5"/>
  <c r="M3" i="5"/>
  <c r="U3" i="5"/>
  <c r="AC3" i="5"/>
  <c r="AK3" i="5"/>
  <c r="AS3" i="5"/>
  <c r="BA3" i="5"/>
  <c r="C3" i="5"/>
  <c r="AC73" i="3"/>
  <c r="N81" i="4"/>
  <c r="D81" i="4"/>
  <c r="A80" i="4" s="1"/>
  <c r="A82" i="4"/>
  <c r="M81" i="4"/>
  <c r="L81" i="4"/>
  <c r="K81" i="4"/>
  <c r="J81" i="4"/>
  <c r="I81" i="4"/>
  <c r="H81" i="4"/>
  <c r="G81" i="4"/>
  <c r="F81" i="4"/>
  <c r="E81" i="4"/>
  <c r="AG40" i="4"/>
  <c r="AJ40" i="4" s="1"/>
  <c r="AD40" i="4" a="1"/>
  <c r="AD40" i="4" s="1"/>
  <c r="AI40" i="4" s="1"/>
  <c r="AC40" i="4" a="1"/>
  <c r="AC40" i="4" s="1"/>
  <c r="AH40" i="4" s="1"/>
  <c r="AG39" i="4"/>
  <c r="AJ39" i="4" s="1"/>
  <c r="AD39" i="4" a="1"/>
  <c r="AD39" i="4" s="1"/>
  <c r="AI39" i="4" s="1"/>
  <c r="AC39" i="4" a="1"/>
  <c r="AC39" i="4" s="1"/>
  <c r="AG38" i="4"/>
  <c r="AJ38" i="4" s="1"/>
  <c r="AD38" i="4" a="1"/>
  <c r="AD38" i="4" s="1"/>
  <c r="AI38" i="4" s="1"/>
  <c r="AC38" i="4" a="1"/>
  <c r="AC38" i="4" s="1"/>
  <c r="AG37" i="4"/>
  <c r="AJ37" i="4" s="1"/>
  <c r="AG36" i="4"/>
  <c r="AJ36" i="4" s="1"/>
  <c r="AG35" i="4"/>
  <c r="AJ35" i="4" s="1"/>
  <c r="AG34" i="4"/>
  <c r="AJ34" i="4" s="1"/>
  <c r="AG33" i="4"/>
  <c r="AJ33" i="4" s="1"/>
  <c r="AG32" i="4"/>
  <c r="AJ32" i="4" s="1"/>
  <c r="J49" i="4"/>
  <c r="G49" i="4"/>
  <c r="AN21" i="4"/>
  <c r="AL21" i="4"/>
  <c r="AJ21" i="4"/>
  <c r="AH21" i="4"/>
  <c r="AK21" i="4" a="1"/>
  <c r="AD36" i="4" a="1"/>
  <c r="AC36" i="4" a="1"/>
  <c r="AO17" i="4" a="1"/>
  <c r="AO19" i="4" a="1"/>
  <c r="AO18" i="4" a="1"/>
  <c r="AD31" i="4" a="1"/>
  <c r="AC31" i="4" a="1"/>
  <c r="AD37" i="4" a="1"/>
  <c r="AC34" i="4" a="1"/>
  <c r="AD35" i="4" a="1"/>
  <c r="AO21" i="4" a="1"/>
  <c r="AO14" i="4" a="1"/>
  <c r="AC37" i="4" a="1"/>
  <c r="AC32" i="4" a="1"/>
  <c r="AM21" i="4" a="1"/>
  <c r="AD33" i="4" a="1"/>
  <c r="AC33" i="4" a="1"/>
  <c r="E46" i="4" a="1"/>
  <c r="AD32" i="4" a="1"/>
  <c r="AO16" i="4" a="1"/>
  <c r="AO13" i="4" a="1"/>
  <c r="AD34" i="4" a="1"/>
  <c r="AO20" i="4" a="1"/>
  <c r="AO12" i="4" a="1"/>
  <c r="AO15" i="4" a="1"/>
  <c r="AI21" i="4" a="1"/>
  <c r="AK40" i="4" l="1"/>
  <c r="AD37" i="4"/>
  <c r="AI37" i="4" s="1"/>
  <c r="AC33" i="4"/>
  <c r="AC36" i="4"/>
  <c r="AD35" i="4"/>
  <c r="AI35" i="4" s="1"/>
  <c r="AD33" i="4"/>
  <c r="AI33" i="4" s="1"/>
  <c r="AD32" i="4"/>
  <c r="AI32" i="4" s="1"/>
  <c r="AC34" i="4"/>
  <c r="AD36" i="4"/>
  <c r="AI36" i="4" s="1"/>
  <c r="AC37" i="4"/>
  <c r="AC32" i="4"/>
  <c r="AD34" i="4"/>
  <c r="AI34" i="4" s="1"/>
  <c r="AH39" i="4"/>
  <c r="AK39" i="4" s="1"/>
  <c r="AE39" i="4"/>
  <c r="AE38" i="4"/>
  <c r="AH38" i="4"/>
  <c r="AK38" i="4" s="1"/>
  <c r="AE40" i="4"/>
  <c r="E46" i="4"/>
  <c r="AO17" i="4"/>
  <c r="AO21" i="4"/>
  <c r="AO14" i="4"/>
  <c r="AO18" i="4"/>
  <c r="AO15" i="4"/>
  <c r="AO19" i="4"/>
  <c r="AO13" i="4"/>
  <c r="AO12" i="4"/>
  <c r="AO16" i="4"/>
  <c r="AO20" i="4"/>
  <c r="AM21" i="4"/>
  <c r="AK21" i="4"/>
  <c r="AI21" i="4"/>
  <c r="AD31" i="4"/>
  <c r="AC31" i="4"/>
  <c r="AH31" i="4" s="1"/>
  <c r="AG31" i="4"/>
  <c r="AN20" i="4"/>
  <c r="AL20" i="4"/>
  <c r="AJ20" i="4"/>
  <c r="AH20" i="4"/>
  <c r="AN19" i="4"/>
  <c r="AL19" i="4"/>
  <c r="AJ19" i="4"/>
  <c r="AH19" i="4"/>
  <c r="AN18" i="4"/>
  <c r="AL18" i="4"/>
  <c r="AJ18" i="4"/>
  <c r="AH18" i="4"/>
  <c r="AN17" i="4"/>
  <c r="AL17" i="4"/>
  <c r="AJ17" i="4"/>
  <c r="AH17" i="4"/>
  <c r="AN16" i="4"/>
  <c r="AL16" i="4"/>
  <c r="AJ16" i="4"/>
  <c r="AH16" i="4"/>
  <c r="AN15" i="4"/>
  <c r="AL15" i="4"/>
  <c r="AJ15" i="4"/>
  <c r="AH15" i="4"/>
  <c r="AN14" i="4"/>
  <c r="AL14" i="4"/>
  <c r="AJ14" i="4"/>
  <c r="AH14" i="4"/>
  <c r="AN13" i="4"/>
  <c r="AL13" i="4"/>
  <c r="AJ13" i="4"/>
  <c r="AH13" i="4"/>
  <c r="AE21" i="4"/>
  <c r="AE20" i="4"/>
  <c r="AE19" i="4"/>
  <c r="AE18" i="4"/>
  <c r="AE17" i="4"/>
  <c r="AE16" i="4"/>
  <c r="AE15" i="4"/>
  <c r="AE14" i="4"/>
  <c r="AE13" i="4"/>
  <c r="AE12" i="4"/>
  <c r="AC15" i="4"/>
  <c r="AC16" i="4" s="1"/>
  <c r="AC21" i="4"/>
  <c r="AC18" i="4"/>
  <c r="AC19" i="4" s="1"/>
  <c r="AC20" i="4" s="1"/>
  <c r="AC12" i="4"/>
  <c r="AC13" i="4" s="1"/>
  <c r="AC14" i="4" s="1"/>
  <c r="AI18" i="4" a="1"/>
  <c r="AK17" i="4" a="1"/>
  <c r="AM17" i="4" a="1"/>
  <c r="AI17" i="4" a="1"/>
  <c r="AM18" i="4" a="1"/>
  <c r="AK20" i="4" a="1"/>
  <c r="AM14" i="4" a="1"/>
  <c r="AM20" i="4" a="1"/>
  <c r="AK18" i="4" a="1"/>
  <c r="AI14" i="4" a="1"/>
  <c r="AM12" i="4" a="1"/>
  <c r="AK13" i="4" a="1"/>
  <c r="AK16" i="4" a="1"/>
  <c r="AK12" i="4" a="1"/>
  <c r="AM19" i="4" a="1"/>
  <c r="AK19" i="4" a="1"/>
  <c r="AK14" i="4" a="1"/>
  <c r="AI19" i="4" a="1"/>
  <c r="AI16" i="4" a="1"/>
  <c r="AM15" i="4" a="1"/>
  <c r="AI20" i="4" a="1"/>
  <c r="AM16" i="4" a="1"/>
  <c r="AI15" i="4" a="1"/>
  <c r="AK15" i="4" a="1"/>
  <c r="AM13" i="4" a="1"/>
  <c r="AI13" i="4" a="1"/>
  <c r="AI12" i="4" a="1"/>
  <c r="AH32" i="4" l="1"/>
  <c r="AK32" i="4" s="1"/>
  <c r="AE32" i="4"/>
  <c r="AE36" i="4"/>
  <c r="AH36" i="4"/>
  <c r="AK36" i="4" s="1"/>
  <c r="AE33" i="4"/>
  <c r="AH33" i="4"/>
  <c r="AK33" i="4" s="1"/>
  <c r="AE34" i="4"/>
  <c r="AH34" i="4"/>
  <c r="AK34" i="4" s="1"/>
  <c r="AH37" i="4"/>
  <c r="AK37" i="4" s="1"/>
  <c r="AE37" i="4"/>
  <c r="AI31" i="4"/>
  <c r="AK31" i="4" s="1"/>
  <c r="AE31" i="4"/>
  <c r="AM17" i="4"/>
  <c r="AK18" i="4"/>
  <c r="AI19" i="4"/>
  <c r="AK13" i="4"/>
  <c r="AI14" i="4"/>
  <c r="AM20" i="4"/>
  <c r="AI17" i="4"/>
  <c r="AI20" i="4"/>
  <c r="AM15" i="4"/>
  <c r="AM13" i="4"/>
  <c r="AI15" i="4"/>
  <c r="AK16" i="4"/>
  <c r="AM18" i="4"/>
  <c r="AK14" i="4"/>
  <c r="AM16" i="4"/>
  <c r="AK17" i="4"/>
  <c r="AI18" i="4"/>
  <c r="AM19" i="4"/>
  <c r="AK20" i="4"/>
  <c r="AK19" i="4"/>
  <c r="AI13" i="4"/>
  <c r="AM14" i="4"/>
  <c r="AK15" i="4"/>
  <c r="AI16" i="4"/>
  <c r="AM12" i="4"/>
  <c r="AK12" i="4"/>
  <c r="AI12" i="4"/>
  <c r="AC17" i="4"/>
  <c r="AD16" i="4"/>
  <c r="AF16" i="4" s="1"/>
  <c r="AD15" i="4"/>
  <c r="AF15" i="4" s="1"/>
  <c r="M146" i="3"/>
  <c r="M147" i="3" s="1"/>
  <c r="M141" i="3"/>
  <c r="M142" i="3" s="1"/>
  <c r="M136" i="3"/>
  <c r="F77" i="3"/>
  <c r="AF55" i="3"/>
  <c r="S127" i="3" a="1"/>
  <c r="S128" i="3" a="1"/>
  <c r="S123" i="3" a="1"/>
  <c r="G9" i="3" a="1"/>
  <c r="AB96" i="3" a="1"/>
  <c r="F127" i="3" a="1"/>
  <c r="S134" i="3" a="1"/>
  <c r="AB97" i="3" a="1"/>
  <c r="S125" i="3" a="1"/>
  <c r="S132" i="3" a="1"/>
  <c r="E39" i="3" a="1"/>
  <c r="F128" i="3" a="1"/>
  <c r="N79" i="3" a="1"/>
  <c r="S126" i="3" a="1"/>
  <c r="S133" i="3" a="1"/>
  <c r="S130" i="3" a="1"/>
  <c r="F125" i="3" a="1"/>
  <c r="F122" i="3" a="1"/>
  <c r="F126" i="3" a="1"/>
  <c r="F123" i="3" a="1"/>
  <c r="S131" i="3" a="1"/>
  <c r="S122" i="3" a="1"/>
  <c r="N75" i="3" a="1"/>
  <c r="F124" i="3" a="1"/>
  <c r="E71" i="3" a="1"/>
  <c r="E69" i="3" a="1"/>
  <c r="S129" i="3" a="1"/>
  <c r="S124" i="3" a="1"/>
  <c r="AD17" i="4" l="1"/>
  <c r="AF17" i="4" s="1"/>
  <c r="G9" i="3"/>
  <c r="S134" i="3"/>
  <c r="S133" i="3"/>
  <c r="S132" i="3"/>
  <c r="S131" i="3"/>
  <c r="J147" i="3"/>
  <c r="J142" i="3"/>
  <c r="M137" i="3"/>
  <c r="J137" i="3" s="1"/>
  <c r="S124" i="3"/>
  <c r="S126" i="3"/>
  <c r="S128" i="3"/>
  <c r="S130" i="3"/>
  <c r="S123" i="3"/>
  <c r="S127" i="3"/>
  <c r="S125" i="3"/>
  <c r="S129" i="3"/>
  <c r="S122" i="3"/>
  <c r="F125" i="3"/>
  <c r="F126" i="3"/>
  <c r="F123" i="3"/>
  <c r="F128" i="3"/>
  <c r="F124" i="3"/>
  <c r="F127" i="3"/>
  <c r="F122" i="3"/>
  <c r="AB96" i="3"/>
  <c r="I96" i="3" s="1"/>
  <c r="AB97" i="3"/>
  <c r="N79" i="3"/>
  <c r="N75" i="3"/>
  <c r="E71" i="3"/>
  <c r="E69" i="3"/>
  <c r="E39" i="3"/>
  <c r="AC33" i="3"/>
  <c r="AC32" i="3"/>
  <c r="V134" i="3" a="1"/>
  <c r="I122" i="3" a="1"/>
  <c r="V132" i="3" a="1"/>
  <c r="V123" i="3" a="1"/>
  <c r="I127" i="3" a="1"/>
  <c r="V122" i="3" a="1"/>
  <c r="I128" i="3" a="1"/>
  <c r="V129" i="3" a="1"/>
  <c r="V128" i="3" a="1"/>
  <c r="N69" i="3" a="1"/>
  <c r="V130" i="3" a="1"/>
  <c r="E41" i="3" a="1"/>
  <c r="O98" i="3" a="1"/>
  <c r="I126" i="3" a="1"/>
  <c r="S9" i="3" a="1"/>
  <c r="J9" i="3" a="1"/>
  <c r="V125" i="3" a="1"/>
  <c r="I125" i="3" a="1"/>
  <c r="N71" i="3" a="1"/>
  <c r="I124" i="3" a="1"/>
  <c r="E35" i="3" a="1"/>
  <c r="V127" i="3" a="1"/>
  <c r="V131" i="3" a="1"/>
  <c r="V126" i="3" a="1"/>
  <c r="E33" i="3" a="1"/>
  <c r="V133" i="3" a="1"/>
  <c r="I123" i="3" a="1"/>
  <c r="V124" i="3" a="1"/>
  <c r="J11" i="3" a="1"/>
  <c r="J9" i="3" l="1"/>
  <c r="V134" i="3"/>
  <c r="V133" i="3"/>
  <c r="V132" i="3"/>
  <c r="V131" i="3"/>
  <c r="V123" i="3"/>
  <c r="V130" i="3"/>
  <c r="V125" i="3"/>
  <c r="V127" i="3"/>
  <c r="V126" i="3"/>
  <c r="V128" i="3"/>
  <c r="V129" i="3"/>
  <c r="V124" i="3"/>
  <c r="V122" i="3"/>
  <c r="I127" i="3"/>
  <c r="I124" i="3"/>
  <c r="I128" i="3"/>
  <c r="I123" i="3"/>
  <c r="I126" i="3"/>
  <c r="I125" i="3"/>
  <c r="I122" i="3"/>
  <c r="I97" i="3"/>
  <c r="AB98" i="3"/>
  <c r="I98" i="3" s="1"/>
  <c r="O98" i="3"/>
  <c r="J11" i="3"/>
  <c r="N69" i="3"/>
  <c r="N71" i="3"/>
  <c r="E33" i="3"/>
  <c r="AE46" i="3" s="1"/>
  <c r="AF46" i="3" s="1"/>
  <c r="AG46" i="3" s="1"/>
  <c r="AD46" i="3" s="1"/>
  <c r="E41" i="3"/>
  <c r="E35" i="3"/>
  <c r="S9" i="3"/>
  <c r="S11" i="3" s="1"/>
  <c r="N39" i="3" a="1"/>
  <c r="V9" i="3" a="1"/>
  <c r="N41" i="3" a="1"/>
  <c r="N33" i="3" a="1"/>
  <c r="N35" i="3" a="1"/>
  <c r="AD61" i="3" l="1"/>
  <c r="AD62" i="3" s="1"/>
  <c r="AD56" i="3"/>
  <c r="AD58" i="3" s="1"/>
  <c r="AD55" i="3"/>
  <c r="AE55" i="3" s="1"/>
  <c r="V9" i="3"/>
  <c r="AD45" i="3"/>
  <c r="AE47" i="3"/>
  <c r="AF47" i="3" s="1"/>
  <c r="AG47" i="3" s="1"/>
  <c r="AD47" i="3" s="1"/>
  <c r="AD48" i="3" s="1"/>
  <c r="AD44" i="3"/>
  <c r="AD35" i="3"/>
  <c r="AE35" i="3" s="1"/>
  <c r="AD36" i="3"/>
  <c r="N35" i="3"/>
  <c r="AD37" i="3"/>
  <c r="AE37" i="3" s="1"/>
  <c r="N33" i="3"/>
  <c r="N41" i="3"/>
  <c r="N39" i="3"/>
  <c r="AD64" i="3" l="1"/>
  <c r="U60" i="3" s="1"/>
  <c r="AE63" i="3"/>
  <c r="AD63" i="3" s="1"/>
  <c r="AD59" i="3"/>
  <c r="AE44" i="3"/>
  <c r="AD49" i="3" s="1"/>
  <c r="AD50" i="3" s="1"/>
  <c r="AE36" i="3"/>
  <c r="AD38" i="3" s="1"/>
  <c r="AD39" i="3" s="1"/>
  <c r="AD51" i="3"/>
  <c r="AD40" i="3"/>
  <c r="AD65" i="3" l="1"/>
  <c r="AE66" i="3" s="1"/>
  <c r="AD66" i="3" s="1"/>
  <c r="I60" i="3" s="1"/>
  <c r="AD57" i="3"/>
  <c r="AF57" i="3" s="1"/>
  <c r="U46" i="3" s="1"/>
  <c r="AD52" i="3"/>
  <c r="AD41" i="3"/>
  <c r="AE41" i="3" s="1"/>
  <c r="AD42" i="3" s="1"/>
  <c r="AE42" i="3" s="1"/>
  <c r="I46" i="3" l="1"/>
  <c r="AD53" i="3"/>
  <c r="U49" i="3" s="1"/>
  <c r="I49" i="3"/>
  <c r="E46" i="3" a="1"/>
  <c r="L46" i="3" a="1"/>
  <c r="E49" i="3" a="1"/>
  <c r="L49" i="3" a="1"/>
  <c r="E49" i="3" l="1"/>
  <c r="L49" i="3"/>
  <c r="E46" i="3"/>
  <c r="L46" i="3"/>
  <c r="D35" i="4" l="1"/>
  <c r="AJ31" i="4"/>
  <c r="AD9" i="4"/>
  <c r="AN12" i="4"/>
  <c r="AL12" i="4"/>
  <c r="AJ12" i="4"/>
  <c r="AH12" i="4"/>
  <c r="AD7" i="4"/>
  <c r="AI7" i="4" s="1"/>
  <c r="AB31" i="4"/>
  <c r="AF31" i="4" s="1"/>
  <c r="C32" i="4"/>
  <c r="AB32" i="4" s="1"/>
  <c r="AC35" i="4" a="1"/>
  <c r="AC35" i="4" l="1"/>
  <c r="AL31" i="4"/>
  <c r="AD12" i="4"/>
  <c r="AD18" i="4"/>
  <c r="AF18" i="4" s="1"/>
  <c r="C33" i="4"/>
  <c r="AB33" i="4" s="1"/>
  <c r="AF33" i="4" s="1"/>
  <c r="AL33" i="4" s="1"/>
  <c r="AM33" i="4" s="1"/>
  <c r="AN33" i="4" s="1"/>
  <c r="K15" i="3"/>
  <c r="K16" i="3"/>
  <c r="AF32" i="4" l="1"/>
  <c r="AL32" i="4" s="1"/>
  <c r="AM32" i="4" s="1"/>
  <c r="AN32" i="4" s="1"/>
  <c r="AH35" i="4"/>
  <c r="AK35" i="4" s="1"/>
  <c r="AE35" i="4"/>
  <c r="AF12" i="4"/>
  <c r="AD13" i="4"/>
  <c r="AF13" i="4" s="1"/>
  <c r="AD19" i="4"/>
  <c r="AF19" i="4" s="1"/>
  <c r="G112" i="3"/>
  <c r="F112" i="3"/>
  <c r="E112" i="3"/>
  <c r="AC72" i="3"/>
  <c r="AC75" i="3" s="1"/>
  <c r="AC76" i="3" s="1"/>
  <c r="AD76" i="3" s="1"/>
  <c r="G84" i="3"/>
  <c r="H89" i="3" s="1"/>
  <c r="C34" i="4"/>
  <c r="AB34" i="4" s="1"/>
  <c r="P84" i="3" a="1"/>
  <c r="E60" i="3" a="1"/>
  <c r="J89" i="3" a="1"/>
  <c r="L60" i="3" a="1"/>
  <c r="AC78" i="3" l="1"/>
  <c r="G86" i="3" s="1"/>
  <c r="AD21" i="4"/>
  <c r="AF21" i="4" s="1"/>
  <c r="AD20" i="4"/>
  <c r="AF20" i="4" s="1"/>
  <c r="AD14" i="4"/>
  <c r="AF14" i="4" s="1"/>
  <c r="J111" i="3"/>
  <c r="M111" i="3" s="1"/>
  <c r="M112" i="3" s="1"/>
  <c r="J113" i="3" s="1"/>
  <c r="M113" i="3" s="1"/>
  <c r="R114" i="3" s="1"/>
  <c r="J89" i="3"/>
  <c r="P84" i="3"/>
  <c r="L60" i="3"/>
  <c r="E60" i="3"/>
  <c r="AM31" i="4"/>
  <c r="AN31" i="4" s="1"/>
  <c r="C35" i="4"/>
  <c r="AB35" i="4" s="1"/>
  <c r="AF35" i="4" s="1"/>
  <c r="AL35" i="4" s="1"/>
  <c r="AM35" i="4" s="1"/>
  <c r="AN35" i="4" s="1"/>
  <c r="H31" i="4"/>
  <c r="P86" i="3" a="1"/>
  <c r="P86" i="3" l="1"/>
  <c r="H90" i="3"/>
  <c r="AF34" i="4"/>
  <c r="AL34" i="4" s="1"/>
  <c r="AM34" i="4" s="1"/>
  <c r="AN34" i="4" s="1"/>
  <c r="AD24" i="4"/>
  <c r="Q111" i="3"/>
  <c r="R111" i="3" s="1"/>
  <c r="AE9" i="4"/>
  <c r="I31" i="4"/>
  <c r="C36" i="4"/>
  <c r="AB36" i="4" s="1"/>
  <c r="H32" i="4"/>
  <c r="J90" i="3" a="1"/>
  <c r="J90" i="3" l="1"/>
  <c r="E24" i="4"/>
  <c r="AE24" i="4" a="1"/>
  <c r="AE24" i="4" s="1"/>
  <c r="AD23" i="4" s="1"/>
  <c r="AS31" i="4" s="1"/>
  <c r="AM9" i="4"/>
  <c r="AP11" i="4" s="1"/>
  <c r="AI9" i="4"/>
  <c r="AP9" i="4" s="1"/>
  <c r="AL9" i="4"/>
  <c r="AL10" i="4" s="1"/>
  <c r="AK9" i="4"/>
  <c r="AP10" i="4" s="1"/>
  <c r="AH9" i="4"/>
  <c r="AH10" i="4" s="1"/>
  <c r="AF9" i="4"/>
  <c r="AF10" i="4" s="1"/>
  <c r="AG9" i="4"/>
  <c r="AP8" i="4" s="1"/>
  <c r="AJ9" i="4"/>
  <c r="AJ10" i="4" s="1"/>
  <c r="I32" i="4"/>
  <c r="C37" i="4"/>
  <c r="AB37" i="4" s="1"/>
  <c r="AF37" i="4" s="1"/>
  <c r="AL37" i="4" s="1"/>
  <c r="AM37" i="4" s="1"/>
  <c r="AN37" i="4" s="1"/>
  <c r="H33" i="4"/>
  <c r="AF36" i="4" l="1"/>
  <c r="AL36" i="4" s="1"/>
  <c r="AM36" i="4" s="1"/>
  <c r="AN36" i="4" s="1"/>
  <c r="E23" i="4"/>
  <c r="AE23" i="4" a="1"/>
  <c r="AE23" i="4" s="1"/>
  <c r="AT31" i="4" s="1"/>
  <c r="AT8" i="4"/>
  <c r="AS8" i="4"/>
  <c r="AQ8" i="4"/>
  <c r="AR8" i="4" s="1"/>
  <c r="AQ10" i="4"/>
  <c r="AR10" i="4" s="1"/>
  <c r="AT10" i="4"/>
  <c r="AS10" i="4"/>
  <c r="AT9" i="4"/>
  <c r="AS9" i="4"/>
  <c r="AQ9" i="4"/>
  <c r="AR9" i="4" s="1"/>
  <c r="AT11" i="4"/>
  <c r="AS11" i="4"/>
  <c r="AQ11" i="4"/>
  <c r="AR11" i="4" s="1"/>
  <c r="I33" i="4"/>
  <c r="C38" i="4"/>
  <c r="AB38" i="4" s="1"/>
  <c r="H34" i="4" l="1"/>
  <c r="I34" i="4"/>
  <c r="BB33" i="4"/>
  <c r="AP32" i="4" s="1"/>
  <c r="AR32" i="4" s="1"/>
  <c r="AW33" i="4"/>
  <c r="AU33" i="4"/>
  <c r="BA33" i="4"/>
  <c r="AO32" i="4" s="1"/>
  <c r="AQ32" i="4" s="1"/>
  <c r="AZ33" i="4"/>
  <c r="AP33" i="4" s="1"/>
  <c r="AR33" i="4" s="1"/>
  <c r="AY33" i="4"/>
  <c r="AO33" i="4" s="1"/>
  <c r="AQ33" i="4" s="1"/>
  <c r="AX33" i="4"/>
  <c r="AV33" i="4"/>
  <c r="AU8" i="4"/>
  <c r="AG10" i="4" s="1"/>
  <c r="AU10" i="4"/>
  <c r="AK10" i="4" s="1"/>
  <c r="AU9" i="4"/>
  <c r="AI10" i="4" s="1"/>
  <c r="AU11" i="4"/>
  <c r="AM10" i="4" s="1"/>
  <c r="C39" i="4"/>
  <c r="AB39" i="4" s="1"/>
  <c r="AF39" i="4" s="1"/>
  <c r="AL39" i="4" s="1"/>
  <c r="AM39" i="4" s="1"/>
  <c r="AN39" i="4" s="1"/>
  <c r="H35" i="4"/>
  <c r="N33" i="4" a="1"/>
  <c r="N32" i="4" a="1"/>
  <c r="K32" i="4" a="1"/>
  <c r="K33" i="4" a="1"/>
  <c r="AO31" i="4" l="1"/>
  <c r="AO37" i="4"/>
  <c r="AQ37" i="4" s="1"/>
  <c r="AO35" i="4"/>
  <c r="AQ35" i="4" s="1"/>
  <c r="AO34" i="4"/>
  <c r="AQ34" i="4" s="1"/>
  <c r="AO36" i="4"/>
  <c r="AQ36" i="4" s="1"/>
  <c r="AP39" i="4"/>
  <c r="AR39" i="4" s="1"/>
  <c r="AO39" i="4"/>
  <c r="AQ39" i="4" s="1"/>
  <c r="AP31" i="4"/>
  <c r="AP35" i="4"/>
  <c r="AR35" i="4" s="1"/>
  <c r="AP37" i="4"/>
  <c r="AR37" i="4" s="1"/>
  <c r="P32" i="4"/>
  <c r="AC52" i="4" s="1"/>
  <c r="I75" i="4" s="1"/>
  <c r="AP36" i="4"/>
  <c r="AR36" i="4" s="1"/>
  <c r="AP34" i="4"/>
  <c r="AR34" i="4" s="1"/>
  <c r="AF38" i="4"/>
  <c r="AL38" i="4" s="1"/>
  <c r="AM38" i="4" s="1"/>
  <c r="AN38" i="4" s="1"/>
  <c r="J34" i="4"/>
  <c r="M34" i="4" s="1"/>
  <c r="N33" i="4"/>
  <c r="D54" i="4" s="1"/>
  <c r="P33" i="4"/>
  <c r="AC54" i="4" s="1"/>
  <c r="O75" i="4" s="1"/>
  <c r="N32" i="4"/>
  <c r="D52" i="4" s="1"/>
  <c r="J33" i="4"/>
  <c r="M33" i="4" s="1"/>
  <c r="J32" i="4"/>
  <c r="M32" i="4" s="1"/>
  <c r="J31" i="4"/>
  <c r="M31" i="4" s="1"/>
  <c r="AQ31" i="4"/>
  <c r="K32" i="4"/>
  <c r="K33" i="4"/>
  <c r="P35" i="4"/>
  <c r="AC58" i="4" s="1"/>
  <c r="AA75" i="4" s="1"/>
  <c r="I35" i="4"/>
  <c r="C40" i="4"/>
  <c r="AB40" i="4" s="1"/>
  <c r="AF40" i="4" s="1"/>
  <c r="AL40" i="4" s="1"/>
  <c r="AM40" i="4" s="1"/>
  <c r="AN40" i="4" s="1"/>
  <c r="K34" i="4" a="1"/>
  <c r="N35" i="4" a="1"/>
  <c r="K31" i="4" a="1"/>
  <c r="O74" i="4" a="1"/>
  <c r="AA74" i="4" a="1"/>
  <c r="K35" i="4" a="1"/>
  <c r="I74" i="4" a="1"/>
  <c r="I74" i="4" l="1"/>
  <c r="AA74" i="4"/>
  <c r="O74" i="4"/>
  <c r="K31" i="4"/>
  <c r="AO38" i="4"/>
  <c r="AQ38" i="4" s="1"/>
  <c r="AP38" i="4"/>
  <c r="AR38" i="4" s="1"/>
  <c r="AR31" i="4"/>
  <c r="AP40" i="4"/>
  <c r="AR40" i="4" s="1"/>
  <c r="AO40" i="4"/>
  <c r="AQ40" i="4" s="1"/>
  <c r="K34" i="4"/>
  <c r="F56" i="4"/>
  <c r="H36" i="4"/>
  <c r="F54" i="4"/>
  <c r="O76" i="4" s="1"/>
  <c r="F50" i="4"/>
  <c r="F52" i="4"/>
  <c r="I76" i="4" s="1"/>
  <c r="N35" i="4"/>
  <c r="D58" i="4" s="1"/>
  <c r="J35" i="4"/>
  <c r="M35" i="4" s="1"/>
  <c r="K35" i="4"/>
  <c r="H37" i="4"/>
  <c r="N34" i="4" a="1"/>
  <c r="N31" i="4" a="1"/>
  <c r="AD53" i="4" a="1"/>
  <c r="I53" i="4" a="1"/>
  <c r="J77" i="4" l="1"/>
  <c r="L77" i="4" s="1"/>
  <c r="N78" i="4"/>
  <c r="N76" i="4" s="1"/>
  <c r="M78" i="4"/>
  <c r="M76" i="4" s="1"/>
  <c r="K78" i="4"/>
  <c r="K76" i="4" s="1"/>
  <c r="J78" i="4"/>
  <c r="J76" i="4" s="1"/>
  <c r="L78" i="4"/>
  <c r="L76" i="4" s="1"/>
  <c r="N31" i="4"/>
  <c r="D50" i="4" s="1"/>
  <c r="P31" i="4"/>
  <c r="AC50" i="4" s="1"/>
  <c r="J36" i="4"/>
  <c r="M36" i="4" s="1"/>
  <c r="F60" i="4" s="1"/>
  <c r="N34" i="4"/>
  <c r="D56" i="4" s="1"/>
  <c r="P34" i="4"/>
  <c r="AC56" i="4" s="1"/>
  <c r="U75" i="4" s="1"/>
  <c r="I53" i="4"/>
  <c r="AE53" i="4" s="1" a="1"/>
  <c r="AE53" i="4" s="1"/>
  <c r="AD53" i="4"/>
  <c r="F80" i="4" s="1"/>
  <c r="I36" i="4"/>
  <c r="F58" i="4"/>
  <c r="AA76" i="4" s="1"/>
  <c r="I37" i="4"/>
  <c r="K36" i="4" a="1"/>
  <c r="G53" i="4" a="1"/>
  <c r="I55" i="4" a="1"/>
  <c r="AD51" i="4" a="1"/>
  <c r="I57" i="4" a="1"/>
  <c r="AD55" i="4" a="1"/>
  <c r="K37" i="4" a="1"/>
  <c r="U74" i="4" a="1"/>
  <c r="U74" i="4" l="1"/>
  <c r="M77" i="4"/>
  <c r="K77" i="4"/>
  <c r="N77" i="4"/>
  <c r="AD51" i="4"/>
  <c r="E80" i="4" s="1"/>
  <c r="U76" i="4"/>
  <c r="Z78" i="4" s="1"/>
  <c r="C76" i="4"/>
  <c r="C75" i="4"/>
  <c r="J53" i="4" a="1"/>
  <c r="J53" i="4" s="1"/>
  <c r="K37" i="4"/>
  <c r="K36" i="4"/>
  <c r="J37" i="4"/>
  <c r="M37" i="4" s="1"/>
  <c r="F62" i="4" s="1"/>
  <c r="I55" i="4"/>
  <c r="AE55" i="4" s="1" a="1"/>
  <c r="AE55" i="4" s="1"/>
  <c r="J55" i="4" s="1" a="1"/>
  <c r="J55" i="4" s="1"/>
  <c r="AD55" i="4"/>
  <c r="G80" i="4" s="1"/>
  <c r="I57" i="4"/>
  <c r="AE57" i="4" s="1" a="1"/>
  <c r="AE57" i="4" s="1"/>
  <c r="J57" i="4" s="1" a="1"/>
  <c r="J57" i="4" s="1"/>
  <c r="G53" i="4"/>
  <c r="P40" i="4"/>
  <c r="AC68" i="4" s="1"/>
  <c r="N40" i="4" a="1"/>
  <c r="N40" i="4" s="1"/>
  <c r="D68" i="4" s="1"/>
  <c r="P38" i="4"/>
  <c r="AC64" i="4" s="1"/>
  <c r="N38" i="4" a="1"/>
  <c r="N38" i="4" s="1"/>
  <c r="D64" i="4" s="1"/>
  <c r="H38" i="4"/>
  <c r="P39" i="4"/>
  <c r="AC66" i="4" s="1"/>
  <c r="N39" i="4" a="1"/>
  <c r="N39" i="4" s="1"/>
  <c r="D66" i="4" s="1"/>
  <c r="K39" i="4" a="1"/>
  <c r="K39" i="4" s="1"/>
  <c r="J39" i="4"/>
  <c r="M39" i="4" s="1"/>
  <c r="F66" i="4" s="1"/>
  <c r="J38" i="4"/>
  <c r="M38" i="4" s="1"/>
  <c r="F64" i="4" s="1"/>
  <c r="K38" i="4" a="1"/>
  <c r="K38" i="4" s="1"/>
  <c r="I38" i="4"/>
  <c r="H40" i="4"/>
  <c r="K40" i="4" a="1"/>
  <c r="K40" i="4" s="1"/>
  <c r="J40" i="4"/>
  <c r="M40" i="4" s="1"/>
  <c r="F68" i="4" s="1"/>
  <c r="H39" i="4"/>
  <c r="O97" i="3"/>
  <c r="O96" i="3"/>
  <c r="G51" i="4" a="1"/>
  <c r="G55" i="4" a="1"/>
  <c r="N36" i="4" a="1"/>
  <c r="AD57" i="4" a="1"/>
  <c r="I51" i="4" a="1"/>
  <c r="N37" i="4" a="1"/>
  <c r="C74" i="4" a="1"/>
  <c r="AD57" i="4" l="1"/>
  <c r="C74" i="4"/>
  <c r="I51" i="4"/>
  <c r="D80" i="4"/>
  <c r="Y78" i="4"/>
  <c r="Y76" i="4" s="1"/>
  <c r="W78" i="4"/>
  <c r="W76" i="4" s="1"/>
  <c r="V78" i="4"/>
  <c r="V76" i="4" s="1"/>
  <c r="D77" i="4"/>
  <c r="H78" i="4"/>
  <c r="G78" i="4"/>
  <c r="G76" i="4" s="1"/>
  <c r="F78" i="4"/>
  <c r="E78" i="4"/>
  <c r="E76" i="4" s="1"/>
  <c r="D78" i="4"/>
  <c r="D76" i="4" s="1"/>
  <c r="S78" i="4"/>
  <c r="S76" i="4" s="1"/>
  <c r="Q78" i="4"/>
  <c r="Q76" i="4" s="1"/>
  <c r="T78" i="4"/>
  <c r="T76" i="4" s="1"/>
  <c r="P78" i="4"/>
  <c r="P76" i="4" s="1"/>
  <c r="Z76" i="4"/>
  <c r="R78" i="4"/>
  <c r="R76" i="4" s="1"/>
  <c r="P77" i="4"/>
  <c r="P75" i="4" s="1"/>
  <c r="V77" i="4"/>
  <c r="X78" i="4"/>
  <c r="X76" i="4" s="1"/>
  <c r="G51" i="4"/>
  <c r="G55" i="4"/>
  <c r="N36" i="4"/>
  <c r="D60" i="4" s="1"/>
  <c r="N37" i="4"/>
  <c r="D62" i="4" s="1"/>
  <c r="P36" i="4"/>
  <c r="AC60" i="4" s="1"/>
  <c r="AG75" i="4" s="1"/>
  <c r="P37" i="4"/>
  <c r="AC62" i="4" s="1"/>
  <c r="I67" i="4" a="1"/>
  <c r="I67" i="4" s="1"/>
  <c r="AE67" i="4" s="1" a="1"/>
  <c r="AE67" i="4" s="1"/>
  <c r="J67" i="4" s="1" a="1"/>
  <c r="J67" i="4" s="1"/>
  <c r="I65" i="4" a="1"/>
  <c r="I65" i="4" s="1"/>
  <c r="AE65" i="4" s="1" a="1"/>
  <c r="AE65" i="4" s="1"/>
  <c r="J65" i="4" s="1" a="1"/>
  <c r="J65" i="4" s="1"/>
  <c r="AD67" i="4" a="1"/>
  <c r="AD67" i="4" s="1"/>
  <c r="AD65" i="4" a="1"/>
  <c r="AD65" i="4" s="1"/>
  <c r="G65" i="4" s="1" a="1"/>
  <c r="G65" i="4" s="1"/>
  <c r="I39" i="4"/>
  <c r="P74" i="4" a="1"/>
  <c r="AG74" i="4" a="1"/>
  <c r="AG74" i="4" l="1"/>
  <c r="P74" i="4"/>
  <c r="D75" i="4"/>
  <c r="AM75" i="4"/>
  <c r="C83" i="4"/>
  <c r="H80" i="4"/>
  <c r="F76" i="4"/>
  <c r="E75" i="4"/>
  <c r="Q77" i="4"/>
  <c r="R77" i="4"/>
  <c r="S77" i="4"/>
  <c r="T77" i="4"/>
  <c r="Q75" i="4"/>
  <c r="W77" i="4"/>
  <c r="Y77" i="4"/>
  <c r="X77" i="4"/>
  <c r="Z77" i="4"/>
  <c r="V75" i="4"/>
  <c r="H77" i="4"/>
  <c r="E77" i="4"/>
  <c r="G77" i="4"/>
  <c r="F77" i="4"/>
  <c r="H76" i="4"/>
  <c r="AD63" i="4" a="1"/>
  <c r="AD63" i="4" s="1"/>
  <c r="AM76" i="4"/>
  <c r="AG76" i="4"/>
  <c r="J75" i="4"/>
  <c r="I63" i="4" a="1"/>
  <c r="I63" i="4" s="1"/>
  <c r="AE63" i="4" s="1" a="1"/>
  <c r="AE63" i="4" s="1"/>
  <c r="J63" i="4" s="1" a="1"/>
  <c r="J63" i="4" s="1"/>
  <c r="I40" i="4"/>
  <c r="AE51" i="4" a="1"/>
  <c r="E74" i="4" a="1"/>
  <c r="I59" i="4" a="1"/>
  <c r="J74" i="4" a="1"/>
  <c r="G57" i="4" a="1"/>
  <c r="Q74" i="4" a="1"/>
  <c r="AD61" i="4" a="1"/>
  <c r="D74" i="4" a="1"/>
  <c r="AD59" i="4" a="1"/>
  <c r="V74" i="4" a="1"/>
  <c r="AM74" i="4" a="1"/>
  <c r="I61" i="4" a="1"/>
  <c r="E74" i="4" l="1"/>
  <c r="AM74" i="4"/>
  <c r="Q74" i="4"/>
  <c r="G57" i="4"/>
  <c r="D74" i="4"/>
  <c r="J74" i="4"/>
  <c r="AE51" i="4"/>
  <c r="V74" i="4"/>
  <c r="AS75" i="4"/>
  <c r="F75" i="4"/>
  <c r="R75" i="4"/>
  <c r="K75" i="4"/>
  <c r="W75" i="4"/>
  <c r="G63" i="4" a="1"/>
  <c r="G63" i="4" s="1"/>
  <c r="AD78" i="4"/>
  <c r="AD76" i="4" s="1"/>
  <c r="AC78" i="4"/>
  <c r="AF78" i="4"/>
  <c r="AF76" i="4" s="1"/>
  <c r="AB78" i="4"/>
  <c r="AB76" i="4" s="1"/>
  <c r="AE78" i="4"/>
  <c r="AE76" i="4" s="1"/>
  <c r="AB77" i="4"/>
  <c r="AS76" i="4"/>
  <c r="AL78" i="4"/>
  <c r="AL76" i="4" s="1"/>
  <c r="AK78" i="4"/>
  <c r="AK76" i="4" s="1"/>
  <c r="AI78" i="4"/>
  <c r="AI76" i="4" s="1"/>
  <c r="AJ78" i="4"/>
  <c r="AJ76" i="4" s="1"/>
  <c r="AH78" i="4"/>
  <c r="AH76" i="4" s="1"/>
  <c r="AH77" i="4"/>
  <c r="AH75" i="4" s="1"/>
  <c r="AD61" i="4"/>
  <c r="J80" i="4" s="1"/>
  <c r="K80" i="4" s="1"/>
  <c r="L80" i="4" s="1"/>
  <c r="M80" i="4" s="1"/>
  <c r="AD59" i="4"/>
  <c r="I80" i="4" s="1"/>
  <c r="I59" i="4"/>
  <c r="D83" i="4" s="1"/>
  <c r="I61" i="4"/>
  <c r="AE61" i="4" s="1" a="1"/>
  <c r="AE61" i="4" s="1"/>
  <c r="J61" i="4" s="1" a="1"/>
  <c r="J61" i="4" s="1"/>
  <c r="R74" i="4" a="1"/>
  <c r="AH74" i="4" a="1"/>
  <c r="AS74" i="4" a="1"/>
  <c r="K74" i="4" a="1"/>
  <c r="G61" i="4" a="1"/>
  <c r="W74" i="4" a="1"/>
  <c r="F74" i="4" a="1"/>
  <c r="W74" i="4" l="1"/>
  <c r="K74" i="4"/>
  <c r="AS74" i="4"/>
  <c r="AH74" i="4"/>
  <c r="R74" i="4"/>
  <c r="F74" i="4"/>
  <c r="AC76" i="4"/>
  <c r="AY75" i="4"/>
  <c r="C82" i="4"/>
  <c r="S75" i="4"/>
  <c r="G75" i="4"/>
  <c r="AI75" i="4"/>
  <c r="X75" i="4"/>
  <c r="L75" i="4"/>
  <c r="AN77" i="4"/>
  <c r="AI77" i="4"/>
  <c r="AL77" i="4"/>
  <c r="AK77" i="4"/>
  <c r="AJ77" i="4"/>
  <c r="AC77" i="4"/>
  <c r="AE77" i="4"/>
  <c r="AF77" i="4"/>
  <c r="AD77" i="4"/>
  <c r="AB75" i="4"/>
  <c r="AR78" i="4"/>
  <c r="AR76" i="4" s="1"/>
  <c r="AO78" i="4"/>
  <c r="AO76" i="4" s="1"/>
  <c r="AN78" i="4"/>
  <c r="AN76" i="4" s="1"/>
  <c r="AP78" i="4"/>
  <c r="AP76" i="4" s="1"/>
  <c r="AQ78" i="4"/>
  <c r="AQ76" i="4" s="1"/>
  <c r="AY76" i="4"/>
  <c r="G61" i="4"/>
  <c r="G74" i="4" a="1"/>
  <c r="J51" i="4" a="1"/>
  <c r="AE59" i="4" a="1"/>
  <c r="AI74" i="4" a="1"/>
  <c r="X74" i="4" a="1"/>
  <c r="G59" i="4" a="1"/>
  <c r="S74" i="4" a="1"/>
  <c r="L74" i="4" a="1"/>
  <c r="AY74" i="4" a="1"/>
  <c r="AB74" i="4" a="1"/>
  <c r="G59" i="4" l="1"/>
  <c r="J51" i="4"/>
  <c r="G74" i="4"/>
  <c r="AY74" i="4"/>
  <c r="S74" i="4"/>
  <c r="AE59" i="4"/>
  <c r="AB74" i="4"/>
  <c r="L74" i="4"/>
  <c r="X74" i="4"/>
  <c r="AI74" i="4"/>
  <c r="BE75" i="4"/>
  <c r="AC75" i="4"/>
  <c r="T75" i="4"/>
  <c r="H75" i="4"/>
  <c r="M75" i="4"/>
  <c r="Y75" i="4"/>
  <c r="AJ75" i="4"/>
  <c r="AT77" i="4"/>
  <c r="BE76" i="4"/>
  <c r="AX78" i="4"/>
  <c r="AX76" i="4" s="1"/>
  <c r="AU78" i="4"/>
  <c r="AU76" i="4" s="1"/>
  <c r="AW78" i="4"/>
  <c r="AW76" i="4" s="1"/>
  <c r="AV78" i="4"/>
  <c r="AV76" i="4" s="1"/>
  <c r="AT78" i="4"/>
  <c r="AT76" i="4" s="1"/>
  <c r="AO77" i="4"/>
  <c r="AR77" i="4"/>
  <c r="AQ77" i="4"/>
  <c r="AP77" i="4"/>
  <c r="AN75" i="4"/>
  <c r="L102" i="3"/>
  <c r="L103" i="3" s="1"/>
  <c r="AJ74" i="4" a="1"/>
  <c r="T74" i="4" a="1"/>
  <c r="AC74" i="4" a="1"/>
  <c r="V11" i="3" a="1"/>
  <c r="BE74" i="4" a="1"/>
  <c r="H74" i="4" a="1"/>
  <c r="M74" i="4" a="1"/>
  <c r="Y74" i="4" a="1"/>
  <c r="AN74" i="4" a="1"/>
  <c r="AC74" i="4" l="1"/>
  <c r="AJ74" i="4"/>
  <c r="Y74" i="4"/>
  <c r="BE74" i="4"/>
  <c r="M74" i="4"/>
  <c r="H74" i="4"/>
  <c r="AN74" i="4"/>
  <c r="T74" i="4"/>
  <c r="D82" i="4"/>
  <c r="AO75" i="4"/>
  <c r="AD75" i="4"/>
  <c r="Z75" i="4"/>
  <c r="AK75" i="4"/>
  <c r="N75" i="4"/>
  <c r="AZ77" i="4"/>
  <c r="BA77" i="4" s="1"/>
  <c r="N80" i="4"/>
  <c r="BC78" i="4"/>
  <c r="BC76" i="4" s="1"/>
  <c r="BD78" i="4"/>
  <c r="BD76" i="4" s="1"/>
  <c r="AZ78" i="4"/>
  <c r="AZ76" i="4" s="1"/>
  <c r="BA78" i="4"/>
  <c r="BA76" i="4" s="1"/>
  <c r="BB78" i="4"/>
  <c r="BB76" i="4" s="1"/>
  <c r="AW77" i="4"/>
  <c r="AX77" i="4"/>
  <c r="AV77" i="4"/>
  <c r="AU77" i="4"/>
  <c r="AT75" i="4"/>
  <c r="V11" i="3"/>
  <c r="J59" i="4" a="1"/>
  <c r="AD74" i="4" a="1"/>
  <c r="Z74" i="4" a="1"/>
  <c r="AK74" i="4" a="1"/>
  <c r="AO74" i="4" a="1"/>
  <c r="AT74" i="4" a="1"/>
  <c r="N74" i="4" a="1"/>
  <c r="BC77" i="4" l="1"/>
  <c r="BB77" i="4"/>
  <c r="AO74" i="4"/>
  <c r="AD74" i="4"/>
  <c r="N74" i="4"/>
  <c r="J59" i="4"/>
  <c r="AK74" i="4"/>
  <c r="AT74" i="4"/>
  <c r="Z74" i="4"/>
  <c r="AP75" i="4"/>
  <c r="AU75" i="4"/>
  <c r="AL75" i="4"/>
  <c r="AZ75" i="4"/>
  <c r="BD77" i="4"/>
  <c r="AE75" i="4"/>
  <c r="AP74" i="4" a="1"/>
  <c r="AU74" i="4" a="1"/>
  <c r="AL74" i="4" a="1"/>
  <c r="AZ74" i="4" a="1"/>
  <c r="AE74" i="4" a="1"/>
  <c r="AE74" i="4" l="1"/>
  <c r="AL74" i="4"/>
  <c r="AZ74" i="4"/>
  <c r="AU74" i="4"/>
  <c r="AP74" i="4"/>
  <c r="AV75" i="4"/>
  <c r="AQ75" i="4"/>
  <c r="AF75" i="4"/>
  <c r="BA75" i="4"/>
  <c r="BA74" i="4" a="1"/>
  <c r="AV74" i="4" a="1"/>
  <c r="AQ74" i="4" a="1"/>
  <c r="AF74" i="4" a="1"/>
  <c r="BA74" i="4" l="1"/>
  <c r="AF74" i="4"/>
  <c r="AQ74" i="4"/>
  <c r="AV74" i="4"/>
  <c r="BB75" i="4"/>
  <c r="AR75" i="4"/>
  <c r="AW75" i="4"/>
  <c r="AW74" i="4" a="1"/>
  <c r="BB74" i="4" a="1"/>
  <c r="AR74" i="4" a="1"/>
  <c r="BB74" i="4" l="1"/>
  <c r="AR74" i="4"/>
  <c r="AW74" i="4"/>
  <c r="AX75" i="4"/>
  <c r="BC75" i="4"/>
  <c r="AX74" i="4" a="1"/>
  <c r="BC74" i="4" a="1"/>
  <c r="BC74" i="4" l="1"/>
  <c r="AX74" i="4"/>
  <c r="BD75" i="4"/>
  <c r="BD74" i="4" a="1"/>
  <c r="BD74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<sst xmlns="http://schemas.openxmlformats.org/spreadsheetml/2006/main" count="422" uniqueCount="227">
  <si>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</si>
  <si>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</si>
  <si>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</si>
  <si>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</si>
  <si>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</si>
  <si>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</si>
  <si>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</si>
  <si>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</si>
  <si>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</si>
  <si>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</si>
  <si>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</si>
  <si>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</si>
  <si>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</si>
  <si>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</si>
  <si>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</si>
  <si>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</si>
  <si>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</si>
  <si>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</si>
  <si>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</si>
  <si>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</si>
  <si>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</si>
  <si>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</si>
  <si>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LHA</t>
  </si>
  <si>
    <t>Deg</t>
  </si>
  <si>
    <t>Min</t>
  </si>
  <si>
    <t>deg</t>
  </si>
  <si>
    <t>11:59</t>
  </si>
  <si>
    <t>rad</t>
  </si>
  <si>
    <t>Signe</t>
  </si>
  <si>
    <t>Dec</t>
  </si>
  <si>
    <t>Rad</t>
  </si>
  <si>
    <t>Z</t>
  </si>
  <si>
    <t>Corrections</t>
  </si>
  <si>
    <t>Ho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</si>
  <si>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</si>
  <si>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</si>
  <si>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</si>
  <si>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</si>
  <si>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</si>
  <si>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</si>
  <si>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</si>
  <si>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</si>
  <si>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</si>
  <si>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</si>
  <si>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</si>
  <si>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</si>
  <si>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</si>
  <si>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</si>
  <si>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</si>
  <si>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</si>
  <si>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</si>
  <si>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</si>
  <si>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</si>
  <si>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</si>
  <si>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</si>
  <si>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</si>
  <si>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</si>
  <si>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</si>
  <si>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</si>
  <si>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</si>
  <si>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</si>
  <si>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</si>
  <si>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</si>
  <si>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</si>
  <si>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</si>
  <si>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</si>
  <si>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</si>
  <si>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</si>
  <si>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</si>
  <si>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</si>
  <si>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</si>
  <si>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</si>
  <si>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</si>
  <si>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</si>
  <si>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</si>
  <si>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</si>
  <si>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</si>
  <si>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VE</t>
  </si>
  <si>
    <t>-0:04</t>
  </si>
  <si>
    <t>Infos Maree</t>
  </si>
  <si>
    <t>StQuay</t>
  </si>
  <si>
    <t>MEMO</t>
  </si>
  <si>
    <t>Penser a mettre " ' " devant les heures / les degres sinon EXL les interprete</t>
  </si>
  <si>
    <t>Entrée a saisir</t>
  </si>
  <si>
    <t>Resultat de calcul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</si>
  <si>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</si>
  <si>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</si>
  <si>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</si>
  <si>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</si>
  <si>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</si>
  <si>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</si>
  <si>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</si>
  <si>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</si>
  <si>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</si>
  <si>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</si>
  <si>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</si>
  <si>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</si>
  <si>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</si>
  <si>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Is VM</t>
  </si>
  <si>
    <t>2024/12/20</t>
  </si>
  <si>
    <t>2024/12/21</t>
  </si>
  <si>
    <t>Has signe</t>
  </si>
  <si>
    <t>H</t>
  </si>
  <si>
    <t>-1:01</t>
  </si>
  <si>
    <t>delta heure</t>
  </si>
  <si>
    <t>00:12:00</t>
  </si>
  <si>
    <t>06:12</t>
  </si>
  <si>
    <t>Par Hauteur</t>
  </si>
  <si>
    <t>Hauteur (m)</t>
  </si>
  <si>
    <t>Resultat / Recherche</t>
  </si>
  <si>
    <t>Par Heure</t>
  </si>
  <si>
    <t>Maree</t>
  </si>
  <si>
    <t>(m)</t>
  </si>
  <si>
    <t>Verifications + application des corrections de port</t>
  </si>
  <si>
    <t>12:24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</si>
  <si>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</si>
  <si>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</si>
  <si>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</si>
  <si>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</si>
  <si>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</si>
  <si>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</si>
  <si>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</si>
  <si>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</si>
  <si>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</si>
  <si>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</si>
  <si>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</si>
  <si>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</si>
  <si>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</si>
  <si>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</si>
  <si>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</si>
  <si>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</si>
  <si>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</si>
  <si>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</si>
  <si>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</si>
  <si>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</si>
  <si>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</si>
  <si>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</si>
  <si>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</si>
  <si>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</si>
  <si>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</si>
  <si>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</si>
  <si>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</si>
  <si>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</si>
  <si>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</si>
  <si>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</si>
  <si>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</si>
  <si>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</si>
  <si>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</si>
  <si>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</si>
  <si>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</si>
  <si>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</si>
  <si>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</si>
  <si>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</si>
  <si>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</si>
  <si>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</si>
  <si>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</si>
  <si>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</si>
  <si>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</si>
  <si>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t>Ho-Hc</t>
  </si>
  <si>
    <t>Azimut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</si>
  <si>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</si>
  <si>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</si>
  <si>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</si>
  <si>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</si>
  <si>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</si>
  <si>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</si>
  <si>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</si>
  <si>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</si>
  <si>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</si>
  <si>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</si>
  <si>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</si>
  <si>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</si>
  <si>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</si>
  <si>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</si>
  <si>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</si>
  <si>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</si>
  <si>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</si>
  <si>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</si>
  <si>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</si>
  <si>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r>
      <t xml:space="preserve">Lat </t>
    </r>
    <r>
      <rPr>
        <vertAlign val="subscript"/>
        <sz val="10"/>
        <color theme="1"/>
        <rFont val="Calibri"/>
        <family val="2"/>
        <scheme val="minor"/>
      </rPr>
      <t>Estimee</t>
    </r>
  </si>
  <si>
    <t>Constantes</t>
  </si>
  <si>
    <t>Corrections selon port de ref si necessaire</t>
  </si>
  <si>
    <t>00:00:00</t>
  </si>
  <si>
    <t>St Malo</t>
  </si>
  <si>
    <t>DernierPortMacro</t>
  </si>
  <si>
    <t>DernierPortPourMacro</t>
  </si>
  <si>
    <t>Alderney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</si>
  <si>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</si>
  <si>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</si>
  <si>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</si>
  <si>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</si>
  <si>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</si>
  <si>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</si>
  <si>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12:00</t>
  </si>
  <si>
    <t>18:12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</si>
  <si>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</si>
  <si>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</si>
  <si>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</si>
  <si>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</si>
  <si>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</si>
  <si>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</si>
  <si>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</si>
  <si>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</si>
  <si>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</si>
  <si>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</si>
  <si>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</si>
  <si>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</si>
  <si>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</si>
  <si>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</si>
  <si>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</si>
  <si>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</si>
  <si>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</si>
  <si>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</si>
  <si>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TS (epoch en heure)</t>
  </si>
  <si>
    <t>17:00:00</t>
  </si>
  <si>
    <t>2024/12/22</t>
  </si>
  <si>
    <t>00:01</t>
  </si>
  <si>
    <t>==&gt;</t>
  </si>
  <si>
    <t>Maregramme</t>
  </si>
  <si>
    <t>HureMaree</t>
  </si>
  <si>
    <t>Douzieme</t>
  </si>
  <si>
    <t>nb1/12</t>
  </si>
  <si>
    <t>Heure txt</t>
  </si>
  <si>
    <t>Heure a hauteur)</t>
  </si>
  <si>
    <t>hauteur</t>
  </si>
  <si>
    <t>heure a heure</t>
  </si>
  <si>
    <t>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</si>
</sst>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d/m/yy\ h:mm;@"/>
    <numFmt numFmtId="166" formatCode="[$-409]dddd\,\ mmmm\ d\,\ yyyy"/>
  </numFmts>
  <fonts count="4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vertAlign val="subscript"/>
      <sz val="10"/>
      <color theme="1"/>
      <name val="Calibri"/>
      <family val="2"/>
      <scheme val="minor"/>
    </font>
    <font>
      <b/>
      <sz val="10"/>
      <color rgb="FF9C57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9C0006"/>
      <name val="Calibri"/>
      <family val="2"/>
      <scheme val="minor"/>
    </font>
    <font>
      <sz val="9"/>
      <color theme="1"/>
      <name val="Roboto"/>
    </font>
    <font>
      <b/>
      <sz val="11"/>
      <color rgb="FF3F3F3F"/>
      <name val="Calibri"/>
      <family val="2"/>
      <scheme val="minor"/>
    </font>
    <font>
      <b/>
      <sz val="9"/>
      <color rgb="FF3F3F3F"/>
      <name val="Calibri"/>
      <family val="2"/>
      <scheme val="minor"/>
    </font>
    <font>
      <b/>
      <sz val="9"/>
      <color theme="1"/>
      <name val="Roboto"/>
    </font>
    <font>
      <sz val="9"/>
      <color rgb="FF006100"/>
      <name val="Calibri"/>
      <family val="2"/>
      <scheme val="minor"/>
    </font>
    <font>
      <b/>
      <sz val="9"/>
      <color rgb="FF006100"/>
      <name val="Roboto"/>
    </font>
  </fonts>
  <fills count="2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C00000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C7C1"/>
        <bgColor indexed="64"/>
      </patternFill>
    </fill>
  </fills>
  <borders count="8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11" fillId="14" borderId="0" applyNumberFormat="0" applyBorder="0" applyAlignment="0" applyProtection="0"/>
    <xf numFmtId="0" fontId="37" fillId="2" borderId="86" applyNumberFormat="0" applyAlignment="0" applyProtection="0"/>
  </cellStyleXfs>
  <cellXfs count="329">
    <xf numFmtId="0" fontId="0" fillId="0" borderId="0" xfId="0"/>
    <xf numFmtId="164" fontId="10" fillId="0" borderId="0" xfId="0" applyNumberFormat="1" applyFont="1"/>
    <xf numFmtId="164" fontId="22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7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6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2" fillId="0" borderId="0" xfId="0" applyFont="1"/>
    <xf numFmtId="164" fontId="10" fillId="0" borderId="2" xfId="0" applyNumberFormat="1" applyFont="1" applyBorder="1"/>
    <xf numFmtId="0" fontId="17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0" fontId="10" fillId="0" borderId="0" xfId="0" applyFont="1"/>
    <xf numFmtId="164" fontId="10" fillId="7" borderId="0" xfId="0" applyNumberFormat="1" applyFont="1" applyFill="1"/>
    <xf numFmtId="164" fontId="16" fillId="2" borderId="1" xfId="1" applyNumberFormat="1" applyFont="1" applyProtection="1"/>
    <xf numFmtId="0" fontId="13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3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3" fillId="4" borderId="6" xfId="3" applyFont="1" applyBorder="1"/>
    <xf numFmtId="0" fontId="13" fillId="4" borderId="8" xfId="3" applyFont="1" applyBorder="1"/>
    <xf numFmtId="0" fontId="13" fillId="4" borderId="9" xfId="3" applyFont="1" applyBorder="1"/>
    <xf numFmtId="0" fontId="13" fillId="4" borderId="11" xfId="3" applyFont="1" applyBorder="1"/>
    <xf numFmtId="0" fontId="13" fillId="4" borderId="63" xfId="3" applyFont="1" applyBorder="1"/>
    <xf numFmtId="0" fontId="31" fillId="12" borderId="0" xfId="0" applyFont="1" applyFill="1"/>
    <xf numFmtId="0" fontId="10" fillId="12" borderId="0" xfId="0" applyFont="1" applyFill="1"/>
    <xf numFmtId="0" fontId="19" fillId="10" borderId="2" xfId="6" applyFont="1" applyBorder="1"/>
    <xf numFmtId="0" fontId="14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7" fillId="7" borderId="0" xfId="0" applyFont="1" applyFill="1"/>
    <xf numFmtId="0" fontId="26" fillId="4" borderId="0" xfId="3" applyFont="1" applyAlignment="1">
      <alignment horizontal="center"/>
    </xf>
    <xf numFmtId="0" fontId="14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7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7" fillId="0" borderId="2" xfId="0" applyFont="1" applyBorder="1"/>
    <xf numFmtId="0" fontId="26" fillId="4" borderId="0" xfId="3" applyFont="1"/>
    <xf numFmtId="0" fontId="17" fillId="0" borderId="0" xfId="0" applyFont="1" applyAlignment="1">
      <alignment horizontal="center"/>
    </xf>
    <xf numFmtId="164" fontId="17" fillId="0" borderId="0" xfId="0" applyNumberFormat="1" applyFont="1"/>
    <xf numFmtId="0" fontId="26" fillId="4" borderId="0" xfId="3" applyFont="1" applyBorder="1" applyAlignment="1">
      <alignment horizontal="center"/>
    </xf>
    <xf numFmtId="0" fontId="20" fillId="4" borderId="0" xfId="3" applyFont="1"/>
    <xf numFmtId="0" fontId="20" fillId="4" borderId="0" xfId="3" applyFont="1" applyAlignment="1">
      <alignment horizontal="center" vertical="center"/>
    </xf>
    <xf numFmtId="0" fontId="20" fillId="4" borderId="0" xfId="3" applyFont="1" applyBorder="1"/>
    <xf numFmtId="164" fontId="16" fillId="17" borderId="1" xfId="1" applyNumberFormat="1" applyFont="1" applyFill="1" applyAlignment="1" applyProtection="1"/>
    <xf numFmtId="0" fontId="20" fillId="4" borderId="2" xfId="3" applyFont="1" applyBorder="1" applyAlignment="1">
      <alignment horizontal="center" vertical="center"/>
    </xf>
    <xf numFmtId="0" fontId="20" fillId="4" borderId="2" xfId="3" applyFont="1" applyBorder="1"/>
    <xf numFmtId="0" fontId="20" fillId="4" borderId="2" xfId="3" applyFont="1" applyBorder="1" applyAlignment="1">
      <alignment horizontal="center"/>
    </xf>
    <xf numFmtId="164" fontId="16" fillId="2" borderId="1" xfId="1" applyNumberFormat="1" applyFont="1" applyAlignment="1" applyProtection="1"/>
    <xf numFmtId="0" fontId="17" fillId="0" borderId="0" xfId="0" quotePrefix="1" applyFont="1"/>
    <xf numFmtId="0" fontId="19" fillId="10" borderId="0" xfId="6" applyFont="1" applyAlignment="1"/>
    <xf numFmtId="0" fontId="20" fillId="4" borderId="2" xfId="3" quotePrefix="1" applyFont="1" applyBorder="1" applyAlignment="1"/>
    <xf numFmtId="0" fontId="20" fillId="4" borderId="2" xfId="3" applyFont="1" applyBorder="1" applyAlignment="1"/>
    <xf numFmtId="0" fontId="19" fillId="10" borderId="2" xfId="6" applyFont="1" applyBorder="1" applyAlignment="1"/>
    <xf numFmtId="0" fontId="20" fillId="4" borderId="0" xfId="3" quotePrefix="1" applyFont="1" applyAlignment="1"/>
    <xf numFmtId="0" fontId="10" fillId="18" borderId="2" xfId="0" applyFont="1" applyFill="1" applyBorder="1" applyAlignment="1">
      <alignment horizontal="center"/>
    </xf>
    <xf numFmtId="0" fontId="18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4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10" fillId="0" borderId="0" xfId="0" applyFont="1"/>
    <xf numFmtId="164" fontId="22" fillId="0" borderId="0" xfId="0" applyNumberFormat="1" applyFont="1" applyAlignment="1">
      <alignment horizontal="right"/>
    </xf>
    <xf numFmtId="0" fontId="21" fillId="4" borderId="2" xfId="3" applyFont="1" applyBorder="1" applyAlignment="1">
      <alignment horizontal="center" vertical="center"/>
    </xf>
    <xf numFmtId="0" fontId="19" fillId="10" borderId="0" xfId="6" applyFont="1"/>
    <xf numFmtId="14" fontId="10" fillId="0" borderId="0" xfId="0" applyNumberFormat="1" applyFont="1"/>
    <xf numFmtId="2" fontId="10" fillId="0" borderId="0" xfId="0" applyNumberFormat="1" applyFont="1"/>
    <xf numFmtId="0" fontId="33" fillId="10" borderId="4" xfId="6" applyFont="1" applyBorder="1" applyAlignment="1"/>
    <xf numFmtId="0" fontId="33" fillId="10" borderId="2" xfId="6" applyFont="1" applyBorder="1" applyAlignment="1">
      <alignment horizontal="center" vertical="center"/>
    </xf>
    <xf numFmtId="0" fontId="18" fillId="6" borderId="2" xfId="5" applyFont="1" applyBorder="1" applyAlignment="1"/>
    <xf numFmtId="0" fontId="18" fillId="6" borderId="2" xfId="5" applyFont="1" applyBorder="1" applyAlignment="1">
      <alignment horizontal="center" vertical="center"/>
    </xf>
    <xf numFmtId="20" fontId="18" fillId="6" borderId="2" xfId="5" quotePrefix="1" applyNumberFormat="1" applyFont="1" applyBorder="1" applyAlignment="1">
      <alignment horizontal="center" vertical="center"/>
    </xf>
    <xf numFmtId="0" fontId="18" fillId="6" borderId="2" xfId="5" quotePrefix="1" applyFont="1" applyBorder="1" applyAlignment="1">
      <alignment horizontal="center" vertical="center"/>
    </xf>
    <xf numFmtId="0" fontId="33" fillId="10" borderId="4" xfId="6" applyFont="1" applyBorder="1" applyAlignment="1">
      <alignment horizontal="center"/>
    </xf>
    <xf numFmtId="0" fontId="18" fillId="11" borderId="1" xfId="2" applyFont="1" applyAlignment="1"/>
    <xf numFmtId="0" fontId="33" fillId="10" borderId="2" xfId="6" applyFont="1" applyBorder="1" applyAlignment="1">
      <alignment horizontal="center"/>
    </xf>
    <xf numFmtId="0" fontId="34" fillId="6" borderId="79" xfId="5" applyFont="1" applyBorder="1" applyAlignment="1">
      <alignment horizontal="center"/>
    </xf>
    <xf numFmtId="17" fontId="18" fillId="11" borderId="2" xfId="2" quotePrefix="1" applyNumberFormat="1" applyFont="1" applyBorder="1" applyAlignment="1">
      <alignment horizontal="center" vertical="center"/>
    </xf>
    <xf numFmtId="0" fontId="18" fillId="11" borderId="2" xfId="2" quotePrefix="1" applyFont="1" applyBorder="1" applyAlignment="1">
      <alignment horizontal="center" vertical="center"/>
    </xf>
    <xf numFmtId="0" fontId="18" fillId="11" borderId="2" xfId="2" applyFont="1" applyBorder="1" applyAlignment="1">
      <alignment horizontal="center" vertical="center"/>
    </xf>
    <xf numFmtId="0" fontId="34" fillId="6" borderId="24" xfId="5" applyFont="1" applyAlignment="1">
      <alignment horizontal="center"/>
    </xf>
    <xf numFmtId="0" fontId="10" fillId="6" borderId="24" xfId="5" applyFont="1"/>
    <xf numFmtId="0" fontId="20" fillId="4" borderId="4" xfId="3" applyFont="1" applyBorder="1" applyAlignment="1"/>
    <xf numFmtId="0" fontId="20" fillId="4" borderId="5" xfId="3" applyFont="1" applyBorder="1" applyAlignment="1"/>
    <xf numFmtId="0" fontId="10" fillId="3" borderId="0" xfId="0" applyFont="1" applyFill="1"/>
    <xf numFmtId="20" fontId="18" fillId="11" borderId="2" xfId="2" quotePrefix="1" applyNumberFormat="1" applyFont="1" applyBorder="1" applyAlignment="1">
      <alignment horizontal="center" vertical="center"/>
    </xf>
    <xf numFmtId="2" fontId="20" fillId="4" borderId="0" xfId="3" applyNumberFormat="1" applyFont="1"/>
    <xf numFmtId="2" fontId="35" fillId="14" borderId="0" xfId="8" applyNumberFormat="1" applyFont="1"/>
    <xf numFmtId="20" fontId="10" fillId="0" borderId="0" xfId="0" quotePrefix="1" applyNumberFormat="1" applyFont="1"/>
    <xf numFmtId="0" fontId="21" fillId="4" borderId="2" xfId="3" applyFont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10" fillId="0" borderId="0" xfId="0" applyFont="1"/>
    <xf numFmtId="0" fontId="17" fillId="0" borderId="0" xfId="0" applyFont="1"/>
    <xf numFmtId="0" fontId="38" fillId="2" borderId="86" xfId="9" applyFont="1" applyAlignment="1">
      <alignment horizontal="center" vertical="center"/>
    </xf>
    <xf numFmtId="2" fontId="38" fillId="2" borderId="86" xfId="9" applyNumberFormat="1" applyFont="1" applyAlignment="1">
      <alignment horizontal="center"/>
    </xf>
    <xf numFmtId="2" fontId="39" fillId="16" borderId="67" xfId="1" applyNumberFormat="1" applyFont="1" applyFill="1" applyBorder="1" applyAlignment="1"/>
    <xf numFmtId="0" fontId="21" fillId="4" borderId="2" xfId="3" applyFont="1" applyBorder="1" applyAlignment="1">
      <alignment horizontal="center"/>
    </xf>
    <xf numFmtId="0" fontId="20" fillId="4" borderId="29" xfId="3" applyFont="1" applyBorder="1" applyAlignment="1">
      <alignment horizontal="center"/>
    </xf>
    <xf numFmtId="0" fontId="13" fillId="4" borderId="30" xfId="3" applyFont="1" applyBorder="1"/>
    <xf numFmtId="0" fontId="34" fillId="6" borderId="2" xfId="5" applyFont="1" applyBorder="1" applyAlignment="1">
      <alignment horizontal="center" vertical="center"/>
    </xf>
    <xf numFmtId="0" fontId="10" fillId="0" borderId="2" xfId="0" applyFont="1" applyBorder="1" applyAlignment="1"/>
    <xf numFmtId="0" fontId="17" fillId="6" borderId="2" xfId="5" applyFont="1" applyBorder="1" applyAlignment="1"/>
    <xf numFmtId="0" fontId="17" fillId="6" borderId="2" xfId="5" applyFont="1" applyBorder="1" applyAlignment="1">
      <alignment horizontal="center"/>
    </xf>
    <xf numFmtId="0" fontId="40" fillId="4" borderId="2" xfId="3" applyFont="1" applyBorder="1" applyAlignment="1"/>
    <xf numFmtId="2" fontId="41" fillId="4" borderId="0" xfId="3" applyNumberFormat="1" applyFont="1"/>
    <xf numFmtId="165" fontId="36" fillId="0" borderId="0" xfId="0" applyNumberFormat="1" applyFont="1"/>
    <xf numFmtId="0" fontId="10" fillId="19" borderId="0" xfId="0" applyFont="1" applyFill="1"/>
    <xf numFmtId="2" fontId="10" fillId="19" borderId="0" xfId="0" applyNumberFormat="1" applyFont="1" applyFill="1"/>
    <xf numFmtId="2" fontId="19" fillId="19" borderId="0" xfId="6" applyNumberFormat="1" applyFont="1" applyFill="1"/>
    <xf numFmtId="0" fontId="10" fillId="20" borderId="0" xfId="0" applyFont="1" applyFill="1"/>
    <xf numFmtId="2" fontId="10" fillId="20" borderId="0" xfId="0" applyNumberFormat="1" applyFont="1" applyFill="1"/>
    <xf numFmtId="0" fontId="10" fillId="0" borderId="0" xfId="0" applyFont="1"/>
    <xf numFmtId="164" fontId="26" fillId="4" borderId="2" xfId="3" applyNumberFormat="1" applyFont="1" applyBorder="1" applyAlignment="1" applyProtection="1">
      <alignment horizontal="center" vertical="center"/>
    </xf>
    <xf numFmtId="164" fontId="25" fillId="5" borderId="2" xfId="4" applyNumberFormat="1" applyFont="1" applyBorder="1" applyAlignment="1" applyProtection="1">
      <alignment horizontal="center" vertical="center"/>
    </xf>
    <xf numFmtId="164" fontId="26" fillId="4" borderId="6" xfId="3" applyNumberFormat="1" applyFont="1" applyBorder="1" applyAlignment="1">
      <alignment horizontal="center" vertical="center"/>
    </xf>
    <xf numFmtId="0" fontId="26" fillId="4" borderId="7" xfId="3" applyFont="1" applyBorder="1" applyAlignment="1">
      <alignment horizontal="center" vertical="center"/>
    </xf>
    <xf numFmtId="0" fontId="26" fillId="4" borderId="8" xfId="3" applyFont="1" applyBorder="1" applyAlignment="1">
      <alignment horizontal="center" vertical="center"/>
    </xf>
    <xf numFmtId="0" fontId="26" fillId="4" borderId="9" xfId="3" applyFont="1" applyBorder="1" applyAlignment="1">
      <alignment horizontal="center" vertical="center"/>
    </xf>
    <xf numFmtId="0" fontId="26" fillId="4" borderId="10" xfId="3" applyFont="1" applyBorder="1" applyAlignment="1">
      <alignment horizontal="center" vertical="center"/>
    </xf>
    <xf numFmtId="0" fontId="26" fillId="4" borderId="11" xfId="3" applyFont="1" applyBorder="1" applyAlignment="1">
      <alignment horizontal="center" vertical="center"/>
    </xf>
    <xf numFmtId="0" fontId="10" fillId="6" borderId="70" xfId="5" applyFont="1" applyBorder="1" applyAlignment="1" applyProtection="1">
      <alignment horizontal="center" vertical="center" wrapText="1"/>
    </xf>
    <xf numFmtId="0" fontId="10" fillId="6" borderId="72" xfId="5" applyFont="1" applyBorder="1" applyAlignment="1" applyProtection="1">
      <alignment horizontal="center" vertical="center" wrapText="1"/>
    </xf>
    <xf numFmtId="0" fontId="10" fillId="6" borderId="74" xfId="5" applyFont="1" applyBorder="1" applyAlignment="1" applyProtection="1">
      <alignment horizontal="center" vertical="center" wrapText="1"/>
    </xf>
    <xf numFmtId="0" fontId="20" fillId="4" borderId="2" xfId="3" applyFont="1" applyBorder="1" applyAlignment="1">
      <alignment horizontal="center" vertical="center"/>
    </xf>
    <xf numFmtId="164" fontId="20" fillId="4" borderId="2" xfId="3" applyNumberFormat="1" applyFont="1" applyBorder="1" applyAlignment="1">
      <alignment horizontal="center" vertical="center"/>
    </xf>
    <xf numFmtId="0" fontId="10" fillId="6" borderId="76" xfId="5" applyFont="1" applyBorder="1" applyAlignment="1">
      <alignment horizontal="center" vertical="center"/>
    </xf>
    <xf numFmtId="0" fontId="10" fillId="6" borderId="71" xfId="5" applyFont="1" applyBorder="1" applyAlignment="1">
      <alignment horizontal="center" vertical="center"/>
    </xf>
    <xf numFmtId="0" fontId="10" fillId="6" borderId="24" xfId="5" applyFont="1" applyAlignment="1">
      <alignment horizontal="center" vertical="center"/>
    </xf>
    <xf numFmtId="0" fontId="10" fillId="6" borderId="73" xfId="5" applyFont="1" applyBorder="1" applyAlignment="1">
      <alignment horizontal="center" vertical="center"/>
    </xf>
    <xf numFmtId="0" fontId="16" fillId="2" borderId="65" xfId="1" applyFont="1" applyBorder="1" applyAlignment="1" applyProtection="1">
      <alignment horizontal="center" vertical="center"/>
    </xf>
    <xf numFmtId="0" fontId="16" fillId="2" borderId="66" xfId="1" applyFont="1" applyBorder="1" applyAlignment="1" applyProtection="1">
      <alignment horizontal="center" vertical="center"/>
    </xf>
    <xf numFmtId="164" fontId="25" fillId="5" borderId="50" xfId="4" applyNumberFormat="1" applyFont="1" applyBorder="1" applyAlignment="1" applyProtection="1">
      <alignment horizontal="center" vertical="center"/>
    </xf>
    <xf numFmtId="164" fontId="25" fillId="5" borderId="51" xfId="4" applyNumberFormat="1" applyFont="1" applyBorder="1" applyAlignment="1" applyProtection="1">
      <alignment horizontal="center" vertical="center"/>
    </xf>
    <xf numFmtId="164" fontId="25" fillId="5" borderId="52" xfId="4" applyNumberFormat="1" applyFont="1" applyBorder="1" applyAlignment="1" applyProtection="1">
      <alignment horizontal="center" vertical="center"/>
    </xf>
    <xf numFmtId="164" fontId="25" fillId="5" borderId="53" xfId="4" applyNumberFormat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6" borderId="72" xfId="5" applyFont="1" applyBorder="1" applyAlignment="1" applyProtection="1">
      <alignment horizontal="center" vertical="center"/>
    </xf>
    <xf numFmtId="0" fontId="10" fillId="6" borderId="74" xfId="5" applyFont="1" applyBorder="1" applyAlignment="1" applyProtection="1">
      <alignment horizontal="center" vertical="center"/>
    </xf>
    <xf numFmtId="49" fontId="15" fillId="11" borderId="2" xfId="2" quotePrefix="1" applyNumberFormat="1" applyFont="1" applyBorder="1" applyAlignment="1" applyProtection="1">
      <alignment horizontal="center" vertical="center"/>
      <protection locked="0"/>
    </xf>
    <xf numFmtId="164" fontId="16" fillId="2" borderId="5" xfId="1" applyNumberFormat="1" applyFont="1" applyBorder="1" applyAlignment="1" applyProtection="1">
      <alignment horizontal="center" vertical="center"/>
    </xf>
    <xf numFmtId="164" fontId="16" fillId="2" borderId="2" xfId="1" applyNumberFormat="1" applyFont="1" applyBorder="1" applyAlignment="1" applyProtection="1">
      <alignment horizontal="center" vertical="center"/>
    </xf>
    <xf numFmtId="164" fontId="16" fillId="2" borderId="21" xfId="1" applyNumberFormat="1" applyFont="1" applyBorder="1" applyAlignment="1" applyProtection="1">
      <alignment horizontal="center" vertical="center"/>
    </xf>
    <xf numFmtId="164" fontId="16" fillId="2" borderId="49" xfId="1" applyNumberFormat="1" applyFont="1" applyBorder="1" applyAlignment="1" applyProtection="1">
      <alignment horizontal="center" vertical="center"/>
    </xf>
    <xf numFmtId="164" fontId="16" fillId="2" borderId="40" xfId="1" applyNumberFormat="1" applyFont="1" applyBorder="1" applyAlignment="1" applyProtection="1">
      <alignment horizontal="center" vertical="center"/>
    </xf>
    <xf numFmtId="164" fontId="16" fillId="2" borderId="17" xfId="1" applyNumberFormat="1" applyFont="1" applyBorder="1" applyAlignment="1" applyProtection="1">
      <alignment horizontal="center" vertical="center"/>
    </xf>
    <xf numFmtId="164" fontId="15" fillId="11" borderId="28" xfId="2" applyNumberFormat="1" applyFont="1" applyBorder="1" applyAlignment="1" applyProtection="1">
      <alignment horizontal="center" vertical="center"/>
      <protection locked="0"/>
    </xf>
    <xf numFmtId="164" fontId="15" fillId="11" borderId="59" xfId="2" applyNumberFormat="1" applyFont="1" applyBorder="1" applyAlignment="1" applyProtection="1">
      <alignment horizontal="center" vertical="center"/>
      <protection locked="0"/>
    </xf>
    <xf numFmtId="164" fontId="15" fillId="11" borderId="18" xfId="2" quotePrefix="1" applyNumberFormat="1" applyFont="1" applyBorder="1" applyAlignment="1" applyProtection="1">
      <alignment horizontal="center" vertical="center"/>
      <protection locked="0"/>
    </xf>
    <xf numFmtId="164" fontId="15" fillId="11" borderId="19" xfId="2" quotePrefix="1" applyNumberFormat="1" applyFont="1" applyBorder="1" applyAlignment="1" applyProtection="1">
      <alignment horizontal="center" vertical="center"/>
      <protection locked="0"/>
    </xf>
    <xf numFmtId="164" fontId="15" fillId="11" borderId="56" xfId="2" quotePrefix="1" applyNumberFormat="1" applyFont="1" applyBorder="1" applyAlignment="1" applyProtection="1">
      <alignment horizontal="center" vertical="center"/>
      <protection locked="0"/>
    </xf>
    <xf numFmtId="164" fontId="15" fillId="11" borderId="57" xfId="2" quotePrefix="1" applyNumberFormat="1" applyFont="1" applyBorder="1" applyAlignment="1" applyProtection="1">
      <alignment horizontal="center" vertical="center"/>
      <protection locked="0"/>
    </xf>
    <xf numFmtId="164" fontId="15" fillId="11" borderId="58" xfId="2" quotePrefix="1" applyNumberFormat="1" applyFont="1" applyBorder="1" applyAlignment="1" applyProtection="1">
      <alignment horizontal="center" vertical="center"/>
      <protection locked="0"/>
    </xf>
    <xf numFmtId="164" fontId="15" fillId="11" borderId="60" xfId="2" quotePrefix="1" applyNumberFormat="1" applyFont="1" applyBorder="1" applyAlignment="1" applyProtection="1">
      <alignment horizontal="center" vertical="center"/>
      <protection locked="0"/>
    </xf>
    <xf numFmtId="0" fontId="10" fillId="6" borderId="77" xfId="5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164" fontId="23" fillId="15" borderId="0" xfId="0" applyNumberFormat="1" applyFont="1" applyFill="1" applyAlignment="1">
      <alignment horizontal="center" vertical="center"/>
    </xf>
    <xf numFmtId="164" fontId="24" fillId="15" borderId="0" xfId="0" applyNumberFormat="1" applyFont="1" applyFill="1" applyAlignment="1">
      <alignment horizontal="center" vertical="center"/>
    </xf>
    <xf numFmtId="164" fontId="16" fillId="2" borderId="19" xfId="1" applyNumberFormat="1" applyFont="1" applyBorder="1" applyAlignment="1" applyProtection="1">
      <alignment horizontal="center" vertical="center"/>
    </xf>
    <xf numFmtId="164" fontId="16" fillId="2" borderId="0" xfId="1" applyNumberFormat="1" applyFont="1" applyBorder="1" applyAlignment="1" applyProtection="1">
      <alignment horizontal="center" vertical="center"/>
    </xf>
    <xf numFmtId="0" fontId="15" fillId="11" borderId="19" xfId="2" quotePrefix="1" applyFont="1" applyBorder="1" applyAlignment="1" applyProtection="1">
      <alignment horizontal="center" vertical="center"/>
      <protection locked="0"/>
    </xf>
    <xf numFmtId="0" fontId="15" fillId="11" borderId="0" xfId="2" quotePrefix="1" applyFont="1" applyBorder="1" applyAlignment="1" applyProtection="1">
      <alignment horizontal="center" vertical="center"/>
      <protection locked="0"/>
    </xf>
    <xf numFmtId="0" fontId="30" fillId="0" borderId="29" xfId="0" applyFont="1" applyBorder="1" applyAlignment="1">
      <alignment horizontal="right"/>
    </xf>
    <xf numFmtId="164" fontId="16" fillId="2" borderId="20" xfId="1" applyNumberFormat="1" applyFont="1" applyBorder="1" applyAlignment="1" applyProtection="1">
      <alignment horizontal="center"/>
    </xf>
    <xf numFmtId="0" fontId="16" fillId="2" borderId="28" xfId="1" applyFont="1" applyBorder="1" applyAlignment="1" applyProtection="1">
      <alignment horizontal="center"/>
    </xf>
    <xf numFmtId="164" fontId="25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6" fillId="4" borderId="2" xfId="3" applyFont="1" applyBorder="1" applyAlignment="1">
      <alignment horizontal="center"/>
    </xf>
    <xf numFmtId="164" fontId="20" fillId="4" borderId="2" xfId="3" applyNumberFormat="1" applyFont="1" applyBorder="1" applyAlignment="1">
      <alignment horizontal="center"/>
    </xf>
    <xf numFmtId="0" fontId="20" fillId="4" borderId="2" xfId="3" applyFont="1" applyBorder="1" applyAlignment="1">
      <alignment horizontal="center"/>
    </xf>
    <xf numFmtId="164" fontId="10" fillId="6" borderId="24" xfId="5" applyNumberFormat="1" applyFont="1" applyAlignment="1" applyProtection="1">
      <alignment horizontal="center" vertical="center"/>
    </xf>
    <xf numFmtId="0" fontId="13" fillId="3" borderId="2" xfId="3" applyFont="1" applyFill="1" applyBorder="1" applyAlignment="1">
      <alignment horizontal="center"/>
    </xf>
    <xf numFmtId="0" fontId="10" fillId="6" borderId="71" xfId="5" applyFont="1" applyBorder="1" applyAlignment="1">
      <alignment vertical="center"/>
    </xf>
    <xf numFmtId="0" fontId="10" fillId="6" borderId="73" xfId="5" applyFont="1" applyBorder="1" applyAlignment="1">
      <alignment vertical="center"/>
    </xf>
    <xf numFmtId="0" fontId="10" fillId="6" borderId="75" xfId="5" applyFont="1" applyBorder="1" applyAlignment="1">
      <alignment vertical="center"/>
    </xf>
    <xf numFmtId="164" fontId="16" fillId="2" borderId="62" xfId="1" applyNumberFormat="1" applyFont="1" applyBorder="1" applyAlignment="1" applyProtection="1">
      <alignment horizontal="center" vertical="center"/>
    </xf>
    <xf numFmtId="164" fontId="16" fillId="2" borderId="64" xfId="1" applyNumberFormat="1" applyFont="1" applyBorder="1" applyAlignment="1" applyProtection="1">
      <alignment horizontal="center" vertical="center"/>
    </xf>
    <xf numFmtId="164" fontId="15" fillId="11" borderId="2" xfId="2" quotePrefix="1" applyNumberFormat="1" applyFont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5" fillId="11" borderId="1" xfId="2" applyFont="1" applyAlignment="1" applyProtection="1">
      <alignment horizontal="center" vertical="center"/>
    </xf>
    <xf numFmtId="164" fontId="16" fillId="2" borderId="1" xfId="1" applyNumberFormat="1" applyFont="1" applyAlignment="1" applyProtection="1">
      <alignment horizontal="center" vertical="center"/>
    </xf>
    <xf numFmtId="0" fontId="25" fillId="5" borderId="23" xfId="4" applyFont="1" applyAlignment="1" applyProtection="1">
      <alignment horizontal="center"/>
    </xf>
    <xf numFmtId="0" fontId="15" fillId="11" borderId="4" xfId="2" applyFont="1" applyBorder="1" applyAlignment="1" applyProtection="1">
      <alignment horizontal="center" vertical="center"/>
    </xf>
    <xf numFmtId="0" fontId="15" fillId="11" borderId="22" xfId="2" applyFont="1" applyBorder="1" applyAlignment="1" applyProtection="1">
      <alignment horizontal="center" vertical="center"/>
    </xf>
    <xf numFmtId="0" fontId="15" fillId="11" borderId="5" xfId="2" applyFont="1" applyBorder="1" applyAlignment="1" applyProtection="1">
      <alignment horizontal="center" vertical="center"/>
    </xf>
    <xf numFmtId="164" fontId="16" fillId="2" borderId="4" xfId="1" applyNumberFormat="1" applyFont="1" applyBorder="1" applyAlignment="1" applyProtection="1">
      <alignment horizontal="center" vertical="center"/>
    </xf>
    <xf numFmtId="164" fontId="16" fillId="2" borderId="22" xfId="1" applyNumberFormat="1" applyFont="1" applyBorder="1" applyAlignment="1" applyProtection="1">
      <alignment horizontal="center" vertical="center"/>
    </xf>
    <xf numFmtId="164" fontId="16" fillId="2" borderId="25" xfId="1" applyNumberFormat="1" applyFont="1" applyBorder="1" applyAlignment="1" applyProtection="1">
      <alignment horizontal="center" vertical="center"/>
    </xf>
    <xf numFmtId="20" fontId="15" fillId="11" borderId="1" xfId="2" quotePrefix="1" applyNumberFormat="1" applyFont="1" applyAlignment="1" applyProtection="1">
      <alignment horizontal="center" vertical="center"/>
      <protection locked="0"/>
    </xf>
    <xf numFmtId="0" fontId="15" fillId="11" borderId="1" xfId="2" applyFont="1" applyAlignment="1" applyProtection="1">
      <alignment horizontal="center" vertical="center"/>
      <protection locked="0"/>
    </xf>
    <xf numFmtId="164" fontId="25" fillId="5" borderId="23" xfId="4" applyNumberFormat="1" applyFont="1" applyAlignment="1" applyProtection="1">
      <alignment horizontal="center" vertical="center"/>
    </xf>
    <xf numFmtId="0" fontId="13" fillId="4" borderId="2" xfId="3" applyFont="1" applyBorder="1" applyAlignment="1">
      <alignment horizontal="center"/>
    </xf>
    <xf numFmtId="0" fontId="13" fillId="4" borderId="4" xfId="3" applyFont="1" applyBorder="1" applyAlignment="1">
      <alignment horizontal="center"/>
    </xf>
    <xf numFmtId="164" fontId="16" fillId="2" borderId="6" xfId="1" applyNumberFormat="1" applyFont="1" applyBorder="1" applyAlignment="1" applyProtection="1">
      <alignment horizontal="center" vertical="center"/>
    </xf>
    <xf numFmtId="164" fontId="16" fillId="2" borderId="7" xfId="1" applyNumberFormat="1" applyFont="1" applyBorder="1" applyAlignment="1" applyProtection="1">
      <alignment horizontal="center" vertical="center"/>
    </xf>
    <xf numFmtId="164" fontId="16" fillId="2" borderId="26" xfId="1" applyNumberFormat="1" applyFont="1" applyBorder="1" applyAlignment="1" applyProtection="1">
      <alignment horizontal="center" vertical="center"/>
    </xf>
    <xf numFmtId="164" fontId="16" fillId="2" borderId="9" xfId="1" applyNumberFormat="1" applyFont="1" applyBorder="1" applyAlignment="1" applyProtection="1">
      <alignment horizontal="center" vertical="center"/>
    </xf>
    <xf numFmtId="164" fontId="16" fillId="2" borderId="10" xfId="1" applyNumberFormat="1" applyFont="1" applyBorder="1" applyAlignment="1" applyProtection="1">
      <alignment horizontal="center" vertical="center"/>
    </xf>
    <xf numFmtId="164" fontId="16" fillId="2" borderId="27" xfId="1" applyNumberFormat="1" applyFont="1" applyBorder="1" applyAlignment="1" applyProtection="1">
      <alignment horizontal="center" vertical="center"/>
    </xf>
    <xf numFmtId="20" fontId="15" fillId="11" borderId="6" xfId="2" quotePrefix="1" applyNumberFormat="1" applyFont="1" applyBorder="1" applyAlignment="1" applyProtection="1">
      <alignment horizontal="center" vertical="center"/>
      <protection locked="0"/>
    </xf>
    <xf numFmtId="20" fontId="15" fillId="11" borderId="7" xfId="2" quotePrefix="1" applyNumberFormat="1" applyFont="1" applyBorder="1" applyAlignment="1" applyProtection="1">
      <alignment horizontal="center" vertical="center"/>
      <protection locked="0"/>
    </xf>
    <xf numFmtId="20" fontId="15" fillId="11" borderId="8" xfId="2" quotePrefix="1" applyNumberFormat="1" applyFont="1" applyBorder="1" applyAlignment="1" applyProtection="1">
      <alignment horizontal="center" vertical="center"/>
      <protection locked="0"/>
    </xf>
    <xf numFmtId="20" fontId="15" fillId="11" borderId="9" xfId="2" quotePrefix="1" applyNumberFormat="1" applyFont="1" applyBorder="1" applyAlignment="1" applyProtection="1">
      <alignment horizontal="center" vertical="center"/>
      <protection locked="0"/>
    </xf>
    <xf numFmtId="20" fontId="15" fillId="11" borderId="10" xfId="2" quotePrefix="1" applyNumberFormat="1" applyFont="1" applyBorder="1" applyAlignment="1" applyProtection="1">
      <alignment horizontal="center" vertical="center"/>
      <protection locked="0"/>
    </xf>
    <xf numFmtId="20" fontId="15" fillId="11" borderId="11" xfId="2" quotePrefix="1" applyNumberFormat="1" applyFont="1" applyBorder="1" applyAlignment="1" applyProtection="1">
      <alignment horizontal="center" vertical="center"/>
      <protection locked="0"/>
    </xf>
    <xf numFmtId="164" fontId="13" fillId="4" borderId="13" xfId="3" applyNumberFormat="1" applyFont="1" applyBorder="1" applyAlignment="1" applyProtection="1">
      <alignment horizontal="center" vertical="center"/>
    </xf>
    <xf numFmtId="164" fontId="13" fillId="4" borderId="14" xfId="3" applyNumberFormat="1" applyFont="1" applyBorder="1" applyAlignment="1" applyProtection="1">
      <alignment horizontal="center" vertical="center"/>
    </xf>
    <xf numFmtId="164" fontId="13" fillId="4" borderId="15" xfId="3" applyNumberFormat="1" applyFont="1" applyBorder="1" applyAlignment="1" applyProtection="1">
      <alignment horizontal="center" vertical="center"/>
    </xf>
    <xf numFmtId="164" fontId="16" fillId="6" borderId="71" xfId="5" applyNumberFormat="1" applyFont="1" applyBorder="1" applyAlignment="1" applyProtection="1">
      <alignment horizontal="center" vertical="center"/>
    </xf>
    <xf numFmtId="164" fontId="16" fillId="6" borderId="73" xfId="5" applyNumberFormat="1" applyFont="1" applyBorder="1" applyAlignment="1" applyProtection="1">
      <alignment horizontal="center" vertical="center"/>
    </xf>
    <xf numFmtId="0" fontId="16" fillId="6" borderId="73" xfId="5" applyFont="1" applyBorder="1" applyAlignment="1" applyProtection="1">
      <alignment horizontal="center" vertical="center"/>
    </xf>
    <xf numFmtId="0" fontId="16" fillId="6" borderId="75" xfId="5" applyFont="1" applyBorder="1" applyAlignment="1" applyProtection="1">
      <alignment horizontal="center" vertical="center"/>
    </xf>
    <xf numFmtId="164" fontId="15" fillId="11" borderId="47" xfId="2" applyNumberFormat="1" applyFont="1" applyBorder="1" applyAlignment="1" applyProtection="1">
      <alignment horizontal="center" vertical="center"/>
      <protection locked="0"/>
    </xf>
    <xf numFmtId="164" fontId="15" fillId="11" borderId="12" xfId="2" applyNumberFormat="1" applyFont="1" applyBorder="1" applyAlignment="1" applyProtection="1">
      <alignment horizontal="center" vertical="center"/>
      <protection locked="0"/>
    </xf>
    <xf numFmtId="164" fontId="15" fillId="11" borderId="48" xfId="2" quotePrefix="1" applyNumberFormat="1" applyFont="1" applyBorder="1" applyAlignment="1" applyProtection="1">
      <alignment horizontal="center" vertical="center"/>
      <protection locked="0"/>
    </xf>
    <xf numFmtId="164" fontId="15" fillId="11" borderId="21" xfId="2" quotePrefix="1" applyNumberFormat="1" applyFont="1" applyBorder="1" applyAlignment="1" applyProtection="1">
      <alignment horizontal="center" vertical="center"/>
      <protection locked="0"/>
    </xf>
    <xf numFmtId="164" fontId="15" fillId="11" borderId="54" xfId="2" quotePrefix="1" applyNumberFormat="1" applyFont="1" applyBorder="1" applyAlignment="1" applyProtection="1">
      <alignment horizontal="center" vertical="center"/>
      <protection locked="0"/>
    </xf>
    <xf numFmtId="164" fontId="15" fillId="11" borderId="16" xfId="2" quotePrefix="1" applyNumberFormat="1" applyFont="1" applyBorder="1" applyAlignment="1" applyProtection="1">
      <alignment horizontal="center" vertical="center"/>
      <protection locked="0"/>
    </xf>
    <xf numFmtId="164" fontId="15" fillId="11" borderId="40" xfId="2" quotePrefix="1" applyNumberFormat="1" applyFont="1" applyBorder="1" applyAlignment="1" applyProtection="1">
      <alignment horizontal="center" vertical="center"/>
      <protection locked="0"/>
    </xf>
    <xf numFmtId="164" fontId="15" fillId="11" borderId="55" xfId="2" quotePrefix="1" applyNumberFormat="1" applyFont="1" applyBorder="1" applyAlignment="1" applyProtection="1">
      <alignment horizontal="center" vertical="center"/>
      <protection locked="0"/>
    </xf>
    <xf numFmtId="164" fontId="13" fillId="4" borderId="2" xfId="3" applyNumberFormat="1" applyFont="1" applyBorder="1" applyAlignment="1" applyProtection="1">
      <alignment horizontal="center"/>
    </xf>
    <xf numFmtId="0" fontId="28" fillId="11" borderId="1" xfId="2" applyFont="1" applyAlignment="1" applyProtection="1">
      <alignment horizontal="center" vertical="center"/>
    </xf>
    <xf numFmtId="0" fontId="13" fillId="3" borderId="4" xfId="3" applyFont="1" applyFill="1" applyBorder="1" applyAlignment="1">
      <alignment horizontal="center"/>
    </xf>
    <xf numFmtId="0" fontId="13" fillId="3" borderId="22" xfId="3" applyFont="1" applyFill="1" applyBorder="1" applyAlignment="1">
      <alignment horizontal="center"/>
    </xf>
    <xf numFmtId="0" fontId="13" fillId="3" borderId="5" xfId="3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30" fillId="0" borderId="9" xfId="0" applyFont="1" applyBorder="1" applyAlignment="1">
      <alignment horizontal="right"/>
    </xf>
    <xf numFmtId="0" fontId="30" fillId="0" borderId="10" xfId="0" applyFont="1" applyBorder="1" applyAlignment="1">
      <alignment horizontal="right"/>
    </xf>
    <xf numFmtId="0" fontId="30" fillId="0" borderId="11" xfId="0" applyFont="1" applyBorder="1" applyAlignment="1">
      <alignment horizontal="right"/>
    </xf>
    <xf numFmtId="0" fontId="15" fillId="11" borderId="18" xfId="2" quotePrefix="1" applyFont="1" applyBorder="1" applyAlignment="1" applyProtection="1">
      <alignment horizontal="center"/>
      <protection locked="0"/>
    </xf>
    <xf numFmtId="0" fontId="15" fillId="11" borderId="19" xfId="2" applyFont="1" applyBorder="1" applyAlignment="1" applyProtection="1">
      <alignment horizontal="center"/>
      <protection locked="0"/>
    </xf>
    <xf numFmtId="0" fontId="15" fillId="11" borderId="20" xfId="2" applyFont="1" applyBorder="1" applyAlignment="1" applyProtection="1">
      <alignment horizontal="center"/>
      <protection locked="0"/>
    </xf>
    <xf numFmtId="164" fontId="16" fillId="2" borderId="1" xfId="1" applyNumberFormat="1" applyFont="1" applyAlignment="1" applyProtection="1">
      <alignment horizontal="center"/>
    </xf>
    <xf numFmtId="0" fontId="16" fillId="2" borderId="1" xfId="1" applyFont="1" applyAlignment="1" applyProtection="1">
      <alignment horizontal="center"/>
    </xf>
    <xf numFmtId="0" fontId="15" fillId="11" borderId="1" xfId="2" quotePrefix="1" applyFont="1" applyAlignment="1" applyProtection="1">
      <alignment horizontal="center"/>
      <protection locked="0"/>
    </xf>
    <xf numFmtId="0" fontId="15" fillId="11" borderId="1" xfId="2" applyFont="1" applyAlignment="1" applyProtection="1">
      <alignment horizontal="center"/>
      <protection locked="0"/>
    </xf>
    <xf numFmtId="20" fontId="15" fillId="11" borderId="36" xfId="2" quotePrefix="1" applyNumberFormat="1" applyFont="1" applyBorder="1" applyAlignment="1" applyProtection="1">
      <alignment horizontal="center" vertical="center"/>
      <protection locked="0"/>
    </xf>
    <xf numFmtId="20" fontId="15" fillId="11" borderId="37" xfId="2" quotePrefix="1" applyNumberFormat="1" applyFont="1" applyBorder="1" applyAlignment="1" applyProtection="1">
      <alignment horizontal="center" vertical="center"/>
      <protection locked="0"/>
    </xf>
    <xf numFmtId="20" fontId="15" fillId="11" borderId="3" xfId="2" quotePrefix="1" applyNumberFormat="1" applyFont="1" applyBorder="1" applyAlignment="1" applyProtection="1">
      <alignment horizontal="center" vertical="center"/>
      <protection locked="0"/>
    </xf>
    <xf numFmtId="164" fontId="29" fillId="2" borderId="36" xfId="1" applyNumberFormat="1" applyFont="1" applyBorder="1" applyAlignment="1" applyProtection="1">
      <alignment horizontal="center" vertical="center"/>
    </xf>
    <xf numFmtId="164" fontId="29" fillId="2" borderId="37" xfId="1" applyNumberFormat="1" applyFont="1" applyBorder="1" applyAlignment="1" applyProtection="1">
      <alignment horizontal="center" vertical="center"/>
    </xf>
    <xf numFmtId="164" fontId="29" fillId="2" borderId="78" xfId="1" applyNumberFormat="1" applyFont="1" applyBorder="1" applyAlignment="1" applyProtection="1">
      <alignment horizontal="center" vertical="center"/>
    </xf>
    <xf numFmtId="164" fontId="27" fillId="5" borderId="69" xfId="4" applyNumberFormat="1" applyFont="1" applyBorder="1" applyAlignment="1" applyProtection="1">
      <alignment horizontal="center" vertical="center"/>
    </xf>
    <xf numFmtId="164" fontId="27" fillId="5" borderId="38" xfId="4" applyNumberFormat="1" applyFont="1" applyBorder="1" applyAlignment="1" applyProtection="1">
      <alignment horizontal="center" vertical="center"/>
    </xf>
    <xf numFmtId="164" fontId="27" fillId="5" borderId="39" xfId="4" applyNumberFormat="1" applyFont="1" applyBorder="1" applyAlignment="1" applyProtection="1">
      <alignment horizontal="center" vertical="center"/>
    </xf>
    <xf numFmtId="20" fontId="26" fillId="4" borderId="2" xfId="3" quotePrefix="1" applyNumberFormat="1" applyFont="1" applyBorder="1" applyAlignment="1" applyProtection="1">
      <alignment horizontal="center" vertical="center"/>
      <protection locked="0"/>
    </xf>
    <xf numFmtId="0" fontId="10" fillId="0" borderId="0" xfId="0" applyFont="1"/>
    <xf numFmtId="164" fontId="25" fillId="5" borderId="0" xfId="4" applyNumberFormat="1" applyFont="1" applyBorder="1" applyAlignment="1" applyProtection="1">
      <alignment horizontal="center" vertical="center"/>
    </xf>
    <xf numFmtId="164" fontId="25" fillId="5" borderId="61" xfId="4" applyNumberFormat="1" applyFont="1" applyBorder="1" applyAlignment="1" applyProtection="1">
      <alignment horizontal="center" vertical="center"/>
    </xf>
    <xf numFmtId="164" fontId="29" fillId="2" borderId="6" xfId="1" applyNumberFormat="1" applyFont="1" applyBorder="1" applyAlignment="1" applyProtection="1">
      <alignment horizontal="center" vertical="center"/>
    </xf>
    <xf numFmtId="164" fontId="29" fillId="2" borderId="7" xfId="1" applyNumberFormat="1" applyFont="1" applyBorder="1" applyAlignment="1" applyProtection="1">
      <alignment horizontal="center" vertical="center"/>
    </xf>
    <xf numFmtId="164" fontId="29" fillId="2" borderId="26" xfId="1" applyNumberFormat="1" applyFont="1" applyBorder="1" applyAlignment="1" applyProtection="1">
      <alignment horizontal="center" vertical="center"/>
    </xf>
    <xf numFmtId="0" fontId="28" fillId="11" borderId="4" xfId="2" applyFont="1" applyBorder="1" applyAlignment="1" applyProtection="1">
      <alignment horizontal="center" vertical="center"/>
    </xf>
    <xf numFmtId="0" fontId="28" fillId="11" borderId="22" xfId="2" applyFont="1" applyBorder="1" applyAlignment="1" applyProtection="1">
      <alignment horizontal="center" vertical="center"/>
    </xf>
    <xf numFmtId="0" fontId="28" fillId="11" borderId="5" xfId="2" applyFont="1" applyBorder="1" applyAlignment="1" applyProtection="1">
      <alignment horizontal="center" vertical="center"/>
    </xf>
    <xf numFmtId="0" fontId="10" fillId="18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0" borderId="2" xfId="0" quotePrefix="1" applyFont="1" applyBorder="1" applyAlignment="1">
      <alignment horizontal="right"/>
    </xf>
    <xf numFmtId="0" fontId="10" fillId="0" borderId="2" xfId="0" applyFont="1" applyBorder="1" applyAlignment="1">
      <alignment horizontal="right"/>
    </xf>
    <xf numFmtId="22" fontId="10" fillId="0" borderId="0" xfId="0" applyNumberFormat="1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7" fillId="0" borderId="2" xfId="0" applyFont="1" applyBorder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8" fillId="6" borderId="2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4" fillId="6" borderId="79" xfId="5" applyFont="1" applyBorder="1" applyAlignment="1">
      <alignment horizontal="center"/>
    </xf>
    <xf numFmtId="0" fontId="34" fillId="6" borderId="84" xfId="5" applyFont="1" applyBorder="1" applyAlignment="1">
      <alignment horizontal="center"/>
    </xf>
    <xf numFmtId="0" fontId="10" fillId="6" borderId="24" xfId="5" applyFont="1" applyAlignment="1">
      <alignment horizontal="center"/>
    </xf>
    <xf numFmtId="0" fontId="10" fillId="6" borderId="68" xfId="5" applyFont="1" applyBorder="1" applyAlignment="1">
      <alignment horizontal="center"/>
    </xf>
    <xf numFmtId="164" fontId="14" fillId="2" borderId="19" xfId="1" applyNumberFormat="1" applyFont="1" applyBorder="1" applyAlignment="1" applyProtection="1">
      <alignment horizontal="center" vertical="center"/>
    </xf>
    <xf numFmtId="164" fontId="14" fillId="2" borderId="0" xfId="1" applyNumberFormat="1" applyFont="1" applyBorder="1" applyAlignment="1" applyProtection="1">
      <alignment horizontal="center" vertical="center"/>
    </xf>
    <xf numFmtId="0" fontId="18" fillId="11" borderId="19" xfId="2" quotePrefix="1" applyFont="1" applyBorder="1" applyAlignment="1" applyProtection="1">
      <alignment horizontal="center" vertical="center"/>
      <protection locked="0"/>
    </xf>
    <xf numFmtId="0" fontId="18" fillId="11" borderId="0" xfId="2" quotePrefix="1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>
      <alignment horizontal="center" vertical="center"/>
    </xf>
    <xf numFmtId="0" fontId="33" fillId="10" borderId="4" xfId="6" applyFont="1" applyBorder="1" applyAlignment="1">
      <alignment horizontal="center"/>
    </xf>
    <xf numFmtId="0" fontId="33" fillId="10" borderId="22" xfId="6" applyFont="1" applyBorder="1" applyAlignment="1">
      <alignment horizontal="center"/>
    </xf>
    <xf numFmtId="0" fontId="33" fillId="10" borderId="5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/>
    </xf>
    <xf numFmtId="0" fontId="33" fillId="10" borderId="0" xfId="6" applyFont="1" applyBorder="1" applyAlignment="1">
      <alignment horizontal="center" vertical="center"/>
    </xf>
    <xf numFmtId="0" fontId="34" fillId="6" borderId="24" xfId="5" applyFont="1" applyAlignment="1">
      <alignment horizontal="center"/>
    </xf>
    <xf numFmtId="0" fontId="34" fillId="6" borderId="85" xfId="5" applyFont="1" applyBorder="1" applyAlignment="1">
      <alignment horizontal="center"/>
    </xf>
    <xf numFmtId="0" fontId="34" fillId="6" borderId="80" xfId="5" applyFont="1" applyBorder="1" applyAlignment="1">
      <alignment horizontal="center" vertical="center"/>
    </xf>
    <xf numFmtId="0" fontId="34" fillId="6" borderId="81" xfId="5" applyFont="1" applyBorder="1" applyAlignment="1">
      <alignment horizontal="center" vertical="center"/>
    </xf>
    <xf numFmtId="0" fontId="34" fillId="6" borderId="82" xfId="5" applyFont="1" applyBorder="1" applyAlignment="1">
      <alignment horizontal="center" vertical="center"/>
    </xf>
    <xf numFmtId="0" fontId="34" fillId="6" borderId="83" xfId="5" applyFont="1" applyBorder="1" applyAlignment="1">
      <alignment horizontal="center" vertical="center"/>
    </xf>
    <xf numFmtId="0" fontId="9" fillId="10" borderId="0" xfId="6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2" xfId="0" applyFont="1" applyBorder="1" applyAlignment="1">
      <alignment horizontal="center"/>
    </xf>
    <xf numFmtId="0" fontId="9" fillId="10" borderId="4" xfId="6" applyBorder="1" applyAlignment="1">
      <alignment horizontal="center"/>
    </xf>
    <xf numFmtId="0" fontId="9" fillId="10" borderId="22" xfId="6" applyBorder="1" applyAlignment="1">
      <alignment horizontal="center"/>
    </xf>
    <xf numFmtId="0" fontId="36" fillId="0" borderId="8" xfId="0" applyFont="1" applyBorder="1" applyAlignment="1">
      <alignment horizontal="center"/>
    </xf>
    <xf numFmtId="0" fontId="36" fillId="0" borderId="29" xfId="0" applyFont="1" applyBorder="1" applyAlignment="1">
      <alignment horizontal="center"/>
    </xf>
    <xf numFmtId="0" fontId="36" fillId="0" borderId="11" xfId="0" applyFont="1" applyBorder="1" applyAlignment="1">
      <alignment horizontal="center"/>
    </xf>
    <xf numFmtId="0" fontId="36" fillId="0" borderId="30" xfId="0" applyFont="1" applyBorder="1" applyAlignment="1">
      <alignment horizontal="center"/>
    </xf>
    <xf numFmtId="0" fontId="21" fillId="4" borderId="5" xfId="3" applyFont="1" applyBorder="1" applyAlignment="1">
      <alignment horizontal="center" vertical="center" wrapText="1"/>
    </xf>
    <xf numFmtId="0" fontId="21" fillId="4" borderId="2" xfId="3" applyFont="1" applyBorder="1" applyAlignment="1">
      <alignment horizontal="center" vertical="center" wrapText="1"/>
    </xf>
    <xf numFmtId="0" fontId="20" fillId="4" borderId="6" xfId="3" applyFont="1" applyBorder="1" applyAlignment="1">
      <alignment horizontal="center"/>
    </xf>
    <xf numFmtId="0" fontId="20" fillId="4" borderId="8" xfId="3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4" fillId="2" borderId="5" xfId="1" applyFont="1" applyBorder="1" applyAlignment="1">
      <alignment horizontal="center"/>
    </xf>
    <xf numFmtId="0" fontId="14" fillId="2" borderId="2" xfId="1" applyFont="1" applyBorder="1" applyAlignment="1">
      <alignment horizontal="center"/>
    </xf>
    <xf numFmtId="164" fontId="10" fillId="8" borderId="13" xfId="0" applyNumberFormat="1" applyFont="1" applyFill="1" applyBorder="1" applyAlignment="1">
      <alignment horizontal="left"/>
    </xf>
    <xf numFmtId="164" fontId="10" fillId="8" borderId="14" xfId="0" applyNumberFormat="1" applyFont="1" applyFill="1" applyBorder="1" applyAlignment="1">
      <alignment horizontal="left"/>
    </xf>
    <xf numFmtId="0" fontId="9" fillId="10" borderId="5" xfId="6" applyBorder="1" applyAlignment="1">
      <alignment horizontal="center"/>
    </xf>
    <xf numFmtId="166" fontId="0" fillId="0" borderId="0" xfId="0" applyNumberFormat="1"/>
  </cellXfs>
  <cellStyles count="10">
    <cellStyle name="60% - Accent5" xfId="7" builtinId="48" customBuiltin="1"/>
    <cellStyle name="Bad" xfId="8" builtinId="27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Neutral" xfId="6" builtinId="28"/>
    <cellStyle name="Normal" xfId="0" builtinId="0"/>
    <cellStyle name="Note" xfId="5" builtinId="10"/>
    <cellStyle name="Output" xfId="9" builtinId="21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F802C3"/>
      <color rgb="FFFFC7C1"/>
      <color rgb="FF66FF66"/>
      <color rgb="FF66FF99"/>
      <color rgb="FFD5FFDA"/>
      <color rgb="FFECEBFF"/>
      <color rgb="FFB9F7FF"/>
      <color rgb="FF00FF00"/>
      <color rgb="FFFFFFCC"/>
      <color rgb="FFC5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Maree!$B$76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Maree!$C$75:$BE$75</c:f>
              <c:numCache>
                <c:formatCode>0.00</c:formatCode>
                <c:ptCount val="55"/>
                <c:pt idx="0">
                  <c:v>481860</c:v>
                </c:pt>
                <c:pt idx="1">
                  <c:v>481861.03333333333</c:v>
                </c:pt>
                <c:pt idx="2">
                  <c:v>481862.06666666665</c:v>
                </c:pt>
                <c:pt idx="3">
                  <c:v>481863.1</c:v>
                </c:pt>
                <c:pt idx="4">
                  <c:v>481864.1333333333</c:v>
                </c:pt>
                <c:pt idx="5">
                  <c:v>481865.16666666663</c:v>
                </c:pt>
                <c:pt idx="6">
                  <c:v>481866.2</c:v>
                </c:pt>
                <c:pt idx="7">
                  <c:v>481867.2</c:v>
                </c:pt>
                <c:pt idx="8">
                  <c:v>481868.23333333334</c:v>
                </c:pt>
                <c:pt idx="9">
                  <c:v>481869.26666666666</c:v>
                </c:pt>
                <c:pt idx="10">
                  <c:v>481870.3</c:v>
                </c:pt>
                <c:pt idx="11">
                  <c:v>481871.33333333331</c:v>
                </c:pt>
                <c:pt idx="12">
                  <c:v>481872.2</c:v>
                </c:pt>
                <c:pt idx="13">
                  <c:v>481873.2</c:v>
                </c:pt>
                <c:pt idx="14">
                  <c:v>481874.23333333334</c:v>
                </c:pt>
                <c:pt idx="15">
                  <c:v>481875.26666666666</c:v>
                </c:pt>
                <c:pt idx="16">
                  <c:v>481876.3</c:v>
                </c:pt>
                <c:pt idx="17">
                  <c:v>481877.33333333331</c:v>
                </c:pt>
                <c:pt idx="18">
                  <c:v>481878.2</c:v>
                </c:pt>
                <c:pt idx="19">
                  <c:v>481879.23333333334</c:v>
                </c:pt>
                <c:pt idx="20">
                  <c:v>481880.26666666666</c:v>
                </c:pt>
                <c:pt idx="21">
                  <c:v>481881.3</c:v>
                </c:pt>
                <c:pt idx="22">
                  <c:v>481882.33333333331</c:v>
                </c:pt>
                <c:pt idx="23">
                  <c:v>481883.36666666664</c:v>
                </c:pt>
                <c:pt idx="24">
                  <c:v>481884.4</c:v>
                </c:pt>
                <c:pt idx="25">
                  <c:v>481885.3666666667</c:v>
                </c:pt>
                <c:pt idx="26">
                  <c:v>481886.4</c:v>
                </c:pt>
                <c:pt idx="27">
                  <c:v>481887.43333333335</c:v>
                </c:pt>
                <c:pt idx="28">
                  <c:v>481888.46666666667</c:v>
                </c:pt>
                <c:pt idx="29">
                  <c:v>481889.5</c:v>
                </c:pt>
                <c:pt idx="30">
                  <c:v>481890.2</c:v>
                </c:pt>
                <c:pt idx="31">
                  <c:v>481891.16944444447</c:v>
                </c:pt>
                <c:pt idx="32">
                  <c:v>481892.2027777778</c:v>
                </c:pt>
                <c:pt idx="33">
                  <c:v>481893.23611111112</c:v>
                </c:pt>
                <c:pt idx="34">
                  <c:v>481894.26944444445</c:v>
                </c:pt>
                <c:pt idx="35">
                  <c:v>481895.30277777778</c:v>
                </c:pt>
                <c:pt idx="36">
                  <c:v>481896.01666666666</c:v>
                </c:pt>
                <c:pt idx="37">
                  <c:v>481897.01666666666</c:v>
                </c:pt>
                <c:pt idx="38">
                  <c:v>481898.05</c:v>
                </c:pt>
                <c:pt idx="39">
                  <c:v>481899.08333333331</c:v>
                </c:pt>
                <c:pt idx="40">
                  <c:v>481900.11666666664</c:v>
                </c:pt>
                <c:pt idx="41">
                  <c:v>481901.14999999997</c:v>
                </c:pt>
                <c:pt idx="42">
                  <c:v>481902.01666666666</c:v>
                </c:pt>
                <c:pt idx="43">
                  <c:v>481903.01666666666</c:v>
                </c:pt>
                <c:pt idx="44">
                  <c:v>481904.05</c:v>
                </c:pt>
                <c:pt idx="45">
                  <c:v>481905.08333333331</c:v>
                </c:pt>
                <c:pt idx="46">
                  <c:v>481906.11666666664</c:v>
                </c:pt>
                <c:pt idx="47">
                  <c:v>481907.14999999997</c:v>
                </c:pt>
                <c:pt idx="48">
                  <c:v>481908.01666666666</c:v>
                </c:pt>
                <c:pt idx="49">
                  <c:v>481909.01666666666</c:v>
                </c:pt>
                <c:pt idx="50">
                  <c:v>481910.05</c:v>
                </c:pt>
                <c:pt idx="51">
                  <c:v>481911.08333333331</c:v>
                </c:pt>
                <c:pt idx="52">
                  <c:v>481912.11666666664</c:v>
                </c:pt>
                <c:pt idx="53">
                  <c:v>481913.14999999997</c:v>
                </c:pt>
                <c:pt idx="54">
                  <c:v>481914.01666666666</c:v>
                </c:pt>
              </c:numCache>
            </c:numRef>
          </c:xVal>
          <c:yVal>
            <c:numRef>
              <c:f>Maree!$C$76:$BE$76</c:f>
              <c:numCache>
                <c:formatCode>0.00</c:formatCode>
                <c:ptCount val="55"/>
                <c:pt idx="0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>
                  <c:v>9.7200000000000006</c:v>
                </c:pt>
                <c:pt idx="25">
                  <c:v>9.3058333333333341</c:v>
                </c:pt>
                <c:pt idx="26">
                  <c:v>8.4775000000000009</c:v>
                </c:pt>
                <c:pt idx="27">
                  <c:v>7.2350000000000003</c:v>
                </c:pt>
                <c:pt idx="28">
                  <c:v>5.9924999999999997</c:v>
                </c:pt>
                <c:pt idx="29">
                  <c:v>5.1641666666666666</c:v>
                </c:pt>
                <c:pt idx="30">
                  <c:v>4.75</c:v>
                </c:pt>
                <c:pt idx="31">
                  <c:v>5.1641666666666666</c:v>
                </c:pt>
                <c:pt idx="32">
                  <c:v>5.9924999999999997</c:v>
                </c:pt>
                <c:pt idx="33">
                  <c:v>7.2350000000000003</c:v>
                </c:pt>
                <c:pt idx="34">
                  <c:v>8.4775000000000009</c:v>
                </c:pt>
                <c:pt idx="35">
                  <c:v>9.3058333333333341</c:v>
                </c:pt>
                <c:pt idx="36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Maree!$A$80</c:f>
              <c:strCache>
                <c:ptCount val="1"/>
                <c:pt idx="0">
                  <c:v>Passage à 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Maree!$D$80:$N$80</c:f>
              <c:numCache>
                <c:formatCode>0.00</c:formatCode>
                <c:ptCount val="11"/>
                <c:pt idx="0">
                  <c:v>481860</c:v>
                </c:pt>
                <c:pt idx="1">
                  <c:v>481866.2</c:v>
                </c:pt>
                <c:pt idx="2">
                  <c:v>481866.2</c:v>
                </c:pt>
                <c:pt idx="3">
                  <c:v>481877.64954128442</c:v>
                </c:pt>
                <c:pt idx="4">
                  <c:v>481878.82374245476</c:v>
                </c:pt>
                <c:pt idx="5">
                  <c:v>481889.616498994</c:v>
                </c:pt>
                <c:pt idx="6">
                  <c:v>481890.78517773305</c:v>
                </c:pt>
                <c:pt idx="7">
                  <c:v>481890.78517773305</c:v>
                </c:pt>
                <c:pt idx="8">
                  <c:v>481890.78517773305</c:v>
                </c:pt>
                <c:pt idx="9">
                  <c:v>481890.78517773305</c:v>
                </c:pt>
                <c:pt idx="10">
                  <c:v>481914.01666666666</c:v>
                </c:pt>
              </c:numCache>
            </c:numRef>
          </c:xVal>
          <c:yVal>
            <c:numRef>
              <c:f>Maree!$D$81:$N$81</c:f>
              <c:numCache>
                <c:formatCode>General</c:formatCode>
                <c:ptCount val="1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ser>
          <c:idx val="2"/>
          <c:order val="2"/>
          <c:tx>
            <c:strRef>
              <c:f>Maree!$A$82</c:f>
              <c:strCache>
                <c:ptCount val="1"/>
                <c:pt idx="0">
                  <c:v>Passage a 17:00:00h</c:v>
                </c:pt>
              </c:strCache>
            </c:strRef>
          </c:tx>
          <c:spPr>
            <a:ln w="0" cap="rnd">
              <a:noFill/>
              <a:round/>
            </a:ln>
            <a:effectLst/>
          </c:spPr>
          <c:marker>
            <c:symbol val="star"/>
            <c:size val="7"/>
            <c:spPr>
              <a:noFill/>
              <a:ln w="9525">
                <a:solidFill>
                  <a:srgbClr val="F802C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Maree!$C$82:$L$82</c:f>
              <c:numCache>
                <c:formatCode>0.00</c:formatCode>
                <c:ptCount val="10"/>
                <c:pt idx="0">
                  <c:v>481865</c:v>
                </c:pt>
                <c:pt idx="1">
                  <c:v>481889</c:v>
                </c:pt>
              </c:numCache>
            </c:numRef>
          </c:xVal>
          <c:yVal>
            <c:numRef>
              <c:f>Maree!$C$83:$L$83</c:f>
              <c:numCache>
                <c:formatCode>General</c:formatCode>
                <c:ptCount val="10"/>
                <c:pt idx="0">
                  <c:v>5.5025806451681953</c:v>
                </c:pt>
                <c:pt idx="1">
                  <c:v>5.3641091954143381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test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Sheet1!$C$2:$Z$2</c:f>
              <c:numCache>
                <c:formatCode>[$-409]dddd\,\ mmmm\ d\,\ yyyy</c:formatCode>
                <c:ptCount val="24"/>
                <c:pt idx="0">
                  <c:v>45646.5</c:v>
                </c:pt>
                <c:pt idx="1">
                  <c:v>45646.54305555555</c:v>
                </c:pt>
                <c:pt idx="2">
                  <c:v>45646.586111111115</c:v>
                </c:pt>
                <c:pt idx="3">
                  <c:v>45646.629166666666</c:v>
                </c:pt>
                <c:pt idx="4">
                  <c:v>45646.672222222223</c:v>
                </c:pt>
                <c:pt idx="5">
                  <c:v>45646.715277777781</c:v>
                </c:pt>
                <c:pt idx="6">
                  <c:v>45646.758333333331</c:v>
                </c:pt>
                <c:pt idx="7">
                  <c:v>45646.8</c:v>
                </c:pt>
                <c:pt idx="8">
                  <c:v>45646.843055555553</c:v>
                </c:pt>
                <c:pt idx="9">
                  <c:v>45646.886111111111</c:v>
                </c:pt>
                <c:pt idx="10">
                  <c:v>45646.929166666669</c:v>
                </c:pt>
                <c:pt idx="11">
                  <c:v>45646.972222222219</c:v>
                </c:pt>
                <c:pt idx="12">
                  <c:v>45647.008333333331</c:v>
                </c:pt>
                <c:pt idx="13">
                  <c:v>45647.05</c:v>
                </c:pt>
                <c:pt idx="14">
                  <c:v>45647.093055555553</c:v>
                </c:pt>
                <c:pt idx="15">
                  <c:v>45647.136111111111</c:v>
                </c:pt>
                <c:pt idx="16">
                  <c:v>45647.179166666669</c:v>
                </c:pt>
                <c:pt idx="17">
                  <c:v>45647.222222222219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45647.387499999997</c:v>
                </c:pt>
                <c:pt idx="22">
                  <c:v>45647.430555555555</c:v>
                </c:pt>
                <c:pt idx="23">
                  <c:v>45647.473611111112</c:v>
                </c:pt>
              </c:numCache>
            </c:numRef>
          </c:cat>
          <c:val>
            <c:numRef>
              <c:f>Sheet1!$C$5:$Z$5</c:f>
              <c:numCache>
                <c:formatCode>0.00</c:formatCode>
                <c:ptCount val="24"/>
                <c:pt idx="0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4-4D87-BECC-5E45E4BAE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1792"/>
        <c:axId val="56502208"/>
      </c:lineChart>
      <c:dateAx>
        <c:axId val="56501792"/>
        <c:scaling>
          <c:orientation val="minMax"/>
        </c:scaling>
        <c:delete val="0"/>
        <c:axPos val="b"/>
        <c:numFmt formatCode="[$-409]dddd\,\ mmmm\ d\,\ 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502208"/>
        <c:crosses val="autoZero"/>
        <c:auto val="0"/>
        <c:lblOffset val="100"/>
        <c:baseTimeUnit val="days"/>
        <c:majorUnit val="1"/>
        <c:majorTimeUnit val="days"/>
      </c:dateAx>
      <c:valAx>
        <c:axId val="5650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50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6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61</xdr:row>
      <xdr:rowOff>48792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82</xdr:row>
      <xdr:rowOff>10161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124089</xdr:colOff>
      <xdr:row>83</xdr:row>
      <xdr:rowOff>165365</xdr:rowOff>
    </xdr:from>
    <xdr:to>
      <xdr:col>28</xdr:col>
      <xdr:colOff>250030</xdr:colOff>
      <xdr:row>111</xdr:row>
      <xdr:rowOff>24870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14</xdr:row>
      <xdr:rowOff>0</xdr:rowOff>
    </xdr:from>
    <xdr:to>
      <xdr:col>10</xdr:col>
      <xdr:colOff>304800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1CA54D-5000-4F67-951E-282D7D88E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28" zoomScaleNormal="100" workbookViewId="0">
      <selection activeCell="V173" sqref="V173"/>
    </sheetView>
  </sheetViews>
  <sheetFormatPr defaultColWidth="9.140625" defaultRowHeight="15" customHeight="1" outlineLevelCol="1" x14ac:dyDescent="0.2"/>
  <cols>
    <col min="1" max="22" width="6.42578125" style="15" customWidth="1"/>
    <col min="23" max="24" width="8.42578125" style="15" customWidth="1"/>
    <col min="25" max="26" width="6.42578125" style="15" customWidth="1"/>
    <col min="27" max="27" width="2.42578125" style="10" customWidth="1" outlineLevel="1"/>
    <col min="28" max="28" width="13.140625" style="8" customWidth="1" outlineLevel="1"/>
    <col min="29" max="29" width="15" style="8" customWidth="1" outlineLevel="1"/>
    <col min="30" max="33" width="15" style="15" customWidth="1" outlineLevel="1"/>
    <col min="34" max="52" width="13.140625" style="15" customWidth="1" outlineLevel="1"/>
    <col min="53" max="58" width="13.140625" style="15" customWidth="1"/>
    <col min="59" max="16384" width="9.140625" style="15"/>
  </cols>
  <sheetData>
    <row r="1" spans="1:54" s="1" customFormat="1" ht="15" customHeight="1" x14ac:dyDescent="0.2">
      <c r="C1" s="175" t="s">
        <v>81</v>
      </c>
      <c r="D1" s="175"/>
      <c r="E1" s="175"/>
      <c r="F1" s="175"/>
      <c r="G1" s="176" t="s">
        <v>82</v>
      </c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AB1" s="19"/>
      <c r="AC1" s="20"/>
      <c r="AD1" s="20"/>
      <c r="AM1" s="6"/>
    </row>
    <row r="2" spans="1:54" s="1" customFormat="1" ht="15" customHeight="1" x14ac:dyDescent="0.2">
      <c r="C2" s="175"/>
      <c r="D2" s="175"/>
      <c r="E2" s="175"/>
      <c r="F2" s="175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AB2" s="19"/>
      <c r="AC2" s="20"/>
      <c r="AD2" s="20"/>
      <c r="AM2" s="6"/>
    </row>
    <row r="3" spans="1:54" s="1" customFormat="1" ht="15" customHeight="1" x14ac:dyDescent="0.2">
      <c r="C3" s="175"/>
      <c r="D3" s="175"/>
      <c r="E3" s="175"/>
      <c r="F3" s="175"/>
      <c r="G3" s="177" t="s">
        <v>84</v>
      </c>
      <c r="H3" s="177"/>
      <c r="I3" s="177"/>
      <c r="J3" s="179" t="s">
        <v>83</v>
      </c>
      <c r="K3" s="179"/>
      <c r="L3" s="179"/>
      <c r="AB3" s="19"/>
      <c r="AC3" s="20"/>
      <c r="AD3" s="20"/>
      <c r="AM3" s="6"/>
    </row>
    <row r="4" spans="1:54" s="1" customFormat="1" ht="15" customHeight="1" x14ac:dyDescent="0.2">
      <c r="C4" s="175"/>
      <c r="D4" s="175"/>
      <c r="E4" s="175"/>
      <c r="F4" s="175"/>
      <c r="G4" s="178"/>
      <c r="H4" s="178"/>
      <c r="I4" s="178"/>
      <c r="J4" s="180"/>
      <c r="K4" s="180"/>
      <c r="L4" s="180"/>
      <c r="AB4" s="19"/>
      <c r="AC4" s="20"/>
      <c r="AD4" s="20"/>
      <c r="AM4" s="6"/>
    </row>
    <row r="5" spans="1:54" s="1" customFormat="1" ht="15" customHeight="1" x14ac:dyDescent="0.2">
      <c r="C5" s="14"/>
      <c r="D5" s="14"/>
      <c r="E5" s="14"/>
      <c r="F5" s="14"/>
      <c r="G5" s="14"/>
      <c r="AB5" s="19"/>
      <c r="AC5" s="20"/>
      <c r="AD5" s="20"/>
      <c r="AM5" s="6"/>
    </row>
    <row r="6" spans="1:54" s="1" customFormat="1" ht="15" customHeight="1" x14ac:dyDescent="0.2">
      <c r="C6" s="14"/>
      <c r="D6" s="14"/>
      <c r="E6" s="14"/>
      <c r="F6" s="14"/>
      <c r="G6" s="14"/>
      <c r="AB6" s="19"/>
      <c r="AC6" s="20"/>
      <c r="AD6" s="20"/>
      <c r="AM6" s="6"/>
    </row>
    <row r="7" spans="1:54" s="1" customFormat="1" ht="15" customHeight="1" thickBot="1" x14ac:dyDescent="0.25">
      <c r="A7" s="1" t="s">
        <v>18</v>
      </c>
      <c r="B7" s="1" t="s">
        <v>19</v>
      </c>
      <c r="C7" s="14"/>
      <c r="D7" s="197" t="s">
        <v>11</v>
      </c>
      <c r="E7" s="197"/>
      <c r="F7" s="197"/>
      <c r="G7" s="197"/>
      <c r="H7" s="197"/>
      <c r="I7" s="197"/>
      <c r="J7" s="15"/>
      <c r="O7" s="198" t="s">
        <v>12</v>
      </c>
      <c r="P7" s="199"/>
      <c r="Q7" s="199"/>
      <c r="R7" s="199"/>
      <c r="S7" s="199"/>
      <c r="T7" s="199"/>
      <c r="U7" s="200"/>
      <c r="AA7" s="19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</row>
    <row r="8" spans="1:54" s="1" customFormat="1" ht="15" customHeight="1" thickTop="1" thickBot="1" x14ac:dyDescent="0.25">
      <c r="C8" s="14"/>
      <c r="D8" s="201" t="s">
        <v>8</v>
      </c>
      <c r="E8" s="201"/>
      <c r="F8" s="201"/>
      <c r="G8" s="202" t="s">
        <v>7</v>
      </c>
      <c r="H8" s="202"/>
      <c r="I8" s="202"/>
      <c r="J8" s="203" t="s">
        <v>16</v>
      </c>
      <c r="K8" s="203"/>
      <c r="L8" s="203"/>
      <c r="M8" s="203"/>
      <c r="N8" s="203"/>
      <c r="O8" s="204" t="s">
        <v>13</v>
      </c>
      <c r="P8" s="205"/>
      <c r="Q8" s="205"/>
      <c r="R8" s="206"/>
      <c r="S8" s="207" t="s">
        <v>14</v>
      </c>
      <c r="T8" s="208"/>
      <c r="U8" s="209"/>
      <c r="V8" s="203" t="s">
        <v>16</v>
      </c>
      <c r="W8" s="203"/>
      <c r="X8" s="203"/>
      <c r="Y8" s="203"/>
      <c r="Z8" s="203"/>
      <c r="AA8" s="19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</row>
    <row r="9" spans="1:54" s="1" customFormat="1" ht="15" customHeight="1" thickTop="1" thickBot="1" x14ac:dyDescent="0.25">
      <c r="C9" s="14"/>
      <c r="D9" s="210" t="s">
        <v>26</v>
      </c>
      <c r="E9" s="211"/>
      <c r="F9" s="211"/>
      <c r="G9" s="202" cm="1">
        <f t="array" ref="G9">heureConvert2Decimal(D9)</f>
        <v>11.983333333333333</v>
      </c>
      <c r="H9" s="202"/>
      <c r="I9" s="202"/>
      <c r="J9" s="212" t="str" cm="1">
        <f t="array" ref="J9">heureDecimal2Txt(G9)</f>
        <v>11:59:00.00(11.9833)</v>
      </c>
      <c r="K9" s="212"/>
      <c r="L9" s="212"/>
      <c r="M9" s="212"/>
      <c r="N9" s="212"/>
      <c r="O9" s="221" t="s">
        <v>160</v>
      </c>
      <c r="P9" s="222"/>
      <c r="Q9" s="222"/>
      <c r="R9" s="223"/>
      <c r="S9" s="215" cm="1">
        <f t="array" ref="S9">angleConvert2Decimal(O9)</f>
        <v>0.46666666666666667</v>
      </c>
      <c r="T9" s="216"/>
      <c r="U9" s="217"/>
      <c r="V9" s="212" t="str" cm="1">
        <f t="array" ref="V9">angleDecimal2Txt(S9)</f>
        <v>+00°28.00 (+00.4666) [+00°28'00.00]</v>
      </c>
      <c r="W9" s="212"/>
      <c r="X9" s="212"/>
      <c r="Y9" s="212"/>
      <c r="Z9" s="212"/>
      <c r="AA9" s="19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</row>
    <row r="10" spans="1:54" s="1" customFormat="1" ht="15" customHeight="1" thickTop="1" thickBot="1" x14ac:dyDescent="0.25">
      <c r="C10" s="14"/>
      <c r="D10" s="211"/>
      <c r="E10" s="211"/>
      <c r="F10" s="211"/>
      <c r="G10" s="202"/>
      <c r="H10" s="202"/>
      <c r="I10" s="202"/>
      <c r="J10" s="212"/>
      <c r="K10" s="212"/>
      <c r="L10" s="212"/>
      <c r="M10" s="212"/>
      <c r="N10" s="212"/>
      <c r="O10" s="224"/>
      <c r="P10" s="225"/>
      <c r="Q10" s="225"/>
      <c r="R10" s="226"/>
      <c r="S10" s="218"/>
      <c r="T10" s="219"/>
      <c r="U10" s="220"/>
      <c r="V10" s="212"/>
      <c r="W10" s="212"/>
      <c r="X10" s="212"/>
      <c r="Y10" s="212"/>
      <c r="Z10" s="212"/>
      <c r="AA10" s="19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</row>
    <row r="11" spans="1:54" s="1" customFormat="1" ht="15" customHeight="1" thickTop="1" thickBot="1" x14ac:dyDescent="0.25">
      <c r="C11" s="14"/>
      <c r="D11" s="210"/>
      <c r="E11" s="211"/>
      <c r="F11" s="211"/>
      <c r="G11" s="202">
        <v>11.9</v>
      </c>
      <c r="H11" s="202"/>
      <c r="I11" s="202"/>
      <c r="J11" s="212" t="str" cm="1">
        <f t="array" ref="J11">heureDecimal2Txt(G11)</f>
        <v>11:54:00.00(11.9000)</v>
      </c>
      <c r="K11" s="212"/>
      <c r="L11" s="212"/>
      <c r="M11" s="212"/>
      <c r="N11" s="212"/>
      <c r="O11" s="221"/>
      <c r="P11" s="222"/>
      <c r="Q11" s="222"/>
      <c r="R11" s="223"/>
      <c r="S11" s="215">
        <f>S9-59.2166667</f>
        <v>-58.750000033333329</v>
      </c>
      <c r="T11" s="216"/>
      <c r="U11" s="217"/>
      <c r="V11" s="212" t="str" cm="1">
        <f t="array" ref="V11">angleDecimal2Txt(S11)</f>
        <v>-58°45.00 (-58.7500) [-58°45'00.00]</v>
      </c>
      <c r="W11" s="212"/>
      <c r="X11" s="212"/>
      <c r="Y11" s="212"/>
      <c r="Z11" s="212"/>
      <c r="AA11" s="19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</row>
    <row r="12" spans="1:54" s="1" customFormat="1" ht="15" customHeight="1" thickTop="1" thickBot="1" x14ac:dyDescent="0.25">
      <c r="C12" s="14"/>
      <c r="D12" s="211"/>
      <c r="E12" s="211"/>
      <c r="F12" s="211"/>
      <c r="G12" s="202"/>
      <c r="H12" s="202"/>
      <c r="I12" s="202"/>
      <c r="J12" s="212"/>
      <c r="K12" s="212"/>
      <c r="L12" s="212"/>
      <c r="M12" s="212"/>
      <c r="N12" s="212"/>
      <c r="O12" s="224"/>
      <c r="P12" s="225"/>
      <c r="Q12" s="225"/>
      <c r="R12" s="226"/>
      <c r="S12" s="218"/>
      <c r="T12" s="219"/>
      <c r="U12" s="220"/>
      <c r="V12" s="212"/>
      <c r="W12" s="212"/>
      <c r="X12" s="212"/>
      <c r="Y12" s="212"/>
      <c r="Z12" s="212"/>
      <c r="AA12" s="19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</row>
    <row r="13" spans="1:54" s="1" customFormat="1" ht="15" customHeight="1" thickTop="1" thickBot="1" x14ac:dyDescent="0.25">
      <c r="C13" s="14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6"/>
      <c r="P13" s="16"/>
      <c r="Q13" s="16"/>
      <c r="R13" s="16"/>
      <c r="S13" s="15"/>
      <c r="T13" s="15"/>
      <c r="U13" s="15"/>
      <c r="V13" s="15"/>
      <c r="W13" s="15"/>
      <c r="X13" s="15"/>
      <c r="Y13" s="15"/>
      <c r="Z13" s="15"/>
      <c r="AA13" s="19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</row>
    <row r="14" spans="1:54" s="1" customFormat="1" ht="15" customHeight="1" thickBot="1" x14ac:dyDescent="0.25">
      <c r="C14" s="14"/>
      <c r="D14" s="227" t="s">
        <v>17</v>
      </c>
      <c r="E14" s="228"/>
      <c r="F14" s="229"/>
      <c r="G14" s="15"/>
      <c r="H14" s="15"/>
      <c r="I14" s="227" t="s">
        <v>35</v>
      </c>
      <c r="J14" s="228"/>
      <c r="K14" s="229"/>
      <c r="L14" s="15"/>
      <c r="M14" s="15"/>
      <c r="N14" s="15"/>
      <c r="O14" s="16"/>
      <c r="P14" s="16"/>
      <c r="Q14" s="16"/>
      <c r="R14" s="16"/>
      <c r="S14" s="15"/>
      <c r="T14" s="15"/>
      <c r="U14" s="15"/>
      <c r="V14" s="15"/>
      <c r="W14" s="213" t="s">
        <v>44</v>
      </c>
      <c r="X14" s="213"/>
      <c r="Y14" s="21" t="s">
        <v>5</v>
      </c>
      <c r="Z14" s="21"/>
      <c r="AA14" s="19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</row>
    <row r="15" spans="1:54" s="1" customFormat="1" ht="15" customHeight="1" x14ac:dyDescent="0.2">
      <c r="C15" s="14"/>
      <c r="D15" s="22" t="s">
        <v>20</v>
      </c>
      <c r="E15" s="23" t="s">
        <v>21</v>
      </c>
      <c r="F15" s="24"/>
      <c r="G15" s="15"/>
      <c r="H15" s="15"/>
      <c r="I15" s="25" t="s">
        <v>23</v>
      </c>
      <c r="J15" s="26" t="s">
        <v>30</v>
      </c>
      <c r="K15" s="27">
        <f>PI()/180</f>
        <v>1.7453292519943295E-2</v>
      </c>
      <c r="L15" s="15"/>
      <c r="M15" s="15"/>
      <c r="N15" s="15"/>
      <c r="O15" s="16"/>
      <c r="P15" s="16"/>
      <c r="Q15" s="16"/>
      <c r="R15" s="16"/>
      <c r="S15" s="15"/>
      <c r="T15" s="15"/>
      <c r="U15" s="15"/>
      <c r="V15" s="15"/>
      <c r="W15" s="213" t="s">
        <v>45</v>
      </c>
      <c r="X15" s="213"/>
      <c r="Y15" s="21" t="s">
        <v>46</v>
      </c>
      <c r="Z15" s="21"/>
      <c r="AA15" s="19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</row>
    <row r="16" spans="1:54" s="1" customFormat="1" ht="15" customHeight="1" thickBot="1" x14ac:dyDescent="0.25">
      <c r="C16" s="14"/>
      <c r="D16" s="22" t="s">
        <v>1</v>
      </c>
      <c r="E16" s="23" t="s">
        <v>3</v>
      </c>
      <c r="F16" s="24">
        <v>1</v>
      </c>
      <c r="G16" s="15"/>
      <c r="H16" s="15"/>
      <c r="I16" s="28" t="s">
        <v>30</v>
      </c>
      <c r="J16" s="29" t="s">
        <v>23</v>
      </c>
      <c r="K16" s="30">
        <f>180/PI()</f>
        <v>57.295779513082323</v>
      </c>
      <c r="L16" s="15"/>
      <c r="M16" s="15"/>
      <c r="N16" s="15"/>
      <c r="O16" s="16"/>
      <c r="P16" s="16"/>
      <c r="Q16" s="16"/>
      <c r="R16" s="16"/>
      <c r="S16" s="15"/>
      <c r="T16" s="15"/>
      <c r="U16" s="15"/>
      <c r="V16" s="15"/>
      <c r="W16" s="242" t="s">
        <v>50</v>
      </c>
      <c r="X16" s="242"/>
      <c r="Y16" s="31" t="s">
        <v>49</v>
      </c>
      <c r="Z16" s="31"/>
      <c r="AA16" s="19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</row>
    <row r="17" spans="2:54" s="1" customFormat="1" ht="15" customHeight="1" thickBot="1" x14ac:dyDescent="0.25">
      <c r="C17" s="14"/>
      <c r="D17" s="32" t="s">
        <v>2</v>
      </c>
      <c r="E17" s="33" t="s">
        <v>4</v>
      </c>
      <c r="F17" s="34">
        <v>-1</v>
      </c>
      <c r="G17" s="15"/>
      <c r="H17" s="15"/>
      <c r="I17" s="15"/>
      <c r="J17" s="15"/>
      <c r="K17" s="15"/>
      <c r="L17" s="15"/>
      <c r="M17" s="15"/>
      <c r="N17" s="15"/>
      <c r="O17" s="16"/>
      <c r="P17" s="16"/>
      <c r="Q17" s="16"/>
      <c r="R17" s="16"/>
      <c r="S17" s="15"/>
      <c r="T17" s="15"/>
      <c r="U17" s="15"/>
      <c r="V17" s="15"/>
      <c r="W17" s="213" t="s">
        <v>47</v>
      </c>
      <c r="X17" s="214"/>
      <c r="Y17" s="35"/>
      <c r="Z17" s="36"/>
      <c r="AA17" s="19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</row>
    <row r="18" spans="2:54" s="1" customFormat="1" ht="15" customHeight="1" x14ac:dyDescent="0.2"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6"/>
      <c r="P18" s="16"/>
      <c r="Q18" s="16"/>
      <c r="R18" s="16"/>
      <c r="S18" s="15"/>
      <c r="T18" s="15"/>
      <c r="U18" s="15"/>
      <c r="V18" s="15"/>
      <c r="W18" s="213" t="s">
        <v>48</v>
      </c>
      <c r="X18" s="214"/>
      <c r="Y18" s="37"/>
      <c r="Z18" s="38"/>
      <c r="AA18" s="19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</row>
    <row r="19" spans="2:54" s="1" customFormat="1" ht="15" customHeight="1" x14ac:dyDescent="0.2"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6"/>
      <c r="P19" s="16"/>
      <c r="Q19" s="16"/>
      <c r="R19" s="16"/>
      <c r="S19" s="15"/>
      <c r="T19" s="15"/>
      <c r="U19" s="15"/>
      <c r="V19" s="15"/>
      <c r="W19" s="213" t="s">
        <v>53</v>
      </c>
      <c r="X19" s="213"/>
      <c r="Y19" s="39" t="s">
        <v>51</v>
      </c>
      <c r="Z19" s="39"/>
      <c r="AA19" s="19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</row>
    <row r="20" spans="2:54" s="1" customFormat="1" ht="15" customHeight="1" x14ac:dyDescent="0.2"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6"/>
      <c r="P20" s="16"/>
      <c r="Q20" s="16"/>
      <c r="R20" s="16"/>
      <c r="S20" s="15"/>
      <c r="T20" s="15"/>
      <c r="U20" s="15"/>
      <c r="V20" s="15"/>
      <c r="W20" s="213" t="s">
        <v>52</v>
      </c>
      <c r="X20" s="214"/>
      <c r="Y20" s="35"/>
      <c r="Z20" s="36"/>
      <c r="AA20" s="19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</row>
    <row r="21" spans="2:54" s="1" customFormat="1" ht="15" customHeight="1" x14ac:dyDescent="0.2"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6"/>
      <c r="P21" s="16"/>
      <c r="Q21" s="16"/>
      <c r="R21" s="16"/>
      <c r="S21" s="15"/>
      <c r="T21" s="15"/>
      <c r="U21" s="15"/>
      <c r="V21" s="15"/>
      <c r="W21" s="213" t="s">
        <v>54</v>
      </c>
      <c r="X21" s="214"/>
      <c r="Y21" s="37"/>
      <c r="Z21" s="38"/>
      <c r="AA21" s="19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</row>
    <row r="22" spans="2:54" s="1" customFormat="1" ht="15" customHeight="1" x14ac:dyDescent="0.2">
      <c r="B22" s="40" t="s">
        <v>57</v>
      </c>
      <c r="C22" s="41"/>
      <c r="D22" s="41"/>
      <c r="E22" s="41"/>
      <c r="F22" s="41"/>
      <c r="G22" s="41"/>
      <c r="H22" s="41"/>
      <c r="I22" s="15"/>
      <c r="J22" s="15"/>
      <c r="K22" s="15"/>
      <c r="L22" s="15"/>
      <c r="M22" s="15"/>
      <c r="N22" s="15"/>
      <c r="O22" s="16"/>
      <c r="P22" s="16"/>
      <c r="Q22" s="16"/>
      <c r="R22" s="16"/>
      <c r="S22" s="15"/>
      <c r="T22" s="15"/>
      <c r="U22" s="15"/>
      <c r="V22" s="15"/>
      <c r="W22" s="213" t="s">
        <v>55</v>
      </c>
      <c r="X22" s="213"/>
      <c r="Y22" s="186" t="s">
        <v>56</v>
      </c>
      <c r="Z22" s="186"/>
      <c r="AA22" s="19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</row>
    <row r="23" spans="2:54" s="1" customFormat="1" ht="15" customHeight="1" x14ac:dyDescent="0.2"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6"/>
      <c r="P23" s="16"/>
      <c r="Q23" s="16"/>
      <c r="R23" s="16"/>
      <c r="S23" s="15"/>
      <c r="T23" s="15"/>
      <c r="U23" s="15"/>
      <c r="V23" s="15"/>
      <c r="W23" s="185"/>
      <c r="X23" s="185"/>
      <c r="Y23" s="15"/>
      <c r="Z23" s="15"/>
      <c r="AA23" s="19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</row>
    <row r="24" spans="2:54" s="1" customFormat="1" ht="15" customHeight="1" x14ac:dyDescent="0.2"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6"/>
      <c r="P24" s="16"/>
      <c r="Q24" s="16"/>
      <c r="R24" s="16"/>
      <c r="S24" s="15"/>
      <c r="T24" s="15"/>
      <c r="U24" s="15"/>
      <c r="V24" s="15"/>
      <c r="W24" s="15"/>
      <c r="X24" s="15"/>
      <c r="Y24" s="15"/>
      <c r="Z24" s="15"/>
      <c r="AA24" s="19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</row>
    <row r="25" spans="2:54" s="1" customFormat="1" ht="15" customHeight="1" x14ac:dyDescent="0.2"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6"/>
      <c r="P25" s="16"/>
      <c r="Q25" s="16"/>
      <c r="R25" s="16"/>
      <c r="S25" s="15"/>
      <c r="T25" s="15"/>
      <c r="U25" s="15"/>
      <c r="V25" s="15"/>
      <c r="W25" s="15"/>
      <c r="X25" s="15"/>
      <c r="Y25" s="15"/>
      <c r="Z25" s="15"/>
      <c r="AA25" s="19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</row>
    <row r="26" spans="2:54" s="1" customFormat="1" ht="15" customHeight="1" x14ac:dyDescent="0.2"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6"/>
      <c r="P26" s="16"/>
      <c r="Q26" s="16"/>
      <c r="R26" s="16"/>
      <c r="S26" s="15"/>
      <c r="T26" s="15"/>
      <c r="U26" s="15"/>
      <c r="V26" s="15"/>
      <c r="W26" s="15"/>
      <c r="X26" s="15"/>
      <c r="Y26" s="15"/>
      <c r="Z26" s="15"/>
      <c r="AA26" s="19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</row>
    <row r="27" spans="2:54" s="1" customFormat="1" ht="15" customHeight="1" x14ac:dyDescent="0.2"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6"/>
      <c r="P27" s="16"/>
      <c r="Q27" s="16"/>
      <c r="R27" s="16"/>
      <c r="S27" s="15"/>
      <c r="T27" s="15"/>
      <c r="U27" s="15"/>
      <c r="V27" s="15"/>
      <c r="W27" s="15"/>
      <c r="X27" s="15"/>
      <c r="Y27" s="15"/>
      <c r="Z27" s="15"/>
      <c r="AA27" s="19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</row>
    <row r="28" spans="2:54" s="1" customFormat="1" ht="15" customHeight="1" x14ac:dyDescent="0.2"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6"/>
      <c r="P28" s="16"/>
      <c r="Q28" s="16"/>
      <c r="R28" s="16"/>
      <c r="S28" s="15"/>
      <c r="T28" s="15"/>
      <c r="U28" s="15"/>
      <c r="V28" s="15"/>
      <c r="W28" s="15"/>
      <c r="X28" s="15"/>
      <c r="Y28" s="15"/>
      <c r="Z28" s="15"/>
      <c r="AA28" s="19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</row>
    <row r="29" spans="2:54" s="1" customFormat="1" ht="15" customHeight="1" x14ac:dyDescent="0.2"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6"/>
      <c r="P29" s="16"/>
      <c r="Q29" s="16"/>
      <c r="R29" s="16"/>
      <c r="S29" s="15"/>
      <c r="T29" s="15"/>
      <c r="U29" s="15"/>
      <c r="V29" s="15"/>
      <c r="W29" s="15"/>
      <c r="X29" s="15"/>
      <c r="Y29" s="15"/>
      <c r="Z29" s="15"/>
      <c r="AA29" s="19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</row>
    <row r="30" spans="2:54" s="1" customFormat="1" ht="15" customHeight="1" thickBot="1" x14ac:dyDescent="0.25">
      <c r="C30" s="14"/>
      <c r="D30" s="14"/>
      <c r="E30" s="14"/>
      <c r="F30" s="14"/>
      <c r="AA30" s="19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</row>
    <row r="31" spans="2:54" s="1" customFormat="1" ht="15" customHeight="1" thickBot="1" x14ac:dyDescent="0.25">
      <c r="B31" s="3" t="s">
        <v>34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9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</row>
    <row r="32" spans="2:54" s="1" customFormat="1" ht="15" customHeight="1" thickBot="1" x14ac:dyDescent="0.25">
      <c r="C32" s="15"/>
      <c r="AA32" s="19"/>
      <c r="AB32" s="42" t="s">
        <v>121</v>
      </c>
      <c r="AC32" s="42">
        <f>180/PI()</f>
        <v>57.295779513082323</v>
      </c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</row>
    <row r="33" spans="2:65" s="1" customFormat="1" ht="15" customHeight="1" thickTop="1" x14ac:dyDescent="0.2">
      <c r="C33" s="138" t="s">
        <v>36</v>
      </c>
      <c r="D33" s="230" t="s">
        <v>20</v>
      </c>
      <c r="E33" s="161" cm="1">
        <f t="array" ref="E33">angleConvert2Decimal(I33)*VLOOKUP(H33,$D$16:$F$17,3)</f>
        <v>49.1</v>
      </c>
      <c r="F33" s="161"/>
      <c r="G33" s="162"/>
      <c r="H33" s="234" t="s">
        <v>1</v>
      </c>
      <c r="I33" s="236">
        <v>49.1</v>
      </c>
      <c r="J33" s="237"/>
      <c r="K33" s="237"/>
      <c r="L33" s="237"/>
      <c r="M33" s="238"/>
      <c r="N33" s="149" t="str" cm="1">
        <f t="array" ref="N33">angleDecimal2Txt(E33)</f>
        <v>+49°06.00 (+49.1000) [+49°06'00.00]</v>
      </c>
      <c r="O33" s="149"/>
      <c r="P33" s="149"/>
      <c r="Q33" s="149"/>
      <c r="R33" s="149"/>
      <c r="S33" s="149"/>
      <c r="T33" s="149"/>
      <c r="U33" s="149"/>
      <c r="V33" s="149"/>
      <c r="W33" s="150"/>
      <c r="AA33" s="19"/>
      <c r="AB33" s="42" t="s">
        <v>122</v>
      </c>
      <c r="AC33" s="42">
        <f>PI()/180</f>
        <v>1.7453292519943295E-2</v>
      </c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</row>
    <row r="34" spans="2:65" s="1" customFormat="1" ht="15" customHeight="1" thickBot="1" x14ac:dyDescent="0.25">
      <c r="C34" s="156"/>
      <c r="D34" s="231"/>
      <c r="E34" s="163"/>
      <c r="F34" s="163"/>
      <c r="G34" s="164"/>
      <c r="H34" s="235"/>
      <c r="I34" s="239"/>
      <c r="J34" s="240"/>
      <c r="K34" s="240"/>
      <c r="L34" s="240"/>
      <c r="M34" s="241"/>
      <c r="N34" s="151"/>
      <c r="O34" s="151"/>
      <c r="P34" s="151"/>
      <c r="Q34" s="151"/>
      <c r="R34" s="151"/>
      <c r="S34" s="151"/>
      <c r="T34" s="151"/>
      <c r="U34" s="151"/>
      <c r="V34" s="151"/>
      <c r="W34" s="152"/>
      <c r="X34" s="1" t="s">
        <v>129</v>
      </c>
      <c r="AA34" s="19"/>
      <c r="AB34" s="43" t="s">
        <v>117</v>
      </c>
      <c r="AC34" s="15"/>
      <c r="AD34" s="44" t="s">
        <v>25</v>
      </c>
      <c r="AE34" s="44" t="s">
        <v>27</v>
      </c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</row>
    <row r="35" spans="2:65" s="1" customFormat="1" ht="15" customHeight="1" thickTop="1" x14ac:dyDescent="0.2">
      <c r="C35" s="156"/>
      <c r="D35" s="232" t="s">
        <v>21</v>
      </c>
      <c r="E35" s="161" cm="1">
        <f t="array" ref="E35">angleConvert2Decimal(I35)*VLOOKUP(H35,$E$16:$F$17,2)</f>
        <v>2.5</v>
      </c>
      <c r="F35" s="161"/>
      <c r="G35" s="162"/>
      <c r="H35" s="165" t="s">
        <v>3</v>
      </c>
      <c r="I35" s="167">
        <v>2.5</v>
      </c>
      <c r="J35" s="168"/>
      <c r="K35" s="168"/>
      <c r="L35" s="168"/>
      <c r="M35" s="169"/>
      <c r="N35" s="149" t="str" cm="1">
        <f t="array" ref="N35">angleDecimal2Txt(E35)</f>
        <v>+02°30.00 (+02.5000) [+02°30'00.00]</v>
      </c>
      <c r="O35" s="149"/>
      <c r="P35" s="149"/>
      <c r="Q35" s="149"/>
      <c r="R35" s="149"/>
      <c r="S35" s="149"/>
      <c r="T35" s="149"/>
      <c r="U35" s="149"/>
      <c r="V35" s="149"/>
      <c r="W35" s="150"/>
      <c r="AA35" s="19"/>
      <c r="AB35" s="15"/>
      <c r="AC35" s="45" t="s">
        <v>118</v>
      </c>
      <c r="AD35" s="17">
        <f>$E$41-$E$35</f>
        <v>136.6</v>
      </c>
      <c r="AE35" s="44">
        <f>AD35*AC33</f>
        <v>2.3841197582242541</v>
      </c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</row>
    <row r="36" spans="2:65" s="1" customFormat="1" ht="15" customHeight="1" thickBot="1" x14ac:dyDescent="0.25">
      <c r="C36" s="157"/>
      <c r="D36" s="233"/>
      <c r="E36" s="163"/>
      <c r="F36" s="163"/>
      <c r="G36" s="164"/>
      <c r="H36" s="166"/>
      <c r="I36" s="170"/>
      <c r="J36" s="171"/>
      <c r="K36" s="171"/>
      <c r="L36" s="171"/>
      <c r="M36" s="172"/>
      <c r="N36" s="151"/>
      <c r="O36" s="151"/>
      <c r="P36" s="151"/>
      <c r="Q36" s="151"/>
      <c r="R36" s="151"/>
      <c r="S36" s="151"/>
      <c r="T36" s="151"/>
      <c r="U36" s="151"/>
      <c r="V36" s="151"/>
      <c r="W36" s="152"/>
      <c r="Z36" s="13"/>
      <c r="AA36" s="46"/>
      <c r="AB36" s="15"/>
      <c r="AC36" s="45" t="s">
        <v>119</v>
      </c>
      <c r="AD36" s="17">
        <f>$E$39-$E$33</f>
        <v>-0.10000000000000142</v>
      </c>
      <c r="AE36" s="44">
        <f>AD36*AC33</f>
        <v>-1.7453292519943543E-3</v>
      </c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</row>
    <row r="37" spans="2:65" s="1" customFormat="1" ht="15" customHeight="1" x14ac:dyDescent="0.2"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Y37" s="15"/>
      <c r="Z37" s="13"/>
      <c r="AA37" s="46"/>
      <c r="AB37" s="15"/>
      <c r="AC37" s="45" t="s">
        <v>120</v>
      </c>
      <c r="AD37" s="45">
        <f>(E39+E33)/2</f>
        <v>49.05</v>
      </c>
      <c r="AE37" s="44">
        <f>AD37*AC33</f>
        <v>0.85608399810321856</v>
      </c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</row>
    <row r="38" spans="2:65" s="1" customFormat="1" ht="15" customHeight="1" thickBot="1" x14ac:dyDescent="0.25">
      <c r="C38" s="15"/>
      <c r="Y38" s="15"/>
      <c r="Z38" s="13"/>
      <c r="AA38" s="46"/>
      <c r="AB38" s="15"/>
      <c r="AC38" s="45" t="s">
        <v>139</v>
      </c>
      <c r="AD38" s="45">
        <f>ABS(AE35/AE36)*COS(AE37)</f>
        <v>895.27663346549798</v>
      </c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</row>
    <row r="39" spans="2:65" s="1" customFormat="1" ht="15" customHeight="1" thickTop="1" x14ac:dyDescent="0.2">
      <c r="C39" s="138" t="s">
        <v>9</v>
      </c>
      <c r="D39" s="230" t="s">
        <v>20</v>
      </c>
      <c r="E39" s="161" cm="1">
        <f t="array" ref="E39">angleConvert2Decimal(I39)</f>
        <v>49</v>
      </c>
      <c r="F39" s="161"/>
      <c r="G39" s="162"/>
      <c r="H39" s="234" t="s">
        <v>1</v>
      </c>
      <c r="I39" s="236">
        <v>49</v>
      </c>
      <c r="J39" s="237"/>
      <c r="K39" s="237"/>
      <c r="L39" s="237"/>
      <c r="M39" s="238"/>
      <c r="N39" s="149" t="str" cm="1">
        <f t="array" ref="N39">angleDecimal2Txt(E39)</f>
        <v>+49°00.00 (+49.0000) [+49°00'00.00]</v>
      </c>
      <c r="O39" s="149"/>
      <c r="P39" s="149"/>
      <c r="Q39" s="149"/>
      <c r="R39" s="149"/>
      <c r="S39" s="149"/>
      <c r="T39" s="149"/>
      <c r="U39" s="149"/>
      <c r="V39" s="149"/>
      <c r="W39" s="150"/>
      <c r="Y39" s="15"/>
      <c r="Z39" s="13"/>
      <c r="AA39" s="46"/>
      <c r="AB39" s="15"/>
      <c r="AC39" s="47" t="s">
        <v>130</v>
      </c>
      <c r="AD39" s="47">
        <f>ATAN(AD38)*$AC$32</f>
        <v>89.936002176820651</v>
      </c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</row>
    <row r="40" spans="2:65" s="1" customFormat="1" ht="15" customHeight="1" thickBot="1" x14ac:dyDescent="0.25">
      <c r="C40" s="156"/>
      <c r="D40" s="231"/>
      <c r="E40" s="163"/>
      <c r="F40" s="163"/>
      <c r="G40" s="164"/>
      <c r="H40" s="235"/>
      <c r="I40" s="239"/>
      <c r="J40" s="240"/>
      <c r="K40" s="240"/>
      <c r="L40" s="240"/>
      <c r="M40" s="241"/>
      <c r="N40" s="151"/>
      <c r="O40" s="151"/>
      <c r="P40" s="151"/>
      <c r="Q40" s="151"/>
      <c r="R40" s="151"/>
      <c r="S40" s="151"/>
      <c r="T40" s="151"/>
      <c r="U40" s="151"/>
      <c r="V40" s="151"/>
      <c r="W40" s="152"/>
      <c r="X40" s="1" t="s">
        <v>128</v>
      </c>
      <c r="Y40" s="15"/>
      <c r="Z40" s="13"/>
      <c r="AA40" s="46"/>
      <c r="AB40" s="15"/>
      <c r="AC40" s="47" t="s">
        <v>131</v>
      </c>
      <c r="AD40" s="47" t="str">
        <f>CONCATENATE(IF(AD36&lt;0,"S","N"),IF(AD35&gt;0,"E","W"))</f>
        <v>SE</v>
      </c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</row>
    <row r="41" spans="2:65" s="1" customFormat="1" ht="15" customHeight="1" thickTop="1" x14ac:dyDescent="0.2">
      <c r="C41" s="156"/>
      <c r="D41" s="232" t="s">
        <v>21</v>
      </c>
      <c r="E41" s="161" cm="1">
        <f t="array" ref="E41">angleConvert2Decimal(I41)*VLOOKUP(H41,$E$16:$F$17,2)</f>
        <v>139.1</v>
      </c>
      <c r="F41" s="161"/>
      <c r="G41" s="162"/>
      <c r="H41" s="165" t="s">
        <v>3</v>
      </c>
      <c r="I41" s="167">
        <v>139.1</v>
      </c>
      <c r="J41" s="168"/>
      <c r="K41" s="168"/>
      <c r="L41" s="168"/>
      <c r="M41" s="169"/>
      <c r="N41" s="149" t="str" cm="1">
        <f t="array" ref="N41">angleDecimal2Txt(E41)</f>
        <v>+139°06.00 (+139.0999) [+139°06'00.00]</v>
      </c>
      <c r="O41" s="149"/>
      <c r="P41" s="149"/>
      <c r="Q41" s="149"/>
      <c r="R41" s="149"/>
      <c r="S41" s="149"/>
      <c r="T41" s="149"/>
      <c r="U41" s="149"/>
      <c r="V41" s="149"/>
      <c r="W41" s="150"/>
      <c r="Y41" s="15"/>
      <c r="Z41" s="13"/>
      <c r="AA41" s="46"/>
      <c r="AB41" s="15"/>
      <c r="AC41" s="47" t="s">
        <v>39</v>
      </c>
      <c r="AD41" s="47">
        <f>IF(AD40="NE",AD39,IF(AD40="NW",360-AD39,IF(AD40="SE",180-AD39,180+AD39)))</f>
        <v>90.063997823179349</v>
      </c>
      <c r="AE41" s="15">
        <f>AD41*AC33</f>
        <v>1.5719132995234855</v>
      </c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</row>
    <row r="42" spans="2:65" s="1" customFormat="1" ht="15" customHeight="1" thickBot="1" x14ac:dyDescent="0.25">
      <c r="C42" s="157"/>
      <c r="D42" s="233"/>
      <c r="E42" s="163"/>
      <c r="F42" s="163"/>
      <c r="G42" s="164"/>
      <c r="H42" s="166"/>
      <c r="I42" s="170"/>
      <c r="J42" s="171"/>
      <c r="K42" s="171"/>
      <c r="L42" s="171"/>
      <c r="M42" s="172"/>
      <c r="N42" s="151"/>
      <c r="O42" s="151"/>
      <c r="P42" s="151"/>
      <c r="Q42" s="151"/>
      <c r="R42" s="151"/>
      <c r="S42" s="151"/>
      <c r="T42" s="151"/>
      <c r="U42" s="151"/>
      <c r="V42" s="151"/>
      <c r="W42" s="152"/>
      <c r="Y42" s="15"/>
      <c r="Z42" s="13"/>
      <c r="AA42" s="46"/>
      <c r="AB42" s="15"/>
      <c r="AC42" s="47" t="s">
        <v>123</v>
      </c>
      <c r="AD42" s="47">
        <f>60*AD36/COS(AE41)</f>
        <v>5371.6631517123951</v>
      </c>
      <c r="AE42" s="15">
        <f>AD42*1.852</f>
        <v>9948.3201569713565</v>
      </c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</row>
    <row r="43" spans="2:65" ht="15" customHeight="1" x14ac:dyDescent="0.2">
      <c r="Z43" s="13"/>
      <c r="AA43" s="46"/>
      <c r="AB43" s="48" t="s">
        <v>124</v>
      </c>
      <c r="AC43" s="15"/>
      <c r="AE43" s="13"/>
      <c r="AF43" s="13"/>
      <c r="AG43" s="13"/>
    </row>
    <row r="44" spans="2:65" ht="15" customHeight="1" x14ac:dyDescent="0.2">
      <c r="Z44" s="13"/>
      <c r="AA44" s="46"/>
      <c r="AB44" s="15"/>
      <c r="AC44" s="49" t="s">
        <v>118</v>
      </c>
      <c r="AD44" s="50">
        <f>$E$41-$E$35</f>
        <v>136.6</v>
      </c>
      <c r="AE44" s="51">
        <f>AD44*AC33</f>
        <v>2.3841197582242541</v>
      </c>
      <c r="AF44" s="13"/>
      <c r="AG44" s="13"/>
    </row>
    <row r="45" spans="2:65" ht="15" customHeight="1" x14ac:dyDescent="0.2">
      <c r="E45" s="190" t="s">
        <v>141</v>
      </c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U45" s="244" t="s">
        <v>37</v>
      </c>
      <c r="V45" s="245"/>
      <c r="W45" s="245"/>
      <c r="X45" s="246"/>
      <c r="AB45" s="15"/>
      <c r="AC45" s="52" t="s">
        <v>119</v>
      </c>
      <c r="AD45" s="17">
        <f>$E$39-$E$33</f>
        <v>-0.10000000000000142</v>
      </c>
      <c r="AE45" s="53" t="s">
        <v>133</v>
      </c>
      <c r="AF45" s="53" t="s">
        <v>134</v>
      </c>
      <c r="AG45" s="53" t="s">
        <v>135</v>
      </c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</row>
    <row r="46" spans="2:65" s="1" customFormat="1" ht="15" customHeight="1" x14ac:dyDescent="0.2">
      <c r="B46" s="189" t="s">
        <v>140</v>
      </c>
      <c r="C46" s="189"/>
      <c r="D46" s="15"/>
      <c r="E46" s="267" t="str" cm="1">
        <f t="array" ref="E46">angleDecimal2Txt(I46,0)</f>
        <v>+90°00.00</v>
      </c>
      <c r="F46" s="267"/>
      <c r="G46" s="267"/>
      <c r="H46" s="267"/>
      <c r="I46" s="130">
        <f>IF(OR(AF57,AE55),AD58,AD41)</f>
        <v>90</v>
      </c>
      <c r="J46" s="130"/>
      <c r="K46" s="130"/>
      <c r="L46" s="131" t="str" cm="1">
        <f t="array" ref="L46">angleDecimal2Txt(I46)</f>
        <v>+90°00.00 (+90.0000) [+90°00'00.00]</v>
      </c>
      <c r="M46" s="131"/>
      <c r="N46" s="131"/>
      <c r="O46" s="131"/>
      <c r="P46" s="131"/>
      <c r="Q46" s="131"/>
      <c r="R46" s="131"/>
      <c r="S46" s="131"/>
      <c r="U46" s="132">
        <f>IF(OR(AF57,AE55),AD59,AD42)</f>
        <v>5371.6598007930643</v>
      </c>
      <c r="V46" s="133"/>
      <c r="W46" s="133"/>
      <c r="X46" s="134"/>
      <c r="AA46" s="19"/>
      <c r="AB46" s="15"/>
      <c r="AC46" s="52" t="s">
        <v>126</v>
      </c>
      <c r="AD46" s="12">
        <f>AG46</f>
        <v>0.98647087183363136</v>
      </c>
      <c r="AE46" s="53">
        <f>PI()/4 + E33*$AC$33/2</f>
        <v>1.2138764947620562</v>
      </c>
      <c r="AF46" s="53">
        <f>TAN(AE46)</f>
        <v>2.6817535005930826</v>
      </c>
      <c r="AG46" s="53">
        <f>LN(AF46)</f>
        <v>0.98647087183363136</v>
      </c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</row>
    <row r="47" spans="2:65" s="1" customFormat="1" ht="15" customHeight="1" x14ac:dyDescent="0.2">
      <c r="B47" s="189"/>
      <c r="C47" s="189"/>
      <c r="D47" s="15"/>
      <c r="E47" s="267"/>
      <c r="F47" s="267"/>
      <c r="G47" s="267"/>
      <c r="H47" s="267"/>
      <c r="I47" s="130"/>
      <c r="J47" s="130"/>
      <c r="K47" s="130"/>
      <c r="L47" s="131"/>
      <c r="M47" s="131"/>
      <c r="N47" s="131"/>
      <c r="O47" s="131"/>
      <c r="P47" s="131"/>
      <c r="Q47" s="131"/>
      <c r="R47" s="131"/>
      <c r="S47" s="131"/>
      <c r="U47" s="135"/>
      <c r="V47" s="136"/>
      <c r="W47" s="136"/>
      <c r="X47" s="137"/>
      <c r="AA47" s="19"/>
      <c r="AB47" s="15"/>
      <c r="AC47" s="52" t="s">
        <v>125</v>
      </c>
      <c r="AD47" s="12">
        <f>AG47</f>
        <v>0.98380787273879144</v>
      </c>
      <c r="AE47" s="53">
        <f>PI()/4 + E39*$AC$33/2</f>
        <v>1.2130038301360591</v>
      </c>
      <c r="AF47" s="53">
        <f>TAN(AE47)</f>
        <v>2.674621493926824</v>
      </c>
      <c r="AG47" s="53">
        <f>LN(AF47)</f>
        <v>0.98380787273879144</v>
      </c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</row>
    <row r="48" spans="2:65" ht="15" customHeight="1" x14ac:dyDescent="0.2">
      <c r="AB48" s="15"/>
      <c r="AC48" s="52" t="s">
        <v>127</v>
      </c>
      <c r="AD48" s="12">
        <f>AD47-AD46</f>
        <v>-2.6629990948399129E-3</v>
      </c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</row>
    <row r="49" spans="2:54" ht="15" customHeight="1" x14ac:dyDescent="0.2">
      <c r="B49" s="145" t="s">
        <v>124</v>
      </c>
      <c r="C49" s="145"/>
      <c r="E49" s="267" t="str" cm="1">
        <f t="array" ref="E49">angleDecimal2Txt(I49,0)</f>
        <v>+90°03.83</v>
      </c>
      <c r="F49" s="267"/>
      <c r="G49" s="267"/>
      <c r="H49" s="267"/>
      <c r="I49" s="130">
        <f>AD52</f>
        <v>90.063997852876852</v>
      </c>
      <c r="J49" s="130"/>
      <c r="K49" s="130"/>
      <c r="L49" s="131" t="str" cm="1">
        <f t="array" ref="L49">angleDecimal2Txt(I49)</f>
        <v>+90°03.83 (+90.0639) [+90°03'50.39]</v>
      </c>
      <c r="M49" s="131"/>
      <c r="N49" s="131"/>
      <c r="O49" s="131"/>
      <c r="P49" s="131"/>
      <c r="Q49" s="131"/>
      <c r="R49" s="131"/>
      <c r="S49" s="131"/>
      <c r="T49" s="1"/>
      <c r="U49" s="132">
        <f>AD53</f>
        <v>5371.6606590521533</v>
      </c>
      <c r="V49" s="133"/>
      <c r="W49" s="133"/>
      <c r="X49" s="134"/>
      <c r="AB49" s="15"/>
      <c r="AC49" s="45" t="s">
        <v>139</v>
      </c>
      <c r="AD49" s="44">
        <f>ABS(AE44/AD48)</f>
        <v>895.2762180219878</v>
      </c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</row>
    <row r="50" spans="2:54" ht="15" customHeight="1" x14ac:dyDescent="0.2">
      <c r="B50" s="145"/>
      <c r="C50" s="145"/>
      <c r="E50" s="267"/>
      <c r="F50" s="267"/>
      <c r="G50" s="267"/>
      <c r="H50" s="267"/>
      <c r="I50" s="130"/>
      <c r="J50" s="130"/>
      <c r="K50" s="130"/>
      <c r="L50" s="131"/>
      <c r="M50" s="131"/>
      <c r="N50" s="131"/>
      <c r="O50" s="131"/>
      <c r="P50" s="131"/>
      <c r="Q50" s="131"/>
      <c r="R50" s="131"/>
      <c r="S50" s="131"/>
      <c r="T50" s="1"/>
      <c r="U50" s="135"/>
      <c r="V50" s="136"/>
      <c r="W50" s="136"/>
      <c r="X50" s="137"/>
      <c r="AA50" s="19"/>
      <c r="AB50" s="15"/>
      <c r="AC50" s="47" t="s">
        <v>130</v>
      </c>
      <c r="AD50" s="54">
        <f>ATAN(AD49)*$AC$32</f>
        <v>89.936002147123148</v>
      </c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"/>
      <c r="BB50" s="1"/>
    </row>
    <row r="51" spans="2:54" ht="15" customHeight="1" x14ac:dyDescent="0.2">
      <c r="AA51" s="19"/>
      <c r="AB51" s="15"/>
      <c r="AC51" s="47" t="s">
        <v>131</v>
      </c>
      <c r="AD51" s="47" t="str">
        <f>CONCATENATE(IF(AD45&lt;0,"S","N"),IF(AD44&gt;0,"E","W"))</f>
        <v>SE</v>
      </c>
      <c r="AE51" s="13"/>
      <c r="AF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"/>
      <c r="BB51" s="1"/>
    </row>
    <row r="52" spans="2:54" ht="15" customHeight="1" x14ac:dyDescent="0.2">
      <c r="AB52" s="13"/>
      <c r="AC52" s="47" t="s">
        <v>39</v>
      </c>
      <c r="AD52" s="47">
        <f>IF(AD51="NE",AD50,IF(AD51="NW",360-AD50,IF(AD51="SE",180-AD50,180+AD50)))</f>
        <v>90.063997852876852</v>
      </c>
      <c r="AE52" s="13"/>
      <c r="AF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</row>
    <row r="53" spans="2:54" ht="15" customHeight="1" x14ac:dyDescent="0.2">
      <c r="AB53" s="13"/>
      <c r="AC53" s="47" t="s">
        <v>123</v>
      </c>
      <c r="AD53" s="47">
        <f>ABS(60*AD45/COS(AD52*$AC$33))</f>
        <v>5371.6606590521533</v>
      </c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</row>
    <row r="54" spans="2:54" ht="15" customHeight="1" x14ac:dyDescent="0.2">
      <c r="AB54" s="43" t="s">
        <v>132</v>
      </c>
      <c r="AC54" s="13"/>
      <c r="AD54" s="13"/>
      <c r="AE54" s="13" t="s">
        <v>137</v>
      </c>
      <c r="AF54" s="13" t="s">
        <v>138</v>
      </c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</row>
    <row r="55" spans="2:54" ht="15" customHeight="1" x14ac:dyDescent="0.2">
      <c r="AB55" s="13"/>
      <c r="AC55" s="55" t="s">
        <v>136</v>
      </c>
      <c r="AD55" s="56">
        <f>E39-E33</f>
        <v>-0.10000000000000142</v>
      </c>
      <c r="AE55" s="13" t="b">
        <f>(ABS(AD55)&lt;0.0001)</f>
        <v>0</v>
      </c>
      <c r="AF55" s="13">
        <f>TAN(89*PI()/180)</f>
        <v>57.289961630759876</v>
      </c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</row>
    <row r="56" spans="2:54" ht="15" customHeight="1" x14ac:dyDescent="0.2">
      <c r="AB56" s="13"/>
      <c r="AC56" s="55" t="s">
        <v>118</v>
      </c>
      <c r="AD56" s="50">
        <f>$E$41-$E$35</f>
        <v>136.6</v>
      </c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</row>
    <row r="57" spans="2:54" ht="15" customHeight="1" x14ac:dyDescent="0.2">
      <c r="AB57" s="13"/>
      <c r="AC57" s="57" t="s">
        <v>139</v>
      </c>
      <c r="AD57" s="13">
        <f>ABS(AE35/AE36)*COS(AE37)</f>
        <v>895.27663346549798</v>
      </c>
      <c r="AF57" s="15" t="b">
        <f>IF(IFERROR(AD57,TRUE), TRUE, IF((AD57&gt;AF55),TRUE,FALSE))</f>
        <v>1</v>
      </c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</row>
    <row r="58" spans="2:54" ht="15" customHeight="1" x14ac:dyDescent="0.2">
      <c r="AB58" s="13"/>
      <c r="AC58" s="47" t="s">
        <v>39</v>
      </c>
      <c r="AD58" s="58">
        <f>IF(AD56&gt;0,90,270)</f>
        <v>90</v>
      </c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</row>
    <row r="59" spans="2:54" ht="15" customHeight="1" x14ac:dyDescent="0.2">
      <c r="E59" s="190" t="s">
        <v>142</v>
      </c>
      <c r="F59" s="190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0"/>
      <c r="R59" s="190"/>
      <c r="S59" s="190"/>
      <c r="U59" s="244" t="s">
        <v>37</v>
      </c>
      <c r="V59" s="245"/>
      <c r="W59" s="245"/>
      <c r="X59" s="246"/>
      <c r="AB59" s="13"/>
      <c r="AC59" s="59" t="s">
        <v>123</v>
      </c>
      <c r="AD59" s="59">
        <f>60 * ABS(AD56 * COS(AE37))</f>
        <v>5371.6598007930643</v>
      </c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</row>
    <row r="60" spans="2:54" ht="15" customHeight="1" x14ac:dyDescent="0.2">
      <c r="B60" s="189" t="s">
        <v>124</v>
      </c>
      <c r="C60" s="189"/>
      <c r="E60" s="267" t="str" cm="1">
        <f t="array" ref="E60">angleDecimal2Txt(I60,0)</f>
        <v>+67°43.11</v>
      </c>
      <c r="F60" s="267"/>
      <c r="G60" s="267"/>
      <c r="H60" s="267"/>
      <c r="I60" s="130">
        <f>AD66</f>
        <v>67.718563531590618</v>
      </c>
      <c r="J60" s="130"/>
      <c r="K60" s="130"/>
      <c r="L60" s="131" t="str" cm="1">
        <f t="array" ref="L60">angleDecimal2Txt(I60)</f>
        <v>+67°43.11 (+67.7185) [+67°43'06.82]</v>
      </c>
      <c r="M60" s="131"/>
      <c r="N60" s="131"/>
      <c r="O60" s="131"/>
      <c r="P60" s="131"/>
      <c r="Q60" s="131"/>
      <c r="R60" s="131"/>
      <c r="S60" s="131"/>
      <c r="T60" s="1"/>
      <c r="U60" s="132">
        <f>AD64</f>
        <v>4501.6667210167871</v>
      </c>
      <c r="V60" s="133"/>
      <c r="W60" s="133"/>
      <c r="X60" s="134"/>
      <c r="AB60" s="43" t="s">
        <v>143</v>
      </c>
      <c r="AC60" s="13"/>
      <c r="AD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</row>
    <row r="61" spans="2:54" ht="15" customHeight="1" x14ac:dyDescent="0.2">
      <c r="B61" s="189"/>
      <c r="C61" s="189"/>
      <c r="E61" s="267"/>
      <c r="F61" s="267"/>
      <c r="G61" s="267"/>
      <c r="H61" s="267"/>
      <c r="I61" s="130"/>
      <c r="J61" s="130"/>
      <c r="K61" s="130"/>
      <c r="L61" s="131"/>
      <c r="M61" s="131"/>
      <c r="N61" s="131"/>
      <c r="O61" s="131"/>
      <c r="P61" s="131"/>
      <c r="Q61" s="131"/>
      <c r="R61" s="131"/>
      <c r="S61" s="131"/>
      <c r="T61" s="1"/>
      <c r="U61" s="135"/>
      <c r="V61" s="136"/>
      <c r="W61" s="136"/>
      <c r="X61" s="137"/>
      <c r="AB61" s="13"/>
      <c r="AC61" s="13" t="s">
        <v>144</v>
      </c>
      <c r="AD61" s="56">
        <f>E41-E35</f>
        <v>136.6</v>
      </c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</row>
    <row r="62" spans="2:54" ht="15" customHeight="1" x14ac:dyDescent="0.2">
      <c r="AB62" s="13"/>
      <c r="AC62" s="13" t="s">
        <v>145</v>
      </c>
      <c r="AD62" s="13">
        <f>SIN(E39*AC33)*SIN(E33*AC33)+COS(E39*AC33)*COS(E33*AC33)*COS(AD61*AC33)</f>
        <v>0.25835070537528781</v>
      </c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</row>
    <row r="63" spans="2:54" ht="15" customHeight="1" x14ac:dyDescent="0.2">
      <c r="AB63" s="13"/>
      <c r="AC63" s="15" t="s">
        <v>45</v>
      </c>
      <c r="AD63" s="15">
        <f>AE63*AC32</f>
        <v>75.027778683613121</v>
      </c>
      <c r="AE63" s="15">
        <f>ACOS(AD62)</f>
        <v>1.309481768486666</v>
      </c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</row>
    <row r="64" spans="2:54" ht="15" customHeight="1" x14ac:dyDescent="0.2">
      <c r="AB64" s="13"/>
      <c r="AC64" s="60" t="s">
        <v>147</v>
      </c>
      <c r="AD64" s="58">
        <f>60*ACOS(AD62)*AC32</f>
        <v>4501.6667210167871</v>
      </c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</row>
    <row r="65" spans="2:65" ht="15" customHeight="1" x14ac:dyDescent="0.2">
      <c r="AB65" s="13"/>
      <c r="AC65" s="13" t="s">
        <v>146</v>
      </c>
      <c r="AD65" s="13">
        <f>((SIN(E39*AC33)-SIN(E33*AC33)*AD62)/SIN(AE63)*COS(E33*AC33))</f>
        <v>0.37915637652931999</v>
      </c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</row>
    <row r="66" spans="2:65" ht="15" customHeight="1" thickBot="1" x14ac:dyDescent="0.25">
      <c r="AB66" s="13"/>
      <c r="AC66" s="58" t="s">
        <v>148</v>
      </c>
      <c r="AD66" s="58">
        <f>AE66*AC32</f>
        <v>67.718563531590618</v>
      </c>
      <c r="AE66" s="15">
        <f>ACOS(AD65)</f>
        <v>1.1819118983472154</v>
      </c>
      <c r="AF66" s="13"/>
      <c r="AG66" s="13"/>
    </row>
    <row r="67" spans="2:65" s="1" customFormat="1" ht="15" customHeight="1" thickBot="1" x14ac:dyDescent="0.25">
      <c r="B67" s="3" t="s">
        <v>38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5"/>
      <c r="AB67" s="61"/>
      <c r="AC67" s="61"/>
      <c r="AD67" s="5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7"/>
    </row>
    <row r="68" spans="2:65" s="1" customFormat="1" ht="15" customHeight="1" thickBot="1" x14ac:dyDescent="0.25">
      <c r="C68" s="15"/>
      <c r="AA68" s="19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</row>
    <row r="69" spans="2:65" s="1" customFormat="1" ht="15" customHeight="1" thickTop="1" x14ac:dyDescent="0.2">
      <c r="C69" s="138" t="s">
        <v>36</v>
      </c>
      <c r="D69" s="191" t="s">
        <v>20</v>
      </c>
      <c r="E69" s="161" cm="1">
        <f t="array" ref="E69">angleConvert2Decimal(I69)*VLOOKUP(H69,D16:F17,3)</f>
        <v>40.016666666666666</v>
      </c>
      <c r="F69" s="161"/>
      <c r="G69" s="162"/>
      <c r="H69" s="234" t="s">
        <v>1</v>
      </c>
      <c r="I69" s="236" t="s">
        <v>115</v>
      </c>
      <c r="J69" s="237"/>
      <c r="K69" s="237"/>
      <c r="L69" s="237"/>
      <c r="M69" s="238"/>
      <c r="N69" s="149" t="str" cm="1">
        <f t="array" ref="N69">angleDecimal2Txt(E69)</f>
        <v>+40°01.00 (+40.0166) [+40°01'00.00]</v>
      </c>
      <c r="O69" s="149"/>
      <c r="P69" s="149"/>
      <c r="Q69" s="149"/>
      <c r="R69" s="149"/>
      <c r="S69" s="149"/>
      <c r="T69" s="149"/>
      <c r="U69" s="149"/>
      <c r="V69" s="149"/>
      <c r="W69" s="150"/>
      <c r="AA69" s="19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</row>
    <row r="70" spans="2:65" s="1" customFormat="1" ht="15" customHeight="1" thickBot="1" x14ac:dyDescent="0.25">
      <c r="C70" s="156"/>
      <c r="D70" s="192"/>
      <c r="E70" s="163"/>
      <c r="F70" s="163"/>
      <c r="G70" s="164"/>
      <c r="H70" s="235"/>
      <c r="I70" s="239"/>
      <c r="J70" s="240"/>
      <c r="K70" s="240"/>
      <c r="L70" s="240"/>
      <c r="M70" s="241"/>
      <c r="N70" s="151"/>
      <c r="O70" s="151"/>
      <c r="P70" s="151"/>
      <c r="Q70" s="151"/>
      <c r="R70" s="151"/>
      <c r="S70" s="151"/>
      <c r="T70" s="151"/>
      <c r="U70" s="151"/>
      <c r="V70" s="151"/>
      <c r="W70" s="152"/>
      <c r="AA70" s="19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5"/>
      <c r="BI70" s="15"/>
      <c r="BJ70" s="15"/>
      <c r="BK70" s="15"/>
      <c r="BL70" s="15"/>
      <c r="BM70" s="15"/>
    </row>
    <row r="71" spans="2:65" s="1" customFormat="1" ht="15" customHeight="1" thickTop="1" x14ac:dyDescent="0.2">
      <c r="C71" s="156"/>
      <c r="D71" s="192" t="s">
        <v>21</v>
      </c>
      <c r="E71" s="161" cm="1">
        <f t="array" ref="E71">angleConvert2Decimal(I71)*VLOOKUP(H71,E16:F18,2)</f>
        <v>5.7166666666666668</v>
      </c>
      <c r="F71" s="161"/>
      <c r="G71" s="162"/>
      <c r="H71" s="165" t="s">
        <v>3</v>
      </c>
      <c r="I71" s="167" t="s">
        <v>116</v>
      </c>
      <c r="J71" s="168"/>
      <c r="K71" s="168"/>
      <c r="L71" s="168"/>
      <c r="M71" s="169"/>
      <c r="N71" s="149" t="str" cm="1">
        <f t="array" ref="N71">angleDecimal2Txt(E71)</f>
        <v>+05°43.00 (+05.7166) [+05°43'00.00]</v>
      </c>
      <c r="O71" s="149"/>
      <c r="P71" s="149"/>
      <c r="Q71" s="149"/>
      <c r="R71" s="149"/>
      <c r="S71" s="149"/>
      <c r="T71" s="149"/>
      <c r="U71" s="149"/>
      <c r="V71" s="149"/>
      <c r="W71" s="150"/>
      <c r="AA71" s="19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5"/>
      <c r="BI71" s="15"/>
      <c r="BJ71" s="15"/>
      <c r="BK71" s="15"/>
      <c r="BL71" s="15"/>
      <c r="BM71" s="15"/>
    </row>
    <row r="72" spans="2:65" s="1" customFormat="1" ht="15" customHeight="1" thickBot="1" x14ac:dyDescent="0.25">
      <c r="C72" s="157"/>
      <c r="D72" s="193"/>
      <c r="E72" s="163"/>
      <c r="F72" s="163"/>
      <c r="G72" s="164"/>
      <c r="H72" s="166"/>
      <c r="I72" s="170"/>
      <c r="J72" s="171"/>
      <c r="K72" s="171"/>
      <c r="L72" s="171"/>
      <c r="M72" s="172"/>
      <c r="N72" s="151"/>
      <c r="O72" s="151"/>
      <c r="P72" s="151"/>
      <c r="Q72" s="151"/>
      <c r="R72" s="151"/>
      <c r="S72" s="151"/>
      <c r="T72" s="151"/>
      <c r="U72" s="151"/>
      <c r="V72" s="151"/>
      <c r="W72" s="152"/>
      <c r="AA72" s="19"/>
      <c r="AB72" s="13" t="s">
        <v>150</v>
      </c>
      <c r="AC72" s="13">
        <f>F75*K15</f>
        <v>2.0943951023931953</v>
      </c>
      <c r="AD72" s="13" t="s">
        <v>27</v>
      </c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5"/>
      <c r="BI72" s="15"/>
      <c r="BJ72" s="15"/>
      <c r="BK72" s="15"/>
      <c r="BL72" s="15"/>
      <c r="BM72" s="15"/>
    </row>
    <row r="73" spans="2:65" s="1" customFormat="1" ht="15" customHeight="1" x14ac:dyDescent="0.2"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AA73" s="10"/>
      <c r="AB73" s="13" t="s">
        <v>123</v>
      </c>
      <c r="AC73" s="13">
        <f>F77*F79/60</f>
        <v>0.33333333333333331</v>
      </c>
      <c r="AD73" s="13" t="s">
        <v>25</v>
      </c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5"/>
      <c r="BF73" s="15"/>
      <c r="BG73" s="15"/>
      <c r="BH73" s="15"/>
      <c r="BI73" s="15"/>
      <c r="BJ73" s="15"/>
      <c r="BK73" s="15"/>
      <c r="BL73" s="15"/>
      <c r="BM73" s="15"/>
    </row>
    <row r="74" spans="2:65" s="1" customFormat="1" ht="15" customHeight="1" thickBot="1" x14ac:dyDescent="0.25">
      <c r="C74" s="15"/>
      <c r="AA74" s="19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</row>
    <row r="75" spans="2:65" s="1" customFormat="1" ht="15" customHeight="1" thickTop="1" x14ac:dyDescent="0.2">
      <c r="C75" s="138" t="s">
        <v>40</v>
      </c>
      <c r="D75" s="143" t="s">
        <v>41</v>
      </c>
      <c r="E75" s="144"/>
      <c r="F75" s="159">
        <v>120</v>
      </c>
      <c r="G75" s="160"/>
      <c r="H75" s="160"/>
      <c r="I75" s="196">
        <v>120</v>
      </c>
      <c r="J75" s="196"/>
      <c r="K75" s="196"/>
      <c r="L75" s="196"/>
      <c r="M75" s="196"/>
      <c r="N75" s="149" t="str" cm="1">
        <f t="array" ref="N75">angleDecimal2Txt(F75)</f>
        <v>+120°00.00 (+120.0000) [+120°00'00.00]</v>
      </c>
      <c r="O75" s="149"/>
      <c r="P75" s="149"/>
      <c r="Q75" s="149"/>
      <c r="R75" s="149"/>
      <c r="S75" s="149"/>
      <c r="T75" s="149"/>
      <c r="U75" s="149"/>
      <c r="V75" s="149"/>
      <c r="W75" s="150"/>
      <c r="AA75" s="19"/>
      <c r="AB75" s="13" t="s">
        <v>151</v>
      </c>
      <c r="AC75" s="13">
        <f>E69+AC73*COS(AC72)</f>
        <v>39.85</v>
      </c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</row>
    <row r="76" spans="2:65" s="1" customFormat="1" ht="15" customHeight="1" thickBot="1" x14ac:dyDescent="0.25">
      <c r="C76" s="139"/>
      <c r="D76" s="145"/>
      <c r="E76" s="146"/>
      <c r="F76" s="159"/>
      <c r="G76" s="160"/>
      <c r="H76" s="160"/>
      <c r="I76" s="196"/>
      <c r="J76" s="196"/>
      <c r="K76" s="196"/>
      <c r="L76" s="196"/>
      <c r="M76" s="196"/>
      <c r="N76" s="151"/>
      <c r="O76" s="151"/>
      <c r="P76" s="151"/>
      <c r="Q76" s="151"/>
      <c r="R76" s="151"/>
      <c r="S76" s="151"/>
      <c r="T76" s="151"/>
      <c r="U76" s="151"/>
      <c r="V76" s="151"/>
      <c r="W76" s="152"/>
      <c r="AA76" s="19"/>
      <c r="AB76" s="13" t="s">
        <v>152</v>
      </c>
      <c r="AC76" s="13">
        <f>(AC75+E69)/2</f>
        <v>39.933333333333337</v>
      </c>
      <c r="AD76" s="13">
        <f>AC76*K15</f>
        <v>0.69696814796306905</v>
      </c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5"/>
      <c r="BF76" s="15"/>
      <c r="BG76" s="15"/>
      <c r="BH76" s="15"/>
      <c r="BI76" s="15"/>
      <c r="BJ76" s="15"/>
      <c r="BK76" s="15"/>
      <c r="BL76" s="15"/>
      <c r="BM76" s="15"/>
    </row>
    <row r="77" spans="2:65" s="1" customFormat="1" ht="15" customHeight="1" thickTop="1" x14ac:dyDescent="0.2">
      <c r="C77" s="139"/>
      <c r="D77" s="145" t="s">
        <v>40</v>
      </c>
      <c r="E77" s="146"/>
      <c r="F77" s="159">
        <f>I77</f>
        <v>10</v>
      </c>
      <c r="G77" s="160"/>
      <c r="H77" s="160"/>
      <c r="I77" s="196">
        <v>10</v>
      </c>
      <c r="J77" s="196"/>
      <c r="K77" s="196"/>
      <c r="L77" s="196"/>
      <c r="M77" s="196"/>
      <c r="N77" s="268"/>
      <c r="O77" s="268"/>
      <c r="P77" s="268"/>
      <c r="Q77" s="268"/>
      <c r="R77" s="268"/>
      <c r="S77" s="268"/>
      <c r="T77" s="268"/>
      <c r="U77" s="268"/>
      <c r="V77" s="268"/>
      <c r="W77" s="268"/>
      <c r="AA77" s="19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5"/>
      <c r="BF77" s="15"/>
      <c r="BG77" s="15"/>
      <c r="BH77" s="15"/>
      <c r="BI77" s="15"/>
      <c r="BJ77" s="15"/>
      <c r="BK77" s="15"/>
      <c r="BL77" s="15"/>
      <c r="BM77" s="15"/>
    </row>
    <row r="78" spans="2:65" s="1" customFormat="1" ht="15" customHeight="1" thickBot="1" x14ac:dyDescent="0.25">
      <c r="C78" s="139"/>
      <c r="D78" s="145"/>
      <c r="E78" s="146"/>
      <c r="F78" s="159"/>
      <c r="G78" s="160"/>
      <c r="H78" s="160"/>
      <c r="I78" s="196"/>
      <c r="J78" s="196"/>
      <c r="K78" s="196"/>
      <c r="L78" s="196"/>
      <c r="M78" s="196"/>
      <c r="N78" s="268"/>
      <c r="O78" s="268"/>
      <c r="P78" s="268"/>
      <c r="Q78" s="268"/>
      <c r="R78" s="268"/>
      <c r="S78" s="268"/>
      <c r="T78" s="268"/>
      <c r="U78" s="268"/>
      <c r="V78" s="268"/>
      <c r="W78" s="268"/>
      <c r="AA78" s="19"/>
      <c r="AB78" s="1" t="s">
        <v>55</v>
      </c>
      <c r="AC78" s="1">
        <f>E71+AC73*SIN(AC72)/COS(AD76)</f>
        <v>6.0931379837585844</v>
      </c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5"/>
      <c r="BF78" s="15"/>
      <c r="BG78" s="15"/>
      <c r="BH78" s="15"/>
      <c r="BI78" s="15"/>
      <c r="BJ78" s="15"/>
      <c r="BK78" s="15"/>
      <c r="BL78" s="15"/>
      <c r="BM78" s="15"/>
    </row>
    <row r="79" spans="2:65" ht="15" customHeight="1" thickTop="1" x14ac:dyDescent="0.2">
      <c r="C79" s="139"/>
      <c r="D79" s="145" t="s">
        <v>43</v>
      </c>
      <c r="E79" s="146"/>
      <c r="F79" s="159">
        <v>2</v>
      </c>
      <c r="G79" s="160"/>
      <c r="H79" s="160"/>
      <c r="I79" s="158" t="s">
        <v>149</v>
      </c>
      <c r="J79" s="158"/>
      <c r="K79" s="158"/>
      <c r="L79" s="158"/>
      <c r="M79" s="158"/>
      <c r="N79" s="149" t="str" cm="1">
        <f t="array" ref="N79">heureDecimal2Txt(F79)</f>
        <v>02:00:00.00(02.0000)</v>
      </c>
      <c r="O79" s="149"/>
      <c r="P79" s="149"/>
      <c r="Q79" s="149"/>
      <c r="R79" s="149"/>
      <c r="S79" s="149"/>
      <c r="T79" s="149"/>
      <c r="U79" s="149"/>
      <c r="V79" s="149"/>
      <c r="W79" s="150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</row>
    <row r="80" spans="2:65" ht="15" customHeight="1" thickBot="1" x14ac:dyDescent="0.25">
      <c r="C80" s="140"/>
      <c r="D80" s="173"/>
      <c r="E80" s="174"/>
      <c r="F80" s="159"/>
      <c r="G80" s="160"/>
      <c r="H80" s="160"/>
      <c r="I80" s="158"/>
      <c r="J80" s="158"/>
      <c r="K80" s="158"/>
      <c r="L80" s="158"/>
      <c r="M80" s="158"/>
      <c r="N80" s="151"/>
      <c r="O80" s="151"/>
      <c r="P80" s="151"/>
      <c r="Q80" s="151"/>
      <c r="R80" s="151"/>
      <c r="S80" s="151"/>
      <c r="T80" s="151"/>
      <c r="U80" s="151"/>
      <c r="V80" s="151"/>
      <c r="W80" s="152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</row>
    <row r="81" spans="2:61" ht="15" customHeight="1" x14ac:dyDescent="0.2">
      <c r="AB81" s="13"/>
      <c r="AC81" s="13"/>
      <c r="AD81" s="13"/>
      <c r="AE81" s="13"/>
      <c r="AF81" s="13"/>
      <c r="AG81" s="13"/>
    </row>
    <row r="82" spans="2:61" s="1" customFormat="1" ht="15" customHeight="1" x14ac:dyDescent="0.2">
      <c r="C82" s="14"/>
      <c r="D82" s="15"/>
      <c r="AA82" s="10"/>
      <c r="AB82" s="13"/>
      <c r="AC82" s="13"/>
      <c r="AD82" s="13"/>
      <c r="AE82" s="13"/>
      <c r="AF82" s="13"/>
      <c r="AG82" s="13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</row>
    <row r="83" spans="2:61" s="1" customFormat="1" ht="15" customHeight="1" x14ac:dyDescent="0.2">
      <c r="C83" s="14"/>
      <c r="D83" s="15"/>
      <c r="F83" s="153" t="s">
        <v>42</v>
      </c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5"/>
      <c r="AA83" s="10"/>
      <c r="AB83" s="13"/>
      <c r="AC83" s="13"/>
      <c r="AD83" s="13"/>
      <c r="AE83" s="13"/>
      <c r="AF83" s="13"/>
      <c r="AG83" s="13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</row>
    <row r="84" spans="2:61" ht="15" customHeight="1" x14ac:dyDescent="0.2">
      <c r="F84" s="194" t="s">
        <v>20</v>
      </c>
      <c r="G84" s="141">
        <f>E69+F77*F79*COS(F75*K15)/60</f>
        <v>39.85</v>
      </c>
      <c r="H84" s="141"/>
      <c r="I84" s="141"/>
      <c r="J84" s="141"/>
      <c r="K84" s="141"/>
      <c r="L84" s="141"/>
      <c r="M84" s="141"/>
      <c r="N84" s="141"/>
      <c r="O84" s="141"/>
      <c r="P84" s="269" t="str" cm="1">
        <f t="array" ref="P84">angleDecimal2Txt(G84)</f>
        <v>+39°51.00 (+39.8500) [+39°51'00.00]</v>
      </c>
      <c r="Q84" s="269"/>
      <c r="R84" s="269"/>
      <c r="S84" s="269"/>
      <c r="T84" s="269"/>
      <c r="U84" s="269"/>
      <c r="V84" s="269"/>
      <c r="W84" s="269"/>
      <c r="X84" s="269"/>
      <c r="Y84" s="270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</row>
    <row r="85" spans="2:61" ht="15" customHeight="1" thickBot="1" x14ac:dyDescent="0.25">
      <c r="F85" s="195"/>
      <c r="G85" s="141"/>
      <c r="H85" s="141"/>
      <c r="I85" s="141"/>
      <c r="J85" s="141"/>
      <c r="K85" s="141"/>
      <c r="L85" s="141"/>
      <c r="M85" s="141"/>
      <c r="N85" s="141"/>
      <c r="O85" s="141"/>
      <c r="P85" s="151"/>
      <c r="Q85" s="151"/>
      <c r="R85" s="151"/>
      <c r="S85" s="151"/>
      <c r="T85" s="151"/>
      <c r="U85" s="151"/>
      <c r="V85" s="151"/>
      <c r="W85" s="151"/>
      <c r="X85" s="151"/>
      <c r="Y85" s="152"/>
      <c r="AA85" s="19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</row>
    <row r="86" spans="2:61" ht="15" customHeight="1" thickTop="1" x14ac:dyDescent="0.2">
      <c r="F86" s="147" t="s">
        <v>21</v>
      </c>
      <c r="G86" s="142">
        <f>AC78</f>
        <v>6.0931379837585844</v>
      </c>
      <c r="H86" s="141"/>
      <c r="I86" s="141"/>
      <c r="J86" s="141"/>
      <c r="K86" s="141"/>
      <c r="L86" s="141"/>
      <c r="M86" s="141"/>
      <c r="N86" s="141"/>
      <c r="O86" s="141"/>
      <c r="P86" s="149" t="str" cm="1">
        <f t="array" ref="P86">angleDecimal2Txt(G86)</f>
        <v>+06°05.58 (+06.0931) [+06°05'35.29]</v>
      </c>
      <c r="Q86" s="149"/>
      <c r="R86" s="149"/>
      <c r="S86" s="149"/>
      <c r="T86" s="149"/>
      <c r="U86" s="149"/>
      <c r="V86" s="149"/>
      <c r="W86" s="149"/>
      <c r="X86" s="149"/>
      <c r="Y86" s="150"/>
      <c r="AA86" s="19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</row>
    <row r="87" spans="2:61" ht="15" customHeight="1" thickBot="1" x14ac:dyDescent="0.25">
      <c r="F87" s="148"/>
      <c r="G87" s="141"/>
      <c r="H87" s="141"/>
      <c r="I87" s="141"/>
      <c r="J87" s="141"/>
      <c r="K87" s="141"/>
      <c r="L87" s="141"/>
      <c r="M87" s="141"/>
      <c r="N87" s="141"/>
      <c r="O87" s="141"/>
      <c r="P87" s="151"/>
      <c r="Q87" s="151"/>
      <c r="R87" s="151"/>
      <c r="S87" s="151"/>
      <c r="T87" s="151"/>
      <c r="U87" s="151"/>
      <c r="V87" s="151"/>
      <c r="W87" s="151"/>
      <c r="X87" s="151"/>
      <c r="Y87" s="152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</row>
    <row r="88" spans="2:61" ht="15" customHeight="1" x14ac:dyDescent="0.2">
      <c r="AB88" s="13"/>
      <c r="AC88" s="13"/>
      <c r="AD88" s="13"/>
    </row>
    <row r="89" spans="2:61" ht="15" customHeight="1" x14ac:dyDescent="0.2">
      <c r="F89" s="63" t="s">
        <v>119</v>
      </c>
      <c r="G89" s="63"/>
      <c r="H89" s="187">
        <f>G84-E69</f>
        <v>-0.1666666666666643</v>
      </c>
      <c r="I89" s="188"/>
      <c r="J89" s="188" t="str" cm="1">
        <f t="array" ref="J89">angleDecimal2Txt(H89)</f>
        <v>-00°09.99 (-00.1666) [-00°09'59.99]</v>
      </c>
      <c r="K89" s="188"/>
      <c r="L89" s="188"/>
      <c r="M89" s="188"/>
      <c r="N89" s="188"/>
      <c r="O89" s="188"/>
      <c r="AB89" s="13"/>
      <c r="AC89" s="13"/>
      <c r="AD89" s="13"/>
    </row>
    <row r="90" spans="2:61" ht="15" customHeight="1" x14ac:dyDescent="0.2">
      <c r="F90" s="63" t="s">
        <v>153</v>
      </c>
      <c r="G90" s="63"/>
      <c r="H90" s="187">
        <f>G86-E71</f>
        <v>0.37647131709191761</v>
      </c>
      <c r="I90" s="188"/>
      <c r="J90" s="188" t="str" cm="1">
        <f t="array" ref="J90">angleDecimal2Txt(H90)</f>
        <v>+00°22.58 (+00.3764) [+00°22'35.29]</v>
      </c>
      <c r="K90" s="188"/>
      <c r="L90" s="188"/>
      <c r="M90" s="188"/>
      <c r="N90" s="188"/>
      <c r="O90" s="188"/>
      <c r="AB90" s="13"/>
      <c r="AC90" s="13"/>
      <c r="AD90" s="13"/>
    </row>
    <row r="91" spans="2:61" ht="15" customHeight="1" x14ac:dyDescent="0.2">
      <c r="AB91" s="13"/>
      <c r="AC91" s="13"/>
      <c r="AD91" s="13"/>
    </row>
    <row r="92" spans="2:61" ht="15" customHeight="1" x14ac:dyDescent="0.2">
      <c r="AB92" s="13"/>
      <c r="AC92" s="13"/>
      <c r="AD92" s="13"/>
    </row>
    <row r="93" spans="2:61" ht="15" customHeight="1" thickBot="1" x14ac:dyDescent="0.25">
      <c r="AB93" s="13"/>
      <c r="AC93" s="13"/>
      <c r="AD93" s="13"/>
    </row>
    <row r="94" spans="2:61" s="1" customFormat="1" ht="15" customHeight="1" thickBot="1" x14ac:dyDescent="0.25">
      <c r="B94" s="3" t="s">
        <v>162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9"/>
      <c r="AB94" s="65"/>
      <c r="AC94" s="65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7"/>
    </row>
    <row r="95" spans="2:61" s="1" customFormat="1" ht="15" customHeight="1" thickBot="1" x14ac:dyDescent="0.25">
      <c r="C95" s="15"/>
      <c r="AA95" s="19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</row>
    <row r="96" spans="2:61" s="1" customFormat="1" ht="15" customHeight="1" thickTop="1" thickBot="1" x14ac:dyDescent="0.25">
      <c r="B96" s="15"/>
      <c r="C96" s="248" t="s">
        <v>10</v>
      </c>
      <c r="D96" s="249"/>
      <c r="E96" s="249"/>
      <c r="F96" s="249"/>
      <c r="G96" s="249"/>
      <c r="H96" s="250"/>
      <c r="I96" s="254">
        <f>AB96</f>
        <v>-0.05</v>
      </c>
      <c r="J96" s="255"/>
      <c r="K96" s="255"/>
      <c r="L96" s="256" t="s">
        <v>59</v>
      </c>
      <c r="M96" s="257"/>
      <c r="N96" s="257"/>
      <c r="O96" s="184">
        <f>AB96</f>
        <v>-0.05</v>
      </c>
      <c r="P96" s="184"/>
      <c r="Q96" s="184"/>
      <c r="R96" s="184"/>
      <c r="S96" s="184"/>
      <c r="T96" s="184"/>
      <c r="U96" s="184"/>
      <c r="V96" s="184"/>
      <c r="W96" s="184"/>
      <c r="X96" s="15"/>
      <c r="AA96" s="19"/>
      <c r="AB96" s="13" cm="1">
        <f t="array" ref="AB96">angleConvert2Decimal(L96)</f>
        <v>-0.05</v>
      </c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</row>
    <row r="97" spans="1:60" s="1" customFormat="1" ht="15" customHeight="1" thickTop="1" thickBot="1" x14ac:dyDescent="0.25">
      <c r="C97" s="181" t="s">
        <v>15</v>
      </c>
      <c r="D97" s="181"/>
      <c r="E97" s="181"/>
      <c r="F97" s="181"/>
      <c r="G97" s="181"/>
      <c r="H97" s="181"/>
      <c r="I97" s="182">
        <f>AB97</f>
        <v>2.5833333333333335</v>
      </c>
      <c r="J97" s="183"/>
      <c r="K97" s="183"/>
      <c r="L97" s="251" t="s">
        <v>161</v>
      </c>
      <c r="M97" s="252"/>
      <c r="N97" s="253"/>
      <c r="O97" s="184">
        <f>AB97</f>
        <v>2.5833333333333335</v>
      </c>
      <c r="P97" s="184"/>
      <c r="Q97" s="184"/>
      <c r="R97" s="184"/>
      <c r="S97" s="184"/>
      <c r="T97" s="184"/>
      <c r="U97" s="184"/>
      <c r="V97" s="184"/>
      <c r="W97" s="184"/>
      <c r="X97" s="15"/>
      <c r="AA97" s="19"/>
      <c r="AB97" s="13" cm="1">
        <f t="array" ref="AB97">angleConvert2Decimal(L97)</f>
        <v>2.5833333333333335</v>
      </c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</row>
    <row r="98" spans="1:60" s="1" customFormat="1" ht="15" customHeight="1" thickTop="1" thickBot="1" x14ac:dyDescent="0.25">
      <c r="C98" s="181" t="s">
        <v>60</v>
      </c>
      <c r="D98" s="181"/>
      <c r="E98" s="181"/>
      <c r="F98" s="181"/>
      <c r="G98" s="181"/>
      <c r="H98" s="181"/>
      <c r="I98" s="182">
        <f>AB98</f>
        <v>2.5333333333333337</v>
      </c>
      <c r="J98" s="183"/>
      <c r="K98" s="183"/>
      <c r="L98" s="251" t="s">
        <v>161</v>
      </c>
      <c r="M98" s="252"/>
      <c r="N98" s="253"/>
      <c r="O98" s="184" t="str" cm="1">
        <f t="array" ref="O98">angleDecimal2Txt(AC98)</f>
        <v>+00°00.00 (+00.0000) [+00°00'00.00]</v>
      </c>
      <c r="P98" s="184"/>
      <c r="Q98" s="184"/>
      <c r="R98" s="184"/>
      <c r="S98" s="184"/>
      <c r="T98" s="184"/>
      <c r="U98" s="184"/>
      <c r="V98" s="184"/>
      <c r="W98" s="184"/>
      <c r="X98" s="15"/>
      <c r="AA98" s="19"/>
      <c r="AB98" s="13">
        <f>AB97+AB96</f>
        <v>2.5333333333333337</v>
      </c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</row>
    <row r="99" spans="1:60" s="1" customFormat="1" ht="15" customHeight="1" thickTop="1" x14ac:dyDescent="0.2">
      <c r="C99" s="181" t="s">
        <v>61</v>
      </c>
      <c r="D99" s="181"/>
      <c r="E99" s="181"/>
      <c r="F99" s="181"/>
      <c r="G99" s="181"/>
      <c r="H99" s="181"/>
      <c r="I99" s="182">
        <v>13</v>
      </c>
      <c r="J99" s="183"/>
      <c r="K99" s="183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</row>
    <row r="100" spans="1:60" ht="15" customHeight="1" x14ac:dyDescent="0.2">
      <c r="AA100" s="15"/>
      <c r="AB100" s="15"/>
      <c r="AC100" s="15"/>
    </row>
    <row r="101" spans="1:60" ht="15" customHeight="1" x14ac:dyDescent="0.2">
      <c r="AA101" s="15"/>
      <c r="AB101" s="15"/>
      <c r="AC101" s="15"/>
    </row>
    <row r="102" spans="1:60" ht="15" customHeight="1" x14ac:dyDescent="0.2">
      <c r="I102" s="247" t="s">
        <v>62</v>
      </c>
      <c r="J102" s="247"/>
      <c r="K102" s="247"/>
      <c r="L102" s="247">
        <f>I99/TAN(I98*PI()/180)</f>
        <v>293.82619257974028</v>
      </c>
      <c r="M102" s="247"/>
      <c r="AA102" s="15"/>
      <c r="AB102" s="15"/>
      <c r="AC102" s="15"/>
    </row>
    <row r="103" spans="1:60" ht="15" customHeight="1" x14ac:dyDescent="0.2">
      <c r="I103" s="247" t="s">
        <v>37</v>
      </c>
      <c r="J103" s="247"/>
      <c r="K103" s="247"/>
      <c r="L103" s="247">
        <f>L102/1852</f>
        <v>0.15865345171692238</v>
      </c>
      <c r="M103" s="247"/>
      <c r="AA103" s="15"/>
      <c r="AB103" s="15"/>
      <c r="AC103" s="15"/>
    </row>
    <row r="104" spans="1:60" ht="15" customHeight="1" x14ac:dyDescent="0.2">
      <c r="AA104" s="15"/>
      <c r="AB104" s="15"/>
      <c r="AC104" s="15"/>
    </row>
    <row r="105" spans="1:60" ht="15" customHeight="1" x14ac:dyDescent="0.2">
      <c r="AA105" s="15"/>
      <c r="AB105" s="15"/>
      <c r="AC105" s="15"/>
    </row>
    <row r="106" spans="1:60" ht="15" customHeight="1" x14ac:dyDescent="0.2">
      <c r="AA106" s="15"/>
      <c r="AB106" s="15"/>
      <c r="AC106" s="15"/>
    </row>
    <row r="107" spans="1:60" ht="15" customHeight="1" thickBot="1" x14ac:dyDescent="0.25">
      <c r="AA107" s="15"/>
      <c r="AB107" s="15"/>
      <c r="AC107" s="15"/>
    </row>
    <row r="108" spans="1:60" ht="15" customHeight="1" thickBot="1" x14ac:dyDescent="0.25">
      <c r="A108" s="1"/>
      <c r="B108" s="3" t="s">
        <v>154</v>
      </c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9"/>
      <c r="AB108" s="15"/>
      <c r="AC108" s="15"/>
    </row>
    <row r="109" spans="1:60" ht="15" customHeight="1" x14ac:dyDescent="0.2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9"/>
      <c r="AB109" s="15"/>
      <c r="AC109" s="15"/>
    </row>
    <row r="110" spans="1:60" ht="15" customHeight="1" x14ac:dyDescent="0.25">
      <c r="A110" s="1"/>
      <c r="C110" s="13"/>
      <c r="D110" s="13"/>
      <c r="E110" s="53" t="s">
        <v>29</v>
      </c>
      <c r="F110" s="53" t="s">
        <v>179</v>
      </c>
      <c r="G110" s="53" t="s">
        <v>22</v>
      </c>
      <c r="H110" s="13"/>
      <c r="I110" s="13"/>
      <c r="J110" s="13"/>
      <c r="K110" s="13"/>
      <c r="L110" s="66"/>
      <c r="M110" s="13"/>
      <c r="N110" s="13"/>
      <c r="O110" s="13"/>
      <c r="P110" s="13" t="s">
        <v>33</v>
      </c>
      <c r="Q110" s="13" t="s">
        <v>158</v>
      </c>
      <c r="R110" s="13" t="s">
        <v>159</v>
      </c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5"/>
    </row>
    <row r="111" spans="1:60" ht="15" customHeight="1" x14ac:dyDescent="0.2">
      <c r="A111" s="1"/>
      <c r="B111" s="1"/>
      <c r="C111" s="13"/>
      <c r="D111" s="13"/>
      <c r="E111" s="53">
        <v>23.13</v>
      </c>
      <c r="F111" s="53">
        <v>27.25</v>
      </c>
      <c r="G111" s="53">
        <v>328.93</v>
      </c>
      <c r="H111" s="13"/>
      <c r="I111" s="67" t="s">
        <v>156</v>
      </c>
      <c r="J111" s="67">
        <f>SIN(E112)*SIN(F112)+COS(E112)*COS(G112)*COS(F112)</f>
        <v>0.88012731306072611</v>
      </c>
      <c r="K111" s="13"/>
      <c r="L111" s="68" t="s">
        <v>155</v>
      </c>
      <c r="M111" s="69">
        <f>ASIN(J111)*$K$16</f>
        <v>61.657724934347911</v>
      </c>
      <c r="N111" s="13"/>
      <c r="O111" s="13"/>
      <c r="P111" s="13">
        <v>72.890799999999999</v>
      </c>
      <c r="Q111" s="13">
        <f>P111-M111</f>
        <v>11.233075065652088</v>
      </c>
      <c r="R111" s="13">
        <f>Q111*60</f>
        <v>673.98450393912526</v>
      </c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5"/>
    </row>
    <row r="112" spans="1:60" ht="15" customHeight="1" x14ac:dyDescent="0.2">
      <c r="A112" s="1"/>
      <c r="B112" s="1"/>
      <c r="C112" s="13"/>
      <c r="D112" s="13"/>
      <c r="E112" s="70">
        <f>E111*$K$15</f>
        <v>0.4036946559862884</v>
      </c>
      <c r="F112" s="70">
        <f>F111*$K$15</f>
        <v>0.4756022211684548</v>
      </c>
      <c r="G112" s="70">
        <f>G111*$K$15</f>
        <v>5.740911508584948</v>
      </c>
      <c r="H112" s="13"/>
      <c r="I112" s="13"/>
      <c r="J112" s="13"/>
      <c r="K112" s="13"/>
      <c r="L112" s="71"/>
      <c r="M112" s="67">
        <f>M111*$K$15</f>
        <v>1.0761303093933756</v>
      </c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5"/>
    </row>
    <row r="113" spans="1:29" ht="15" customHeight="1" x14ac:dyDescent="0.2">
      <c r="A113" s="1"/>
      <c r="B113" s="1"/>
      <c r="C113" s="13"/>
      <c r="D113" s="13"/>
      <c r="E113" s="13"/>
      <c r="F113" s="13"/>
      <c r="G113" s="13"/>
      <c r="H113" s="13"/>
      <c r="I113" s="67" t="s">
        <v>157</v>
      </c>
      <c r="J113" s="67">
        <f>((SIN(E112)-SIN(F112)*SIN(M112))/(COS(F112)*COS(M112)))</f>
        <v>-2.4093493424369321E-2</v>
      </c>
      <c r="K113" s="13"/>
      <c r="L113" s="63" t="s">
        <v>31</v>
      </c>
      <c r="M113" s="63">
        <f>ACOS(J113)*$K$16</f>
        <v>91.380589080089095</v>
      </c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5"/>
    </row>
    <row r="114" spans="1:29" ht="15" customHeight="1" x14ac:dyDescent="0.2">
      <c r="H114" s="13"/>
      <c r="I114" s="13"/>
      <c r="J114" s="13"/>
      <c r="K114" s="13"/>
      <c r="L114" s="13"/>
      <c r="M114" s="13"/>
      <c r="N114" s="13"/>
      <c r="R114" s="15">
        <f>360-M113</f>
        <v>268.61941091991093</v>
      </c>
      <c r="AA114" s="15"/>
      <c r="AB114" s="15"/>
      <c r="AC114" s="15"/>
    </row>
    <row r="115" spans="1:29" ht="15" customHeight="1" x14ac:dyDescent="0.2">
      <c r="H115" s="13"/>
      <c r="I115" s="13"/>
      <c r="J115" s="13"/>
      <c r="K115" s="13"/>
      <c r="L115" s="13"/>
      <c r="M115" s="13"/>
      <c r="N115" s="13"/>
      <c r="AA115" s="15"/>
      <c r="AB115" s="15"/>
      <c r="AC115" s="15"/>
    </row>
    <row r="116" spans="1:29" ht="15" customHeight="1" x14ac:dyDescent="0.2">
      <c r="H116" s="13"/>
      <c r="I116" s="13"/>
      <c r="J116" s="13"/>
      <c r="K116" s="13"/>
      <c r="L116" s="13"/>
      <c r="M116" s="13"/>
      <c r="N116" s="13"/>
      <c r="AA116" s="15"/>
    </row>
    <row r="117" spans="1:29" ht="15" customHeight="1" thickBot="1" x14ac:dyDescent="0.25">
      <c r="H117" s="13"/>
      <c r="I117" s="13"/>
      <c r="J117" s="13"/>
      <c r="K117" s="13"/>
      <c r="L117" s="13"/>
      <c r="M117" s="13"/>
      <c r="N117" s="13"/>
      <c r="AA117" s="15"/>
    </row>
    <row r="118" spans="1:29" ht="15" customHeight="1" thickBot="1" x14ac:dyDescent="0.25">
      <c r="B118" s="3" t="s">
        <v>164</v>
      </c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9"/>
    </row>
    <row r="119" spans="1:29" ht="15" customHeight="1" x14ac:dyDescent="0.2">
      <c r="H119" s="13"/>
      <c r="I119" s="13"/>
      <c r="J119" s="13"/>
      <c r="K119" s="13"/>
      <c r="L119" s="13"/>
      <c r="M119" s="13"/>
      <c r="N119" s="13"/>
    </row>
    <row r="120" spans="1:29" ht="15" customHeight="1" thickBot="1" x14ac:dyDescent="0.25">
      <c r="B120" s="15" t="s">
        <v>165</v>
      </c>
      <c r="O120" s="15" t="s">
        <v>166</v>
      </c>
    </row>
    <row r="121" spans="1:29" ht="15" customHeight="1" thickTop="1" thickBot="1" x14ac:dyDescent="0.25">
      <c r="C121" s="243" t="s">
        <v>8</v>
      </c>
      <c r="D121" s="243"/>
      <c r="E121" s="243"/>
      <c r="F121" s="202" t="s">
        <v>7</v>
      </c>
      <c r="G121" s="202"/>
      <c r="H121" s="202"/>
      <c r="I121" s="203" t="s">
        <v>16</v>
      </c>
      <c r="J121" s="203"/>
      <c r="K121" s="203"/>
      <c r="L121" s="203"/>
      <c r="M121" s="203"/>
      <c r="N121" s="11"/>
      <c r="O121" s="274" t="s">
        <v>13</v>
      </c>
      <c r="P121" s="275"/>
      <c r="Q121" s="275"/>
      <c r="R121" s="276"/>
      <c r="S121" s="207" t="s">
        <v>14</v>
      </c>
      <c r="T121" s="208"/>
      <c r="U121" s="209"/>
      <c r="V121" s="203" t="s">
        <v>16</v>
      </c>
      <c r="W121" s="203"/>
      <c r="X121" s="203"/>
      <c r="Y121" s="203"/>
      <c r="Z121" s="203"/>
    </row>
    <row r="122" spans="1:29" ht="15" customHeight="1" thickTop="1" thickBot="1" x14ac:dyDescent="0.25">
      <c r="C122" s="258" t="s">
        <v>26</v>
      </c>
      <c r="D122" s="259"/>
      <c r="E122" s="260"/>
      <c r="F122" s="261" cm="1">
        <f t="array" ref="F122">heureConvert2Decimal(C122)</f>
        <v>11.983333333333333</v>
      </c>
      <c r="G122" s="262"/>
      <c r="H122" s="263"/>
      <c r="I122" s="264" t="str" cm="1">
        <f t="array" ref="I122">heureDecimal2Txt(F122)</f>
        <v>11:59:00.00(11.9833)</v>
      </c>
      <c r="J122" s="265"/>
      <c r="K122" s="265"/>
      <c r="L122" s="265"/>
      <c r="M122" s="266"/>
      <c r="O122" s="221" t="s">
        <v>178</v>
      </c>
      <c r="P122" s="222"/>
      <c r="Q122" s="222"/>
      <c r="R122" s="223"/>
      <c r="S122" s="271" cm="1">
        <f t="array" ref="S122">angleConvert2Decimal(O122)</f>
        <v>1</v>
      </c>
      <c r="T122" s="272"/>
      <c r="U122" s="273"/>
      <c r="V122" s="264" t="str" cm="1">
        <f t="array" ref="V122">angleDecimal2Txt(S122)</f>
        <v>+01°00.00 (+01.0000) [+01°00'00.00]</v>
      </c>
      <c r="W122" s="265"/>
      <c r="X122" s="265"/>
      <c r="Y122" s="265"/>
      <c r="Z122" s="266"/>
    </row>
    <row r="123" spans="1:29" ht="15" customHeight="1" thickTop="1" thickBot="1" x14ac:dyDescent="0.25">
      <c r="C123" s="258" t="s">
        <v>26</v>
      </c>
      <c r="D123" s="259"/>
      <c r="E123" s="260"/>
      <c r="F123" s="261" cm="1">
        <f t="array" ref="F123">heureConvert2Decimal(C123)</f>
        <v>11.983333333333333</v>
      </c>
      <c r="G123" s="262"/>
      <c r="H123" s="263"/>
      <c r="I123" s="264" t="str" cm="1">
        <f t="array" ref="I123">heureDecimal2Txt(F123)</f>
        <v>11:59:00.00(11.9833)</v>
      </c>
      <c r="J123" s="265"/>
      <c r="K123" s="265"/>
      <c r="L123" s="265"/>
      <c r="M123" s="266"/>
      <c r="O123" s="221" t="s">
        <v>160</v>
      </c>
      <c r="P123" s="222"/>
      <c r="Q123" s="222"/>
      <c r="R123" s="223"/>
      <c r="S123" s="271" cm="1">
        <f t="array" ref="S123">angleConvert2Decimal(O123)</f>
        <v>0.46666666666666667</v>
      </c>
      <c r="T123" s="272"/>
      <c r="U123" s="273"/>
      <c r="V123" s="264" t="str" cm="1">
        <f t="array" ref="V123">angleDecimal2Txt(S123)</f>
        <v>+00°28.00 (+00.4666) [+00°28'00.00]</v>
      </c>
      <c r="W123" s="265"/>
      <c r="X123" s="265"/>
      <c r="Y123" s="265"/>
      <c r="Z123" s="266"/>
    </row>
    <row r="124" spans="1:29" ht="15" customHeight="1" thickTop="1" thickBot="1" x14ac:dyDescent="0.25">
      <c r="C124" s="258" t="s">
        <v>26</v>
      </c>
      <c r="D124" s="259"/>
      <c r="E124" s="260"/>
      <c r="F124" s="261" cm="1">
        <f t="array" ref="F124">heureConvert2Decimal(C124)</f>
        <v>11.983333333333333</v>
      </c>
      <c r="G124" s="262"/>
      <c r="H124" s="263"/>
      <c r="I124" s="264" t="str" cm="1">
        <f t="array" ref="I124">heureDecimal2Txt(F124)</f>
        <v>11:59:00.00(11.9833)</v>
      </c>
      <c r="J124" s="265"/>
      <c r="K124" s="265"/>
      <c r="L124" s="265"/>
      <c r="M124" s="266"/>
      <c r="O124" s="221" t="s">
        <v>160</v>
      </c>
      <c r="P124" s="222"/>
      <c r="Q124" s="222"/>
      <c r="R124" s="223"/>
      <c r="S124" s="271" cm="1">
        <f t="array" ref="S124">angleConvert2Decimal(O124)</f>
        <v>0.46666666666666667</v>
      </c>
      <c r="T124" s="272"/>
      <c r="U124" s="273"/>
      <c r="V124" s="264" t="str" cm="1">
        <f t="array" ref="V124">angleDecimal2Txt(S124)</f>
        <v>+00°28.00 (+00.4666) [+00°28'00.00]</v>
      </c>
      <c r="W124" s="265"/>
      <c r="X124" s="265"/>
      <c r="Y124" s="265"/>
      <c r="Z124" s="266"/>
    </row>
    <row r="125" spans="1:29" ht="15" customHeight="1" thickTop="1" thickBot="1" x14ac:dyDescent="0.25">
      <c r="C125" s="258" t="s">
        <v>26</v>
      </c>
      <c r="D125" s="259"/>
      <c r="E125" s="260"/>
      <c r="F125" s="261" cm="1">
        <f t="array" ref="F125">heureConvert2Decimal(C125)</f>
        <v>11.983333333333333</v>
      </c>
      <c r="G125" s="262"/>
      <c r="H125" s="263"/>
      <c r="I125" s="264" t="str" cm="1">
        <f t="array" ref="I125">heureDecimal2Txt(F125)</f>
        <v>11:59:00.00(11.9833)</v>
      </c>
      <c r="J125" s="265"/>
      <c r="K125" s="265"/>
      <c r="L125" s="265"/>
      <c r="M125" s="266"/>
      <c r="O125" s="221" t="s">
        <v>160</v>
      </c>
      <c r="P125" s="222"/>
      <c r="Q125" s="222"/>
      <c r="R125" s="223"/>
      <c r="S125" s="271" cm="1">
        <f t="array" ref="S125">angleConvert2Decimal(O125)</f>
        <v>0.46666666666666667</v>
      </c>
      <c r="T125" s="272"/>
      <c r="U125" s="273"/>
      <c r="V125" s="264" t="str" cm="1">
        <f t="array" ref="V125">angleDecimal2Txt(S125)</f>
        <v>+00°28.00 (+00.4666) [+00°28'00.00]</v>
      </c>
      <c r="W125" s="265"/>
      <c r="X125" s="265"/>
      <c r="Y125" s="265"/>
      <c r="Z125" s="266"/>
    </row>
    <row r="126" spans="1:29" ht="15" customHeight="1" thickTop="1" thickBot="1" x14ac:dyDescent="0.25">
      <c r="C126" s="258" t="s">
        <v>26</v>
      </c>
      <c r="D126" s="259"/>
      <c r="E126" s="260"/>
      <c r="F126" s="261" cm="1">
        <f t="array" ref="F126">heureConvert2Decimal(C126)</f>
        <v>11.983333333333333</v>
      </c>
      <c r="G126" s="262"/>
      <c r="H126" s="263"/>
      <c r="I126" s="264" t="str" cm="1">
        <f t="array" ref="I126">heureDecimal2Txt(F126)</f>
        <v>11:59:00.00(11.9833)</v>
      </c>
      <c r="J126" s="265"/>
      <c r="K126" s="265"/>
      <c r="L126" s="265"/>
      <c r="M126" s="266"/>
      <c r="O126" s="221" t="s">
        <v>160</v>
      </c>
      <c r="P126" s="222"/>
      <c r="Q126" s="222"/>
      <c r="R126" s="223"/>
      <c r="S126" s="271" cm="1">
        <f t="array" ref="S126">angleConvert2Decimal(O126)</f>
        <v>0.46666666666666667</v>
      </c>
      <c r="T126" s="272"/>
      <c r="U126" s="273"/>
      <c r="V126" s="264" t="str" cm="1">
        <f t="array" ref="V126">angleDecimal2Txt(S126)</f>
        <v>+00°28.00 (+00.4666) [+00°28'00.00]</v>
      </c>
      <c r="W126" s="265"/>
      <c r="X126" s="265"/>
      <c r="Y126" s="265"/>
      <c r="Z126" s="266"/>
    </row>
    <row r="127" spans="1:29" ht="15" customHeight="1" thickTop="1" thickBot="1" x14ac:dyDescent="0.25">
      <c r="C127" s="258" t="s">
        <v>26</v>
      </c>
      <c r="D127" s="259"/>
      <c r="E127" s="260"/>
      <c r="F127" s="261" cm="1">
        <f t="array" ref="F127">heureConvert2Decimal(C127)</f>
        <v>11.983333333333333</v>
      </c>
      <c r="G127" s="262"/>
      <c r="H127" s="263"/>
      <c r="I127" s="264" t="str" cm="1">
        <f t="array" ref="I127">heureDecimal2Txt(F127)</f>
        <v>11:59:00.00(11.9833)</v>
      </c>
      <c r="J127" s="265"/>
      <c r="K127" s="265"/>
      <c r="L127" s="265"/>
      <c r="M127" s="266"/>
      <c r="O127" s="221" t="s">
        <v>160</v>
      </c>
      <c r="P127" s="222"/>
      <c r="Q127" s="222"/>
      <c r="R127" s="223"/>
      <c r="S127" s="271" cm="1">
        <f t="array" ref="S127">angleConvert2Decimal(O127)</f>
        <v>0.46666666666666667</v>
      </c>
      <c r="T127" s="272"/>
      <c r="U127" s="273"/>
      <c r="V127" s="264" t="str" cm="1">
        <f t="array" ref="V127">angleDecimal2Txt(S127)</f>
        <v>+00°28.00 (+00.4666) [+00°28'00.00]</v>
      </c>
      <c r="W127" s="265"/>
      <c r="X127" s="265"/>
      <c r="Y127" s="265"/>
      <c r="Z127" s="266"/>
    </row>
    <row r="128" spans="1:29" ht="15" customHeight="1" thickTop="1" thickBot="1" x14ac:dyDescent="0.25">
      <c r="C128" s="258" t="s">
        <v>26</v>
      </c>
      <c r="D128" s="259"/>
      <c r="E128" s="260"/>
      <c r="F128" s="261" cm="1">
        <f t="array" ref="F128">heureConvert2Decimal(C128)</f>
        <v>11.983333333333333</v>
      </c>
      <c r="G128" s="262"/>
      <c r="H128" s="263"/>
      <c r="I128" s="264" t="str" cm="1">
        <f t="array" ref="I128">heureDecimal2Txt(F128)</f>
        <v>11:59:00.00(11.9833)</v>
      </c>
      <c r="J128" s="265"/>
      <c r="K128" s="265"/>
      <c r="L128" s="265"/>
      <c r="M128" s="266"/>
      <c r="O128" s="221" t="s">
        <v>160</v>
      </c>
      <c r="P128" s="222"/>
      <c r="Q128" s="222"/>
      <c r="R128" s="223"/>
      <c r="S128" s="271" cm="1">
        <f t="array" ref="S128">angleConvert2Decimal(O128)</f>
        <v>0.46666666666666667</v>
      </c>
      <c r="T128" s="272"/>
      <c r="U128" s="273"/>
      <c r="V128" s="264" t="str" cm="1">
        <f t="array" ref="V128">angleDecimal2Txt(S128)</f>
        <v>+00°28.00 (+00.4666) [+00°28'00.00]</v>
      </c>
      <c r="W128" s="265"/>
      <c r="X128" s="265"/>
      <c r="Y128" s="265"/>
      <c r="Z128" s="266"/>
    </row>
    <row r="129" spans="2:27" ht="15" customHeight="1" thickTop="1" thickBot="1" x14ac:dyDescent="0.25">
      <c r="O129" s="221" t="s">
        <v>160</v>
      </c>
      <c r="P129" s="222"/>
      <c r="Q129" s="222"/>
      <c r="R129" s="223"/>
      <c r="S129" s="271" cm="1">
        <f t="array" ref="S129">angleConvert2Decimal(O129)</f>
        <v>0.46666666666666667</v>
      </c>
      <c r="T129" s="272"/>
      <c r="U129" s="273"/>
      <c r="V129" s="264" t="str" cm="1">
        <f t="array" ref="V129">angleDecimal2Txt(S129)</f>
        <v>+00°28.00 (+00.4666) [+00°28'00.00]</v>
      </c>
      <c r="W129" s="265"/>
      <c r="X129" s="265"/>
      <c r="Y129" s="265"/>
      <c r="Z129" s="266"/>
    </row>
    <row r="130" spans="2:27" ht="15" customHeight="1" thickTop="1" thickBot="1" x14ac:dyDescent="0.25">
      <c r="O130" s="221" t="s">
        <v>160</v>
      </c>
      <c r="P130" s="222"/>
      <c r="Q130" s="222"/>
      <c r="R130" s="223"/>
      <c r="S130" s="271" cm="1">
        <f t="array" ref="S130">angleConvert2Decimal(O130)</f>
        <v>0.46666666666666667</v>
      </c>
      <c r="T130" s="272"/>
      <c r="U130" s="273"/>
      <c r="V130" s="264" t="str" cm="1">
        <f t="array" ref="V130">angleDecimal2Txt(S130)</f>
        <v>+00°28.00 (+00.4666) [+00°28'00.00]</v>
      </c>
      <c r="W130" s="265"/>
      <c r="X130" s="265"/>
      <c r="Y130" s="265"/>
      <c r="Z130" s="266"/>
    </row>
    <row r="131" spans="2:27" ht="15" customHeight="1" thickTop="1" thickBot="1" x14ac:dyDescent="0.25">
      <c r="O131" s="221" t="s">
        <v>160</v>
      </c>
      <c r="P131" s="222"/>
      <c r="Q131" s="222"/>
      <c r="R131" s="223"/>
      <c r="S131" s="271" cm="1">
        <f t="array" ref="S131">angleConvert2Decimal(O131)</f>
        <v>0.46666666666666667</v>
      </c>
      <c r="T131" s="272"/>
      <c r="U131" s="273"/>
      <c r="V131" s="264" t="str" cm="1">
        <f t="array" ref="V131">angleDecimal2Txt(S131)</f>
        <v>+00°28.00 (+00.4666) [+00°28'00.00]</v>
      </c>
      <c r="W131" s="265"/>
      <c r="X131" s="265"/>
      <c r="Y131" s="265"/>
      <c r="Z131" s="266"/>
    </row>
    <row r="132" spans="2:27" ht="15" customHeight="1" thickTop="1" thickBot="1" x14ac:dyDescent="0.25">
      <c r="O132" s="221" t="s">
        <v>160</v>
      </c>
      <c r="P132" s="222"/>
      <c r="Q132" s="222"/>
      <c r="R132" s="223"/>
      <c r="S132" s="271" cm="1">
        <f t="array" ref="S132">angleConvert2Decimal(O132)</f>
        <v>0.46666666666666667</v>
      </c>
      <c r="T132" s="272"/>
      <c r="U132" s="273"/>
      <c r="V132" s="264" t="str" cm="1">
        <f t="array" ref="V132">angleDecimal2Txt(S132)</f>
        <v>+00°28.00 (+00.4666) [+00°28'00.00]</v>
      </c>
      <c r="W132" s="265"/>
      <c r="X132" s="265"/>
      <c r="Y132" s="265"/>
      <c r="Z132" s="266"/>
    </row>
    <row r="133" spans="2:27" ht="15" customHeight="1" thickTop="1" thickBot="1" x14ac:dyDescent="0.25">
      <c r="O133" s="221" t="s">
        <v>160</v>
      </c>
      <c r="P133" s="222"/>
      <c r="Q133" s="222"/>
      <c r="R133" s="223"/>
      <c r="S133" s="271" cm="1">
        <f t="array" ref="S133">angleConvert2Decimal(O133)</f>
        <v>0.46666666666666667</v>
      </c>
      <c r="T133" s="272"/>
      <c r="U133" s="273"/>
      <c r="V133" s="264" t="str" cm="1">
        <f t="array" ref="V133">angleDecimal2Txt(S133)</f>
        <v>+00°28.00 (+00.4666) [+00°28'00.00]</v>
      </c>
      <c r="W133" s="265"/>
      <c r="X133" s="265"/>
      <c r="Y133" s="265"/>
      <c r="Z133" s="266"/>
    </row>
    <row r="134" spans="2:27" ht="15" customHeight="1" thickTop="1" thickBot="1" x14ac:dyDescent="0.25">
      <c r="O134" s="221" t="s">
        <v>160</v>
      </c>
      <c r="P134" s="222"/>
      <c r="Q134" s="222"/>
      <c r="R134" s="223"/>
      <c r="S134" s="271" cm="1">
        <f t="array" ref="S134">angleConvert2Decimal(O134)</f>
        <v>0.46666666666666667</v>
      </c>
      <c r="T134" s="272"/>
      <c r="U134" s="273"/>
      <c r="V134" s="264" t="str" cm="1">
        <f t="array" ref="V134">angleDecimal2Txt(S134)</f>
        <v>+00°28.00 (+00.4666) [+00°28'00.00]</v>
      </c>
      <c r="W134" s="265"/>
      <c r="X134" s="265"/>
      <c r="Y134" s="265"/>
      <c r="Z134" s="266"/>
    </row>
    <row r="135" spans="2:27" ht="15" customHeight="1" thickTop="1" thickBot="1" x14ac:dyDescent="0.25">
      <c r="B135" s="3" t="s">
        <v>177</v>
      </c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3"/>
    </row>
    <row r="136" spans="2:27" ht="15" customHeight="1" x14ac:dyDescent="0.2">
      <c r="C136" s="277" t="s">
        <v>173</v>
      </c>
      <c r="D136" s="72" t="s">
        <v>167</v>
      </c>
      <c r="E136" s="73">
        <v>5</v>
      </c>
      <c r="F136" s="74"/>
      <c r="G136" s="247" t="s">
        <v>175</v>
      </c>
      <c r="H136" s="247"/>
      <c r="I136" s="247"/>
      <c r="J136" s="247"/>
      <c r="L136" s="15" t="s">
        <v>171</v>
      </c>
      <c r="M136" s="15">
        <f>(E137-E139)/(E136-E138)</f>
        <v>4.9616666666666669</v>
      </c>
    </row>
    <row r="137" spans="2:27" ht="15" customHeight="1" x14ac:dyDescent="0.2">
      <c r="C137" s="277"/>
      <c r="D137" s="72" t="s">
        <v>168</v>
      </c>
      <c r="E137" s="73">
        <v>23.23</v>
      </c>
      <c r="F137" s="75" t="s">
        <v>176</v>
      </c>
      <c r="G137" s="72" t="s">
        <v>58</v>
      </c>
      <c r="H137" s="73">
        <v>10.5</v>
      </c>
      <c r="I137" s="76" t="s">
        <v>163</v>
      </c>
      <c r="J137" s="77">
        <f>M136*H137+M137</f>
        <v>50.519166666666671</v>
      </c>
      <c r="L137" s="15" t="s">
        <v>172</v>
      </c>
      <c r="M137" s="15">
        <f>E137-M136*(E136)</f>
        <v>-1.5783333333333331</v>
      </c>
    </row>
    <row r="138" spans="2:27" ht="15" customHeight="1" x14ac:dyDescent="0.2">
      <c r="C138" s="278" t="s">
        <v>174</v>
      </c>
      <c r="D138" s="78" t="s">
        <v>169</v>
      </c>
      <c r="E138" s="73">
        <v>11</v>
      </c>
      <c r="F138" s="74"/>
      <c r="G138" s="74"/>
      <c r="H138" s="74"/>
      <c r="I138" s="74"/>
      <c r="J138" s="74"/>
    </row>
    <row r="139" spans="2:27" ht="15" customHeight="1" x14ac:dyDescent="0.2">
      <c r="C139" s="278"/>
      <c r="D139" s="78" t="s">
        <v>170</v>
      </c>
      <c r="E139" s="73">
        <v>53</v>
      </c>
      <c r="F139" s="74"/>
      <c r="G139" s="74"/>
      <c r="H139" s="74"/>
      <c r="I139" s="74"/>
      <c r="J139" s="74"/>
    </row>
    <row r="141" spans="2:27" ht="15" customHeight="1" x14ac:dyDescent="0.2">
      <c r="C141" s="277" t="s">
        <v>173</v>
      </c>
      <c r="D141" s="72" t="s">
        <v>167</v>
      </c>
      <c r="E141" s="73">
        <v>0</v>
      </c>
      <c r="F141" s="74"/>
      <c r="G141" s="247" t="s">
        <v>175</v>
      </c>
      <c r="H141" s="247"/>
      <c r="I141" s="247"/>
      <c r="J141" s="247"/>
      <c r="L141" s="15" t="s">
        <v>171</v>
      </c>
      <c r="M141" s="15">
        <f>(E142-E144)/(E141-E143)</f>
        <v>1</v>
      </c>
    </row>
    <row r="142" spans="2:27" ht="15" customHeight="1" x14ac:dyDescent="0.2">
      <c r="C142" s="277"/>
      <c r="D142" s="72" t="s">
        <v>168</v>
      </c>
      <c r="E142" s="73">
        <v>0</v>
      </c>
      <c r="F142" s="75" t="s">
        <v>176</v>
      </c>
      <c r="G142" s="72" t="s">
        <v>58</v>
      </c>
      <c r="H142" s="73">
        <v>10.5</v>
      </c>
      <c r="I142" s="76" t="s">
        <v>163</v>
      </c>
      <c r="J142" s="77">
        <f>M141*H142+M142</f>
        <v>10.5</v>
      </c>
      <c r="L142" s="15" t="s">
        <v>172</v>
      </c>
      <c r="M142" s="15">
        <f>E142-M141*(E141)</f>
        <v>0</v>
      </c>
    </row>
    <row r="143" spans="2:27" ht="15" customHeight="1" x14ac:dyDescent="0.2">
      <c r="C143" s="278" t="s">
        <v>174</v>
      </c>
      <c r="D143" s="78" t="s">
        <v>169</v>
      </c>
      <c r="E143" s="73">
        <v>11</v>
      </c>
      <c r="F143" s="74"/>
      <c r="G143" s="74"/>
      <c r="H143" s="74"/>
      <c r="I143" s="74"/>
      <c r="J143" s="74"/>
    </row>
    <row r="144" spans="2:27" ht="15" customHeight="1" x14ac:dyDescent="0.2">
      <c r="C144" s="278"/>
      <c r="D144" s="78" t="s">
        <v>170</v>
      </c>
      <c r="E144" s="73">
        <v>11</v>
      </c>
      <c r="F144" s="74"/>
      <c r="G144" s="74"/>
      <c r="H144" s="74"/>
      <c r="I144" s="74"/>
      <c r="J144" s="74"/>
    </row>
    <row r="146" spans="3:13" ht="15" customHeight="1" x14ac:dyDescent="0.2">
      <c r="C146" s="277" t="s">
        <v>173</v>
      </c>
      <c r="D146" s="72" t="s">
        <v>167</v>
      </c>
      <c r="E146" s="73">
        <v>0</v>
      </c>
      <c r="F146" s="74"/>
      <c r="G146" s="247" t="s">
        <v>175</v>
      </c>
      <c r="H146" s="247"/>
      <c r="I146" s="247"/>
      <c r="J146" s="247"/>
      <c r="L146" s="15" t="s">
        <v>171</v>
      </c>
      <c r="M146" s="15">
        <f>(E147-E149)/(E146-E148)</f>
        <v>-1</v>
      </c>
    </row>
    <row r="147" spans="3:13" ht="15" customHeight="1" x14ac:dyDescent="0.2">
      <c r="C147" s="277"/>
      <c r="D147" s="72" t="s">
        <v>168</v>
      </c>
      <c r="E147" s="73">
        <v>11</v>
      </c>
      <c r="F147" s="75" t="s">
        <v>176</v>
      </c>
      <c r="G147" s="72" t="s">
        <v>58</v>
      </c>
      <c r="H147" s="73">
        <v>10.5</v>
      </c>
      <c r="I147" s="76" t="s">
        <v>163</v>
      </c>
      <c r="J147" s="77">
        <f>M146*H147+M147</f>
        <v>0.5</v>
      </c>
      <c r="L147" s="15" t="s">
        <v>172</v>
      </c>
      <c r="M147" s="15">
        <f>E147-M146*(E146)</f>
        <v>11</v>
      </c>
    </row>
    <row r="148" spans="3:13" ht="15" customHeight="1" x14ac:dyDescent="0.2">
      <c r="C148" s="278" t="s">
        <v>174</v>
      </c>
      <c r="D148" s="78" t="s">
        <v>169</v>
      </c>
      <c r="E148" s="73">
        <v>11</v>
      </c>
      <c r="F148" s="74"/>
      <c r="G148" s="74"/>
      <c r="H148" s="74"/>
      <c r="I148" s="74"/>
      <c r="J148" s="74"/>
    </row>
    <row r="149" spans="3:13" ht="15" customHeight="1" x14ac:dyDescent="0.2">
      <c r="C149" s="278"/>
      <c r="D149" s="78" t="s">
        <v>170</v>
      </c>
      <c r="E149" s="73">
        <v>0</v>
      </c>
      <c r="F149" s="74"/>
      <c r="G149" s="74"/>
      <c r="H149" s="74"/>
      <c r="I149" s="74"/>
      <c r="J149" s="74"/>
    </row>
  </sheetData>
  <mergeCells count="206"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84"/>
  <sheetViews>
    <sheetView topLeftCell="A72" zoomScale="80" zoomScaleNormal="80" workbookViewId="0">
      <selection activeCell="C83" sqref="C83"/>
    </sheetView>
  </sheetViews>
  <sheetFormatPr defaultColWidth="9.7109375" defaultRowHeight="12.75" outlineLevelCol="1" x14ac:dyDescent="0.2"/>
  <cols>
    <col min="1" max="1" width="10.42578125" style="18" customWidth="1"/>
    <col min="2" max="15" width="12.28515625" style="18" customWidth="1"/>
    <col min="16" max="17" width="12.28515625" style="74" customWidth="1"/>
    <col min="18" max="20" width="10.42578125" style="18" customWidth="1"/>
    <col min="21" max="26" width="2" style="18" customWidth="1"/>
    <col min="27" max="27" width="2" style="82" customWidth="1"/>
    <col min="28" max="28" width="14.85546875" style="18" customWidth="1" outlineLevel="1"/>
    <col min="29" max="34" width="15.42578125" style="18" customWidth="1" outlineLevel="1"/>
    <col min="35" max="35" width="15.5703125" style="18" customWidth="1" outlineLevel="1"/>
    <col min="36" max="36" width="18.28515625" style="18" customWidth="1" outlineLevel="1"/>
    <col min="37" max="37" width="12.28515625" style="18" customWidth="1" outlineLevel="1"/>
    <col min="38" max="38" width="18.28515625" style="18" customWidth="1" outlineLevel="1"/>
    <col min="39" max="39" width="7.28515625" style="18" customWidth="1" outlineLevel="1"/>
    <col min="40" max="40" width="18.28515625" style="18" customWidth="1" outlineLevel="1"/>
    <col min="41" max="47" width="14.140625" style="18" customWidth="1" outlineLevel="1"/>
    <col min="48" max="50" width="9.7109375" style="18" customWidth="1" outlineLevel="1"/>
    <col min="51" max="51" width="17.5703125" style="18" customWidth="1" outlineLevel="1"/>
    <col min="52" max="53" width="15.42578125" style="18" customWidth="1" outlineLevel="1"/>
    <col min="54" max="58" width="9.7109375" style="18" customWidth="1" outlineLevel="1"/>
    <col min="59" max="59" width="15.42578125" style="18" customWidth="1" outlineLevel="1"/>
    <col min="60" max="64" width="9.7109375" style="18" customWidth="1" outlineLevel="1"/>
    <col min="65" max="65" width="14.28515625" style="18" customWidth="1" outlineLevel="1"/>
    <col min="66" max="70" width="9.7109375" style="18" customWidth="1" outlineLevel="1"/>
    <col min="71" max="71" width="14.28515625" style="18" customWidth="1" outlineLevel="1"/>
    <col min="72" max="76" width="9.7109375" style="18" customWidth="1" outlineLevel="1"/>
    <col min="77" max="77" width="15.42578125" style="18" customWidth="1" outlineLevel="1"/>
    <col min="78" max="82" width="9.7109375" style="18" customWidth="1" outlineLevel="1"/>
    <col min="83" max="83" width="15.42578125" style="18" customWidth="1" outlineLevel="1"/>
    <col min="84" max="111" width="9.7109375" style="18" customWidth="1" outlineLevel="1"/>
    <col min="112" max="16384" width="9.7109375" style="18"/>
  </cols>
  <sheetData>
    <row r="1" spans="2:66" s="1" customFormat="1" ht="17.25" customHeight="1" x14ac:dyDescent="0.2">
      <c r="C1" s="175" t="s">
        <v>81</v>
      </c>
      <c r="D1" s="175"/>
      <c r="E1" s="175"/>
      <c r="F1" s="175"/>
      <c r="G1" s="176" t="s">
        <v>82</v>
      </c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AB1" s="285" t="s">
        <v>180</v>
      </c>
      <c r="AC1" s="285"/>
      <c r="AD1" s="285"/>
      <c r="AE1" s="2"/>
      <c r="AF1" s="2"/>
      <c r="AG1" s="2"/>
      <c r="AH1" s="2"/>
      <c r="AI1" s="2"/>
      <c r="AJ1" s="2"/>
      <c r="AK1" s="2"/>
      <c r="AL1" s="2"/>
      <c r="AM1" s="80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</row>
    <row r="2" spans="2:66" s="1" customFormat="1" ht="17.25" customHeight="1" x14ac:dyDescent="0.2">
      <c r="C2" s="175"/>
      <c r="D2" s="175"/>
      <c r="E2" s="175"/>
      <c r="F2" s="175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AB2" s="81" t="s">
        <v>88</v>
      </c>
      <c r="AC2" s="13"/>
      <c r="AD2" s="13"/>
      <c r="AE2" s="2"/>
      <c r="AF2" s="2"/>
      <c r="AG2" s="2"/>
      <c r="AH2" s="2"/>
      <c r="AI2" s="2"/>
      <c r="AJ2" s="2"/>
      <c r="AK2" s="2"/>
      <c r="AL2" s="2"/>
      <c r="AM2" s="80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</row>
    <row r="3" spans="2:66" s="1" customFormat="1" ht="17.25" customHeight="1" x14ac:dyDescent="0.2">
      <c r="C3" s="175"/>
      <c r="D3" s="175"/>
      <c r="E3" s="175"/>
      <c r="F3" s="175"/>
      <c r="G3" s="292" t="s">
        <v>84</v>
      </c>
      <c r="H3" s="292"/>
      <c r="I3" s="292"/>
      <c r="J3" s="294" t="s">
        <v>83</v>
      </c>
      <c r="K3" s="294"/>
      <c r="L3" s="294"/>
      <c r="AB3" s="62" t="s">
        <v>70</v>
      </c>
      <c r="AC3" s="13"/>
      <c r="AD3" s="13"/>
      <c r="AE3" s="2"/>
      <c r="AF3" s="2"/>
      <c r="AG3" s="2"/>
      <c r="AH3" s="2"/>
      <c r="AI3" s="2"/>
      <c r="AJ3" s="2"/>
      <c r="AK3" s="2"/>
      <c r="AL3" s="2"/>
      <c r="AM3" s="80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</row>
    <row r="4" spans="2:66" s="1" customFormat="1" ht="17.25" customHeight="1" x14ac:dyDescent="0.2">
      <c r="C4" s="175"/>
      <c r="D4" s="175"/>
      <c r="E4" s="175"/>
      <c r="F4" s="175"/>
      <c r="G4" s="293"/>
      <c r="H4" s="293"/>
      <c r="I4" s="293"/>
      <c r="J4" s="295"/>
      <c r="K4" s="295"/>
      <c r="L4" s="295"/>
      <c r="AB4" s="62" t="s">
        <v>71</v>
      </c>
      <c r="AC4" s="13"/>
      <c r="AD4" s="13"/>
      <c r="AE4" s="2"/>
      <c r="AF4" s="2"/>
      <c r="AG4" s="2"/>
      <c r="AH4" s="2"/>
      <c r="AI4" s="2"/>
      <c r="AJ4" s="2"/>
      <c r="AK4" s="2"/>
      <c r="AL4" s="2"/>
      <c r="AM4" s="80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</row>
    <row r="5" spans="2:66" s="1" customFormat="1" ht="17.25" customHeight="1" thickBot="1" x14ac:dyDescent="0.25">
      <c r="C5" s="14"/>
      <c r="D5" s="14"/>
      <c r="E5" s="14"/>
      <c r="F5" s="14"/>
      <c r="G5" s="14"/>
      <c r="AB5" s="13"/>
      <c r="AC5" s="13"/>
      <c r="AD5" s="13"/>
      <c r="AE5" s="2"/>
      <c r="AF5" s="2"/>
      <c r="AG5" s="2"/>
      <c r="AH5" s="2"/>
      <c r="AI5" s="2"/>
      <c r="AJ5" s="2"/>
      <c r="AK5" s="2"/>
      <c r="AL5" s="2"/>
      <c r="AM5" s="80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</row>
    <row r="6" spans="2:66" s="1" customFormat="1" ht="17.25" customHeight="1" thickBot="1" x14ac:dyDescent="0.25">
      <c r="B6" s="3" t="s">
        <v>181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B6" s="13"/>
      <c r="AC6" s="13"/>
      <c r="AD6" s="13"/>
      <c r="AE6" s="2"/>
      <c r="AF6" s="2"/>
      <c r="AG6" s="2"/>
      <c r="AH6" s="2"/>
      <c r="AI6" s="2"/>
      <c r="AJ6" s="2"/>
      <c r="AK6" s="2"/>
      <c r="AL6" s="2"/>
      <c r="AM6" s="80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</row>
    <row r="7" spans="2:66" x14ac:dyDescent="0.2">
      <c r="AC7" s="18" t="s">
        <v>95</v>
      </c>
      <c r="AD7" s="83">
        <f ca="1">TODAY()</f>
        <v>45524</v>
      </c>
      <c r="AI7" s="84">
        <f ca="1">AD7</f>
        <v>45524</v>
      </c>
      <c r="AQ7" s="18" t="s">
        <v>101</v>
      </c>
      <c r="AR7" s="18" t="s">
        <v>28</v>
      </c>
      <c r="AS7" s="18" t="s">
        <v>102</v>
      </c>
      <c r="AT7" s="18" t="s">
        <v>24</v>
      </c>
      <c r="AU7" s="18" t="s">
        <v>102</v>
      </c>
    </row>
    <row r="8" spans="2:66" x14ac:dyDescent="0.2">
      <c r="D8" s="13"/>
      <c r="E8" s="300" t="s">
        <v>32</v>
      </c>
      <c r="F8" s="300"/>
      <c r="G8" s="300"/>
      <c r="H8" s="300"/>
      <c r="I8" s="300"/>
      <c r="J8" s="300"/>
      <c r="K8" s="300"/>
      <c r="L8" s="300"/>
      <c r="AO8" s="18">
        <v>1</v>
      </c>
      <c r="AP8" s="18" t="e">
        <f>AG9</f>
        <v>#N/A</v>
      </c>
      <c r="AQ8" s="18" t="b">
        <f>ISNUMBER(SEARCH("-",AP8,1))</f>
        <v>0</v>
      </c>
      <c r="AR8" s="18">
        <f>IF(AQ8,-1,1)</f>
        <v>1</v>
      </c>
      <c r="AS8" s="18" t="e">
        <f>ABS(VALUE(LEFT($AP8,SEARCH(":",$AP8,1)-1)))</f>
        <v>#N/A</v>
      </c>
      <c r="AT8" s="18" t="e">
        <f>ABS(VALUE(RIGHT($AP8,LEN($AP8)-SEARCH(":",$AP8,1))))</f>
        <v>#N/A</v>
      </c>
      <c r="AU8" s="18" t="e">
        <f>(AS8+AT8/60)/24</f>
        <v>#N/A</v>
      </c>
    </row>
    <row r="9" spans="2:66" x14ac:dyDescent="0.2">
      <c r="D9" s="13"/>
      <c r="E9" s="300" t="s">
        <v>69</v>
      </c>
      <c r="F9" s="300"/>
      <c r="G9" s="300"/>
      <c r="H9" s="300"/>
      <c r="I9" s="300" t="s">
        <v>72</v>
      </c>
      <c r="J9" s="300"/>
      <c r="K9" s="300"/>
      <c r="L9" s="300"/>
      <c r="AD9" s="18" t="str">
        <f>CONCATENATE(D24,"-",D23)</f>
        <v>St Malo-dd</v>
      </c>
      <c r="AE9" s="18" t="e">
        <f>MATCH(AD9,AD12:AD22,0)</f>
        <v>#N/A</v>
      </c>
      <c r="AF9" s="18" t="e">
        <f>INDEX($AF$12:$AM$22,$AE$9,1)</f>
        <v>#N/A</v>
      </c>
      <c r="AG9" s="18" t="e">
        <f>INDEX($AF$12:$AM$22,$AE$9,2)</f>
        <v>#N/A</v>
      </c>
      <c r="AH9" s="18" t="e">
        <f>INDEX($AF$12:$AM$22,$AE$9,3)</f>
        <v>#N/A</v>
      </c>
      <c r="AI9" s="18" t="e">
        <f>INDEX($AF$12:$AM$22,$AE$9,4)</f>
        <v>#N/A</v>
      </c>
      <c r="AJ9" s="18" t="e">
        <f>INDEX($AF$12:$AM$22,$AE$9,5)</f>
        <v>#N/A</v>
      </c>
      <c r="AK9" s="18" t="e">
        <f>INDEX($AF$12:$AM$22,$AE$9,6)</f>
        <v>#N/A</v>
      </c>
      <c r="AL9" s="18" t="e">
        <f>INDEX($AF$12:$AM$22,$AE$9,7)</f>
        <v>#N/A</v>
      </c>
      <c r="AM9" s="18" t="e">
        <f>INDEX($AF$12:$AM$22,$AE$9,8)</f>
        <v>#N/A</v>
      </c>
      <c r="AO9" s="18">
        <v>2</v>
      </c>
      <c r="AP9" s="18" t="e">
        <f>AI9</f>
        <v>#N/A</v>
      </c>
      <c r="AQ9" s="18" t="b">
        <f>ISNUMBER(SEARCH("-",AP9,1))</f>
        <v>0</v>
      </c>
      <c r="AR9" s="18">
        <f>IF(AQ9,-1,1)</f>
        <v>1</v>
      </c>
      <c r="AS9" s="18" t="e">
        <f>ABS(VALUE(LEFT($AP9,SEARCH(":",$AP9,1)-1)))</f>
        <v>#N/A</v>
      </c>
      <c r="AT9" s="18" t="e">
        <f>ABS(VALUE(RIGHT($AP9,LEN($AP9)-SEARCH(":",$AP9,1))))</f>
        <v>#N/A</v>
      </c>
      <c r="AU9" s="18" t="e">
        <f>(AS9+AT9/60)/24</f>
        <v>#N/A</v>
      </c>
    </row>
    <row r="10" spans="2:66" x14ac:dyDescent="0.2">
      <c r="E10" s="300" t="s">
        <v>70</v>
      </c>
      <c r="F10" s="300"/>
      <c r="G10" s="300" t="s">
        <v>71</v>
      </c>
      <c r="H10" s="300"/>
      <c r="I10" s="300" t="s">
        <v>70</v>
      </c>
      <c r="J10" s="300"/>
      <c r="K10" s="300" t="s">
        <v>71</v>
      </c>
      <c r="L10" s="300"/>
      <c r="P10" s="18"/>
      <c r="Q10" s="18"/>
      <c r="S10" s="13"/>
      <c r="T10" s="13"/>
      <c r="AF10" s="18" t="e">
        <f>AF9</f>
        <v>#N/A</v>
      </c>
      <c r="AG10" s="18" t="e">
        <f>AU8</f>
        <v>#N/A</v>
      </c>
      <c r="AH10" s="18" t="e">
        <f>AH9</f>
        <v>#N/A</v>
      </c>
      <c r="AI10" s="18" t="e">
        <f>AU9</f>
        <v>#N/A</v>
      </c>
      <c r="AJ10" s="18" t="e">
        <f>AJ9</f>
        <v>#N/A</v>
      </c>
      <c r="AK10" s="18" t="e">
        <f>AU10</f>
        <v>#N/A</v>
      </c>
      <c r="AL10" s="18" t="e">
        <f>AL9</f>
        <v>#N/A</v>
      </c>
      <c r="AM10" s="18" t="e">
        <f>AU11</f>
        <v>#N/A</v>
      </c>
      <c r="AO10" s="18">
        <v>3</v>
      </c>
      <c r="AP10" s="18" t="e">
        <f>AK9</f>
        <v>#N/A</v>
      </c>
      <c r="AQ10" s="18" t="b">
        <f>ISNUMBER(SEARCH("-",AP10,1))</f>
        <v>0</v>
      </c>
      <c r="AR10" s="18">
        <f>IF(AQ10,-1,1)</f>
        <v>1</v>
      </c>
      <c r="AS10" s="18" t="e">
        <f>ABS(VALUE(LEFT($AP10,SEARCH(":",$AP10,1)-1)))</f>
        <v>#N/A</v>
      </c>
      <c r="AT10" s="18" t="e">
        <f>ABS(VALUE(RIGHT($AP10,LEN($AP10)-SEARCH(":",$AP10,1))))</f>
        <v>#N/A</v>
      </c>
      <c r="AU10" s="18" t="e">
        <f>(AS10+AT10/60)/24</f>
        <v>#N/A</v>
      </c>
    </row>
    <row r="11" spans="2:66" x14ac:dyDescent="0.2">
      <c r="B11" s="287" t="s">
        <v>66</v>
      </c>
      <c r="C11" s="287"/>
      <c r="D11" s="85" t="s">
        <v>68</v>
      </c>
      <c r="E11" s="86" t="s">
        <v>73</v>
      </c>
      <c r="F11" s="86" t="s">
        <v>74</v>
      </c>
      <c r="G11" s="86" t="s">
        <v>73</v>
      </c>
      <c r="H11" s="86" t="s">
        <v>74</v>
      </c>
      <c r="I11" s="86" t="s">
        <v>73</v>
      </c>
      <c r="J11" s="86" t="s">
        <v>74</v>
      </c>
      <c r="K11" s="86" t="s">
        <v>73</v>
      </c>
      <c r="L11" s="86" t="s">
        <v>74</v>
      </c>
      <c r="P11" s="18"/>
      <c r="Q11" s="18"/>
      <c r="S11" s="13"/>
      <c r="T11" s="13"/>
      <c r="U11" s="13"/>
      <c r="AO11" s="18">
        <v>4</v>
      </c>
      <c r="AP11" s="18" t="e">
        <f>AM9</f>
        <v>#N/A</v>
      </c>
      <c r="AQ11" s="18" t="b">
        <f>ISNUMBER(SEARCH("-",AP11,1))</f>
        <v>0</v>
      </c>
      <c r="AR11" s="18">
        <f>IF(AQ11,-1,1)</f>
        <v>1</v>
      </c>
      <c r="AS11" s="18" t="e">
        <f>ABS(VALUE(LEFT($AP11,SEARCH(":",$AP11,1)-1)))</f>
        <v>#N/A</v>
      </c>
      <c r="AT11" s="18" t="e">
        <f>ABS(VALUE(RIGHT($AP11,LEN($AP11)-SEARCH(":",$AP11,1))))</f>
        <v>#N/A</v>
      </c>
      <c r="AU11" s="18" t="e">
        <f>(AS11+AT11/60)/24</f>
        <v>#N/A</v>
      </c>
    </row>
    <row r="12" spans="2:66" x14ac:dyDescent="0.2">
      <c r="B12" s="286" t="s">
        <v>67</v>
      </c>
      <c r="C12" s="286"/>
      <c r="D12" s="87" t="s">
        <v>80</v>
      </c>
      <c r="E12" s="88">
        <v>0.23</v>
      </c>
      <c r="F12" s="89" t="s">
        <v>76</v>
      </c>
      <c r="G12" s="88">
        <v>-2.1</v>
      </c>
      <c r="H12" s="90" t="s">
        <v>75</v>
      </c>
      <c r="I12" s="88">
        <v>0.13</v>
      </c>
      <c r="J12" s="89" t="s">
        <v>76</v>
      </c>
      <c r="K12" s="88">
        <v>-0.78</v>
      </c>
      <c r="L12" s="90" t="s">
        <v>78</v>
      </c>
      <c r="P12" s="18"/>
      <c r="Q12" s="18"/>
      <c r="S12" s="13"/>
      <c r="T12" s="13"/>
      <c r="U12" s="13"/>
      <c r="AC12" s="18" t="str">
        <f t="shared" ref="AC12:AC17" si="0">IF(ISBLANK(B12),AC11,B12)</f>
        <v>Brest</v>
      </c>
      <c r="AD12" s="18" t="str">
        <f t="shared" ref="AD12:AD21" si="1">LOWER(SUBSTITUTE(AC12," ",""))</f>
        <v>brest</v>
      </c>
      <c r="AE12" s="18" t="str">
        <f t="shared" ref="AE12:AE21" si="2">LOWER(SUBSTITUTE(D12," ",""))</f>
        <v>stquay</v>
      </c>
      <c r="AF12" s="18" t="str">
        <f t="shared" ref="AF12:AF21" si="3">CONCATENATE(AD12,"-",AE12)</f>
        <v>brest-stquay</v>
      </c>
      <c r="AH12" s="18">
        <f t="shared" ref="AH12:AH21" si="4">E12</f>
        <v>0.23</v>
      </c>
      <c r="AI12" s="18" cm="1">
        <f t="array" ref="AI12">heureConvert2Decimal(F12)</f>
        <v>0.2</v>
      </c>
      <c r="AJ12" s="18">
        <f t="shared" ref="AJ12:AJ21" si="5">G12</f>
        <v>-2.1</v>
      </c>
      <c r="AK12" s="18" cm="1">
        <f t="array" ref="AK12">heureConvert2Decimal(H12)</f>
        <v>-1.6666666666666666E-2</v>
      </c>
      <c r="AL12" s="18">
        <f t="shared" ref="AL12:AL21" si="6">I12</f>
        <v>0.13</v>
      </c>
      <c r="AM12" s="18" cm="1">
        <f t="array" ref="AM12">heureConvert2Decimal(J12)</f>
        <v>0.2</v>
      </c>
      <c r="AN12" s="18">
        <f t="shared" ref="AN12:AN21" si="7">K12</f>
        <v>-0.78</v>
      </c>
      <c r="AO12" s="18" cm="1">
        <f t="array" ref="AO12">heureConvert2Decimal(L12)</f>
        <v>-6.6666666666666666E-2</v>
      </c>
    </row>
    <row r="13" spans="2:66" x14ac:dyDescent="0.2">
      <c r="B13" s="286"/>
      <c r="C13" s="286"/>
      <c r="D13" s="87" t="s">
        <v>85</v>
      </c>
      <c r="E13" s="88">
        <v>0.23</v>
      </c>
      <c r="F13" s="89" t="s">
        <v>76</v>
      </c>
      <c r="G13" s="88">
        <v>-2.1</v>
      </c>
      <c r="H13" s="90" t="s">
        <v>103</v>
      </c>
      <c r="I13" s="88">
        <v>0.13</v>
      </c>
      <c r="J13" s="89" t="s">
        <v>76</v>
      </c>
      <c r="K13" s="88">
        <v>-0.78</v>
      </c>
      <c r="L13" s="90" t="s">
        <v>78</v>
      </c>
      <c r="P13" s="18"/>
      <c r="Q13" s="18"/>
      <c r="S13" s="13"/>
      <c r="T13" s="13"/>
      <c r="U13" s="13"/>
      <c r="AC13" s="18" t="str">
        <f t="shared" si="0"/>
        <v>Brest</v>
      </c>
      <c r="AD13" s="18" t="str">
        <f t="shared" si="1"/>
        <v>brest</v>
      </c>
      <c r="AE13" s="18" t="str">
        <f t="shared" si="2"/>
        <v>binic</v>
      </c>
      <c r="AF13" s="18" t="str">
        <f t="shared" si="3"/>
        <v>brest-binic</v>
      </c>
      <c r="AH13" s="18">
        <f t="shared" si="4"/>
        <v>0.23</v>
      </c>
      <c r="AI13" s="18" cm="1">
        <f t="array" ref="AI13">heureConvert2Decimal(F13)</f>
        <v>0.2</v>
      </c>
      <c r="AJ13" s="18">
        <f t="shared" si="5"/>
        <v>-2.1</v>
      </c>
      <c r="AK13" s="18" cm="1">
        <f t="array" ref="AK13">heureConvert2Decimal(H13)</f>
        <v>-1.0166666666666666</v>
      </c>
      <c r="AL13" s="18">
        <f t="shared" si="6"/>
        <v>0.13</v>
      </c>
      <c r="AM13" s="18" cm="1">
        <f t="array" ref="AM13">heureConvert2Decimal(J13)</f>
        <v>0.2</v>
      </c>
      <c r="AN13" s="18">
        <f t="shared" si="7"/>
        <v>-0.78</v>
      </c>
      <c r="AO13" s="18" cm="1">
        <f t="array" ref="AO13">heureConvert2Decimal(L13)</f>
        <v>-6.6666666666666666E-2</v>
      </c>
    </row>
    <row r="14" spans="2:66" x14ac:dyDescent="0.2">
      <c r="B14" s="286"/>
      <c r="C14" s="286"/>
      <c r="D14" s="87" t="s">
        <v>86</v>
      </c>
      <c r="E14" s="88">
        <v>0.23</v>
      </c>
      <c r="F14" s="89" t="s">
        <v>76</v>
      </c>
      <c r="G14" s="88">
        <v>-2.1</v>
      </c>
      <c r="H14" s="90" t="s">
        <v>75</v>
      </c>
      <c r="I14" s="88">
        <v>0.13</v>
      </c>
      <c r="J14" s="89" t="s">
        <v>76</v>
      </c>
      <c r="K14" s="88">
        <v>-0.78</v>
      </c>
      <c r="L14" s="90" t="s">
        <v>78</v>
      </c>
      <c r="P14" s="18"/>
      <c r="Q14" s="18"/>
      <c r="S14" s="13"/>
      <c r="T14" s="13"/>
      <c r="U14" s="13"/>
      <c r="AC14" s="18" t="str">
        <f t="shared" si="0"/>
        <v>Brest</v>
      </c>
      <c r="AD14" s="18" t="str">
        <f t="shared" si="1"/>
        <v>brest</v>
      </c>
      <c r="AE14" s="18" t="str">
        <f t="shared" si="2"/>
        <v>paimpol</v>
      </c>
      <c r="AF14" s="18" t="str">
        <f t="shared" si="3"/>
        <v>brest-paimpol</v>
      </c>
      <c r="AH14" s="18">
        <f t="shared" si="4"/>
        <v>0.23</v>
      </c>
      <c r="AI14" s="18" cm="1">
        <f t="array" ref="AI14">heureConvert2Decimal(F14)</f>
        <v>0.2</v>
      </c>
      <c r="AJ14" s="18">
        <f t="shared" si="5"/>
        <v>-2.1</v>
      </c>
      <c r="AK14" s="18" cm="1">
        <f t="array" ref="AK14">heureConvert2Decimal(H14)</f>
        <v>-1.6666666666666666E-2</v>
      </c>
      <c r="AL14" s="18">
        <f t="shared" si="6"/>
        <v>0.13</v>
      </c>
      <c r="AM14" s="18" cm="1">
        <f t="array" ref="AM14">heureConvert2Decimal(J14)</f>
        <v>0.2</v>
      </c>
      <c r="AN14" s="18">
        <f t="shared" si="7"/>
        <v>-0.78</v>
      </c>
      <c r="AO14" s="18" cm="1">
        <f t="array" ref="AO14">heureConvert2Decimal(L14)</f>
        <v>-6.6666666666666666E-2</v>
      </c>
    </row>
    <row r="15" spans="2:66" x14ac:dyDescent="0.2">
      <c r="B15" s="286" t="s">
        <v>186</v>
      </c>
      <c r="C15" s="286"/>
      <c r="D15" s="87" t="s">
        <v>80</v>
      </c>
      <c r="E15" s="88">
        <v>0.23</v>
      </c>
      <c r="F15" s="89" t="s">
        <v>76</v>
      </c>
      <c r="G15" s="88">
        <v>-2.1</v>
      </c>
      <c r="H15" s="90" t="s">
        <v>75</v>
      </c>
      <c r="I15" s="88">
        <v>0.13</v>
      </c>
      <c r="J15" s="89" t="s">
        <v>76</v>
      </c>
      <c r="K15" s="88">
        <v>-0.78</v>
      </c>
      <c r="L15" s="90" t="s">
        <v>78</v>
      </c>
      <c r="P15" s="18"/>
      <c r="Q15" s="18"/>
      <c r="S15" s="13"/>
      <c r="T15" s="13"/>
      <c r="U15" s="13"/>
      <c r="AC15" s="18" t="str">
        <f t="shared" si="0"/>
        <v>Alderney</v>
      </c>
      <c r="AD15" s="18" t="str">
        <f t="shared" si="1"/>
        <v>alderney</v>
      </c>
      <c r="AE15" s="18" t="str">
        <f t="shared" si="2"/>
        <v>stquay</v>
      </c>
      <c r="AF15" s="18" t="str">
        <f t="shared" si="3"/>
        <v>alderney-stquay</v>
      </c>
      <c r="AH15" s="18">
        <f t="shared" si="4"/>
        <v>0.23</v>
      </c>
      <c r="AI15" s="18" cm="1">
        <f t="array" ref="AI15">heureConvert2Decimal(F15)</f>
        <v>0.2</v>
      </c>
      <c r="AJ15" s="18">
        <f t="shared" si="5"/>
        <v>-2.1</v>
      </c>
      <c r="AK15" s="18" cm="1">
        <f t="array" ref="AK15">heureConvert2Decimal(H15)</f>
        <v>-1.6666666666666666E-2</v>
      </c>
      <c r="AL15" s="18">
        <f t="shared" si="6"/>
        <v>0.13</v>
      </c>
      <c r="AM15" s="18" cm="1">
        <f t="array" ref="AM15">heureConvert2Decimal(J15)</f>
        <v>0.2</v>
      </c>
      <c r="AN15" s="18">
        <f t="shared" si="7"/>
        <v>-0.78</v>
      </c>
      <c r="AO15" s="18" cm="1">
        <f t="array" ref="AO15">heureConvert2Decimal(L15)</f>
        <v>-6.6666666666666666E-2</v>
      </c>
    </row>
    <row r="16" spans="2:66" x14ac:dyDescent="0.2">
      <c r="B16" s="286"/>
      <c r="C16" s="286"/>
      <c r="D16" s="87" t="s">
        <v>85</v>
      </c>
      <c r="E16" s="88">
        <v>0.23</v>
      </c>
      <c r="F16" s="89" t="s">
        <v>76</v>
      </c>
      <c r="G16" s="88">
        <v>-2.1</v>
      </c>
      <c r="H16" s="90" t="s">
        <v>103</v>
      </c>
      <c r="I16" s="88">
        <v>0.13</v>
      </c>
      <c r="J16" s="89" t="s">
        <v>76</v>
      </c>
      <c r="K16" s="88">
        <v>-0.78</v>
      </c>
      <c r="L16" s="90" t="s">
        <v>78</v>
      </c>
      <c r="P16" s="18"/>
      <c r="Q16" s="18"/>
      <c r="S16" s="13"/>
      <c r="T16" s="13"/>
      <c r="U16" s="13"/>
      <c r="AC16" s="18" t="str">
        <f t="shared" si="0"/>
        <v>Alderney</v>
      </c>
      <c r="AD16" s="18" t="str">
        <f t="shared" si="1"/>
        <v>alderney</v>
      </c>
      <c r="AE16" s="18" t="str">
        <f t="shared" si="2"/>
        <v>binic</v>
      </c>
      <c r="AF16" s="18" t="str">
        <f t="shared" si="3"/>
        <v>alderney-binic</v>
      </c>
      <c r="AH16" s="18">
        <f t="shared" si="4"/>
        <v>0.23</v>
      </c>
      <c r="AI16" s="18" cm="1">
        <f t="array" ref="AI16">heureConvert2Decimal(F16)</f>
        <v>0.2</v>
      </c>
      <c r="AJ16" s="18">
        <f t="shared" si="5"/>
        <v>-2.1</v>
      </c>
      <c r="AK16" s="18" cm="1">
        <f t="array" ref="AK16">heureConvert2Decimal(H16)</f>
        <v>-1.0166666666666666</v>
      </c>
      <c r="AL16" s="18">
        <f t="shared" si="6"/>
        <v>0.13</v>
      </c>
      <c r="AM16" s="18" cm="1">
        <f t="array" ref="AM16">heureConvert2Decimal(J16)</f>
        <v>0.2</v>
      </c>
      <c r="AN16" s="18">
        <f t="shared" si="7"/>
        <v>-0.78</v>
      </c>
      <c r="AO16" s="18" cm="1">
        <f t="array" ref="AO16">heureConvert2Decimal(L16)</f>
        <v>-6.6666666666666666E-2</v>
      </c>
    </row>
    <row r="17" spans="2:54" x14ac:dyDescent="0.2">
      <c r="B17" s="286"/>
      <c r="C17" s="286"/>
      <c r="D17" s="87" t="s">
        <v>86</v>
      </c>
      <c r="E17" s="88">
        <v>0.23</v>
      </c>
      <c r="F17" s="89" t="s">
        <v>76</v>
      </c>
      <c r="G17" s="88">
        <v>-2.1</v>
      </c>
      <c r="H17" s="90" t="s">
        <v>75</v>
      </c>
      <c r="I17" s="88">
        <v>0.13</v>
      </c>
      <c r="J17" s="89" t="s">
        <v>76</v>
      </c>
      <c r="K17" s="88">
        <v>-0.78</v>
      </c>
      <c r="L17" s="90" t="s">
        <v>78</v>
      </c>
      <c r="P17" s="18"/>
      <c r="Q17" s="18"/>
      <c r="S17" s="13"/>
      <c r="T17" s="13"/>
      <c r="U17" s="13"/>
      <c r="AC17" s="18" t="str">
        <f t="shared" si="0"/>
        <v>Alderney</v>
      </c>
      <c r="AD17" s="18" t="str">
        <f t="shared" si="1"/>
        <v>alderney</v>
      </c>
      <c r="AE17" s="18" t="str">
        <f t="shared" si="2"/>
        <v>paimpol</v>
      </c>
      <c r="AF17" s="18" t="str">
        <f t="shared" si="3"/>
        <v>alderney-paimpol</v>
      </c>
      <c r="AH17" s="18">
        <f t="shared" si="4"/>
        <v>0.23</v>
      </c>
      <c r="AI17" s="18" cm="1">
        <f t="array" ref="AI17">heureConvert2Decimal(F17)</f>
        <v>0.2</v>
      </c>
      <c r="AJ17" s="18">
        <f t="shared" si="5"/>
        <v>-2.1</v>
      </c>
      <c r="AK17" s="18" cm="1">
        <f t="array" ref="AK17">heureConvert2Decimal(H17)</f>
        <v>-1.6666666666666666E-2</v>
      </c>
      <c r="AL17" s="18">
        <f t="shared" si="6"/>
        <v>0.13</v>
      </c>
      <c r="AM17" s="18" cm="1">
        <f t="array" ref="AM17">heureConvert2Decimal(J17)</f>
        <v>0.2</v>
      </c>
      <c r="AN17" s="18">
        <f t="shared" si="7"/>
        <v>-0.78</v>
      </c>
      <c r="AO17" s="18" cm="1">
        <f t="array" ref="AO17">heureConvert2Decimal(L17)</f>
        <v>-6.6666666666666666E-2</v>
      </c>
    </row>
    <row r="18" spans="2:54" x14ac:dyDescent="0.2">
      <c r="B18" s="286" t="s">
        <v>87</v>
      </c>
      <c r="C18" s="286"/>
      <c r="D18" s="87" t="s">
        <v>80</v>
      </c>
      <c r="E18" s="88">
        <v>0.23</v>
      </c>
      <c r="F18" s="89" t="s">
        <v>76</v>
      </c>
      <c r="G18" s="88">
        <v>-2.1</v>
      </c>
      <c r="H18" s="90" t="s">
        <v>75</v>
      </c>
      <c r="I18" s="88">
        <v>0.13</v>
      </c>
      <c r="J18" s="89" t="s">
        <v>76</v>
      </c>
      <c r="K18" s="88">
        <v>-0.78</v>
      </c>
      <c r="L18" s="90" t="s">
        <v>78</v>
      </c>
      <c r="P18" s="18"/>
      <c r="Q18" s="18"/>
      <c r="S18" s="13"/>
      <c r="T18" s="13"/>
      <c r="U18" s="13"/>
      <c r="AC18" s="18" t="str">
        <f>IF(ISBLANK(B18),AC14,B18)</f>
        <v>StMalo</v>
      </c>
      <c r="AD18" s="18" t="str">
        <f t="shared" si="1"/>
        <v>stmalo</v>
      </c>
      <c r="AE18" s="18" t="str">
        <f t="shared" si="2"/>
        <v>stquay</v>
      </c>
      <c r="AF18" s="18" t="str">
        <f t="shared" si="3"/>
        <v>stmalo-stquay</v>
      </c>
      <c r="AH18" s="18">
        <f t="shared" si="4"/>
        <v>0.23</v>
      </c>
      <c r="AI18" s="18" cm="1">
        <f t="array" ref="AI18">heureConvert2Decimal(F18)</f>
        <v>0.2</v>
      </c>
      <c r="AJ18" s="18">
        <f t="shared" si="5"/>
        <v>-2.1</v>
      </c>
      <c r="AK18" s="18" cm="1">
        <f t="array" ref="AK18">heureConvert2Decimal(H18)</f>
        <v>-1.6666666666666666E-2</v>
      </c>
      <c r="AL18" s="18">
        <f t="shared" si="6"/>
        <v>0.13</v>
      </c>
      <c r="AM18" s="18" cm="1">
        <f t="array" ref="AM18">heureConvert2Decimal(J18)</f>
        <v>0.2</v>
      </c>
      <c r="AN18" s="18">
        <f t="shared" si="7"/>
        <v>-0.78</v>
      </c>
      <c r="AO18" s="18" cm="1">
        <f t="array" ref="AO18">heureConvert2Decimal(L18)</f>
        <v>-6.6666666666666666E-2</v>
      </c>
    </row>
    <row r="19" spans="2:54" x14ac:dyDescent="0.2">
      <c r="B19" s="286"/>
      <c r="C19" s="286"/>
      <c r="D19" s="87" t="s">
        <v>85</v>
      </c>
      <c r="E19" s="88">
        <v>0.23</v>
      </c>
      <c r="F19" s="89" t="s">
        <v>76</v>
      </c>
      <c r="G19" s="88">
        <v>-2.1</v>
      </c>
      <c r="H19" s="90" t="s">
        <v>75</v>
      </c>
      <c r="I19" s="88">
        <v>0.13</v>
      </c>
      <c r="J19" s="89" t="s">
        <v>76</v>
      </c>
      <c r="K19" s="88">
        <v>-0.78</v>
      </c>
      <c r="L19" s="90" t="s">
        <v>78</v>
      </c>
      <c r="P19" s="18"/>
      <c r="Q19" s="18"/>
      <c r="S19" s="13"/>
      <c r="T19" s="13"/>
      <c r="U19" s="13"/>
      <c r="AC19" s="18" t="str">
        <f>IF(ISBLANK(B19),AC18,B19)</f>
        <v>StMalo</v>
      </c>
      <c r="AD19" s="18" t="str">
        <f t="shared" si="1"/>
        <v>stmalo</v>
      </c>
      <c r="AE19" s="18" t="str">
        <f t="shared" si="2"/>
        <v>binic</v>
      </c>
      <c r="AF19" s="18" t="str">
        <f t="shared" si="3"/>
        <v>stmalo-binic</v>
      </c>
      <c r="AH19" s="18">
        <f t="shared" si="4"/>
        <v>0.23</v>
      </c>
      <c r="AI19" s="18" cm="1">
        <f t="array" ref="AI19">heureConvert2Decimal(F19)</f>
        <v>0.2</v>
      </c>
      <c r="AJ19" s="18">
        <f t="shared" si="5"/>
        <v>-2.1</v>
      </c>
      <c r="AK19" s="18" cm="1">
        <f t="array" ref="AK19">heureConvert2Decimal(H19)</f>
        <v>-1.6666666666666666E-2</v>
      </c>
      <c r="AL19" s="18">
        <f t="shared" si="6"/>
        <v>0.13</v>
      </c>
      <c r="AM19" s="18" cm="1">
        <f t="array" ref="AM19">heureConvert2Decimal(J19)</f>
        <v>0.2</v>
      </c>
      <c r="AN19" s="18">
        <f t="shared" si="7"/>
        <v>-0.78</v>
      </c>
      <c r="AO19" s="18" cm="1">
        <f t="array" ref="AO19">heureConvert2Decimal(L19)</f>
        <v>-6.6666666666666666E-2</v>
      </c>
    </row>
    <row r="20" spans="2:54" x14ac:dyDescent="0.2">
      <c r="B20" s="286"/>
      <c r="C20" s="286"/>
      <c r="D20" s="87" t="s">
        <v>86</v>
      </c>
      <c r="E20" s="88">
        <v>0.23</v>
      </c>
      <c r="F20" s="89" t="s">
        <v>76</v>
      </c>
      <c r="G20" s="88">
        <v>-2.1</v>
      </c>
      <c r="H20" s="90" t="s">
        <v>75</v>
      </c>
      <c r="I20" s="88">
        <v>0.13</v>
      </c>
      <c r="J20" s="89" t="s">
        <v>76</v>
      </c>
      <c r="K20" s="88">
        <v>-0.78</v>
      </c>
      <c r="L20" s="90" t="s">
        <v>78</v>
      </c>
      <c r="P20" s="18"/>
      <c r="Q20" s="18"/>
      <c r="S20" s="13"/>
      <c r="T20" s="13"/>
      <c r="U20" s="13"/>
      <c r="AC20" s="18" t="str">
        <f>IF(ISBLANK(B20),AC19,B20)</f>
        <v>StMalo</v>
      </c>
      <c r="AD20" s="18" t="str">
        <f t="shared" si="1"/>
        <v>stmalo</v>
      </c>
      <c r="AE20" s="18" t="str">
        <f t="shared" si="2"/>
        <v>paimpol</v>
      </c>
      <c r="AF20" s="18" t="str">
        <f t="shared" si="3"/>
        <v>stmalo-paimpol</v>
      </c>
      <c r="AH20" s="18">
        <f t="shared" si="4"/>
        <v>0.23</v>
      </c>
      <c r="AI20" s="18" cm="1">
        <f t="array" ref="AI20">heureConvert2Decimal(F20)</f>
        <v>0.2</v>
      </c>
      <c r="AJ20" s="18">
        <f t="shared" si="5"/>
        <v>-2.1</v>
      </c>
      <c r="AK20" s="18" cm="1">
        <f t="array" ref="AK20">heureConvert2Decimal(H20)</f>
        <v>-1.6666666666666666E-2</v>
      </c>
      <c r="AL20" s="18">
        <f t="shared" si="6"/>
        <v>0.13</v>
      </c>
      <c r="AM20" s="18" cm="1">
        <f t="array" ref="AM20">heureConvert2Decimal(J20)</f>
        <v>0.2</v>
      </c>
      <c r="AN20" s="18">
        <f t="shared" si="7"/>
        <v>-0.78</v>
      </c>
      <c r="AO20" s="18" cm="1">
        <f t="array" ref="AO20">heureConvert2Decimal(L20)</f>
        <v>-6.6666666666666666E-2</v>
      </c>
    </row>
    <row r="21" spans="2:54" x14ac:dyDescent="0.2">
      <c r="B21" s="286" t="s">
        <v>185</v>
      </c>
      <c r="C21" s="286"/>
      <c r="D21" s="88" t="s">
        <v>184</v>
      </c>
      <c r="E21" s="88">
        <v>0</v>
      </c>
      <c r="F21" s="89" t="s">
        <v>182</v>
      </c>
      <c r="G21" s="88">
        <v>0</v>
      </c>
      <c r="H21" s="89" t="s">
        <v>182</v>
      </c>
      <c r="I21" s="88">
        <v>0</v>
      </c>
      <c r="J21" s="89" t="s">
        <v>182</v>
      </c>
      <c r="K21" s="88">
        <v>0</v>
      </c>
      <c r="L21" s="89" t="s">
        <v>182</v>
      </c>
      <c r="P21" s="18"/>
      <c r="Q21" s="18"/>
      <c r="S21" s="13"/>
      <c r="T21" s="13"/>
      <c r="U21" s="13"/>
      <c r="AC21" s="18" t="str">
        <f>IF(ISBLANK(B21),AC20,B21)</f>
        <v>DernierPortPourMacro</v>
      </c>
      <c r="AD21" s="18" t="str">
        <f t="shared" si="1"/>
        <v>dernierportpourmacro</v>
      </c>
      <c r="AE21" s="18" t="str">
        <f t="shared" si="2"/>
        <v>dernierportmacro</v>
      </c>
      <c r="AF21" s="18" t="str">
        <f t="shared" si="3"/>
        <v>dernierportpourmacro-dernierportmacro</v>
      </c>
      <c r="AH21" s="18">
        <f t="shared" si="4"/>
        <v>0</v>
      </c>
      <c r="AI21" s="18" cm="1">
        <f t="array" ref="AI21">heureConvert2Decimal(F21)</f>
        <v>0</v>
      </c>
      <c r="AJ21" s="18">
        <f t="shared" si="5"/>
        <v>0</v>
      </c>
      <c r="AK21" s="18" cm="1">
        <f t="array" ref="AK21">heureConvert2Decimal(H21)</f>
        <v>0</v>
      </c>
      <c r="AL21" s="18">
        <f t="shared" si="6"/>
        <v>0</v>
      </c>
      <c r="AM21" s="18" cm="1">
        <f t="array" ref="AM21">heureConvert2Decimal(J21)</f>
        <v>0</v>
      </c>
      <c r="AN21" s="18">
        <f t="shared" si="7"/>
        <v>0</v>
      </c>
      <c r="AO21" s="18" cm="1">
        <f t="array" ref="AO21">heureConvert2Decimal(L21)</f>
        <v>0</v>
      </c>
    </row>
    <row r="22" spans="2:54" s="13" customFormat="1" x14ac:dyDescent="0.2"/>
    <row r="23" spans="2:54" x14ac:dyDescent="0.2">
      <c r="C23" s="91" t="s">
        <v>68</v>
      </c>
      <c r="D23" s="92" t="s">
        <v>226</v>
      </c>
      <c r="E23" s="18" t="str">
        <f>IF(ISNUMBER(AD23), "Trouve","Pas de port de ref mettre les valeurs de maree")</f>
        <v>Pas de port de ref mettre les valeurs de maree</v>
      </c>
      <c r="P23" s="18"/>
      <c r="Q23" s="18"/>
      <c r="S23" s="13"/>
      <c r="T23" s="13"/>
      <c r="U23" s="13"/>
      <c r="AB23" s="18" t="s">
        <v>188</v>
      </c>
      <c r="AD23" s="18" t="e">
        <f>MATCH(CONCATENATE(AE24,"-",LOWER(SUBSTITUTE(D23," ",""))),AF12:AF21,0)</f>
        <v>#N/A</v>
      </c>
      <c r="AE23" s="18" t="e" cm="1">
        <f t="array" ref="AE23">INDEX($AF$12:$AF$21,AD23)</f>
        <v>#N/A</v>
      </c>
    </row>
    <row r="24" spans="2:54" x14ac:dyDescent="0.2">
      <c r="C24" s="91" t="s">
        <v>66</v>
      </c>
      <c r="D24" s="92" t="s">
        <v>183</v>
      </c>
      <c r="E24" s="18" t="str">
        <f>IF(ISNUMBER(AD24), "Trouve","Pas de port de ref mettre les valeurs de maree")</f>
        <v>Trouve</v>
      </c>
      <c r="P24" s="18"/>
      <c r="Q24" s="18"/>
      <c r="S24" s="13"/>
      <c r="T24" s="13"/>
      <c r="U24" s="13"/>
      <c r="AB24" s="18" t="s">
        <v>187</v>
      </c>
      <c r="AD24" s="18">
        <f>MATCH(LOWER(SUBSTITUTE(D24," ","")),$AD$12:$AD$21,0)</f>
        <v>7</v>
      </c>
      <c r="AE24" s="18" t="str" cm="1">
        <f t="array" ref="AE24">INDEX($AD$12:$AD$21,AD24)</f>
        <v>stmalo</v>
      </c>
    </row>
    <row r="25" spans="2:54" x14ac:dyDescent="0.2">
      <c r="P25" s="18"/>
      <c r="Q25" s="18"/>
      <c r="S25" s="13"/>
      <c r="T25" s="13"/>
      <c r="U25" s="13"/>
    </row>
    <row r="26" spans="2:54" ht="13.5" thickBot="1" x14ac:dyDescent="0.25">
      <c r="P26" s="18"/>
      <c r="Q26" s="18"/>
      <c r="S26" s="13"/>
      <c r="T26" s="13"/>
      <c r="U26" s="13"/>
    </row>
    <row r="27" spans="2:54" ht="13.5" thickBot="1" x14ac:dyDescent="0.25">
      <c r="B27" s="3" t="s">
        <v>189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2:54" x14ac:dyDescent="0.2">
      <c r="H28" s="302" t="s">
        <v>113</v>
      </c>
      <c r="I28" s="302"/>
      <c r="J28" s="302"/>
      <c r="K28" s="302"/>
      <c r="L28" s="302"/>
      <c r="M28" s="303"/>
      <c r="N28" s="303"/>
      <c r="O28" s="303"/>
      <c r="P28" s="18"/>
      <c r="Q28" s="18"/>
      <c r="S28" s="13"/>
      <c r="T28" s="13"/>
      <c r="U28" s="13"/>
    </row>
    <row r="29" spans="2:54" x14ac:dyDescent="0.2">
      <c r="C29" s="287" t="s">
        <v>79</v>
      </c>
      <c r="D29" s="287"/>
      <c r="E29" s="287"/>
      <c r="F29" s="287"/>
      <c r="G29" s="287"/>
      <c r="H29" s="304" t="s">
        <v>91</v>
      </c>
      <c r="I29" s="306" t="s">
        <v>98</v>
      </c>
      <c r="J29" s="290" t="s">
        <v>209</v>
      </c>
      <c r="K29" s="290"/>
      <c r="L29" s="291"/>
      <c r="M29" s="188" t="s">
        <v>210</v>
      </c>
      <c r="N29" s="188"/>
      <c r="O29" s="188"/>
      <c r="P29" s="188"/>
      <c r="Q29" s="188"/>
    </row>
    <row r="30" spans="2:54" x14ac:dyDescent="0.2">
      <c r="C30" s="93" t="s">
        <v>88</v>
      </c>
      <c r="D30" s="93" t="s">
        <v>0</v>
      </c>
      <c r="E30" s="93" t="s">
        <v>6</v>
      </c>
      <c r="F30" s="93" t="s">
        <v>63</v>
      </c>
      <c r="G30" s="93" t="s">
        <v>108</v>
      </c>
      <c r="H30" s="305"/>
      <c r="I30" s="307"/>
      <c r="J30" s="94" t="s">
        <v>64</v>
      </c>
      <c r="K30" s="288" t="s">
        <v>6</v>
      </c>
      <c r="L30" s="289"/>
      <c r="M30" s="64" t="s">
        <v>205</v>
      </c>
      <c r="N30" s="188" t="s">
        <v>206</v>
      </c>
      <c r="O30" s="188"/>
      <c r="P30" s="188" t="s">
        <v>212</v>
      </c>
      <c r="Q30" s="188"/>
      <c r="T30" s="13"/>
      <c r="AB30" s="18" t="s">
        <v>92</v>
      </c>
      <c r="AC30" s="18" t="s">
        <v>0</v>
      </c>
      <c r="AD30" s="18" t="s">
        <v>191</v>
      </c>
      <c r="AE30" s="18" t="s">
        <v>192</v>
      </c>
      <c r="AF30" s="18" t="s">
        <v>190</v>
      </c>
      <c r="AG30" s="18" t="s">
        <v>93</v>
      </c>
      <c r="AH30" s="18" t="s">
        <v>94</v>
      </c>
      <c r="AI30" s="18" t="s">
        <v>96</v>
      </c>
      <c r="AJ30" s="18" t="s">
        <v>97</v>
      </c>
      <c r="AK30" s="18" t="s">
        <v>104</v>
      </c>
      <c r="AL30" s="18" t="s">
        <v>204</v>
      </c>
      <c r="AM30" s="18" t="s">
        <v>63</v>
      </c>
      <c r="AN30" s="18" t="s">
        <v>77</v>
      </c>
      <c r="AO30" s="18" t="s">
        <v>202</v>
      </c>
      <c r="AP30" s="18" t="s">
        <v>203</v>
      </c>
      <c r="AQ30" s="18" t="s">
        <v>207</v>
      </c>
      <c r="AR30" s="18" t="s">
        <v>208</v>
      </c>
      <c r="AS30" s="44" t="s">
        <v>195</v>
      </c>
      <c r="AT30" s="44" t="s">
        <v>196</v>
      </c>
      <c r="AU30" s="282" t="s">
        <v>197</v>
      </c>
      <c r="AV30" s="282"/>
      <c r="AW30" s="282"/>
      <c r="AX30" s="282"/>
      <c r="AY30" s="282"/>
      <c r="AZ30" s="282"/>
      <c r="BA30" s="282"/>
      <c r="BB30" s="282"/>
    </row>
    <row r="31" spans="2:54" x14ac:dyDescent="0.2">
      <c r="B31" s="85" t="s">
        <v>89</v>
      </c>
      <c r="C31" s="73" t="s">
        <v>70</v>
      </c>
      <c r="D31" s="95" t="s">
        <v>99</v>
      </c>
      <c r="E31" s="96" t="s">
        <v>193</v>
      </c>
      <c r="F31" s="97">
        <v>90</v>
      </c>
      <c r="G31" s="97">
        <v>9.56</v>
      </c>
      <c r="H31" s="98" t="str">
        <f t="shared" ref="H31:H40" si="8">IF(AL31,"Y","N")</f>
        <v>Y</v>
      </c>
      <c r="I31" s="98" t="str">
        <f t="shared" ref="I31:I40" si="9">IF(AN31,"Y","N")</f>
        <v>Y</v>
      </c>
      <c r="J31" s="99">
        <f t="shared" ref="J31:J40" si="10">IF(AL31,AO31,NA())</f>
        <v>0</v>
      </c>
      <c r="K31" s="290" t="str" cm="1">
        <f t="array" ref="K31">IF(AL31,heureDecimal2Txt(AP31),NA())</f>
        <v>00:00:00.00(00.0000)</v>
      </c>
      <c r="L31" s="291"/>
      <c r="M31" s="64">
        <f t="shared" ref="M31:M40" si="11">G31+J31</f>
        <v>9.56</v>
      </c>
      <c r="N31" s="188" t="str" cm="1">
        <f t="array" ref="N31">IF(AL31,dateEpoch2Txt(AR31),NA())</f>
        <v>2024/12/20 12:00</v>
      </c>
      <c r="O31" s="188"/>
      <c r="P31" s="100">
        <f t="shared" ref="P31:P40" si="12">IF(AL31,AR31/3600, NA())</f>
        <v>481860</v>
      </c>
      <c r="Q31" s="101"/>
      <c r="T31" s="13"/>
      <c r="AB31" s="18" t="b">
        <f t="shared" ref="AB31:AB40" si="13">(C31=$AB$3)</f>
        <v>1</v>
      </c>
      <c r="AC31" s="18" cm="1">
        <f t="array" ref="AC31">IF(ISBLANK(D31),0,dateConvert2Decimal(D31))</f>
        <v>1734652800</v>
      </c>
      <c r="AD31" s="18" cm="1">
        <f t="array" ref="AD31">IF(ISBLANK(E31),0,heureConvert2Decimal(E31))*3600</f>
        <v>43200</v>
      </c>
      <c r="AE31" s="18">
        <f t="shared" ref="AE31:AE40" si="14">AC31+AD31</f>
        <v>1734696000</v>
      </c>
      <c r="AF31" s="102" t="b">
        <f t="shared" ref="AF31:AF40" si="15">IF(AB31, IF(ISNUMBER(F31), TRUE, FALSE), IF(AF32,AF32,AF30))</f>
        <v>1</v>
      </c>
      <c r="AG31" s="102" t="b">
        <f t="shared" ref="AG31:AG40" si="16">ISNUMBER(G31)</f>
        <v>1</v>
      </c>
      <c r="AH31" s="102" t="b">
        <f t="shared" ref="AH31:AH40" si="17">AC31&gt;0</f>
        <v>1</v>
      </c>
      <c r="AI31" s="102" t="b">
        <f t="shared" ref="AI31:AI40" si="18">AD31&gt;0</f>
        <v>1</v>
      </c>
      <c r="AJ31" s="102" t="b">
        <f t="shared" ref="AJ31:AJ40" si="19">IF(AG31,IF(G31&gt;0,TRUE,FALSE),FALSE)</f>
        <v>1</v>
      </c>
      <c r="AK31" s="18">
        <f t="shared" ref="AK31:AK40" si="20">IF(AND(AI31,AH31),6,0)</f>
        <v>6</v>
      </c>
      <c r="AL31" s="102" t="b">
        <f t="shared" ref="AL31:AL40" si="21">AND(AJ31,AI31,AH31,AF31,(AK31&gt;5.5),(AK31&lt;6.5))</f>
        <v>1</v>
      </c>
      <c r="AM31" s="18">
        <f t="shared" ref="AM31:AM40" si="22">IF(AL31,IF(AND(AL31,AB31),F31,F32),-1)</f>
        <v>90</v>
      </c>
      <c r="AN31" s="18" t="b">
        <f t="shared" ref="AN31:AN40" si="23">AND(AL31,AM31&gt;70)</f>
        <v>1</v>
      </c>
      <c r="AO31" s="18">
        <f t="shared" ref="AO31:AO40" si="24">IF($AS$31, IF($AN31, IF($AB31,$AU$33,$AW$33),IF($AB31,$AY$33,$BA$33)),0)</f>
        <v>0</v>
      </c>
      <c r="AP31" s="18">
        <f t="shared" ref="AP31:AP40" si="25">IF($AS$31, IF($AN31, IF($AB31,$AV$33,$AX$33),IF($AB31,$AZ$33,$BB$33)),0)</f>
        <v>0</v>
      </c>
      <c r="AQ31" s="18">
        <f t="shared" ref="AQ31:AQ40" si="26">G31+AO31</f>
        <v>9.56</v>
      </c>
      <c r="AR31" s="18">
        <f t="shared" ref="AR31:AR40" si="27">AE31+AP31*3600</f>
        <v>1734696000</v>
      </c>
      <c r="AS31" s="296" t="b">
        <f>ISNUMBER($AD$23)</f>
        <v>0</v>
      </c>
      <c r="AT31" s="296" t="e">
        <f>$AE$23</f>
        <v>#N/A</v>
      </c>
      <c r="AU31" s="282" t="s">
        <v>198</v>
      </c>
      <c r="AV31" s="282"/>
      <c r="AW31" s="282" t="s">
        <v>199</v>
      </c>
      <c r="AX31" s="282"/>
      <c r="AY31" s="282" t="s">
        <v>200</v>
      </c>
      <c r="AZ31" s="282"/>
      <c r="BA31" s="282" t="s">
        <v>201</v>
      </c>
      <c r="BB31" s="282"/>
    </row>
    <row r="32" spans="2:54" x14ac:dyDescent="0.2">
      <c r="C32" s="77" t="str">
        <f t="shared" ref="C32:C40" si="28">IF(C31=$AB$3,$AB$4,$AB$3)</f>
        <v>BM</v>
      </c>
      <c r="D32" s="95" t="s">
        <v>99</v>
      </c>
      <c r="E32" s="96" t="s">
        <v>194</v>
      </c>
      <c r="F32" s="97"/>
      <c r="G32" s="97">
        <v>5</v>
      </c>
      <c r="H32" s="98" t="str">
        <f t="shared" si="8"/>
        <v>Y</v>
      </c>
      <c r="I32" s="98" t="str">
        <f t="shared" si="9"/>
        <v>N</v>
      </c>
      <c r="J32" s="99">
        <f t="shared" si="10"/>
        <v>0</v>
      </c>
      <c r="K32" s="290" t="str" cm="1">
        <f t="array" ref="K32">IF(AL32,heureDecimal2Txt(AP32),NA())</f>
        <v>00:00:00.00(00.0000)</v>
      </c>
      <c r="L32" s="291"/>
      <c r="M32" s="64">
        <f t="shared" si="11"/>
        <v>5</v>
      </c>
      <c r="N32" s="188" t="str" cm="1">
        <f t="array" ref="N32">IF(AL32,dateEpoch2Txt(AR32),NA())</f>
        <v>2024/12/20 18:12</v>
      </c>
      <c r="O32" s="188"/>
      <c r="P32" s="100">
        <f t="shared" si="12"/>
        <v>481866.2</v>
      </c>
      <c r="Q32" s="101"/>
      <c r="T32" s="13"/>
      <c r="AB32" s="79" t="b">
        <f t="shared" si="13"/>
        <v>0</v>
      </c>
      <c r="AC32" s="79" cm="1">
        <f t="array" ref="AC32">IF(ISBLANK(D32),0,dateConvert2Decimal(D32))</f>
        <v>1734652800</v>
      </c>
      <c r="AD32" s="79" cm="1">
        <f t="array" ref="AD32">IF(ISBLANK(E32),0,heureConvert2Decimal(E32))*3600</f>
        <v>65520</v>
      </c>
      <c r="AE32" s="79">
        <f t="shared" si="14"/>
        <v>1734718320</v>
      </c>
      <c r="AF32" s="102" t="b">
        <f t="shared" si="15"/>
        <v>1</v>
      </c>
      <c r="AG32" s="102" t="b">
        <f t="shared" si="16"/>
        <v>1</v>
      </c>
      <c r="AH32" s="102" t="b">
        <f t="shared" si="17"/>
        <v>1</v>
      </c>
      <c r="AI32" s="102" t="b">
        <f t="shared" si="18"/>
        <v>1</v>
      </c>
      <c r="AJ32" s="102" t="b">
        <f t="shared" si="19"/>
        <v>1</v>
      </c>
      <c r="AK32" s="79">
        <f t="shared" si="20"/>
        <v>6</v>
      </c>
      <c r="AL32" s="102" t="b">
        <f t="shared" si="21"/>
        <v>1</v>
      </c>
      <c r="AM32" s="79">
        <f t="shared" si="22"/>
        <v>50</v>
      </c>
      <c r="AN32" s="79" t="b">
        <f t="shared" si="23"/>
        <v>0</v>
      </c>
      <c r="AO32" s="79">
        <f t="shared" si="24"/>
        <v>0</v>
      </c>
      <c r="AP32" s="79">
        <f t="shared" si="25"/>
        <v>0</v>
      </c>
      <c r="AQ32" s="79">
        <f t="shared" si="26"/>
        <v>5</v>
      </c>
      <c r="AR32" s="79">
        <f t="shared" si="27"/>
        <v>1734718320</v>
      </c>
      <c r="AS32" s="296"/>
      <c r="AT32" s="296"/>
      <c r="AU32" s="53">
        <v>3</v>
      </c>
      <c r="AV32" s="53">
        <v>4</v>
      </c>
      <c r="AW32" s="53">
        <v>5</v>
      </c>
      <c r="AX32" s="53">
        <v>6</v>
      </c>
      <c r="AY32" s="53">
        <v>7</v>
      </c>
      <c r="AZ32" s="53">
        <v>8</v>
      </c>
      <c r="BA32" s="53">
        <v>9</v>
      </c>
      <c r="BB32" s="53">
        <v>10</v>
      </c>
    </row>
    <row r="33" spans="2:59" x14ac:dyDescent="0.2">
      <c r="C33" s="77" t="str">
        <f t="shared" si="28"/>
        <v>PM</v>
      </c>
      <c r="D33" s="95" t="s">
        <v>100</v>
      </c>
      <c r="E33" s="103" t="s">
        <v>105</v>
      </c>
      <c r="F33" s="97">
        <v>50</v>
      </c>
      <c r="G33" s="97">
        <v>10.199999999999999</v>
      </c>
      <c r="H33" s="98" t="str">
        <f t="shared" si="8"/>
        <v>Y</v>
      </c>
      <c r="I33" s="98" t="str">
        <f t="shared" si="9"/>
        <v>N</v>
      </c>
      <c r="J33" s="99">
        <f t="shared" si="10"/>
        <v>0</v>
      </c>
      <c r="K33" s="290" t="str" cm="1">
        <f t="array" ref="K33">IF(AL33,heureDecimal2Txt(AP33),NA())</f>
        <v>00:00:00.00(00.0000)</v>
      </c>
      <c r="L33" s="291"/>
      <c r="M33" s="64">
        <f t="shared" si="11"/>
        <v>10.199999999999999</v>
      </c>
      <c r="N33" s="188" t="str" cm="1">
        <f t="array" ref="N33">IF(AL33,dateEpoch2Txt(AR33),NA())</f>
        <v>2024/12/21 00:12</v>
      </c>
      <c r="O33" s="188"/>
      <c r="P33" s="100">
        <f t="shared" si="12"/>
        <v>481872.2</v>
      </c>
      <c r="Q33" s="101"/>
      <c r="T33" s="13"/>
      <c r="AB33" s="79" t="b">
        <f t="shared" si="13"/>
        <v>1</v>
      </c>
      <c r="AC33" s="79" cm="1">
        <f t="array" ref="AC33">IF(ISBLANK(D33),0,dateConvert2Decimal(D33))</f>
        <v>1734739200</v>
      </c>
      <c r="AD33" s="79" cm="1">
        <f t="array" ref="AD33">IF(ISBLANK(E33),0,heureConvert2Decimal(E33))*3600</f>
        <v>720</v>
      </c>
      <c r="AE33" s="79">
        <f t="shared" si="14"/>
        <v>1734739920</v>
      </c>
      <c r="AF33" s="102" t="b">
        <f t="shared" si="15"/>
        <v>1</v>
      </c>
      <c r="AG33" s="102" t="b">
        <f t="shared" si="16"/>
        <v>1</v>
      </c>
      <c r="AH33" s="102" t="b">
        <f t="shared" si="17"/>
        <v>1</v>
      </c>
      <c r="AI33" s="102" t="b">
        <f t="shared" si="18"/>
        <v>1</v>
      </c>
      <c r="AJ33" s="102" t="b">
        <f t="shared" si="19"/>
        <v>1</v>
      </c>
      <c r="AK33" s="79">
        <f t="shared" si="20"/>
        <v>6</v>
      </c>
      <c r="AL33" s="102" t="b">
        <f t="shared" si="21"/>
        <v>1</v>
      </c>
      <c r="AM33" s="79">
        <f t="shared" si="22"/>
        <v>50</v>
      </c>
      <c r="AN33" s="79" t="b">
        <f t="shared" si="23"/>
        <v>0</v>
      </c>
      <c r="AO33" s="79">
        <f t="shared" si="24"/>
        <v>0</v>
      </c>
      <c r="AP33" s="79">
        <f t="shared" si="25"/>
        <v>0</v>
      </c>
      <c r="AQ33" s="79">
        <f t="shared" si="26"/>
        <v>10.199999999999999</v>
      </c>
      <c r="AR33" s="79">
        <f t="shared" si="27"/>
        <v>1734739920</v>
      </c>
      <c r="AS33" s="296"/>
      <c r="AT33" s="296"/>
      <c r="AU33" s="283" t="e">
        <f t="shared" ref="AU33:BB33" si="29">VLOOKUP($AT$31,$AF$12:$AO$21,AU32, FALSE)</f>
        <v>#N/A</v>
      </c>
      <c r="AV33" s="283" t="e">
        <f t="shared" si="29"/>
        <v>#N/A</v>
      </c>
      <c r="AW33" s="283" t="e">
        <f t="shared" si="29"/>
        <v>#N/A</v>
      </c>
      <c r="AX33" s="283" t="e">
        <f t="shared" si="29"/>
        <v>#N/A</v>
      </c>
      <c r="AY33" s="283" t="e">
        <f t="shared" si="29"/>
        <v>#N/A</v>
      </c>
      <c r="AZ33" s="283" t="e">
        <f t="shared" si="29"/>
        <v>#N/A</v>
      </c>
      <c r="BA33" s="283" t="e">
        <f t="shared" si="29"/>
        <v>#N/A</v>
      </c>
      <c r="BB33" s="283" t="e">
        <f t="shared" si="29"/>
        <v>#N/A</v>
      </c>
    </row>
    <row r="34" spans="2:59" x14ac:dyDescent="0.2">
      <c r="C34" s="77" t="str">
        <f t="shared" si="28"/>
        <v>BM</v>
      </c>
      <c r="D34" s="95" t="s">
        <v>100</v>
      </c>
      <c r="E34" s="103" t="s">
        <v>106</v>
      </c>
      <c r="F34" s="97"/>
      <c r="G34" s="97">
        <v>4.75</v>
      </c>
      <c r="H34" s="98" t="str">
        <f t="shared" si="8"/>
        <v>Y</v>
      </c>
      <c r="I34" s="98" t="str">
        <f t="shared" si="9"/>
        <v>Y</v>
      </c>
      <c r="J34" s="99">
        <f t="shared" si="10"/>
        <v>0</v>
      </c>
      <c r="K34" s="290" t="str" cm="1">
        <f t="array" ref="K34">IF(AL34,heureDecimal2Txt(AP34),NA())</f>
        <v>00:00:00.00(00.0000)</v>
      </c>
      <c r="L34" s="291"/>
      <c r="M34" s="64">
        <f t="shared" si="11"/>
        <v>4.75</v>
      </c>
      <c r="N34" s="188" t="str" cm="1">
        <f t="array" ref="N34">IF(AL34,dateEpoch2Txt(AR34),NA())</f>
        <v>2024/12/21 06:12</v>
      </c>
      <c r="O34" s="188"/>
      <c r="P34" s="100">
        <f t="shared" si="12"/>
        <v>481878.2</v>
      </c>
      <c r="Q34" s="101"/>
      <c r="T34" s="13"/>
      <c r="AB34" s="79" t="b">
        <f t="shared" si="13"/>
        <v>0</v>
      </c>
      <c r="AC34" s="79" cm="1">
        <f t="array" ref="AC34">IF(ISBLANK(D34),0,dateConvert2Decimal(D34))</f>
        <v>1734739200</v>
      </c>
      <c r="AD34" s="79" cm="1">
        <f t="array" ref="AD34">IF(ISBLANK(E34),0,heureConvert2Decimal(E34))*3600</f>
        <v>22320</v>
      </c>
      <c r="AE34" s="79">
        <f t="shared" si="14"/>
        <v>1734761520</v>
      </c>
      <c r="AF34" s="102" t="b">
        <f t="shared" si="15"/>
        <v>1</v>
      </c>
      <c r="AG34" s="102" t="b">
        <f t="shared" si="16"/>
        <v>1</v>
      </c>
      <c r="AH34" s="102" t="b">
        <f t="shared" si="17"/>
        <v>1</v>
      </c>
      <c r="AI34" s="102" t="b">
        <f t="shared" si="18"/>
        <v>1</v>
      </c>
      <c r="AJ34" s="102" t="b">
        <f t="shared" si="19"/>
        <v>1</v>
      </c>
      <c r="AK34" s="79">
        <f t="shared" si="20"/>
        <v>6</v>
      </c>
      <c r="AL34" s="102" t="b">
        <f t="shared" si="21"/>
        <v>1</v>
      </c>
      <c r="AM34" s="79">
        <f t="shared" si="22"/>
        <v>80</v>
      </c>
      <c r="AN34" s="79" t="b">
        <f t="shared" si="23"/>
        <v>1</v>
      </c>
      <c r="AO34" s="79">
        <f t="shared" si="24"/>
        <v>0</v>
      </c>
      <c r="AP34" s="79">
        <f t="shared" si="25"/>
        <v>0</v>
      </c>
      <c r="AQ34" s="79">
        <f t="shared" si="26"/>
        <v>4.75</v>
      </c>
      <c r="AR34" s="79">
        <f t="shared" si="27"/>
        <v>1734761520</v>
      </c>
      <c r="AS34" s="296"/>
      <c r="AT34" s="296"/>
      <c r="AU34" s="283"/>
      <c r="AV34" s="283"/>
      <c r="AW34" s="283"/>
      <c r="AX34" s="283"/>
      <c r="AY34" s="283"/>
      <c r="AZ34" s="283"/>
      <c r="BA34" s="283"/>
      <c r="BB34" s="283"/>
    </row>
    <row r="35" spans="2:59" x14ac:dyDescent="0.2">
      <c r="C35" s="77" t="str">
        <f t="shared" si="28"/>
        <v>PM</v>
      </c>
      <c r="D35" s="95" t="str">
        <f>D34</f>
        <v>2024/12/21</v>
      </c>
      <c r="E35" s="103" t="s">
        <v>114</v>
      </c>
      <c r="F35" s="97">
        <v>80</v>
      </c>
      <c r="G35" s="97">
        <v>9.7200000000000006</v>
      </c>
      <c r="H35" s="98" t="str">
        <f t="shared" si="8"/>
        <v>Y</v>
      </c>
      <c r="I35" s="98" t="str">
        <f t="shared" si="9"/>
        <v>Y</v>
      </c>
      <c r="J35" s="99">
        <f t="shared" si="10"/>
        <v>0</v>
      </c>
      <c r="K35" s="290" t="str" cm="1">
        <f t="array" ref="K35">IF(AL35,heureDecimal2Txt(AP35),NA())</f>
        <v>00:00:00.00(00.0000)</v>
      </c>
      <c r="L35" s="291"/>
      <c r="M35" s="64">
        <f t="shared" si="11"/>
        <v>9.7200000000000006</v>
      </c>
      <c r="N35" s="188" t="str" cm="1">
        <f t="array" ref="N35">IF(AL35,dateEpoch2Txt(AR35),NA())</f>
        <v>2024/12/21 12:24</v>
      </c>
      <c r="O35" s="188"/>
      <c r="P35" s="100">
        <f t="shared" si="12"/>
        <v>481884.4</v>
      </c>
      <c r="Q35" s="101"/>
      <c r="T35" s="13"/>
      <c r="AB35" s="79" t="b">
        <f t="shared" si="13"/>
        <v>1</v>
      </c>
      <c r="AC35" s="79" cm="1">
        <f t="array" ref="AC35">IF(ISBLANK(D35),0,dateConvert2Decimal(D35))</f>
        <v>1734739200</v>
      </c>
      <c r="AD35" s="79" cm="1">
        <f t="array" ref="AD35">IF(ISBLANK(E35),0,heureConvert2Decimal(E35))*3600</f>
        <v>44640</v>
      </c>
      <c r="AE35" s="79">
        <f t="shared" si="14"/>
        <v>1734783840</v>
      </c>
      <c r="AF35" s="102" t="b">
        <f t="shared" si="15"/>
        <v>1</v>
      </c>
      <c r="AG35" s="102" t="b">
        <f t="shared" si="16"/>
        <v>1</v>
      </c>
      <c r="AH35" s="102" t="b">
        <f t="shared" si="17"/>
        <v>1</v>
      </c>
      <c r="AI35" s="102" t="b">
        <f t="shared" si="18"/>
        <v>1</v>
      </c>
      <c r="AJ35" s="102" t="b">
        <f t="shared" si="19"/>
        <v>1</v>
      </c>
      <c r="AK35" s="79">
        <f t="shared" si="20"/>
        <v>6</v>
      </c>
      <c r="AL35" s="102" t="b">
        <f t="shared" si="21"/>
        <v>1</v>
      </c>
      <c r="AM35" s="79">
        <f t="shared" si="22"/>
        <v>80</v>
      </c>
      <c r="AN35" s="79" t="b">
        <f t="shared" si="23"/>
        <v>1</v>
      </c>
      <c r="AO35" s="79">
        <f t="shared" si="24"/>
        <v>0</v>
      </c>
      <c r="AP35" s="79">
        <f t="shared" si="25"/>
        <v>0</v>
      </c>
      <c r="AQ35" s="79">
        <f t="shared" si="26"/>
        <v>9.7200000000000006</v>
      </c>
      <c r="AR35" s="79">
        <f t="shared" si="27"/>
        <v>1734783840</v>
      </c>
      <c r="AS35" s="296"/>
      <c r="AT35" s="296"/>
      <c r="AU35" s="283"/>
      <c r="AV35" s="283"/>
      <c r="AW35" s="283"/>
      <c r="AX35" s="283"/>
      <c r="AY35" s="283"/>
      <c r="AZ35" s="283"/>
      <c r="BA35" s="283"/>
      <c r="BB35" s="283"/>
    </row>
    <row r="36" spans="2:59" x14ac:dyDescent="0.2">
      <c r="C36" s="77" t="str">
        <f t="shared" si="28"/>
        <v>BM</v>
      </c>
      <c r="D36" s="95" t="s">
        <v>100</v>
      </c>
      <c r="E36" s="103" t="s">
        <v>194</v>
      </c>
      <c r="F36" s="97"/>
      <c r="G36" s="97">
        <v>4.75</v>
      </c>
      <c r="H36" s="98" t="str">
        <f t="shared" si="8"/>
        <v>Y</v>
      </c>
      <c r="I36" s="98" t="str">
        <f t="shared" si="9"/>
        <v>Y</v>
      </c>
      <c r="J36" s="99">
        <f t="shared" si="10"/>
        <v>0</v>
      </c>
      <c r="K36" s="290" t="str" cm="1">
        <f t="array" ref="K36">IF(AL36,heureDecimal2Txt(AP36),NA())</f>
        <v>00:00:00.00(00.0000)</v>
      </c>
      <c r="L36" s="291"/>
      <c r="M36" s="64">
        <f t="shared" si="11"/>
        <v>4.75</v>
      </c>
      <c r="N36" s="188" t="str" cm="1">
        <f t="array" ref="N36">IF(AL36,dateEpoch2Txt(AR36),NA())</f>
        <v>2024/12/21 18:12</v>
      </c>
      <c r="O36" s="188"/>
      <c r="P36" s="100">
        <f t="shared" si="12"/>
        <v>481890.2</v>
      </c>
      <c r="Q36" s="101"/>
      <c r="T36" s="13"/>
      <c r="AB36" s="79" t="b">
        <f t="shared" si="13"/>
        <v>0</v>
      </c>
      <c r="AC36" s="79" cm="1">
        <f t="array" ref="AC36">IF(ISBLANK(D36),0,dateConvert2Decimal(D36))</f>
        <v>1734739200</v>
      </c>
      <c r="AD36" s="79" cm="1">
        <f t="array" ref="AD36">IF(ISBLANK(E36),0,heureConvert2Decimal(E36))*3600</f>
        <v>65520</v>
      </c>
      <c r="AE36" s="79">
        <f t="shared" si="14"/>
        <v>1734804720</v>
      </c>
      <c r="AF36" s="102" t="b">
        <f t="shared" si="15"/>
        <v>1</v>
      </c>
      <c r="AG36" s="102" t="b">
        <f t="shared" si="16"/>
        <v>1</v>
      </c>
      <c r="AH36" s="102" t="b">
        <f t="shared" si="17"/>
        <v>1</v>
      </c>
      <c r="AI36" s="102" t="b">
        <f t="shared" si="18"/>
        <v>1</v>
      </c>
      <c r="AJ36" s="102" t="b">
        <f t="shared" si="19"/>
        <v>1</v>
      </c>
      <c r="AK36" s="79">
        <f t="shared" si="20"/>
        <v>6</v>
      </c>
      <c r="AL36" s="102" t="b">
        <f t="shared" si="21"/>
        <v>1</v>
      </c>
      <c r="AM36" s="79">
        <f t="shared" si="22"/>
        <v>80</v>
      </c>
      <c r="AN36" s="79" t="b">
        <f t="shared" si="23"/>
        <v>1</v>
      </c>
      <c r="AO36" s="79">
        <f t="shared" si="24"/>
        <v>0</v>
      </c>
      <c r="AP36" s="79">
        <f t="shared" si="25"/>
        <v>0</v>
      </c>
      <c r="AQ36" s="79">
        <f t="shared" si="26"/>
        <v>4.75</v>
      </c>
      <c r="AR36" s="79">
        <f t="shared" si="27"/>
        <v>1734804720</v>
      </c>
      <c r="AS36" s="296"/>
      <c r="AT36" s="296"/>
      <c r="AU36" s="283"/>
      <c r="AV36" s="283"/>
      <c r="AW36" s="283"/>
      <c r="AX36" s="283"/>
      <c r="AY36" s="283"/>
      <c r="AZ36" s="283"/>
      <c r="BA36" s="283"/>
      <c r="BB36" s="283"/>
    </row>
    <row r="37" spans="2:59" x14ac:dyDescent="0.2">
      <c r="C37" s="77" t="str">
        <f t="shared" si="28"/>
        <v>PM</v>
      </c>
      <c r="D37" s="95" t="s">
        <v>215</v>
      </c>
      <c r="E37" s="103" t="s">
        <v>216</v>
      </c>
      <c r="F37" s="97">
        <v>80</v>
      </c>
      <c r="G37" s="97">
        <v>9.7200000000000006</v>
      </c>
      <c r="H37" s="98" t="str">
        <f t="shared" si="8"/>
        <v>Y</v>
      </c>
      <c r="I37" s="98" t="str">
        <f t="shared" si="9"/>
        <v>Y</v>
      </c>
      <c r="J37" s="99">
        <f t="shared" si="10"/>
        <v>0</v>
      </c>
      <c r="K37" s="290" t="str" cm="1">
        <f t="array" ref="K37">IF(AL37,heureDecimal2Txt(AP37),NA())</f>
        <v>00:00:00.00(00.0000)</v>
      </c>
      <c r="L37" s="291"/>
      <c r="M37" s="64">
        <f t="shared" si="11"/>
        <v>9.7200000000000006</v>
      </c>
      <c r="N37" s="188" t="str" cm="1">
        <f t="array" ref="N37">IF(AL37,dateEpoch2Txt(AR37),NA())</f>
        <v>2024/12/22 00:01</v>
      </c>
      <c r="O37" s="188"/>
      <c r="P37" s="100">
        <f t="shared" si="12"/>
        <v>481896.01666666666</v>
      </c>
      <c r="Q37" s="101"/>
      <c r="T37" s="13"/>
      <c r="AB37" s="79" t="b">
        <f t="shared" si="13"/>
        <v>1</v>
      </c>
      <c r="AC37" s="79" cm="1">
        <f t="array" ref="AC37">IF(ISBLANK(D37),0,dateConvert2Decimal(D37))</f>
        <v>1734825600</v>
      </c>
      <c r="AD37" s="79" cm="1">
        <f t="array" ref="AD37">IF(ISBLANK(E37),0,heureConvert2Decimal(E37))*3600</f>
        <v>60</v>
      </c>
      <c r="AE37" s="79">
        <f t="shared" si="14"/>
        <v>1734825660</v>
      </c>
      <c r="AF37" s="102" t="b">
        <f t="shared" si="15"/>
        <v>1</v>
      </c>
      <c r="AG37" s="102" t="b">
        <f t="shared" si="16"/>
        <v>1</v>
      </c>
      <c r="AH37" s="102" t="b">
        <f t="shared" si="17"/>
        <v>1</v>
      </c>
      <c r="AI37" s="102" t="b">
        <f t="shared" si="18"/>
        <v>1</v>
      </c>
      <c r="AJ37" s="102" t="b">
        <f t="shared" si="19"/>
        <v>1</v>
      </c>
      <c r="AK37" s="79">
        <f t="shared" si="20"/>
        <v>6</v>
      </c>
      <c r="AL37" s="102" t="b">
        <f t="shared" si="21"/>
        <v>1</v>
      </c>
      <c r="AM37" s="79">
        <f t="shared" si="22"/>
        <v>80</v>
      </c>
      <c r="AN37" s="79" t="b">
        <f t="shared" si="23"/>
        <v>1</v>
      </c>
      <c r="AO37" s="79">
        <f t="shared" si="24"/>
        <v>0</v>
      </c>
      <c r="AP37" s="79">
        <f t="shared" si="25"/>
        <v>0</v>
      </c>
      <c r="AQ37" s="79">
        <f t="shared" si="26"/>
        <v>9.7200000000000006</v>
      </c>
      <c r="AR37" s="79">
        <f t="shared" si="27"/>
        <v>1734825660</v>
      </c>
      <c r="AS37" s="296"/>
      <c r="AT37" s="296"/>
      <c r="AU37" s="283"/>
      <c r="AV37" s="283"/>
      <c r="AW37" s="283"/>
      <c r="AX37" s="283"/>
      <c r="AY37" s="283"/>
      <c r="AZ37" s="283"/>
      <c r="BA37" s="283"/>
      <c r="BB37" s="283"/>
    </row>
    <row r="38" spans="2:59" x14ac:dyDescent="0.2">
      <c r="C38" s="77" t="str">
        <f t="shared" si="28"/>
        <v>BM</v>
      </c>
      <c r="D38" s="96"/>
      <c r="E38" s="103"/>
      <c r="F38" s="97"/>
      <c r="G38" s="97"/>
      <c r="H38" s="98" t="str">
        <f t="shared" si="8"/>
        <v>N</v>
      </c>
      <c r="I38" s="98" t="str">
        <f t="shared" si="9"/>
        <v>N</v>
      </c>
      <c r="J38" s="99" t="e">
        <f t="shared" si="10"/>
        <v>#N/A</v>
      </c>
      <c r="K38" s="290" t="e" cm="1">
        <f t="array" ref="K38">IF(AL38,heureDecimal2Txt(AP38),NA())</f>
        <v>#N/A</v>
      </c>
      <c r="L38" s="291"/>
      <c r="M38" s="64" t="e">
        <f t="shared" si="11"/>
        <v>#N/A</v>
      </c>
      <c r="N38" s="188" t="e" cm="1">
        <f t="array" ref="N38">IF(AL38,dateEpoch2Txt(AR38),NA())</f>
        <v>#N/A</v>
      </c>
      <c r="O38" s="188"/>
      <c r="P38" s="100" t="e">
        <f t="shared" si="12"/>
        <v>#N/A</v>
      </c>
      <c r="Q38" s="101"/>
      <c r="T38" s="13"/>
      <c r="AB38" s="79" t="b">
        <f t="shared" si="13"/>
        <v>0</v>
      </c>
      <c r="AC38" s="79" cm="1">
        <f t="array" ref="AC38">IF(ISBLANK(D38),0,dateConvert2Decimal(D38))</f>
        <v>0</v>
      </c>
      <c r="AD38" s="79" cm="1">
        <f t="array" ref="AD38">IF(ISBLANK(E38),0,heureConvert2Decimal(E38))*3600</f>
        <v>0</v>
      </c>
      <c r="AE38" s="79">
        <f t="shared" si="14"/>
        <v>0</v>
      </c>
      <c r="AF38" s="102" t="b">
        <f t="shared" si="15"/>
        <v>1</v>
      </c>
      <c r="AG38" s="102" t="b">
        <f t="shared" si="16"/>
        <v>0</v>
      </c>
      <c r="AH38" s="102" t="b">
        <f t="shared" si="17"/>
        <v>0</v>
      </c>
      <c r="AI38" s="102" t="b">
        <f t="shared" si="18"/>
        <v>0</v>
      </c>
      <c r="AJ38" s="102" t="b">
        <f t="shared" si="19"/>
        <v>0</v>
      </c>
      <c r="AK38" s="79">
        <f t="shared" si="20"/>
        <v>0</v>
      </c>
      <c r="AL38" s="102" t="b">
        <f t="shared" si="21"/>
        <v>0</v>
      </c>
      <c r="AM38" s="79">
        <f t="shared" si="22"/>
        <v>-1</v>
      </c>
      <c r="AN38" s="79" t="b">
        <f t="shared" si="23"/>
        <v>0</v>
      </c>
      <c r="AO38" s="79">
        <f t="shared" si="24"/>
        <v>0</v>
      </c>
      <c r="AP38" s="79">
        <f t="shared" si="25"/>
        <v>0</v>
      </c>
      <c r="AQ38" s="79">
        <f t="shared" si="26"/>
        <v>0</v>
      </c>
      <c r="AR38" s="79">
        <f t="shared" si="27"/>
        <v>0</v>
      </c>
      <c r="AS38" s="296"/>
      <c r="AT38" s="296"/>
      <c r="AU38" s="283"/>
      <c r="AV38" s="283"/>
      <c r="AW38" s="283"/>
      <c r="AX38" s="283"/>
      <c r="AY38" s="283"/>
      <c r="AZ38" s="283"/>
      <c r="BA38" s="283"/>
      <c r="BB38" s="283"/>
    </row>
    <row r="39" spans="2:59" x14ac:dyDescent="0.2">
      <c r="C39" s="77" t="str">
        <f t="shared" si="28"/>
        <v>PM</v>
      </c>
      <c r="D39" s="96"/>
      <c r="E39" s="103"/>
      <c r="F39" s="97"/>
      <c r="G39" s="97"/>
      <c r="H39" s="98" t="str">
        <f t="shared" si="8"/>
        <v>N</v>
      </c>
      <c r="I39" s="98" t="str">
        <f t="shared" si="9"/>
        <v>N</v>
      </c>
      <c r="J39" s="99" t="e">
        <f t="shared" si="10"/>
        <v>#N/A</v>
      </c>
      <c r="K39" s="290" t="e" cm="1">
        <f t="array" ref="K39">IF(AL39,heureDecimal2Txt(AP39),NA())</f>
        <v>#N/A</v>
      </c>
      <c r="L39" s="291"/>
      <c r="M39" s="64" t="e">
        <f t="shared" si="11"/>
        <v>#N/A</v>
      </c>
      <c r="N39" s="188" t="e" cm="1">
        <f t="array" ref="N39">IF(AL39,dateEpoch2Txt(AR39),NA())</f>
        <v>#N/A</v>
      </c>
      <c r="O39" s="188"/>
      <c r="P39" s="100" t="e">
        <f t="shared" si="12"/>
        <v>#N/A</v>
      </c>
      <c r="Q39" s="101"/>
      <c r="T39" s="13"/>
      <c r="AB39" s="79" t="b">
        <f t="shared" si="13"/>
        <v>1</v>
      </c>
      <c r="AC39" s="79" cm="1">
        <f t="array" ref="AC39">IF(ISBLANK(D39),0,dateConvert2Decimal(D39))</f>
        <v>0</v>
      </c>
      <c r="AD39" s="79" cm="1">
        <f t="array" ref="AD39">IF(ISBLANK(E39),0,heureConvert2Decimal(E39))*3600</f>
        <v>0</v>
      </c>
      <c r="AE39" s="79">
        <f t="shared" si="14"/>
        <v>0</v>
      </c>
      <c r="AF39" s="102" t="b">
        <f t="shared" si="15"/>
        <v>0</v>
      </c>
      <c r="AG39" s="102" t="b">
        <f t="shared" si="16"/>
        <v>0</v>
      </c>
      <c r="AH39" s="102" t="b">
        <f t="shared" si="17"/>
        <v>0</v>
      </c>
      <c r="AI39" s="102" t="b">
        <f t="shared" si="18"/>
        <v>0</v>
      </c>
      <c r="AJ39" s="102" t="b">
        <f t="shared" si="19"/>
        <v>0</v>
      </c>
      <c r="AK39" s="79">
        <f t="shared" si="20"/>
        <v>0</v>
      </c>
      <c r="AL39" s="102" t="b">
        <f t="shared" si="21"/>
        <v>0</v>
      </c>
      <c r="AM39" s="79">
        <f t="shared" si="22"/>
        <v>-1</v>
      </c>
      <c r="AN39" s="79" t="b">
        <f t="shared" si="23"/>
        <v>0</v>
      </c>
      <c r="AO39" s="79">
        <f t="shared" si="24"/>
        <v>0</v>
      </c>
      <c r="AP39" s="79">
        <f t="shared" si="25"/>
        <v>0</v>
      </c>
      <c r="AQ39" s="79">
        <f t="shared" si="26"/>
        <v>0</v>
      </c>
      <c r="AR39" s="79">
        <f t="shared" si="27"/>
        <v>0</v>
      </c>
      <c r="AS39" s="296"/>
      <c r="AT39" s="296"/>
      <c r="AU39" s="283"/>
      <c r="AV39" s="283"/>
      <c r="AW39" s="283"/>
      <c r="AX39" s="283"/>
      <c r="AY39" s="283"/>
      <c r="AZ39" s="283"/>
      <c r="BA39" s="283"/>
      <c r="BB39" s="283"/>
    </row>
    <row r="40" spans="2:59" x14ac:dyDescent="0.2">
      <c r="B40" s="85" t="s">
        <v>90</v>
      </c>
      <c r="C40" s="77" t="str">
        <f t="shared" si="28"/>
        <v>BM</v>
      </c>
      <c r="D40" s="96"/>
      <c r="E40" s="103"/>
      <c r="F40" s="97"/>
      <c r="G40" s="97"/>
      <c r="H40" s="98" t="str">
        <f t="shared" si="8"/>
        <v>N</v>
      </c>
      <c r="I40" s="98" t="str">
        <f t="shared" si="9"/>
        <v>N</v>
      </c>
      <c r="J40" s="99" t="e">
        <f t="shared" si="10"/>
        <v>#N/A</v>
      </c>
      <c r="K40" s="290" t="e" cm="1">
        <f t="array" ref="K40">IF(AL40,heureDecimal2Txt(AP40),NA())</f>
        <v>#N/A</v>
      </c>
      <c r="L40" s="291"/>
      <c r="M40" s="64" t="e">
        <f t="shared" si="11"/>
        <v>#N/A</v>
      </c>
      <c r="N40" s="188" t="e" cm="1">
        <f t="array" ref="N40">IF(AL40,dateEpoch2Txt(AR40),NA())</f>
        <v>#N/A</v>
      </c>
      <c r="O40" s="188"/>
      <c r="P40" s="100" t="e">
        <f t="shared" si="12"/>
        <v>#N/A</v>
      </c>
      <c r="Q40" s="101"/>
      <c r="T40" s="13"/>
      <c r="AB40" s="79" t="b">
        <f t="shared" si="13"/>
        <v>0</v>
      </c>
      <c r="AC40" s="79" cm="1">
        <f t="array" ref="AC40">IF(ISBLANK(D40),0,dateConvert2Decimal(D40))</f>
        <v>0</v>
      </c>
      <c r="AD40" s="79" cm="1">
        <f t="array" ref="AD40">IF(ISBLANK(E40),0,heureConvert2Decimal(E40))*3600</f>
        <v>0</v>
      </c>
      <c r="AE40" s="79">
        <f t="shared" si="14"/>
        <v>0</v>
      </c>
      <c r="AF40" s="102" t="b">
        <f t="shared" si="15"/>
        <v>0</v>
      </c>
      <c r="AG40" s="102" t="b">
        <f t="shared" si="16"/>
        <v>0</v>
      </c>
      <c r="AH40" s="102" t="b">
        <f t="shared" si="17"/>
        <v>0</v>
      </c>
      <c r="AI40" s="102" t="b">
        <f t="shared" si="18"/>
        <v>0</v>
      </c>
      <c r="AJ40" s="102" t="b">
        <f t="shared" si="19"/>
        <v>0</v>
      </c>
      <c r="AK40" s="79">
        <f t="shared" si="20"/>
        <v>0</v>
      </c>
      <c r="AL40" s="102" t="b">
        <f t="shared" si="21"/>
        <v>0</v>
      </c>
      <c r="AM40" s="79">
        <f t="shared" si="22"/>
        <v>-1</v>
      </c>
      <c r="AN40" s="79" t="b">
        <f t="shared" si="23"/>
        <v>0</v>
      </c>
      <c r="AO40" s="79">
        <f t="shared" si="24"/>
        <v>0</v>
      </c>
      <c r="AP40" s="79">
        <f t="shared" si="25"/>
        <v>0</v>
      </c>
      <c r="AQ40" s="79">
        <f t="shared" si="26"/>
        <v>0</v>
      </c>
      <c r="AR40" s="79">
        <f t="shared" si="27"/>
        <v>0</v>
      </c>
      <c r="AS40" s="296"/>
      <c r="AT40" s="296"/>
      <c r="AU40" s="283"/>
      <c r="AV40" s="283"/>
      <c r="AW40" s="283"/>
      <c r="AX40" s="283"/>
      <c r="AY40" s="283"/>
      <c r="AZ40" s="283"/>
      <c r="BA40" s="283"/>
      <c r="BB40" s="283"/>
    </row>
    <row r="41" spans="2:59" x14ac:dyDescent="0.2">
      <c r="P41" s="18"/>
      <c r="Q41" s="18"/>
      <c r="X41" s="13"/>
      <c r="Y41" s="284"/>
      <c r="Z41" s="284"/>
      <c r="AA41" s="284"/>
    </row>
    <row r="42" spans="2:59" ht="13.5" thickBot="1" x14ac:dyDescent="0.25">
      <c r="P42" s="18"/>
      <c r="Q42" s="18"/>
      <c r="X42" s="13"/>
      <c r="Y42" s="284"/>
      <c r="Z42" s="284"/>
      <c r="AA42" s="284"/>
    </row>
    <row r="43" spans="2:59" ht="15.75" customHeight="1" thickBot="1" x14ac:dyDescent="0.25">
      <c r="B43" s="325" t="s">
        <v>211</v>
      </c>
      <c r="C43" s="326"/>
      <c r="D43" s="326"/>
      <c r="E43" s="326"/>
      <c r="F43" s="326"/>
      <c r="G43" s="326"/>
      <c r="H43" s="326"/>
      <c r="I43" s="326"/>
      <c r="J43" s="326"/>
      <c r="K43" s="326"/>
      <c r="L43" s="326"/>
      <c r="M43" s="326"/>
      <c r="N43" s="326"/>
      <c r="O43" s="326"/>
      <c r="P43" s="326"/>
      <c r="Q43" s="326"/>
      <c r="R43" s="326"/>
      <c r="S43" s="326"/>
      <c r="T43" s="326"/>
      <c r="U43" s="326"/>
      <c r="V43" s="326"/>
      <c r="W43" s="326"/>
      <c r="X43" s="326"/>
      <c r="Y43" s="326"/>
      <c r="Z43" s="326"/>
    </row>
    <row r="44" spans="2:59" x14ac:dyDescent="0.2">
      <c r="C44" s="297" t="s">
        <v>109</v>
      </c>
      <c r="D44" s="298"/>
      <c r="E44" s="298"/>
      <c r="F44" s="299"/>
    </row>
    <row r="45" spans="2:59" x14ac:dyDescent="0.2">
      <c r="C45" s="18" t="s">
        <v>107</v>
      </c>
      <c r="D45" s="18">
        <v>5</v>
      </c>
      <c r="E45" s="18" t="s">
        <v>65</v>
      </c>
    </row>
    <row r="46" spans="2:59" x14ac:dyDescent="0.2">
      <c r="C46" s="18" t="s">
        <v>110</v>
      </c>
      <c r="D46" s="106" t="s">
        <v>214</v>
      </c>
      <c r="E46" s="18" cm="1">
        <f t="array" ref="E46">heureConvert2Decimal(D46)</f>
        <v>17</v>
      </c>
    </row>
    <row r="48" spans="2:59" ht="15" x14ac:dyDescent="0.25">
      <c r="D48" s="301" t="s">
        <v>111</v>
      </c>
      <c r="E48" s="301"/>
      <c r="F48" s="301"/>
      <c r="G48"/>
      <c r="AB48"/>
      <c r="AD48" s="10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4:59" ht="15" customHeight="1" x14ac:dyDescent="0.25">
      <c r="D49" s="282" t="s">
        <v>6</v>
      </c>
      <c r="E49" s="282"/>
      <c r="F49" s="117" t="s">
        <v>64</v>
      </c>
      <c r="G49" s="317" t="str">
        <f>CONCATENATE("Heure passage a la hauteur:",D45,"m")</f>
        <v>Heure passage a la hauteur:5m</v>
      </c>
      <c r="H49" s="318"/>
      <c r="I49" s="107"/>
      <c r="J49" s="114" t="str">
        <f>CONCATENATE("Hauteur a heure de passage :", D46)</f>
        <v>Hauteur a heure de passage :17:00:00</v>
      </c>
      <c r="K49" s="114"/>
      <c r="AB49"/>
      <c r="AC49" s="111" t="s">
        <v>213</v>
      </c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4:59" ht="15" customHeight="1" x14ac:dyDescent="0.25">
      <c r="D50" s="118" t="str">
        <f>N31</f>
        <v>2024/12/20 12:00</v>
      </c>
      <c r="E50" s="118"/>
      <c r="F50" s="119">
        <f>M31</f>
        <v>9.56</v>
      </c>
      <c r="G50" s="317"/>
      <c r="H50" s="318"/>
      <c r="I50" s="115" t="s">
        <v>112</v>
      </c>
      <c r="J50" s="319" t="s">
        <v>0</v>
      </c>
      <c r="K50" s="320"/>
      <c r="AB50"/>
      <c r="AC50" s="112">
        <f>P31</f>
        <v>481860</v>
      </c>
      <c r="AE50" s="121" t="s">
        <v>0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4:59" ht="15" customHeight="1" x14ac:dyDescent="0.25">
      <c r="D51" s="279" t="s">
        <v>217</v>
      </c>
      <c r="E51" s="280"/>
      <c r="F51" s="280"/>
      <c r="G51" s="313" t="str" cm="1">
        <f t="array" ref="G51">IF(AD51&lt;0,"Pas de solution",dateEpoch2Txt(AD51*3600))</f>
        <v>2024/12/20 18:12</v>
      </c>
      <c r="H51" s="314"/>
      <c r="I51" s="31" cm="1">
        <f t="array" ref="I51">IF(OR(ISNA(AC50),ISNA(AC52)),-1,mareeHauteurAHeureDoneeDuJour($E$46,AC50,F50,AC52,F52))</f>
        <v>5.5025806451681953</v>
      </c>
      <c r="J51" s="321" t="str" cm="1">
        <f t="array" ref="J51">IF(AE51&lt;0,"Pas de solution",dateEpoch2Txt( AE51*3600))</f>
        <v>2024/12/20 17:00</v>
      </c>
      <c r="K51" s="321"/>
      <c r="AB51"/>
      <c r="AD51" s="113" cm="1">
        <f t="array" ref="AD51">IF(OR(ISNA(AC50),ISNA(AC52)),-1,mareeHeureAHauteurDonee($D$45,AC50,F50,AC52,F52))</f>
        <v>481866.2</v>
      </c>
      <c r="AE51" s="122" cm="1">
        <f t="array" ref="AE51">IF(OR(ISNA(AC50),ISNA(AC52),(I51&lt;0)),-1,mareeHeureAHauteurDonee(I51,AC50,F50,AC52,F52))</f>
        <v>481865</v>
      </c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4:59" ht="15" x14ac:dyDescent="0.25">
      <c r="D52" s="118" t="str">
        <f>N32</f>
        <v>2024/12/20 18:12</v>
      </c>
      <c r="E52" s="118"/>
      <c r="F52" s="119">
        <f>M32</f>
        <v>5</v>
      </c>
      <c r="G52" s="311"/>
      <c r="H52" s="312"/>
      <c r="I52" s="312"/>
      <c r="J52" s="312"/>
      <c r="K52" s="327"/>
      <c r="AB52"/>
      <c r="AC52" s="112">
        <f>P32</f>
        <v>481866.2</v>
      </c>
      <c r="AE52" s="123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4:59" ht="15" customHeight="1" x14ac:dyDescent="0.25">
      <c r="D53" s="279" t="s">
        <v>217</v>
      </c>
      <c r="E53" s="280"/>
      <c r="F53" s="280"/>
      <c r="G53" s="315" t="str" cm="1">
        <f t="array" ref="G53">IF(AD53&lt;0,"Pas de solution",dateEpoch2Txt(AD53*3600))</f>
        <v>2024/12/20 18:12</v>
      </c>
      <c r="H53" s="316"/>
      <c r="I53" s="116" cm="1">
        <f t="array" ref="I53">IF(OR(ISNA(AC52),ISNA(AC54)),-1,mareeHauteurAHeureDoneeDuJour($E$46,AC52,F52,AC54,F54))</f>
        <v>-1</v>
      </c>
      <c r="J53" s="322" t="str" cm="1">
        <f t="array" ref="J53">IF(AE53&lt;0,"Pas de solution",dateEpoch2Txt( AE53*3600))</f>
        <v>Pas de solution</v>
      </c>
      <c r="K53" s="322"/>
      <c r="AB53"/>
      <c r="AD53" s="113" cm="1">
        <f t="array" ref="AD53">IF(OR(ISNA(AC52),ISNA(AC54)),-1,mareeHeureAHauteurDonee($D$45,AC52,F52,AC54,F54))</f>
        <v>481866.2</v>
      </c>
      <c r="AE53" s="122" cm="1">
        <f t="array" ref="AE53">IF(OR(ISNA(AC52),ISNA(AC54),(I53&lt;0)),-1,mareeHeureAHauteurDonee(I53,AC52,F52,AC54,F54))</f>
        <v>-1</v>
      </c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4:59" ht="15" x14ac:dyDescent="0.25">
      <c r="D54" s="118" t="str">
        <f>N33</f>
        <v>2024/12/21 00:12</v>
      </c>
      <c r="E54" s="118"/>
      <c r="F54" s="119">
        <f>M33</f>
        <v>10.199999999999999</v>
      </c>
      <c r="G54" s="308"/>
      <c r="H54" s="308"/>
      <c r="I54" s="308"/>
      <c r="J54" s="308"/>
      <c r="K54" s="308"/>
      <c r="AB54"/>
      <c r="AC54" s="112">
        <f>P33</f>
        <v>481872.2</v>
      </c>
      <c r="AE54" s="123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4:59" ht="15" customHeight="1" x14ac:dyDescent="0.25">
      <c r="D55" s="279" t="s">
        <v>217</v>
      </c>
      <c r="E55" s="280"/>
      <c r="F55" s="280"/>
      <c r="G55" s="309" t="str" cm="1">
        <f t="array" ref="G55">IF(AD55&lt;0,"Pas de solution",dateEpoch2Txt(AD55*3600))</f>
        <v>2024/12/21 05:38</v>
      </c>
      <c r="H55" s="310"/>
      <c r="I55" s="21" cm="1">
        <f t="array" ref="I55">IF(OR(ISNA(AC54),ISNA(AC56)),-1,mareeHauteurAHeureDoneeDuJour($E$46,AC54,F54,AC56,F56))</f>
        <v>-1</v>
      </c>
      <c r="J55" s="282" t="str" cm="1">
        <f t="array" ref="J55">IF(AE55&lt;0,"Pas de solution",dateEpoch2Txt( AE55*3600))</f>
        <v>Pas de solution</v>
      </c>
      <c r="K55" s="282"/>
      <c r="AB55"/>
      <c r="AD55" s="113" cm="1">
        <f t="array" ref="AD55">IF(OR(ISNA(AC54),ISNA(AC56)),-1,mareeHeureAHauteurDonee($D$45,AC54,F54,AC56,F56))</f>
        <v>481877.64954128442</v>
      </c>
      <c r="AE55" s="122" cm="1">
        <f t="array" ref="AE55">IF(OR(ISNA(AC54),ISNA(AC56),(I55&lt;0)),-1,mareeHeureAHauteurDonee(I55,AC54,F54,AC56,F56))</f>
        <v>-1</v>
      </c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4:59" ht="15" x14ac:dyDescent="0.25">
      <c r="D56" s="118" t="str">
        <f>N34</f>
        <v>2024/12/21 06:12</v>
      </c>
      <c r="E56" s="118"/>
      <c r="F56" s="119">
        <f>M34</f>
        <v>4.75</v>
      </c>
      <c r="G56" s="308"/>
      <c r="H56" s="308"/>
      <c r="I56" s="308"/>
      <c r="J56" s="308"/>
      <c r="K56" s="308"/>
      <c r="AB56"/>
      <c r="AC56" s="112">
        <f>P34</f>
        <v>481878.2</v>
      </c>
      <c r="AE56" s="123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4:59" ht="15" customHeight="1" x14ac:dyDescent="0.25">
      <c r="D57" s="279" t="s">
        <v>217</v>
      </c>
      <c r="E57" s="280"/>
      <c r="F57" s="280"/>
      <c r="G57" s="309" t="str" cm="1">
        <f t="array" ref="G57">IF(AD57&lt;0,"Pas de solution",dateEpoch2Txt(AD57*3600))</f>
        <v>2024/12/21 06:49</v>
      </c>
      <c r="H57" s="310"/>
      <c r="I57" s="21" cm="1">
        <f t="array" ref="I57">IF(OR(ISNA(AC56),ISNA(AC58)),-1,mareeHauteurAHeureDoneeDuJour($E$46,AC56,F56,AC58,F58))</f>
        <v>-1</v>
      </c>
      <c r="J57" s="282" t="str" cm="1">
        <f t="array" ref="J57">IF(AE57&lt;0,"Pas de solution",dateEpoch2Txt( AE57*3600))</f>
        <v>Pas de solution</v>
      </c>
      <c r="K57" s="282"/>
      <c r="AB57"/>
      <c r="AD57" s="113" cm="1">
        <f t="array" ref="AD57">IF(OR(ISNA(AC56),ISNA(AC58)),-1,mareeHeureAHauteurDonee($D$45,AC56,F56,AC58,F58))</f>
        <v>481878.82374245476</v>
      </c>
      <c r="AE57" s="122" cm="1">
        <f t="array" ref="AE57">IF(OR(ISNA(AC56),ISNA(AC58),(I57&lt;0)),-1,mareeHeureAHauteurDonee(I57,AC56,F56,AC58,F58))</f>
        <v>-1</v>
      </c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4:59" ht="15" x14ac:dyDescent="0.25">
      <c r="D58" s="118" t="str">
        <f>N35</f>
        <v>2024/12/21 12:24</v>
      </c>
      <c r="E58" s="118"/>
      <c r="F58" s="119">
        <f>M35</f>
        <v>9.7200000000000006</v>
      </c>
      <c r="G58" s="308"/>
      <c r="H58" s="308"/>
      <c r="I58" s="308"/>
      <c r="J58" s="308"/>
      <c r="K58" s="308"/>
      <c r="AB58"/>
      <c r="AC58" s="112">
        <f>P35</f>
        <v>481884.4</v>
      </c>
      <c r="AE58" s="123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4:59" ht="15" customHeight="1" x14ac:dyDescent="0.25">
      <c r="D59" s="279" t="s">
        <v>217</v>
      </c>
      <c r="E59" s="280"/>
      <c r="F59" s="280"/>
      <c r="G59" s="309" t="str" cm="1">
        <f t="array" ref="G59">IF(AD59&lt;0,"Pas de solution",dateEpoch2Txt(AD59*3600))</f>
        <v>2024/12/21 17:36</v>
      </c>
      <c r="H59" s="310"/>
      <c r="I59" s="21" cm="1">
        <f t="array" ref="I59">IF(OR(ISNA(AC58),ISNA(AC60)),-1,mareeHauteurAHeureDoneeDuJour($E$46,AC58,F58,AC60,F60))</f>
        <v>5.3641091954143381</v>
      </c>
      <c r="J59" s="282" t="str" cm="1">
        <f t="array" ref="J59">IF(AE59&lt;0,"Pas de solution",dateEpoch2Txt( AE59*3600))</f>
        <v>2024/12/21 17:00</v>
      </c>
      <c r="K59" s="282"/>
      <c r="AB59"/>
      <c r="AD59" s="113" cm="1">
        <f t="array" ref="AD59">IF(OR(ISNA(AC58),ISNA(AC60)),-1,mareeHeureAHauteurDonee($D$45,AC58,F58,AC60,F60))</f>
        <v>481889.616498994</v>
      </c>
      <c r="AE59" s="122" cm="1">
        <f t="array" ref="AE59">IF(OR(ISNA(AC58),ISNA(AC60),(I59&lt;0)),-1,mareeHeureAHauteurDonee(I59,AC58,F58,AC60,F60))</f>
        <v>481889</v>
      </c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4:59" ht="15" x14ac:dyDescent="0.25">
      <c r="D60" s="118" t="str">
        <f>N36</f>
        <v>2024/12/21 18:12</v>
      </c>
      <c r="E60" s="118"/>
      <c r="F60" s="119">
        <f>M36</f>
        <v>4.75</v>
      </c>
      <c r="G60" s="308"/>
      <c r="H60" s="308"/>
      <c r="I60" s="308"/>
      <c r="J60" s="308"/>
      <c r="K60" s="308"/>
      <c r="AB60"/>
      <c r="AC60" s="112">
        <f>P36</f>
        <v>481890.2</v>
      </c>
      <c r="AE60" s="123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4:59" ht="15" customHeight="1" x14ac:dyDescent="0.25">
      <c r="D61" s="279" t="s">
        <v>217</v>
      </c>
      <c r="E61" s="280"/>
      <c r="F61" s="280"/>
      <c r="G61" s="309" t="str" cm="1">
        <f t="array" ref="G61">IF(AD61&lt;0,"Pas de solution",dateEpoch2Txt(AD61*3600))</f>
        <v>2024/12/21 18:47</v>
      </c>
      <c r="H61" s="310"/>
      <c r="I61" s="21" cm="1">
        <f t="array" ref="I61">IF(OR(ISNA(AC60),ISNA(AC62)),-1,mareeHauteurAHeureDoneeDuJour($E$46,AC60,F60,AC62,F62))</f>
        <v>-1</v>
      </c>
      <c r="J61" s="282" t="str" cm="1">
        <f t="array" ref="J61">IF(AE61&lt;0,"Pas de solution",dateEpoch2Txt( AE61*3600))</f>
        <v>Pas de solution</v>
      </c>
      <c r="K61" s="282"/>
      <c r="AB61"/>
      <c r="AD61" s="113" cm="1">
        <f t="array" ref="AD61">IF(OR(ISNA(AC60),ISNA(AC62)),-1,mareeHeureAHauteurDonee($D$45,AC60,F60,AC62,F62))</f>
        <v>481890.78517773305</v>
      </c>
      <c r="AE61" s="122" cm="1">
        <f t="array" ref="AE61">IF(OR(ISNA(AC60),ISNA(AC62),(I61&lt;0)),-1,mareeHeureAHauteurDonee(I61,AC60,F60,AC62,F62))</f>
        <v>-1</v>
      </c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4:59" ht="15" x14ac:dyDescent="0.25">
      <c r="D62" s="118" t="str">
        <f>N37</f>
        <v>2024/12/22 00:01</v>
      </c>
      <c r="E62" s="118"/>
      <c r="F62" s="119">
        <f>M37</f>
        <v>9.7200000000000006</v>
      </c>
      <c r="G62" s="308"/>
      <c r="H62" s="308"/>
      <c r="I62" s="308"/>
      <c r="J62" s="308"/>
      <c r="K62" s="308"/>
      <c r="AB62"/>
      <c r="AC62" s="112">
        <f>P37</f>
        <v>481896.01666666666</v>
      </c>
      <c r="AE62" s="123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4:59" ht="15" customHeight="1" x14ac:dyDescent="0.25">
      <c r="D63" s="279" t="s">
        <v>217</v>
      </c>
      <c r="E63" s="280"/>
      <c r="F63" s="280"/>
      <c r="G63" s="309" t="str" cm="1">
        <f t="array" ref="G63">IF(AD63&lt;0,"Pas de solution",dateEpoch2Txt(AD63*3600))</f>
        <v>Pas de solution</v>
      </c>
      <c r="H63" s="310"/>
      <c r="I63" s="21" cm="1">
        <f t="array" ref="I63">IF(OR(ISNA(AC62),ISNA(AC64)),-1,mareeHauteurAHeureDoneeDuJour($E$46,AC62,F62,AC64,F64))</f>
        <v>-1</v>
      </c>
      <c r="J63" s="282" t="str" cm="1">
        <f t="array" ref="J63">IF(AE63&lt;0,"Pas de solution",dateEpoch2Txt( AE63*3600))</f>
        <v>Pas de solution</v>
      </c>
      <c r="K63" s="282"/>
      <c r="R63" s="13"/>
      <c r="S63" s="13"/>
      <c r="T63" s="13"/>
      <c r="U63" s="13"/>
      <c r="V63" s="13"/>
      <c r="W63" s="13"/>
      <c r="X63" s="13"/>
      <c r="Y63" s="13"/>
      <c r="AB63"/>
      <c r="AD63" s="113" cm="1">
        <f t="array" ref="AD63">IF(OR(ISNA(AC62),ISNA(AC64)),-1,mareeHeureAHauteurDonee($D$45,AC62,F62,AC64,F64))</f>
        <v>-1</v>
      </c>
      <c r="AE63" s="122" cm="1">
        <f t="array" ref="AE63">IF(OR(ISNA(AC62),ISNA(AC64),(I63&lt;0)),-1,mareeHeureAHauteurDonee(I63,AC62,F62,AC64,F64))</f>
        <v>-1</v>
      </c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4:59" ht="15" x14ac:dyDescent="0.25">
      <c r="D64" s="118" t="e">
        <f>N38</f>
        <v>#N/A</v>
      </c>
      <c r="E64" s="118"/>
      <c r="F64" s="119" t="e">
        <f>M38</f>
        <v>#N/A</v>
      </c>
      <c r="G64" s="308"/>
      <c r="H64" s="308"/>
      <c r="I64" s="308"/>
      <c r="J64" s="308"/>
      <c r="K64" s="308"/>
      <c r="R64" s="13"/>
      <c r="S64" s="13"/>
      <c r="T64" s="13"/>
      <c r="U64" s="13"/>
      <c r="V64" s="13"/>
      <c r="W64" s="66"/>
      <c r="X64" s="13"/>
      <c r="Y64" s="13"/>
      <c r="AB64"/>
      <c r="AC64" s="112" t="e">
        <f>P38</f>
        <v>#N/A</v>
      </c>
      <c r="AE64" s="123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5" customHeight="1" x14ac:dyDescent="0.25">
      <c r="D65" s="279" t="s">
        <v>217</v>
      </c>
      <c r="E65" s="280"/>
      <c r="F65" s="280"/>
      <c r="G65" s="309" t="str" cm="1">
        <f t="array" ref="G65">IF(AD65&lt;0,"Pas de solution",dateEpoch2Txt(AD65*3600))</f>
        <v>Pas de solution</v>
      </c>
      <c r="H65" s="310"/>
      <c r="I65" s="21" cm="1">
        <f t="array" ref="I65">IF(OR(ISNA(AC64),ISNA(AC66)),-1,mareeHauteurAHeureDoneeDuJour($E$46,AC64,F64,AC66,F66))</f>
        <v>-1</v>
      </c>
      <c r="J65" s="282" t="str" cm="1">
        <f t="array" ref="J65">IF(AE65&lt;0,"Pas de solution",dateEpoch2Txt( AE65*3600))</f>
        <v>Pas de solution</v>
      </c>
      <c r="K65" s="282"/>
      <c r="R65" s="13"/>
      <c r="S65" s="13"/>
      <c r="T65" s="13"/>
      <c r="U65" s="13"/>
      <c r="V65" s="13"/>
      <c r="W65" s="66"/>
      <c r="X65" s="13"/>
      <c r="Y65" s="13"/>
      <c r="AB65"/>
      <c r="AD65" s="113" cm="1">
        <f t="array" ref="AD65">IF(OR(ISNA(AC64),ISNA(AC66)),-1,mareeHeureAHauteurDonee($D$45,AC64,F64,AC66,F66))</f>
        <v>-1</v>
      </c>
      <c r="AE65" s="122" cm="1">
        <f t="array" ref="AE65">IF(OR(ISNA(AC64),ISNA(AC66),(I65&lt;0)),-1,mareeHeureAHauteurDonee(I65,AC64,F64,AC66,F66))</f>
        <v>-1</v>
      </c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5" x14ac:dyDescent="0.25">
      <c r="D66" s="118" t="e">
        <f>N39</f>
        <v>#N/A</v>
      </c>
      <c r="E66" s="118"/>
      <c r="F66" s="119" t="e">
        <f>M39</f>
        <v>#N/A</v>
      </c>
      <c r="G66" s="308"/>
      <c r="H66" s="308"/>
      <c r="I66" s="308"/>
      <c r="J66" s="308"/>
      <c r="K66" s="308"/>
      <c r="R66" s="13"/>
      <c r="S66" s="13"/>
      <c r="T66" s="13"/>
      <c r="U66" s="13"/>
      <c r="V66" s="13"/>
      <c r="W66" s="13"/>
      <c r="X66" s="13"/>
      <c r="Y66" s="13"/>
      <c r="AB66"/>
      <c r="AC66" s="112" t="e">
        <f>P39</f>
        <v>#N/A</v>
      </c>
      <c r="AE66" s="12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5" customHeight="1" x14ac:dyDescent="0.25">
      <c r="D67" s="279" t="s">
        <v>217</v>
      </c>
      <c r="E67" s="280"/>
      <c r="F67" s="280"/>
      <c r="G67" s="323"/>
      <c r="H67" s="324"/>
      <c r="I67" s="21" cm="1">
        <f t="array" ref="I67">IF(OR(ISNA(AC66),ISNA(AC68)),-1,mareeHauteurAHeureDoneeDuJour($E$46,AC66,F66,AC68,F68))</f>
        <v>-1</v>
      </c>
      <c r="J67" s="282" t="str" cm="1">
        <f t="array" ref="J67">IF(AE67&lt;0,"Pas de solution",dateEpoch2Txt( AE67*3600))</f>
        <v>Pas de solution</v>
      </c>
      <c r="K67" s="282"/>
      <c r="R67" s="13"/>
      <c r="S67" s="13"/>
      <c r="T67" s="13"/>
      <c r="U67" s="13"/>
      <c r="V67" s="13"/>
      <c r="W67" s="13"/>
      <c r="X67" s="13"/>
      <c r="Y67" s="13"/>
      <c r="AB67"/>
      <c r="AD67" s="113" cm="1">
        <f t="array" ref="AD67">IF(OR(ISNA(AC66),ISNA(AC68)),-1,mareeHeureAHauteurDonee($D$45,AC66,F66,AC68,F68))</f>
        <v>-1</v>
      </c>
      <c r="AE67" s="122" cm="1">
        <f t="array" ref="AE67">IF(OR(ISNA(AC66),ISNA(AC68),(I67&lt;0)),-1,mareeHeureAHauteurDonee(I67,AC66,F66,AC68,F68))</f>
        <v>-1</v>
      </c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5" x14ac:dyDescent="0.25">
      <c r="D68" s="118" t="e">
        <f>N40</f>
        <v>#N/A</v>
      </c>
      <c r="E68" s="118"/>
      <c r="F68" s="120" t="e">
        <f>M40</f>
        <v>#N/A</v>
      </c>
      <c r="G68" s="308"/>
      <c r="H68" s="308"/>
      <c r="I68" s="308"/>
      <c r="J68" s="308"/>
      <c r="K68" s="308"/>
      <c r="P68" s="13"/>
      <c r="Q68" s="13"/>
      <c r="R68" s="13"/>
      <c r="S68" s="13"/>
      <c r="T68" s="13"/>
      <c r="U68" s="13"/>
      <c r="V68" s="13"/>
      <c r="W68" s="13"/>
      <c r="X68" s="13"/>
      <c r="Y68" s="13"/>
      <c r="AB68"/>
      <c r="AC68" s="112" t="e">
        <f>P40</f>
        <v>#N/A</v>
      </c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5" x14ac:dyDescent="0.25">
      <c r="D69" s="79"/>
      <c r="E69" s="79"/>
      <c r="F69" s="79"/>
      <c r="G69" s="79"/>
      <c r="H69" s="79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5" x14ac:dyDescent="0.25">
      <c r="C70" s="83"/>
      <c r="D70" s="83"/>
      <c r="F70" s="84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5" x14ac:dyDescent="0.25">
      <c r="C71" s="281"/>
      <c r="D71" s="281"/>
      <c r="E71" s="84"/>
      <c r="S71" s="13"/>
      <c r="T71" s="13"/>
      <c r="U71" s="13"/>
      <c r="V71" s="13"/>
      <c r="W71" s="13"/>
      <c r="X71" s="13"/>
      <c r="Y71" s="13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5.75" thickBot="1" x14ac:dyDescent="0.3">
      <c r="S72" s="13"/>
      <c r="T72" s="13"/>
      <c r="U72" s="13"/>
      <c r="V72" s="13"/>
      <c r="W72" s="13"/>
      <c r="X72" s="13"/>
      <c r="Y72" s="13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15.75" thickBot="1" x14ac:dyDescent="0.3">
      <c r="B73" s="325" t="s">
        <v>218</v>
      </c>
      <c r="C73" s="326"/>
      <c r="D73" s="326"/>
      <c r="E73" s="326"/>
      <c r="F73" s="326"/>
      <c r="G73" s="326"/>
      <c r="H73" s="326"/>
      <c r="I73" s="326"/>
      <c r="J73" s="326"/>
      <c r="K73" s="326"/>
      <c r="L73" s="326"/>
      <c r="M73" s="326"/>
      <c r="N73" s="326"/>
      <c r="O73" s="326"/>
      <c r="P73" s="326"/>
      <c r="Q73" s="326"/>
      <c r="R73" s="326"/>
      <c r="S73" s="326"/>
      <c r="T73" s="326"/>
      <c r="U73" s="326"/>
      <c r="V73" s="326"/>
      <c r="W73" s="326"/>
      <c r="X73" s="326"/>
      <c r="Y73" s="326"/>
      <c r="Z73" s="326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customFormat="1" ht="15" x14ac:dyDescent="0.25">
      <c r="B74" t="s">
        <v>222</v>
      </c>
      <c r="C74" t="str" cm="1">
        <f t="array" ref="C74">dateEpoch2Txt(C75*3600)</f>
        <v>2024/12/20 12:00</v>
      </c>
      <c r="D74" t="str" cm="1">
        <f t="array" ref="D74">dateEpoch2Txt(D75*3600)</f>
        <v>2024/12/20 13:02</v>
      </c>
      <c r="E74" t="str" cm="1">
        <f t="array" ref="E74">dateEpoch2Txt(E75*3600)</f>
        <v>2024/12/20 14:04</v>
      </c>
      <c r="F74" t="str" cm="1">
        <f t="array" ref="F74">dateEpoch2Txt(F75*3600)</f>
        <v>2024/12/20 15:06</v>
      </c>
      <c r="G74" t="str" cm="1">
        <f t="array" ref="G74">dateEpoch2Txt(G75*3600)</f>
        <v>2024/12/20 16:08</v>
      </c>
      <c r="H74" t="str" cm="1">
        <f t="array" ref="H74">dateEpoch2Txt(H75*3600)</f>
        <v>2024/12/20 17:10</v>
      </c>
      <c r="I74" t="str" cm="1">
        <f t="array" ref="I74">dateEpoch2Txt(I75*3600)</f>
        <v>2024/12/20 18:12</v>
      </c>
      <c r="J74" t="str" cm="1">
        <f t="array" ref="J74">dateEpoch2Txt(J75*3600)</f>
        <v>2024/12/20 19:12</v>
      </c>
      <c r="K74" t="str" cm="1">
        <f t="array" ref="K74">dateEpoch2Txt(K75*3600)</f>
        <v>2024/12/20 20:14</v>
      </c>
      <c r="L74" t="str" cm="1">
        <f t="array" ref="L74">dateEpoch2Txt(L75*3600)</f>
        <v>2024/12/20 21:16</v>
      </c>
      <c r="M74" t="str" cm="1">
        <f t="array" ref="M74">dateEpoch2Txt(M75*3600)</f>
        <v>2024/12/20 22:18</v>
      </c>
      <c r="N74" t="str" cm="1">
        <f t="array" ref="N74">dateEpoch2Txt(N75*3600)</f>
        <v>2024/12/20 23:20</v>
      </c>
      <c r="O74" t="str" cm="1">
        <f t="array" ref="O74">dateEpoch2Txt(O75*3600)</f>
        <v>2024/12/21 00:12</v>
      </c>
      <c r="P74" t="str" cm="1">
        <f t="array" ref="P74">dateEpoch2Txt(P75*3600)</f>
        <v>2024/12/21 01:12</v>
      </c>
      <c r="Q74" t="str" cm="1">
        <f t="array" ref="Q74">dateEpoch2Txt(Q75*3600)</f>
        <v>2024/12/21 02:14</v>
      </c>
      <c r="R74" t="str" cm="1">
        <f t="array" ref="R74">dateEpoch2Txt(R75*3600)</f>
        <v>2024/12/21 03:16</v>
      </c>
      <c r="S74" t="str" cm="1">
        <f t="array" ref="S74">dateEpoch2Txt(S75*3600)</f>
        <v>2024/12/21 04:18</v>
      </c>
      <c r="T74" t="str" cm="1">
        <f t="array" ref="T74">dateEpoch2Txt(T75*3600)</f>
        <v>2024/12/21 05:20</v>
      </c>
      <c r="U74" t="str" cm="1">
        <f t="array" ref="U74">dateEpoch2Txt(U75*3600)</f>
        <v>2024/12/21 06:12</v>
      </c>
      <c r="V74" t="str" cm="1">
        <f t="array" ref="V74">dateEpoch2Txt(V75*3600)</f>
        <v>2024/12/21 07:14</v>
      </c>
      <c r="W74" t="str" cm="1">
        <f t="array" ref="W74">dateEpoch2Txt(W75*3600)</f>
        <v>2024/12/21 08:16</v>
      </c>
      <c r="X74" t="str" cm="1">
        <f t="array" ref="X74">dateEpoch2Txt(X75*3600)</f>
        <v>2024/12/21 09:18</v>
      </c>
      <c r="Y74" t="str" cm="1">
        <f t="array" ref="Y74">dateEpoch2Txt(Y75*3600)</f>
        <v>2024/12/21 10:20</v>
      </c>
      <c r="Z74" t="str" cm="1">
        <f t="array" ref="Z74">dateEpoch2Txt(Z75*3600)</f>
        <v>2024/12/21 11:22</v>
      </c>
      <c r="AA74" t="str" cm="1">
        <f t="array" ref="AA74">dateEpoch2Txt(AA75*3600)</f>
        <v>2024/12/21 12:24</v>
      </c>
      <c r="AB74" t="str" cm="1">
        <f t="array" ref="AB74">dateEpoch2Txt(AB75*3600)</f>
        <v>2024/12/21 13:22</v>
      </c>
      <c r="AC74" t="str" cm="1">
        <f t="array" ref="AC74">dateEpoch2Txt(AC75*3600)</f>
        <v>2024/12/21 14:24</v>
      </c>
      <c r="AD74" t="str" cm="1">
        <f t="array" ref="AD74">dateEpoch2Txt(AD75*3600)</f>
        <v>2024/12/21 15:26</v>
      </c>
      <c r="AE74" t="str" cm="1">
        <f t="array" ref="AE74">dateEpoch2Txt(AE75*3600)</f>
        <v>2024/12/21 16:28</v>
      </c>
      <c r="AF74" t="str" cm="1">
        <f t="array" ref="AF74">dateEpoch2Txt(AF75*3600)</f>
        <v>2024/12/21 17:30</v>
      </c>
      <c r="AG74" t="str" cm="1">
        <f t="array" ref="AG74">dateEpoch2Txt(AG75*3600)</f>
        <v>2024/12/21 18:12</v>
      </c>
      <c r="AH74" t="str" cm="1">
        <f t="array" ref="AH74">dateEpoch2Txt(AH75*3600)</f>
        <v>2024/12/21 19:10</v>
      </c>
      <c r="AI74" t="str" cm="1">
        <f t="array" ref="AI74">dateEpoch2Txt(AI75*3600)</f>
        <v>2024/12/21 20:12</v>
      </c>
      <c r="AJ74" t="str" cm="1">
        <f t="array" ref="AJ74">dateEpoch2Txt(AJ75*3600)</f>
        <v>2024/12/21 21:14</v>
      </c>
      <c r="AK74" t="str" cm="1">
        <f t="array" ref="AK74">dateEpoch2Txt(AK75*3600)</f>
        <v>2024/12/21 22:16</v>
      </c>
      <c r="AL74" t="str" cm="1">
        <f t="array" ref="AL74">dateEpoch2Txt(AL75*3600)</f>
        <v>2024/12/21 23:18</v>
      </c>
      <c r="AM74" t="str" cm="1">
        <f t="array" ref="AM74">dateEpoch2Txt(AM75*3600)</f>
        <v>2024/12/22 00:01</v>
      </c>
      <c r="AN74" t="str" cm="1">
        <f t="array" ref="AN74">dateEpoch2Txt(AN75*3600)</f>
        <v>2024/12/22 01:01</v>
      </c>
      <c r="AO74" t="str" cm="1">
        <f t="array" ref="AO74">dateEpoch2Txt(AO75*3600)</f>
        <v>2024/12/22 02:03</v>
      </c>
      <c r="AP74" t="str" cm="1">
        <f t="array" ref="AP74">dateEpoch2Txt(AP75*3600)</f>
        <v>2024/12/22 03:05</v>
      </c>
      <c r="AQ74" t="str" cm="1">
        <f t="array" ref="AQ74">dateEpoch2Txt(AQ75*3600)</f>
        <v>2024/12/22 04:07</v>
      </c>
      <c r="AR74" t="str" cm="1">
        <f t="array" ref="AR74">dateEpoch2Txt(AR75*3600)</f>
        <v>2024/12/22 05:09</v>
      </c>
      <c r="AS74" t="str" cm="1">
        <f t="array" ref="AS74">dateEpoch2Txt(AS75*3600)</f>
        <v>2024/12/22 06:01</v>
      </c>
      <c r="AT74" t="str" cm="1">
        <f t="array" ref="AT74">dateEpoch2Txt(AT75*3600)</f>
        <v>2024/12/22 07:01</v>
      </c>
      <c r="AU74" t="str" cm="1">
        <f t="array" ref="AU74">dateEpoch2Txt(AU75*3600)</f>
        <v>2024/12/22 08:03</v>
      </c>
      <c r="AV74" t="str" cm="1">
        <f t="array" ref="AV74">dateEpoch2Txt(AV75*3600)</f>
        <v>2024/12/22 09:05</v>
      </c>
      <c r="AW74" t="str" cm="1">
        <f t="array" ref="AW74">dateEpoch2Txt(AW75*3600)</f>
        <v>2024/12/22 10:07</v>
      </c>
      <c r="AX74" t="str" cm="1">
        <f t="array" ref="AX74">dateEpoch2Txt(AX75*3600)</f>
        <v>2024/12/22 11:09</v>
      </c>
      <c r="AY74" t="str" cm="1">
        <f t="array" ref="AY74">dateEpoch2Txt(AY75*3600)</f>
        <v>2024/12/22 12:01</v>
      </c>
      <c r="AZ74" t="str" cm="1">
        <f t="array" ref="AZ74">dateEpoch2Txt(AZ75*3600)</f>
        <v>2024/12/22 13:01</v>
      </c>
      <c r="BA74" t="str" cm="1">
        <f t="array" ref="BA74">dateEpoch2Txt(BA75*3600)</f>
        <v>2024/12/22 14:03</v>
      </c>
      <c r="BB74" t="str" cm="1">
        <f t="array" ref="BB74">dateEpoch2Txt(BB75*3600)</f>
        <v>2024/12/22 15:05</v>
      </c>
      <c r="BC74" t="str" cm="1">
        <f t="array" ref="BC74">dateEpoch2Txt(BC75*3600)</f>
        <v>2024/12/22 16:07</v>
      </c>
      <c r="BD74" t="str" cm="1">
        <f t="array" ref="BD74">dateEpoch2Txt(BD75*3600)</f>
        <v>2024/12/22 17:09</v>
      </c>
      <c r="BE74" t="str" cm="1">
        <f t="array" ref="BE74">dateEpoch2Txt(BE75*3600)</f>
        <v>2024/12/22 18:01</v>
      </c>
    </row>
    <row r="75" spans="1:59" ht="15" x14ac:dyDescent="0.25">
      <c r="B75" s="84" t="s">
        <v>6</v>
      </c>
      <c r="C75" s="104">
        <f>IF(NOT(ISNA(AC50)),AC50,0)</f>
        <v>481860</v>
      </c>
      <c r="D75" s="105">
        <f>C75+D77</f>
        <v>481861.03333333333</v>
      </c>
      <c r="E75" s="105">
        <f>D75+$D$77</f>
        <v>481862.06666666665</v>
      </c>
      <c r="F75" s="105">
        <f>E75+$D$77</f>
        <v>481863.1</v>
      </c>
      <c r="G75" s="105">
        <f>F75+$D$77</f>
        <v>481864.1333333333</v>
      </c>
      <c r="H75" s="105">
        <f>G75+$D$77</f>
        <v>481865.16666666663</v>
      </c>
      <c r="I75" s="104">
        <f>IF(NOT(ISNA(AC52)),AC52,C75+6)</f>
        <v>481866.2</v>
      </c>
      <c r="J75" s="105">
        <f>I75+J77</f>
        <v>481867.2</v>
      </c>
      <c r="K75" s="105">
        <f>J75+$D$77</f>
        <v>481868.23333333334</v>
      </c>
      <c r="L75" s="105">
        <f>K75+$D$77</f>
        <v>481869.26666666666</v>
      </c>
      <c r="M75" s="105">
        <f>L75+$D$77</f>
        <v>481870.3</v>
      </c>
      <c r="N75" s="105">
        <f>M75+$D$77</f>
        <v>481871.33333333331</v>
      </c>
      <c r="O75" s="104">
        <f>IF(NOT(ISNA(AC54)),AC54,I75+6)</f>
        <v>481872.2</v>
      </c>
      <c r="P75" s="105">
        <f>O75+P77</f>
        <v>481873.2</v>
      </c>
      <c r="Q75" s="105">
        <f>P75+$D$77</f>
        <v>481874.23333333334</v>
      </c>
      <c r="R75" s="105">
        <f>Q75+$D$77</f>
        <v>481875.26666666666</v>
      </c>
      <c r="S75" s="105">
        <f>R75+$D$77</f>
        <v>481876.3</v>
      </c>
      <c r="T75" s="105">
        <f>S75+$D$77</f>
        <v>481877.33333333331</v>
      </c>
      <c r="U75" s="104">
        <f>IF(NOT(ISNA(AC56)),AC56,O75+6)</f>
        <v>481878.2</v>
      </c>
      <c r="V75" s="105">
        <f>U75+V77</f>
        <v>481879.23333333334</v>
      </c>
      <c r="W75" s="105">
        <f>V75+$D$77</f>
        <v>481880.26666666666</v>
      </c>
      <c r="X75" s="105">
        <f>W75+$D$77</f>
        <v>481881.3</v>
      </c>
      <c r="Y75" s="105">
        <f>X75+$D$77</f>
        <v>481882.33333333331</v>
      </c>
      <c r="Z75" s="105">
        <f>Y75+$D$77</f>
        <v>481883.36666666664</v>
      </c>
      <c r="AA75" s="104">
        <f>IF(NOT(ISNA(AC58)),AC58,U75+6)</f>
        <v>481884.4</v>
      </c>
      <c r="AB75" s="105">
        <f>AA75+AB77</f>
        <v>481885.3666666667</v>
      </c>
      <c r="AC75" s="105">
        <f>AB75+$D$77</f>
        <v>481886.4</v>
      </c>
      <c r="AD75" s="105">
        <f>AC75+$D$77</f>
        <v>481887.43333333335</v>
      </c>
      <c r="AE75" s="105">
        <f>AD75+$D$77</f>
        <v>481888.46666666667</v>
      </c>
      <c r="AF75" s="105">
        <f>AE75+$D$77</f>
        <v>481889.5</v>
      </c>
      <c r="AG75" s="104">
        <f>IF(NOT(ISNA(AC60)),AC60,AA75+6)</f>
        <v>481890.2</v>
      </c>
      <c r="AH75" s="105">
        <f>AG75+AH77</f>
        <v>481891.16944444447</v>
      </c>
      <c r="AI75" s="105">
        <f>AH75+$D$77</f>
        <v>481892.2027777778</v>
      </c>
      <c r="AJ75" s="105">
        <f>AI75+$D$77</f>
        <v>481893.23611111112</v>
      </c>
      <c r="AK75" s="105">
        <f>AJ75+$D$77</f>
        <v>481894.26944444445</v>
      </c>
      <c r="AL75" s="105">
        <f>AK75+$D$77</f>
        <v>481895.30277777778</v>
      </c>
      <c r="AM75" s="104">
        <f>IF(NOT(ISNA(AC62)),AC62,AG75+6)</f>
        <v>481896.01666666666</v>
      </c>
      <c r="AN75" s="105">
        <f>AM75+AN77</f>
        <v>481897.01666666666</v>
      </c>
      <c r="AO75" s="105">
        <f>AN75+$D$77</f>
        <v>481898.05</v>
      </c>
      <c r="AP75" s="105">
        <f>AO75+$D$77</f>
        <v>481899.08333333331</v>
      </c>
      <c r="AQ75" s="105">
        <f>AP75+$D$77</f>
        <v>481900.11666666664</v>
      </c>
      <c r="AR75" s="105">
        <f>AQ75+$D$77</f>
        <v>481901.14999999997</v>
      </c>
      <c r="AS75" s="104">
        <f>IF(NOT(ISNA(AC64)),AC64,AM75+6)</f>
        <v>481902.01666666666</v>
      </c>
      <c r="AT75" s="105">
        <f>AS75+AT77</f>
        <v>481903.01666666666</v>
      </c>
      <c r="AU75" s="105">
        <f>AT75+$D$77</f>
        <v>481904.05</v>
      </c>
      <c r="AV75" s="105">
        <f>AU75+$D$77</f>
        <v>481905.08333333331</v>
      </c>
      <c r="AW75" s="105">
        <f>AV75+$D$77</f>
        <v>481906.11666666664</v>
      </c>
      <c r="AX75" s="105">
        <f>AW75+$D$77</f>
        <v>481907.14999999997</v>
      </c>
      <c r="AY75" s="104">
        <f>IF(NOT(ISNA(AC66)),AC66,AS75+6)</f>
        <v>481908.01666666666</v>
      </c>
      <c r="AZ75" s="105">
        <f>AY75+AZ77</f>
        <v>481909.01666666666</v>
      </c>
      <c r="BA75" s="105">
        <f>AZ75+$D$77</f>
        <v>481910.05</v>
      </c>
      <c r="BB75" s="105">
        <f>BA75+$D$77</f>
        <v>481911.08333333331</v>
      </c>
      <c r="BC75" s="105">
        <f>BB75+$D$77</f>
        <v>481912.11666666664</v>
      </c>
      <c r="BD75" s="105">
        <f>BC75+$D$77</f>
        <v>481913.14999999997</v>
      </c>
      <c r="BE75" s="104">
        <f>IF(NOT(ISNA(AC68)),AC68,AY75+6)</f>
        <v>481914.01666666666</v>
      </c>
      <c r="BF75"/>
      <c r="BG75"/>
    </row>
    <row r="76" spans="1:59" ht="15" x14ac:dyDescent="0.25">
      <c r="B76" s="84" t="s">
        <v>64</v>
      </c>
      <c r="C76" s="104">
        <f>IF(NOT(ISNA(AC50)),F50,0)</f>
        <v>9.56</v>
      </c>
      <c r="D76" s="105">
        <f>C76+D78</f>
        <v>9.18</v>
      </c>
      <c r="E76" s="105">
        <f>C76+E78</f>
        <v>8.42</v>
      </c>
      <c r="F76" s="105">
        <f>C76+F78</f>
        <v>7.28</v>
      </c>
      <c r="G76" s="105">
        <f>C76+G78</f>
        <v>6.1400000000000006</v>
      </c>
      <c r="H76" s="105">
        <f>C76+H78</f>
        <v>5.38</v>
      </c>
      <c r="I76" s="104">
        <f>IF(NOT(ISNA(AC52)),F52,C76)</f>
        <v>5</v>
      </c>
      <c r="J76" s="105">
        <f>I76+J78</f>
        <v>5.4333333333333336</v>
      </c>
      <c r="K76" s="105">
        <f>I76+K78</f>
        <v>6.3</v>
      </c>
      <c r="L76" s="105">
        <f>I76+L78</f>
        <v>7.6</v>
      </c>
      <c r="M76" s="105">
        <f>I76+M78</f>
        <v>8.9</v>
      </c>
      <c r="N76" s="105">
        <f>I76+N78</f>
        <v>9.7666666666666657</v>
      </c>
      <c r="O76" s="104">
        <f>IF(NOT(ISNA(AC54)),F54,I76)</f>
        <v>10.199999999999999</v>
      </c>
      <c r="P76" s="105">
        <f>O76+P78</f>
        <v>9.7458333333333336</v>
      </c>
      <c r="Q76" s="105">
        <f>O76+Q78</f>
        <v>8.8374999999999986</v>
      </c>
      <c r="R76" s="105">
        <f>O76+R78</f>
        <v>7.4749999999999996</v>
      </c>
      <c r="S76" s="105">
        <f>O76+S78</f>
        <v>6.1124999999999998</v>
      </c>
      <c r="T76" s="105">
        <f>O76+T78</f>
        <v>5.2041666666666666</v>
      </c>
      <c r="U76" s="104">
        <f>IF(NOT(ISNA(AC56)),F56,O76)</f>
        <v>4.75</v>
      </c>
      <c r="V76" s="105">
        <f>U76+V78</f>
        <v>5.1641666666666666</v>
      </c>
      <c r="W76" s="105">
        <f>U76+W78</f>
        <v>5.9924999999999997</v>
      </c>
      <c r="X76" s="105">
        <f>U76+X78</f>
        <v>7.2350000000000003</v>
      </c>
      <c r="Y76" s="105">
        <f>U76+Y78</f>
        <v>8.4775000000000009</v>
      </c>
      <c r="Z76" s="105">
        <f>U76+Z78</f>
        <v>9.3058333333333341</v>
      </c>
      <c r="AA76" s="104">
        <f>IF(NOT(ISNA(AC58)),F58,U76)</f>
        <v>9.7200000000000006</v>
      </c>
      <c r="AB76" s="105">
        <f>AA76+AB78</f>
        <v>9.3058333333333341</v>
      </c>
      <c r="AC76" s="105">
        <f>AA76+AC78</f>
        <v>8.4775000000000009</v>
      </c>
      <c r="AD76" s="105">
        <f>AA76+AD78</f>
        <v>7.2350000000000003</v>
      </c>
      <c r="AE76" s="105">
        <f>AA76+AE78</f>
        <v>5.9924999999999997</v>
      </c>
      <c r="AF76" s="105">
        <f>AA76+AF78</f>
        <v>5.1641666666666666</v>
      </c>
      <c r="AG76" s="104">
        <f>IF(NOT(ISNA(AC60)),F60,AA76)</f>
        <v>4.75</v>
      </c>
      <c r="AH76" s="105">
        <f>AG76+AH78</f>
        <v>5.1641666666666666</v>
      </c>
      <c r="AI76" s="105">
        <f>AG76+AI78</f>
        <v>5.9924999999999997</v>
      </c>
      <c r="AJ76" s="105">
        <f>AG76+AJ78</f>
        <v>7.2350000000000003</v>
      </c>
      <c r="AK76" s="105">
        <f>AG76+AK78</f>
        <v>8.4775000000000009</v>
      </c>
      <c r="AL76" s="105">
        <f>AG76+AL78</f>
        <v>9.3058333333333341</v>
      </c>
      <c r="AM76" s="104">
        <f>IF(NOT(ISNA(AC62)),F62,AG76)</f>
        <v>9.7200000000000006</v>
      </c>
      <c r="AN76" s="105">
        <f>AM76+AN78</f>
        <v>9.7200000000000006</v>
      </c>
      <c r="AO76" s="105">
        <f>AM76+AO78</f>
        <v>9.7200000000000006</v>
      </c>
      <c r="AP76" s="105">
        <f>AM76+AP78</f>
        <v>9.7200000000000006</v>
      </c>
      <c r="AQ76" s="105">
        <f>AM76+AQ78</f>
        <v>9.7200000000000006</v>
      </c>
      <c r="AR76" s="105">
        <f>AM76+AR78</f>
        <v>9.7200000000000006</v>
      </c>
      <c r="AS76" s="104">
        <f>IF(NOT(ISNA(AC64)),F64,AM76)</f>
        <v>9.7200000000000006</v>
      </c>
      <c r="AT76" s="105">
        <f>AS76+AT78</f>
        <v>9.7200000000000006</v>
      </c>
      <c r="AU76" s="105">
        <f>AS76+AU78</f>
        <v>9.7200000000000006</v>
      </c>
      <c r="AV76" s="105">
        <f>AS76+AV78</f>
        <v>9.7200000000000006</v>
      </c>
      <c r="AW76" s="105">
        <f>AS76+AW78</f>
        <v>9.7200000000000006</v>
      </c>
      <c r="AX76" s="105">
        <f>AS76+AX78</f>
        <v>9.7200000000000006</v>
      </c>
      <c r="AY76" s="104">
        <f>IF(NOT(ISNA(AC66)),AC66,AS76)</f>
        <v>9.7200000000000006</v>
      </c>
      <c r="AZ76" s="105">
        <f>AY76+AZ78</f>
        <v>9.7200000000000006</v>
      </c>
      <c r="BA76" s="105">
        <f>AY76+BA78</f>
        <v>9.7200000000000006</v>
      </c>
      <c r="BB76" s="105">
        <f>AY76+BB78</f>
        <v>9.7200000000000006</v>
      </c>
      <c r="BC76" s="105">
        <f>AY76+BC78</f>
        <v>9.7200000000000006</v>
      </c>
      <c r="BD76" s="105">
        <f>AY76+BD78</f>
        <v>9.7200000000000006</v>
      </c>
      <c r="BE76" s="104">
        <f>IF(NOT(ISNA(AC68)),F68,AY76)</f>
        <v>9.7200000000000006</v>
      </c>
      <c r="BF76"/>
      <c r="BG76"/>
    </row>
    <row r="77" spans="1:59" ht="15" x14ac:dyDescent="0.25">
      <c r="C77" s="18" t="s">
        <v>219</v>
      </c>
      <c r="D77" s="84">
        <f>(I75-C75)/6</f>
        <v>1.0333333333352737</v>
      </c>
      <c r="E77" s="84">
        <f>D77</f>
        <v>1.0333333333352737</v>
      </c>
      <c r="F77" s="84">
        <f>D77</f>
        <v>1.0333333333352737</v>
      </c>
      <c r="G77" s="84">
        <f>D77</f>
        <v>1.0333333333352737</v>
      </c>
      <c r="H77" s="84">
        <f>D77</f>
        <v>1.0333333333352737</v>
      </c>
      <c r="I77" s="79" t="s">
        <v>219</v>
      </c>
      <c r="J77" s="84">
        <f>(O75-I75)/6</f>
        <v>1</v>
      </c>
      <c r="K77" s="84">
        <f>J77</f>
        <v>1</v>
      </c>
      <c r="L77" s="84">
        <f>J77</f>
        <v>1</v>
      </c>
      <c r="M77" s="84">
        <f>J77</f>
        <v>1</v>
      </c>
      <c r="N77" s="84">
        <f>J77</f>
        <v>1</v>
      </c>
      <c r="O77" s="79" t="s">
        <v>219</v>
      </c>
      <c r="P77" s="84">
        <f>(U75-O75)/6</f>
        <v>1</v>
      </c>
      <c r="Q77" s="84">
        <f>P77</f>
        <v>1</v>
      </c>
      <c r="R77" s="84">
        <f>P77</f>
        <v>1</v>
      </c>
      <c r="S77" s="84">
        <f>P77</f>
        <v>1</v>
      </c>
      <c r="T77" s="84">
        <f>P77</f>
        <v>1</v>
      </c>
      <c r="U77" s="79" t="s">
        <v>219</v>
      </c>
      <c r="V77" s="84">
        <f>(AA75-U75)/6</f>
        <v>1.0333333333352737</v>
      </c>
      <c r="W77" s="84">
        <f>V77</f>
        <v>1.0333333333352737</v>
      </c>
      <c r="X77" s="84">
        <f>V77</f>
        <v>1.0333333333352737</v>
      </c>
      <c r="Y77" s="84">
        <f>V77</f>
        <v>1.0333333333352737</v>
      </c>
      <c r="Z77" s="84">
        <f>V77</f>
        <v>1.0333333333352737</v>
      </c>
      <c r="AA77" s="79" t="s">
        <v>219</v>
      </c>
      <c r="AB77" s="84">
        <f>(AG75-AA75)/6</f>
        <v>0.96666666666472645</v>
      </c>
      <c r="AC77" s="84">
        <f>AB77</f>
        <v>0.96666666666472645</v>
      </c>
      <c r="AD77" s="84">
        <f>AB77</f>
        <v>0.96666666666472645</v>
      </c>
      <c r="AE77" s="84">
        <f>AB77</f>
        <v>0.96666666666472645</v>
      </c>
      <c r="AF77" s="84">
        <f>AB77</f>
        <v>0.96666666666472645</v>
      </c>
      <c r="AG77" s="79" t="s">
        <v>219</v>
      </c>
      <c r="AH77" s="84">
        <f>(AM75-AG75)/6</f>
        <v>0.9694444444418574</v>
      </c>
      <c r="AI77" s="84">
        <f>AH77</f>
        <v>0.9694444444418574</v>
      </c>
      <c r="AJ77" s="84">
        <f>AH77</f>
        <v>0.9694444444418574</v>
      </c>
      <c r="AK77" s="84">
        <f>AH77</f>
        <v>0.9694444444418574</v>
      </c>
      <c r="AL77" s="84">
        <f>AH77</f>
        <v>0.9694444444418574</v>
      </c>
      <c r="AM77" s="79" t="s">
        <v>219</v>
      </c>
      <c r="AN77" s="84">
        <f>(AS75-AM75)/6</f>
        <v>1</v>
      </c>
      <c r="AO77" s="84">
        <f>AN77</f>
        <v>1</v>
      </c>
      <c r="AP77" s="84">
        <f>AN77</f>
        <v>1</v>
      </c>
      <c r="AQ77" s="84">
        <f>AN77</f>
        <v>1</v>
      </c>
      <c r="AR77" s="84">
        <f>AN77</f>
        <v>1</v>
      </c>
      <c r="AS77" s="79" t="s">
        <v>219</v>
      </c>
      <c r="AT77" s="84">
        <f>(AY75-AS75)/6</f>
        <v>1</v>
      </c>
      <c r="AU77" s="84">
        <f>AT77</f>
        <v>1</v>
      </c>
      <c r="AV77" s="84">
        <f>AT77</f>
        <v>1</v>
      </c>
      <c r="AW77" s="84">
        <f>AT77</f>
        <v>1</v>
      </c>
      <c r="AX77" s="84">
        <f>AT77</f>
        <v>1</v>
      </c>
      <c r="AY77" s="79" t="s">
        <v>219</v>
      </c>
      <c r="AZ77" s="84">
        <f>(BE75-AY75)/6</f>
        <v>1</v>
      </c>
      <c r="BA77" s="84">
        <f>AZ77</f>
        <v>1</v>
      </c>
      <c r="BB77" s="84">
        <f>AZ77</f>
        <v>1</v>
      </c>
      <c r="BC77" s="84">
        <f>AZ77</f>
        <v>1</v>
      </c>
      <c r="BD77" s="84">
        <f>AZ77</f>
        <v>1</v>
      </c>
      <c r="BE77"/>
      <c r="BF77"/>
      <c r="BG77"/>
    </row>
    <row r="78" spans="1:59" ht="15" x14ac:dyDescent="0.25">
      <c r="C78" s="18" t="s">
        <v>220</v>
      </c>
      <c r="D78" s="18">
        <f>(I76-C76)*D79/12</f>
        <v>-0.38000000000000006</v>
      </c>
      <c r="E78" s="79">
        <f>(I76-C76)*E79/12</f>
        <v>-1.1400000000000001</v>
      </c>
      <c r="F78" s="79">
        <f>(I76-C76)*F79/12</f>
        <v>-2.2800000000000002</v>
      </c>
      <c r="G78" s="79">
        <f>(I76-C76)*G79/12</f>
        <v>-3.4200000000000004</v>
      </c>
      <c r="H78" s="79">
        <f>(I76-C76)*H79/12</f>
        <v>-4.1800000000000006</v>
      </c>
      <c r="J78" s="79">
        <f>(O76-I76)*J79/12</f>
        <v>0.43333333333333329</v>
      </c>
      <c r="K78" s="79">
        <f>(O76-I76)*K79/12</f>
        <v>1.2999999999999998</v>
      </c>
      <c r="L78" s="79">
        <f>(O76-I76)*L79/12</f>
        <v>2.5999999999999996</v>
      </c>
      <c r="M78" s="79">
        <f>(O76-I76)*M79/12</f>
        <v>3.9</v>
      </c>
      <c r="N78" s="79">
        <f>(O76-I76)*N79/12</f>
        <v>4.7666666666666657</v>
      </c>
      <c r="P78" s="79">
        <f>(U76-O76)*P79/12</f>
        <v>-0.45416666666666661</v>
      </c>
      <c r="Q78" s="79">
        <f>(U76-O76)*Q79/12</f>
        <v>-1.3624999999999998</v>
      </c>
      <c r="R78" s="79">
        <f>(U76-O76)*R79/12</f>
        <v>-2.7249999999999996</v>
      </c>
      <c r="S78" s="79">
        <f>(U76-O76)*S79/12</f>
        <v>-4.0874999999999995</v>
      </c>
      <c r="T78" s="79">
        <f>(U76-O76)*T79/12</f>
        <v>-4.9958333333333327</v>
      </c>
      <c r="U78" s="13"/>
      <c r="V78" s="79">
        <f>(AA76-U76)*V79/12</f>
        <v>0.41416666666666674</v>
      </c>
      <c r="W78" s="79">
        <f>(AA76-U76)*W79/12</f>
        <v>1.2425000000000002</v>
      </c>
      <c r="X78" s="79">
        <f>(AA76-U76)*X79/12</f>
        <v>2.4850000000000003</v>
      </c>
      <c r="Y78" s="79">
        <f>(AA76-U76)*Y79/12</f>
        <v>3.7275000000000005</v>
      </c>
      <c r="Z78" s="79">
        <f>(AA76-U76)*Z79/12</f>
        <v>4.5558333333333341</v>
      </c>
      <c r="AB78" s="79">
        <f>(AG76-AA76)*AB79/12</f>
        <v>-0.41416666666666674</v>
      </c>
      <c r="AC78" s="79">
        <f>(AG76-AA76)*AC79/12</f>
        <v>-1.2425000000000002</v>
      </c>
      <c r="AD78" s="79">
        <f>(AG76-AA76)*AD79/12</f>
        <v>-2.4850000000000003</v>
      </c>
      <c r="AE78" s="79">
        <f>(AG76-AA76)*AE79/12</f>
        <v>-3.7275000000000005</v>
      </c>
      <c r="AF78" s="79">
        <f>(AG76-AA76)*AF79/12</f>
        <v>-4.5558333333333341</v>
      </c>
      <c r="AG78"/>
      <c r="AH78" s="79">
        <f>(AM76-AG76)*AH79/12</f>
        <v>0.41416666666666674</v>
      </c>
      <c r="AI78" s="79">
        <f>(AM76-AG76)*AI79/12</f>
        <v>1.2425000000000002</v>
      </c>
      <c r="AJ78" s="79">
        <f>(AM76-AG76)*AJ79/12</f>
        <v>2.4850000000000003</v>
      </c>
      <c r="AK78" s="79">
        <f>(AM76-AG76)*AK79/12</f>
        <v>3.7275000000000005</v>
      </c>
      <c r="AL78" s="79">
        <f>(AM76-AG76)*AL79/12</f>
        <v>4.5558333333333341</v>
      </c>
      <c r="AM78"/>
      <c r="AN78" s="79">
        <f>(AS76-AM76)*AN79/12</f>
        <v>0</v>
      </c>
      <c r="AO78" s="79">
        <f>(AS76-AM76)*AO79/12</f>
        <v>0</v>
      </c>
      <c r="AP78" s="79">
        <f>(AS76-AM76)*AP79/12</f>
        <v>0</v>
      </c>
      <c r="AQ78" s="79">
        <f>(AS76-AM76)*AQ79/12</f>
        <v>0</v>
      </c>
      <c r="AR78" s="79">
        <f>(AS76-AM76)*AR79/12</f>
        <v>0</v>
      </c>
      <c r="AS78"/>
      <c r="AT78" s="79">
        <f>(AY76-AS76)*AT79/12</f>
        <v>0</v>
      </c>
      <c r="AU78" s="79">
        <f>(AY76-AS76)*AU79/12</f>
        <v>0</v>
      </c>
      <c r="AV78" s="79">
        <f>(AY76-AS76)*AV79/12</f>
        <v>0</v>
      </c>
      <c r="AW78" s="79">
        <f>(AY76-AS76)*AW79/12</f>
        <v>0</v>
      </c>
      <c r="AX78" s="79">
        <f>(AY76-AS76)*AX79/12</f>
        <v>0</v>
      </c>
      <c r="AY78"/>
      <c r="AZ78" s="79">
        <f>(BE76-AY76)*AZ79/12</f>
        <v>0</v>
      </c>
      <c r="BA78" s="79">
        <f>(BE76-AY76)*BA79/12</f>
        <v>0</v>
      </c>
      <c r="BB78" s="79">
        <f>(BE76-AY76)*BB79/12</f>
        <v>0</v>
      </c>
      <c r="BC78" s="79">
        <f>(BE76-AY76)*BC79/12</f>
        <v>0</v>
      </c>
      <c r="BD78" s="79">
        <f>(BE76-AY76)*BD79/12</f>
        <v>0</v>
      </c>
      <c r="BE78"/>
      <c r="BF78"/>
      <c r="BG78"/>
    </row>
    <row r="79" spans="1:59" ht="15" x14ac:dyDescent="0.25">
      <c r="C79" s="18" t="s">
        <v>221</v>
      </c>
      <c r="D79" s="18">
        <v>1</v>
      </c>
      <c r="E79" s="18">
        <v>3</v>
      </c>
      <c r="F79" s="18">
        <v>6</v>
      </c>
      <c r="G79" s="18">
        <v>9</v>
      </c>
      <c r="H79" s="18">
        <v>11</v>
      </c>
      <c r="J79" s="79">
        <v>1</v>
      </c>
      <c r="K79" s="79">
        <v>3</v>
      </c>
      <c r="L79" s="79">
        <v>6</v>
      </c>
      <c r="M79" s="79">
        <v>9</v>
      </c>
      <c r="N79" s="79">
        <v>11</v>
      </c>
      <c r="P79" s="79">
        <v>1</v>
      </c>
      <c r="Q79" s="79">
        <v>3</v>
      </c>
      <c r="R79" s="79">
        <v>6</v>
      </c>
      <c r="S79" s="79">
        <v>9</v>
      </c>
      <c r="T79" s="79">
        <v>11</v>
      </c>
      <c r="U79" s="13"/>
      <c r="V79" s="79">
        <v>1</v>
      </c>
      <c r="W79" s="79">
        <v>3</v>
      </c>
      <c r="X79" s="79">
        <v>6</v>
      </c>
      <c r="Y79" s="79">
        <v>9</v>
      </c>
      <c r="Z79" s="79">
        <v>11</v>
      </c>
      <c r="AB79" s="79">
        <v>1</v>
      </c>
      <c r="AC79" s="79">
        <v>3</v>
      </c>
      <c r="AD79" s="79">
        <v>6</v>
      </c>
      <c r="AE79" s="79">
        <v>9</v>
      </c>
      <c r="AF79" s="79">
        <v>11</v>
      </c>
      <c r="AG79"/>
      <c r="AH79" s="79">
        <v>1</v>
      </c>
      <c r="AI79" s="79">
        <v>3</v>
      </c>
      <c r="AJ79" s="79">
        <v>6</v>
      </c>
      <c r="AK79" s="79">
        <v>9</v>
      </c>
      <c r="AL79" s="79">
        <v>11</v>
      </c>
      <c r="AM79"/>
      <c r="AN79" s="79">
        <v>1</v>
      </c>
      <c r="AO79" s="79">
        <v>3</v>
      </c>
      <c r="AP79" s="79">
        <v>6</v>
      </c>
      <c r="AQ79" s="79">
        <v>9</v>
      </c>
      <c r="AR79" s="79">
        <v>11</v>
      </c>
      <c r="AS79"/>
      <c r="AT79" s="79">
        <v>1</v>
      </c>
      <c r="AU79" s="79">
        <v>3</v>
      </c>
      <c r="AV79" s="79">
        <v>6</v>
      </c>
      <c r="AW79" s="79">
        <v>9</v>
      </c>
      <c r="AX79" s="79">
        <v>11</v>
      </c>
      <c r="AY79"/>
      <c r="AZ79" s="79">
        <v>1</v>
      </c>
      <c r="BA79" s="79">
        <v>3</v>
      </c>
      <c r="BB79" s="79">
        <v>6</v>
      </c>
      <c r="BC79" s="79">
        <v>9</v>
      </c>
      <c r="BD79" s="79">
        <v>11</v>
      </c>
      <c r="BE79"/>
      <c r="BF79"/>
      <c r="BG79"/>
    </row>
    <row r="80" spans="1:59" ht="15" x14ac:dyDescent="0.25">
      <c r="A80" s="18" t="str">
        <f>CONCATENATE("Passage à ",D81,"m")</f>
        <v>Passage à 5m</v>
      </c>
      <c r="B80" s="124" t="s">
        <v>223</v>
      </c>
      <c r="C80" s="124"/>
      <c r="D80" s="125">
        <f>C75</f>
        <v>481860</v>
      </c>
      <c r="E80" s="125">
        <f>AD51</f>
        <v>481866.2</v>
      </c>
      <c r="F80" s="125">
        <f>IF(AD53&gt;0,AD53,E80)</f>
        <v>481866.2</v>
      </c>
      <c r="G80" s="125">
        <f>IF(AD55&gt;0,AD55,F80)</f>
        <v>481877.64954128442</v>
      </c>
      <c r="H80" s="125">
        <f>IF(AD57&gt;0,AD57,G80)</f>
        <v>481878.82374245476</v>
      </c>
      <c r="I80" s="126">
        <f>IF(AD59&gt;0,AD59,H80)</f>
        <v>481889.616498994</v>
      </c>
      <c r="J80" s="125">
        <f>IF(AD61&gt;0,AD61,I80)</f>
        <v>481890.78517773305</v>
      </c>
      <c r="K80" s="125">
        <f>IF(AD63&gt;0,AD63,J80)</f>
        <v>481890.78517773305</v>
      </c>
      <c r="L80" s="125">
        <f>IF(AD65&gt;0,AD65,K80)</f>
        <v>481890.78517773305</v>
      </c>
      <c r="M80" s="125">
        <f>IF(AD67&gt;0,AD67,L80)</f>
        <v>481890.78517773305</v>
      </c>
      <c r="N80" s="125">
        <f>BE75</f>
        <v>481914.01666666666</v>
      </c>
      <c r="P80" s="18"/>
      <c r="S80" s="13"/>
      <c r="T80" s="13"/>
      <c r="W80" s="13"/>
      <c r="X80" s="13"/>
      <c r="Y80" s="13"/>
      <c r="AA80" s="18"/>
      <c r="AC80"/>
      <c r="AD80"/>
      <c r="AE80"/>
      <c r="AF80"/>
      <c r="AG80"/>
      <c r="AL80"/>
      <c r="AM80"/>
      <c r="AQ80"/>
      <c r="AR80"/>
      <c r="AS80"/>
      <c r="AT80"/>
      <c r="AW80"/>
      <c r="AX80"/>
      <c r="AY80"/>
      <c r="BA80"/>
      <c r="BB80"/>
      <c r="BC80"/>
      <c r="BD80"/>
      <c r="BE80"/>
      <c r="BF80"/>
      <c r="BG80"/>
    </row>
    <row r="81" spans="1:59" ht="15" x14ac:dyDescent="0.25">
      <c r="B81" s="124" t="s">
        <v>224</v>
      </c>
      <c r="C81" s="124"/>
      <c r="D81" s="124">
        <f t="shared" ref="D81:N81" si="30">$D$45</f>
        <v>5</v>
      </c>
      <c r="E81" s="124">
        <f t="shared" si="30"/>
        <v>5</v>
      </c>
      <c r="F81" s="124">
        <f t="shared" si="30"/>
        <v>5</v>
      </c>
      <c r="G81" s="124">
        <f t="shared" si="30"/>
        <v>5</v>
      </c>
      <c r="H81" s="124">
        <f t="shared" si="30"/>
        <v>5</v>
      </c>
      <c r="I81" s="124">
        <f t="shared" si="30"/>
        <v>5</v>
      </c>
      <c r="J81" s="124">
        <f t="shared" si="30"/>
        <v>5</v>
      </c>
      <c r="K81" s="124">
        <f t="shared" si="30"/>
        <v>5</v>
      </c>
      <c r="L81" s="124">
        <f t="shared" si="30"/>
        <v>5</v>
      </c>
      <c r="M81" s="124">
        <f t="shared" si="30"/>
        <v>5</v>
      </c>
      <c r="N81" s="124">
        <f t="shared" si="30"/>
        <v>5</v>
      </c>
      <c r="P81" s="18"/>
      <c r="S81" s="13"/>
      <c r="T81" s="13"/>
      <c r="W81" s="13"/>
      <c r="X81" s="13"/>
      <c r="Y81" s="13"/>
      <c r="AA81" s="18"/>
      <c r="AC81"/>
      <c r="AD81"/>
      <c r="AE81"/>
      <c r="AF81"/>
      <c r="AG81"/>
      <c r="AL81"/>
      <c r="AM81"/>
      <c r="AQ81"/>
      <c r="AR81"/>
      <c r="AS81"/>
      <c r="AT81"/>
      <c r="AW81"/>
      <c r="AX81"/>
      <c r="AY81"/>
      <c r="BA81"/>
      <c r="BB81"/>
      <c r="BC81"/>
      <c r="BD81"/>
      <c r="BE81"/>
      <c r="BF81"/>
      <c r="BG81"/>
    </row>
    <row r="82" spans="1:59" ht="15" x14ac:dyDescent="0.25">
      <c r="A82" s="18" t="str">
        <f>CONCATENATE("Passage a ",D46,"h")</f>
        <v>Passage a 17:00:00h</v>
      </c>
      <c r="B82" s="127" t="s">
        <v>225</v>
      </c>
      <c r="C82" s="128">
        <f>IF(AE51&gt;0,AE51,#REF!)</f>
        <v>481865</v>
      </c>
      <c r="D82" s="128">
        <f>IF(AE59&gt;0,AE59,G82)</f>
        <v>481889</v>
      </c>
      <c r="F82" s="128"/>
      <c r="G82" s="128"/>
      <c r="I82" s="128"/>
      <c r="J82" s="128"/>
      <c r="K82" s="128"/>
      <c r="L82" s="128"/>
      <c r="S82" s="13"/>
      <c r="T82" s="13"/>
      <c r="U82" s="13"/>
      <c r="V82" s="13"/>
      <c r="W82" s="13"/>
      <c r="X82" s="13"/>
      <c r="Y82" s="13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59" ht="15" x14ac:dyDescent="0.25">
      <c r="B83" s="127" t="s">
        <v>224</v>
      </c>
      <c r="C83" s="127">
        <f>I51</f>
        <v>5.5025806451681953</v>
      </c>
      <c r="D83" s="127">
        <f>I59</f>
        <v>5.3641091954143381</v>
      </c>
      <c r="F83" s="127"/>
      <c r="G83" s="127"/>
      <c r="I83" s="127"/>
      <c r="J83" s="127"/>
      <c r="K83" s="127"/>
      <c r="L83" s="127"/>
      <c r="S83" s="13"/>
      <c r="T83" s="13"/>
      <c r="U83" s="13"/>
      <c r="V83" s="13"/>
      <c r="W83" s="13"/>
      <c r="X83" s="13"/>
      <c r="Y83" s="13"/>
      <c r="AC83"/>
      <c r="AD83"/>
      <c r="AE83"/>
      <c r="AF83"/>
      <c r="AG83"/>
      <c r="AH83"/>
      <c r="AI83"/>
      <c r="AJ83"/>
    </row>
    <row r="84" spans="1:59" x14ac:dyDescent="0.2">
      <c r="S84" s="13"/>
      <c r="T84" s="13"/>
      <c r="U84" s="13"/>
      <c r="V84" s="13"/>
      <c r="W84" s="13"/>
      <c r="X84" s="13"/>
      <c r="Y84" s="13"/>
    </row>
  </sheetData>
  <dataConsolidate link="1"/>
  <mergeCells count="116">
    <mergeCell ref="G68:H68"/>
    <mergeCell ref="I68:K68"/>
    <mergeCell ref="B43:Z43"/>
    <mergeCell ref="B73:Z73"/>
    <mergeCell ref="J67:K67"/>
    <mergeCell ref="I52:K52"/>
    <mergeCell ref="I54:K54"/>
    <mergeCell ref="I56:K56"/>
    <mergeCell ref="I58:K58"/>
    <mergeCell ref="I60:K60"/>
    <mergeCell ref="I62:K62"/>
    <mergeCell ref="I64:K64"/>
    <mergeCell ref="I66:K66"/>
    <mergeCell ref="J55:K55"/>
    <mergeCell ref="J57:K57"/>
    <mergeCell ref="J59:K59"/>
    <mergeCell ref="J61:K61"/>
    <mergeCell ref="J63:K63"/>
    <mergeCell ref="D53:F53"/>
    <mergeCell ref="D55:F55"/>
    <mergeCell ref="D57:F57"/>
    <mergeCell ref="D59:F59"/>
    <mergeCell ref="D61:F61"/>
    <mergeCell ref="G59:H59"/>
    <mergeCell ref="J53:K53"/>
    <mergeCell ref="G56:H56"/>
    <mergeCell ref="G55:H55"/>
    <mergeCell ref="G61:H61"/>
    <mergeCell ref="G63:H63"/>
    <mergeCell ref="G65:H65"/>
    <mergeCell ref="G67:H67"/>
    <mergeCell ref="D63:F63"/>
    <mergeCell ref="D65:F65"/>
    <mergeCell ref="D67:F67"/>
    <mergeCell ref="G62:H62"/>
    <mergeCell ref="G64:H64"/>
    <mergeCell ref="G66:H66"/>
    <mergeCell ref="E8:L8"/>
    <mergeCell ref="E9:H9"/>
    <mergeCell ref="I9:L9"/>
    <mergeCell ref="E10:F10"/>
    <mergeCell ref="G10:H10"/>
    <mergeCell ref="I10:J10"/>
    <mergeCell ref="K10:L10"/>
    <mergeCell ref="D48:F48"/>
    <mergeCell ref="K32:L32"/>
    <mergeCell ref="K33:L33"/>
    <mergeCell ref="K34:L34"/>
    <mergeCell ref="K35:L35"/>
    <mergeCell ref="K36:L36"/>
    <mergeCell ref="H28:O28"/>
    <mergeCell ref="J29:L29"/>
    <mergeCell ref="H29:H30"/>
    <mergeCell ref="I29:I30"/>
    <mergeCell ref="M29:Q29"/>
    <mergeCell ref="P30:Q30"/>
    <mergeCell ref="Y41:AA41"/>
    <mergeCell ref="Y42:AA42"/>
    <mergeCell ref="AY31:AZ31"/>
    <mergeCell ref="AB1:AD1"/>
    <mergeCell ref="B12:C14"/>
    <mergeCell ref="B18:C20"/>
    <mergeCell ref="B21:C21"/>
    <mergeCell ref="B11:C11"/>
    <mergeCell ref="B15:C17"/>
    <mergeCell ref="C29:G29"/>
    <mergeCell ref="K30:L30"/>
    <mergeCell ref="K31:L31"/>
    <mergeCell ref="C1:F4"/>
    <mergeCell ref="G1:Y2"/>
    <mergeCell ref="G3:I4"/>
    <mergeCell ref="J3:L4"/>
    <mergeCell ref="K37:L37"/>
    <mergeCell ref="K38:L38"/>
    <mergeCell ref="AS31:AS40"/>
    <mergeCell ref="AT31:AT40"/>
    <mergeCell ref="K39:L39"/>
    <mergeCell ref="K40:L40"/>
    <mergeCell ref="N30:O30"/>
    <mergeCell ref="N31:O31"/>
    <mergeCell ref="BA31:BB31"/>
    <mergeCell ref="AU30:BB30"/>
    <mergeCell ref="AU33:AU40"/>
    <mergeCell ref="AV33:AV40"/>
    <mergeCell ref="AW33:AW40"/>
    <mergeCell ref="AX33:AX40"/>
    <mergeCell ref="AY33:AY40"/>
    <mergeCell ref="AZ33:AZ40"/>
    <mergeCell ref="BA33:BA40"/>
    <mergeCell ref="BB33:BB40"/>
    <mergeCell ref="AU31:AV31"/>
    <mergeCell ref="AW31:AX31"/>
    <mergeCell ref="D51:F51"/>
    <mergeCell ref="C71:D71"/>
    <mergeCell ref="N32:O32"/>
    <mergeCell ref="N33:O33"/>
    <mergeCell ref="N34:O34"/>
    <mergeCell ref="N35:O35"/>
    <mergeCell ref="N36:O36"/>
    <mergeCell ref="N37:O37"/>
    <mergeCell ref="N38:O38"/>
    <mergeCell ref="N39:O39"/>
    <mergeCell ref="N40:O40"/>
    <mergeCell ref="C44:F44"/>
    <mergeCell ref="D49:E49"/>
    <mergeCell ref="J65:K65"/>
    <mergeCell ref="G58:H58"/>
    <mergeCell ref="G60:H60"/>
    <mergeCell ref="G57:H57"/>
    <mergeCell ref="G52:H52"/>
    <mergeCell ref="G54:H54"/>
    <mergeCell ref="G51:H51"/>
    <mergeCell ref="G53:H53"/>
    <mergeCell ref="G49:H50"/>
    <mergeCell ref="J50:K50"/>
    <mergeCell ref="J51:K51"/>
  </mergeCells>
  <conditionalFormatting sqref="H31:H40">
    <cfRule type="cellIs" dxfId="5" priority="8" operator="equal">
      <formula>"Y"</formula>
    </cfRule>
  </conditionalFormatting>
  <conditionalFormatting sqref="AF31:AJ31">
    <cfRule type="cellIs" dxfId="4" priority="6" operator="equal">
      <formula>FALSE</formula>
    </cfRule>
  </conditionalFormatting>
  <conditionalFormatting sqref="AL31">
    <cfRule type="cellIs" dxfId="3" priority="5" operator="equal">
      <formula>FALSE</formula>
    </cfRule>
  </conditionalFormatting>
  <conditionalFormatting sqref="I31:I40">
    <cfRule type="cellIs" dxfId="2" priority="3" operator="equal">
      <formula>"Y"</formula>
    </cfRule>
  </conditionalFormatting>
  <conditionalFormatting sqref="AF32:AJ40">
    <cfRule type="cellIs" dxfId="1" priority="2" operator="equal">
      <formula>FALSE</formula>
    </cfRule>
  </conditionalFormatting>
  <conditionalFormatting sqref="AL32:AL40">
    <cfRule type="cellIs" dxfId="0" priority="1" operator="equal">
      <formula>FALSE</formula>
    </cfRule>
  </conditionalFormatting>
  <dataValidations count="1">
    <dataValidation type="list" allowBlank="1" showInputMessage="1" showErrorMessage="1" sqref="C31" xr:uid="{00000000-0002-0000-0500-000002000000}">
      <formula1>$AB$3:$AB$4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55CDB-195A-414C-A18E-615C2963B562}">
  <sheetPr codeName="Sheet1"/>
  <dimension ref="B2:BG9"/>
  <sheetViews>
    <sheetView tabSelected="1" topLeftCell="C1" workbookViewId="0">
      <selection activeCell="C2" sqref="A2:XFD2"/>
    </sheetView>
  </sheetViews>
  <sheetFormatPr defaultRowHeight="15" x14ac:dyDescent="0.25"/>
  <cols>
    <col min="3" max="24" width="32.85546875" customWidth="1"/>
    <col min="25" max="38" width="26.85546875" bestFit="1" customWidth="1"/>
    <col min="39" max="57" width="25.5703125" bestFit="1" customWidth="1"/>
  </cols>
  <sheetData>
    <row r="2" spans="2:59" s="328" customFormat="1" x14ac:dyDescent="0.25">
      <c r="C2" s="328" cm="1">
        <f t="array" ref="C2">dateEpoch2XLSDate(C4*3600)</f>
        <v>45646.5</v>
      </c>
      <c r="D2" s="328" cm="1">
        <f t="array" ref="D2">dateEpoch2XLSDate(D4*3600)</f>
        <v>45646.54305555555</v>
      </c>
      <c r="E2" s="328" cm="1">
        <f t="array" ref="E2">dateEpoch2XLSDate(E4*3600)</f>
        <v>45646.586111111115</v>
      </c>
      <c r="F2" s="328" cm="1">
        <f t="array" ref="F2">dateEpoch2XLSDate(F4*3600)</f>
        <v>45646.629166666666</v>
      </c>
      <c r="G2" s="328" cm="1">
        <f t="array" ref="G2">dateEpoch2XLSDate(G4*3600)</f>
        <v>45646.672222222223</v>
      </c>
      <c r="H2" s="328" cm="1">
        <f t="array" ref="H2">dateEpoch2XLSDate(H4*3600)</f>
        <v>45646.715277777781</v>
      </c>
      <c r="I2" s="328" cm="1">
        <f t="array" ref="I2">dateEpoch2XLSDate(I4*3600)</f>
        <v>45646.758333333331</v>
      </c>
      <c r="J2" s="328" cm="1">
        <f t="array" ref="J2">dateEpoch2XLSDate(J4*3600)</f>
        <v>45646.8</v>
      </c>
      <c r="K2" s="328" cm="1">
        <f t="array" ref="K2">dateEpoch2XLSDate(K4*3600)</f>
        <v>45646.843055555553</v>
      </c>
      <c r="L2" s="328" cm="1">
        <f t="array" ref="L2">dateEpoch2XLSDate(L4*3600)</f>
        <v>45646.886111111111</v>
      </c>
      <c r="M2" s="328" cm="1">
        <f t="array" ref="M2">dateEpoch2XLSDate(M4*3600)</f>
        <v>45646.929166666669</v>
      </c>
      <c r="N2" s="328" cm="1">
        <f t="array" ref="N2">dateEpoch2XLSDate(N4*3600)</f>
        <v>45646.972222222219</v>
      </c>
      <c r="O2" s="328" cm="1">
        <f t="array" ref="O2">dateEpoch2XLSDate(O4*3600)</f>
        <v>45647.008333333331</v>
      </c>
      <c r="P2" s="328" cm="1">
        <f t="array" ref="P2">dateEpoch2XLSDate(P4*3600)</f>
        <v>45647.05</v>
      </c>
      <c r="Q2" s="328" cm="1">
        <f t="array" ref="Q2">dateEpoch2XLSDate(Q4*3600)</f>
        <v>45647.093055555553</v>
      </c>
      <c r="R2" s="328" cm="1">
        <f t="array" ref="R2">dateEpoch2XLSDate(R4*3600)</f>
        <v>45647.136111111111</v>
      </c>
      <c r="S2" s="328" cm="1">
        <f t="array" ref="S2">dateEpoch2XLSDate(S4*3600)</f>
        <v>45647.179166666669</v>
      </c>
      <c r="T2" s="328" cm="1">
        <f t="array" ref="T2">dateEpoch2XLSDate(T4*3600)</f>
        <v>45647.222222222219</v>
      </c>
      <c r="U2" s="328" cm="1">
        <f t="array" ref="U2">dateEpoch2XLSDate(U4*3600)</f>
        <v>45647.258333333331</v>
      </c>
      <c r="V2" s="328" cm="1">
        <f t="array" ref="V2">dateEpoch2XLSDate(V4*3600)</f>
        <v>45647.301388888889</v>
      </c>
      <c r="W2" s="328" cm="1">
        <f t="array" ref="W2">dateEpoch2XLSDate(W4*3600)</f>
        <v>45647.344444444447</v>
      </c>
      <c r="X2" s="328" cm="1">
        <f t="array" ref="X2">dateEpoch2XLSDate(X4*3600)</f>
        <v>45647.387499999997</v>
      </c>
      <c r="Y2" s="328" cm="1">
        <f t="array" ref="Y2">dateEpoch2XLSDate(Y4*3600)</f>
        <v>45647.430555555555</v>
      </c>
      <c r="Z2" s="328" cm="1">
        <f t="array" ref="Z2">dateEpoch2XLSDate(Z4*3600)</f>
        <v>45647.473611111112</v>
      </c>
      <c r="AA2" s="328" cm="1">
        <f t="array" ref="AA2">dateEpoch2XLSDate(AA4*3600)</f>
        <v>45647.516666666663</v>
      </c>
      <c r="AB2" s="328" cm="1">
        <f t="array" ref="AB2">dateEpoch2XLSDate(AB4*3600)</f>
        <v>45647.556944444441</v>
      </c>
      <c r="AC2" s="328" cm="1">
        <f t="array" ref="AC2">dateEpoch2XLSDate(AC4*3600)</f>
        <v>45647.600000000006</v>
      </c>
      <c r="AD2" s="328" cm="1">
        <f t="array" ref="AD2">dateEpoch2XLSDate(AD4*3600)</f>
        <v>45647.643055555556</v>
      </c>
      <c r="AE2" s="328" cm="1">
        <f t="array" ref="AE2">dateEpoch2XLSDate(AE4*3600)</f>
        <v>45647.686111111107</v>
      </c>
      <c r="AF2" s="328" cm="1">
        <f t="array" ref="AF2">dateEpoch2XLSDate(AF4*3600)</f>
        <v>45647.729166666672</v>
      </c>
      <c r="AG2" s="328" cm="1">
        <f t="array" ref="AG2">dateEpoch2XLSDate(AG4*3600)</f>
        <v>45647.758333333331</v>
      </c>
      <c r="AH2" s="328" cm="1">
        <f t="array" ref="AH2">dateEpoch2XLSDate(AH4*3600)</f>
        <v>45647.798726851848</v>
      </c>
      <c r="AI2" s="328" cm="1">
        <f t="array" ref="AI2">dateEpoch2XLSDate(AI4*3600)</f>
        <v>45647.841782407413</v>
      </c>
      <c r="AJ2" s="328" cm="1">
        <f t="array" ref="AJ2">dateEpoch2XLSDate(AJ4*3600)</f>
        <v>45647.884837962964</v>
      </c>
      <c r="AK2" s="328" cm="1">
        <f t="array" ref="AK2">dateEpoch2XLSDate(AK4*3600)</f>
        <v>45647.927893518514</v>
      </c>
      <c r="AL2" s="328" cm="1">
        <f t="array" ref="AL2">dateEpoch2XLSDate(AL4*3600)</f>
        <v>45647.970949074079</v>
      </c>
      <c r="AM2" s="328" cm="1">
        <f t="array" ref="AM2">dateEpoch2XLSDate(AM4*3600)</f>
        <v>45648.000694444447</v>
      </c>
      <c r="AN2" s="328" cm="1">
        <f t="array" ref="AN2">dateEpoch2XLSDate(AN4*3600)</f>
        <v>45648.042361111111</v>
      </c>
      <c r="AO2" s="328" cm="1">
        <f t="array" ref="AO2">dateEpoch2XLSDate(AO4*3600)</f>
        <v>45648.085416666669</v>
      </c>
      <c r="AP2" s="328" cm="1">
        <f t="array" ref="AP2">dateEpoch2XLSDate(AP4*3600)</f>
        <v>45648.128472222219</v>
      </c>
      <c r="AQ2" s="328" cm="1">
        <f t="array" ref="AQ2">dateEpoch2XLSDate(AQ4*3600)</f>
        <v>45648.171527777777</v>
      </c>
      <c r="AR2" s="328" cm="1">
        <f t="array" ref="AR2">dateEpoch2XLSDate(AR4*3600)</f>
        <v>45648.214583333334</v>
      </c>
      <c r="AS2" s="328" cm="1">
        <f t="array" ref="AS2">dateEpoch2XLSDate(AS4*3600)</f>
        <v>45648.250694444447</v>
      </c>
      <c r="AT2" s="328" cm="1">
        <f t="array" ref="AT2">dateEpoch2XLSDate(AT4*3600)</f>
        <v>45648.292361111111</v>
      </c>
      <c r="AU2" s="328" cm="1">
        <f t="array" ref="AU2">dateEpoch2XLSDate(AU4*3600)</f>
        <v>45648.335416666669</v>
      </c>
      <c r="AV2" s="328" cm="1">
        <f t="array" ref="AV2">dateEpoch2XLSDate(AV4*3600)</f>
        <v>45648.378472222219</v>
      </c>
      <c r="AW2" s="328" cm="1">
        <f t="array" ref="AW2">dateEpoch2XLSDate(AW4*3600)</f>
        <v>45648.421527777777</v>
      </c>
      <c r="AX2" s="328" cm="1">
        <f t="array" ref="AX2">dateEpoch2XLSDate(AX4*3600)</f>
        <v>45648.464583333334</v>
      </c>
      <c r="AY2" s="328" cm="1">
        <f t="array" ref="AY2">dateEpoch2XLSDate(AY4*3600)</f>
        <v>45648.500694444447</v>
      </c>
      <c r="AZ2" s="328" cm="1">
        <f t="array" ref="AZ2">dateEpoch2XLSDate(AZ4*3600)</f>
        <v>45648.542361111111</v>
      </c>
      <c r="BA2" s="328" cm="1">
        <f t="array" ref="BA2">dateEpoch2XLSDate(BA4*3600)</f>
        <v>45648.585416666669</v>
      </c>
      <c r="BB2" s="328" cm="1">
        <f t="array" ref="BB2">dateEpoch2XLSDate(BB4*3600)</f>
        <v>45648.628472222219</v>
      </c>
      <c r="BC2" s="328" cm="1">
        <f t="array" ref="BC2">dateEpoch2XLSDate(BC4*3600)</f>
        <v>45648.671527777777</v>
      </c>
      <c r="BD2" s="328" cm="1">
        <f t="array" ref="BD2">dateEpoch2XLSDate(BD4*3600)</f>
        <v>45648.714583333334</v>
      </c>
      <c r="BE2" s="328" cm="1">
        <f t="array" ref="BE2">dateEpoch2XLSDate(BE4*3600)</f>
        <v>45648.750694444447</v>
      </c>
    </row>
    <row r="3" spans="2:59" s="18" customFormat="1" ht="12.75" x14ac:dyDescent="0.2">
      <c r="B3" s="18" t="s">
        <v>222</v>
      </c>
      <c r="C3" s="18" t="str" cm="1">
        <f t="array" ref="C3">dateEpoch2Txt(C4*3600)</f>
        <v>2024/12/20 12:00</v>
      </c>
      <c r="D3" s="129" t="str" cm="1">
        <f t="array" ref="D3">dateEpoch2Txt(D4*3600)</f>
        <v>2024/12/20 13:02</v>
      </c>
      <c r="E3" s="129" t="str" cm="1">
        <f t="array" ref="E3">dateEpoch2Txt(E4*3600)</f>
        <v>2024/12/20 14:04</v>
      </c>
      <c r="F3" s="129" t="str" cm="1">
        <f t="array" ref="F3">dateEpoch2Txt(F4*3600)</f>
        <v>2024/12/20 15:06</v>
      </c>
      <c r="G3" s="129" t="str" cm="1">
        <f t="array" ref="G3">dateEpoch2Txt(G4*3600)</f>
        <v>2024/12/20 16:08</v>
      </c>
      <c r="H3" s="129" t="str" cm="1">
        <f t="array" ref="H3">dateEpoch2Txt(H4*3600)</f>
        <v>2024/12/20 17:10</v>
      </c>
      <c r="I3" s="129" t="str" cm="1">
        <f t="array" ref="I3">dateEpoch2Txt(I4*3600)</f>
        <v>2024/12/20 18:12</v>
      </c>
      <c r="J3" s="129" t="str" cm="1">
        <f t="array" ref="J3">dateEpoch2Txt(J4*3600)</f>
        <v>2024/12/20 19:12</v>
      </c>
      <c r="K3" s="129" t="str" cm="1">
        <f t="array" ref="K3">dateEpoch2Txt(K4*3600)</f>
        <v>2024/12/20 20:14</v>
      </c>
      <c r="L3" s="129" t="str" cm="1">
        <f t="array" ref="L3">dateEpoch2Txt(L4*3600)</f>
        <v>2024/12/20 21:16</v>
      </c>
      <c r="M3" s="129" t="str" cm="1">
        <f t="array" ref="M3">dateEpoch2Txt(M4*3600)</f>
        <v>2024/12/20 22:18</v>
      </c>
      <c r="N3" s="129" t="str" cm="1">
        <f t="array" ref="N3">dateEpoch2Txt(N4*3600)</f>
        <v>2024/12/20 23:20</v>
      </c>
      <c r="O3" s="129" t="str" cm="1">
        <f t="array" ref="O3">dateEpoch2Txt(O4*3600)</f>
        <v>2024/12/21 00:12</v>
      </c>
      <c r="P3" s="129" t="str" cm="1">
        <f t="array" ref="P3">dateEpoch2Txt(P4*3600)</f>
        <v>2024/12/21 01:12</v>
      </c>
      <c r="Q3" s="129" t="str" cm="1">
        <f t="array" ref="Q3">dateEpoch2Txt(Q4*3600)</f>
        <v>2024/12/21 02:14</v>
      </c>
      <c r="R3" s="129" t="str" cm="1">
        <f t="array" ref="R3">dateEpoch2Txt(R4*3600)</f>
        <v>2024/12/21 03:16</v>
      </c>
      <c r="S3" s="129" t="str" cm="1">
        <f t="array" ref="S3">dateEpoch2Txt(S4*3600)</f>
        <v>2024/12/21 04:18</v>
      </c>
      <c r="T3" s="129" t="str" cm="1">
        <f t="array" ref="T3">dateEpoch2Txt(T4*3600)</f>
        <v>2024/12/21 05:20</v>
      </c>
      <c r="U3" s="129" t="str" cm="1">
        <f t="array" ref="U3">dateEpoch2Txt(U4*3600)</f>
        <v>2024/12/21 06:12</v>
      </c>
      <c r="V3" s="129" t="str" cm="1">
        <f t="array" ref="V3">dateEpoch2Txt(V4*3600)</f>
        <v>2024/12/21 07:14</v>
      </c>
      <c r="W3" s="129" t="str" cm="1">
        <f t="array" ref="W3">dateEpoch2Txt(W4*3600)</f>
        <v>2024/12/21 08:16</v>
      </c>
      <c r="X3" s="129" t="str" cm="1">
        <f t="array" ref="X3">dateEpoch2Txt(X4*3600)</f>
        <v>2024/12/21 09:18</v>
      </c>
      <c r="Y3" s="129" t="str" cm="1">
        <f t="array" ref="Y3">dateEpoch2Txt(Y4*3600)</f>
        <v>2024/12/21 10:20</v>
      </c>
      <c r="Z3" s="129" t="str" cm="1">
        <f t="array" ref="Z3">dateEpoch2Txt(Z4*3600)</f>
        <v>2024/12/21 11:22</v>
      </c>
      <c r="AA3" s="129" t="str" cm="1">
        <f t="array" ref="AA3">dateEpoch2Txt(AA4*3600)</f>
        <v>2024/12/21 12:24</v>
      </c>
      <c r="AB3" s="129" t="str" cm="1">
        <f t="array" ref="AB3">dateEpoch2Txt(AB4*3600)</f>
        <v>2024/12/21 13:22</v>
      </c>
      <c r="AC3" s="129" t="str" cm="1">
        <f t="array" ref="AC3">dateEpoch2Txt(AC4*3600)</f>
        <v>2024/12/21 14:24</v>
      </c>
      <c r="AD3" s="129" t="str" cm="1">
        <f t="array" ref="AD3">dateEpoch2Txt(AD4*3600)</f>
        <v>2024/12/21 15:26</v>
      </c>
      <c r="AE3" s="129" t="str" cm="1">
        <f t="array" ref="AE3">dateEpoch2Txt(AE4*3600)</f>
        <v>2024/12/21 16:28</v>
      </c>
      <c r="AF3" s="129" t="str" cm="1">
        <f t="array" ref="AF3">dateEpoch2Txt(AF4*3600)</f>
        <v>2024/12/21 17:30</v>
      </c>
      <c r="AG3" s="129" t="str" cm="1">
        <f t="array" ref="AG3">dateEpoch2Txt(AG4*3600)</f>
        <v>2024/12/21 18:12</v>
      </c>
      <c r="AH3" s="129" t="str" cm="1">
        <f t="array" ref="AH3">dateEpoch2Txt(AH4*3600)</f>
        <v>2024/12/21 19:10</v>
      </c>
      <c r="AI3" s="129" t="str" cm="1">
        <f t="array" ref="AI3">dateEpoch2Txt(AI4*3600)</f>
        <v>2024/12/21 20:12</v>
      </c>
      <c r="AJ3" s="129" t="str" cm="1">
        <f t="array" ref="AJ3">dateEpoch2Txt(AJ4*3600)</f>
        <v>2024/12/21 21:14</v>
      </c>
      <c r="AK3" s="129" t="str" cm="1">
        <f t="array" ref="AK3">dateEpoch2Txt(AK4*3600)</f>
        <v>2024/12/21 22:16</v>
      </c>
      <c r="AL3" s="129" t="str" cm="1">
        <f t="array" ref="AL3">dateEpoch2Txt(AL4*3600)</f>
        <v>2024/12/21 23:18</v>
      </c>
      <c r="AM3" s="129" t="str" cm="1">
        <f t="array" ref="AM3">dateEpoch2Txt(AM4*3600)</f>
        <v>2024/12/22 00:01</v>
      </c>
      <c r="AN3" s="129" t="str" cm="1">
        <f t="array" ref="AN3">dateEpoch2Txt(AN4*3600)</f>
        <v>2024/12/22 01:01</v>
      </c>
      <c r="AO3" s="129" t="str" cm="1">
        <f t="array" ref="AO3">dateEpoch2Txt(AO4*3600)</f>
        <v>2024/12/22 02:03</v>
      </c>
      <c r="AP3" s="129" t="str" cm="1">
        <f t="array" ref="AP3">dateEpoch2Txt(AP4*3600)</f>
        <v>2024/12/22 03:05</v>
      </c>
      <c r="AQ3" s="129" t="str" cm="1">
        <f t="array" ref="AQ3">dateEpoch2Txt(AQ4*3600)</f>
        <v>2024/12/22 04:07</v>
      </c>
      <c r="AR3" s="129" t="str" cm="1">
        <f t="array" ref="AR3">dateEpoch2Txt(AR4*3600)</f>
        <v>2024/12/22 05:09</v>
      </c>
      <c r="AS3" s="129" t="str" cm="1">
        <f t="array" ref="AS3">dateEpoch2Txt(AS4*3600)</f>
        <v>2024/12/22 06:01</v>
      </c>
      <c r="AT3" s="129" t="str" cm="1">
        <f t="array" ref="AT3">dateEpoch2Txt(AT4*3600)</f>
        <v>2024/12/22 07:01</v>
      </c>
      <c r="AU3" s="129" t="str" cm="1">
        <f t="array" ref="AU3">dateEpoch2Txt(AU4*3600)</f>
        <v>2024/12/22 08:03</v>
      </c>
      <c r="AV3" s="129" t="str" cm="1">
        <f t="array" ref="AV3">dateEpoch2Txt(AV4*3600)</f>
        <v>2024/12/22 09:05</v>
      </c>
      <c r="AW3" s="129" t="str" cm="1">
        <f t="array" ref="AW3">dateEpoch2Txt(AW4*3600)</f>
        <v>2024/12/22 10:07</v>
      </c>
      <c r="AX3" s="129" t="str" cm="1">
        <f t="array" ref="AX3">dateEpoch2Txt(AX4*3600)</f>
        <v>2024/12/22 11:09</v>
      </c>
      <c r="AY3" s="129" t="str" cm="1">
        <f t="array" ref="AY3">dateEpoch2Txt(AY4*3600)</f>
        <v>2024/12/22 12:01</v>
      </c>
      <c r="AZ3" s="129" t="str" cm="1">
        <f t="array" ref="AZ3">dateEpoch2Txt(AZ4*3600)</f>
        <v>2024/12/22 13:01</v>
      </c>
      <c r="BA3" s="129" t="str" cm="1">
        <f t="array" ref="BA3">dateEpoch2Txt(BA4*3600)</f>
        <v>2024/12/22 14:03</v>
      </c>
      <c r="BB3" s="129" t="str" cm="1">
        <f t="array" ref="BB3">dateEpoch2Txt(BB4*3600)</f>
        <v>2024/12/22 15:05</v>
      </c>
      <c r="BC3" s="129" t="str" cm="1">
        <f t="array" ref="BC3">dateEpoch2Txt(BC4*3600)</f>
        <v>2024/12/22 16:07</v>
      </c>
      <c r="BD3" s="129" t="str" cm="1">
        <f t="array" ref="BD3">dateEpoch2Txt(BD4*3600)</f>
        <v>2024/12/22 17:09</v>
      </c>
      <c r="BE3" s="129" t="str" cm="1">
        <f t="array" ref="BE3">dateEpoch2Txt(BE4*3600)</f>
        <v>2024/12/22 18:01</v>
      </c>
    </row>
    <row r="4" spans="2:59" x14ac:dyDescent="0.25">
      <c r="B4" t="s">
        <v>6</v>
      </c>
      <c r="C4">
        <v>481860</v>
      </c>
      <c r="D4">
        <v>481861.03333333333</v>
      </c>
      <c r="E4">
        <v>481862.06666666665</v>
      </c>
      <c r="F4">
        <v>481863.1</v>
      </c>
      <c r="G4">
        <v>481864.1333333333</v>
      </c>
      <c r="H4">
        <v>481865.16666666663</v>
      </c>
      <c r="I4">
        <v>481866.2</v>
      </c>
      <c r="J4">
        <v>481867.2</v>
      </c>
      <c r="K4">
        <v>481868.23333333334</v>
      </c>
      <c r="L4">
        <v>481869.26666666666</v>
      </c>
      <c r="M4">
        <v>481870.3</v>
      </c>
      <c r="N4">
        <v>481871.33333333331</v>
      </c>
      <c r="O4">
        <v>481872.2</v>
      </c>
      <c r="P4">
        <v>481873.2</v>
      </c>
      <c r="Q4">
        <v>481874.23333333334</v>
      </c>
      <c r="R4">
        <v>481875.26666666666</v>
      </c>
      <c r="S4">
        <v>481876.3</v>
      </c>
      <c r="T4">
        <v>481877.33333333331</v>
      </c>
      <c r="U4">
        <v>481878.2</v>
      </c>
      <c r="V4">
        <v>481879.23333333334</v>
      </c>
      <c r="W4">
        <v>481880.26666666666</v>
      </c>
      <c r="X4">
        <v>481881.3</v>
      </c>
      <c r="Y4">
        <v>481882.33333333331</v>
      </c>
      <c r="Z4">
        <v>481883.36666666664</v>
      </c>
      <c r="AA4">
        <v>481884.4</v>
      </c>
      <c r="AB4">
        <v>481885.3666666667</v>
      </c>
      <c r="AC4">
        <v>481886.4</v>
      </c>
      <c r="AD4">
        <v>481887.43333333335</v>
      </c>
      <c r="AE4">
        <v>481888.46666666667</v>
      </c>
      <c r="AF4">
        <v>481889.5</v>
      </c>
      <c r="AG4">
        <v>481890.2</v>
      </c>
      <c r="AH4">
        <v>481891.16944444447</v>
      </c>
      <c r="AI4">
        <v>481892.2027777778</v>
      </c>
      <c r="AJ4">
        <v>481893.23611111112</v>
      </c>
      <c r="AK4">
        <v>481894.26944444445</v>
      </c>
      <c r="AL4">
        <v>481895.30277777778</v>
      </c>
      <c r="AM4">
        <v>481896.01666666666</v>
      </c>
      <c r="AN4">
        <v>481897.01666666666</v>
      </c>
      <c r="AO4">
        <v>481898.05</v>
      </c>
      <c r="AP4">
        <v>481899.08333333331</v>
      </c>
      <c r="AQ4">
        <v>481900.11666666664</v>
      </c>
      <c r="AR4">
        <v>481901.14999999997</v>
      </c>
      <c r="AS4">
        <v>481902.01666666666</v>
      </c>
      <c r="AT4">
        <v>481903.01666666666</v>
      </c>
      <c r="AU4">
        <v>481904.05</v>
      </c>
      <c r="AV4">
        <v>481905.08333333331</v>
      </c>
      <c r="AW4">
        <v>481906.11666666664</v>
      </c>
      <c r="AX4">
        <v>481907.14999999997</v>
      </c>
      <c r="AY4">
        <v>481908.01666666666</v>
      </c>
      <c r="AZ4">
        <v>481909.01666666666</v>
      </c>
      <c r="BA4">
        <v>481910.05</v>
      </c>
      <c r="BB4">
        <v>481911.08333333331</v>
      </c>
      <c r="BC4">
        <v>481912.11666666664</v>
      </c>
      <c r="BD4">
        <v>481913.14999999997</v>
      </c>
      <c r="BE4">
        <v>481914.01666666666</v>
      </c>
    </row>
    <row r="5" spans="2:59" s="109" customFormat="1" x14ac:dyDescent="0.25">
      <c r="B5" s="84" t="s">
        <v>64</v>
      </c>
      <c r="C5" s="104">
        <v>9.56</v>
      </c>
      <c r="D5" s="105">
        <v>9.18</v>
      </c>
      <c r="E5" s="105">
        <v>8.42</v>
      </c>
      <c r="F5" s="105">
        <v>7.28</v>
      </c>
      <c r="G5" s="105">
        <v>6.1400000000000006</v>
      </c>
      <c r="H5" s="105">
        <v>5.38</v>
      </c>
      <c r="I5" s="104">
        <v>5</v>
      </c>
      <c r="J5" s="105">
        <v>5.4333333333333336</v>
      </c>
      <c r="K5" s="105">
        <v>6.3</v>
      </c>
      <c r="L5" s="105">
        <v>7.6</v>
      </c>
      <c r="M5" s="105">
        <v>8.9</v>
      </c>
      <c r="N5" s="105">
        <v>9.7666666666666657</v>
      </c>
      <c r="O5" s="104">
        <v>10.199999999999999</v>
      </c>
      <c r="P5" s="105">
        <v>9.7458333333333336</v>
      </c>
      <c r="Q5" s="105">
        <v>8.8374999999999986</v>
      </c>
      <c r="R5" s="105">
        <v>7.4749999999999996</v>
      </c>
      <c r="S5" s="105">
        <v>6.1124999999999998</v>
      </c>
      <c r="T5" s="105">
        <v>5.2041666666666666</v>
      </c>
      <c r="U5" s="104">
        <v>4.75</v>
      </c>
      <c r="V5" s="105">
        <v>5.1641666666666666</v>
      </c>
      <c r="W5" s="105">
        <v>5.9924999999999997</v>
      </c>
      <c r="X5" s="105">
        <v>7.2350000000000003</v>
      </c>
      <c r="Y5" s="105">
        <v>8.4775000000000009</v>
      </c>
      <c r="Z5" s="105">
        <v>9.3058333333333341</v>
      </c>
      <c r="AA5" s="104">
        <v>9.7200000000000006</v>
      </c>
      <c r="AB5" s="105">
        <v>9.3058333333333341</v>
      </c>
      <c r="AC5" s="105">
        <v>8.4775000000000009</v>
      </c>
      <c r="AD5" s="105">
        <v>7.2350000000000003</v>
      </c>
      <c r="AE5" s="105">
        <v>5.9924999999999997</v>
      </c>
      <c r="AF5" s="105">
        <v>5.1641666666666666</v>
      </c>
      <c r="AG5" s="104">
        <v>4.75</v>
      </c>
      <c r="AH5" s="105">
        <v>5.1641666666666666</v>
      </c>
      <c r="AI5" s="105">
        <v>5.9924999999999997</v>
      </c>
      <c r="AJ5" s="105">
        <v>7.2350000000000003</v>
      </c>
      <c r="AK5" s="105">
        <v>8.4775000000000009</v>
      </c>
      <c r="AL5" s="105">
        <v>9.3058333333333341</v>
      </c>
      <c r="AM5" s="104">
        <v>9.7200000000000006</v>
      </c>
      <c r="AN5" s="105">
        <v>9.7200000000000006</v>
      </c>
      <c r="AO5" s="105">
        <v>9.7200000000000006</v>
      </c>
      <c r="AP5" s="105">
        <v>9.7200000000000006</v>
      </c>
      <c r="AQ5" s="105">
        <v>9.7200000000000006</v>
      </c>
      <c r="AR5" s="105">
        <v>9.7200000000000006</v>
      </c>
      <c r="AS5" s="104">
        <v>9.7200000000000006</v>
      </c>
      <c r="AT5" s="105">
        <v>9.7200000000000006</v>
      </c>
      <c r="AU5" s="105">
        <v>9.7200000000000006</v>
      </c>
      <c r="AV5" s="105">
        <v>9.7200000000000006</v>
      </c>
      <c r="AW5" s="105">
        <v>9.7200000000000006</v>
      </c>
      <c r="AX5" s="105">
        <v>9.7200000000000006</v>
      </c>
      <c r="AY5" s="104">
        <v>9.7200000000000006</v>
      </c>
      <c r="AZ5" s="105">
        <v>9.7200000000000006</v>
      </c>
      <c r="BA5" s="105">
        <v>9.7200000000000006</v>
      </c>
      <c r="BB5" s="105">
        <v>9.7200000000000006</v>
      </c>
      <c r="BC5" s="105">
        <v>9.7200000000000006</v>
      </c>
      <c r="BD5" s="105">
        <v>9.7200000000000006</v>
      </c>
      <c r="BE5" s="104">
        <v>9.7200000000000006</v>
      </c>
      <c r="BF5"/>
      <c r="BG5"/>
    </row>
    <row r="6" spans="2:59" s="109" customFormat="1" x14ac:dyDescent="0.25">
      <c r="B6" s="84"/>
      <c r="C6" s="104" t="s">
        <v>219</v>
      </c>
      <c r="D6" s="105">
        <v>1.0333333333352737</v>
      </c>
      <c r="E6" s="105">
        <v>1.0333333333352737</v>
      </c>
      <c r="F6" s="105">
        <v>1.0333333333352737</v>
      </c>
      <c r="G6" s="105">
        <v>1.0333333333352737</v>
      </c>
      <c r="H6" s="105">
        <v>1.0333333333352737</v>
      </c>
      <c r="I6" s="104" t="s">
        <v>219</v>
      </c>
      <c r="J6" s="105">
        <v>1</v>
      </c>
      <c r="K6" s="105">
        <v>1</v>
      </c>
      <c r="L6" s="105">
        <v>1</v>
      </c>
      <c r="M6" s="105">
        <v>1</v>
      </c>
      <c r="N6" s="105">
        <v>1</v>
      </c>
      <c r="O6" s="104" t="s">
        <v>219</v>
      </c>
      <c r="P6" s="105">
        <v>1</v>
      </c>
      <c r="Q6" s="105">
        <v>1</v>
      </c>
      <c r="R6" s="105">
        <v>1</v>
      </c>
      <c r="S6" s="105">
        <v>1</v>
      </c>
      <c r="T6" s="105">
        <v>1</v>
      </c>
      <c r="U6" s="104" t="s">
        <v>219</v>
      </c>
      <c r="V6" s="105">
        <v>1.0333333333352737</v>
      </c>
      <c r="W6" s="105">
        <v>1.0333333333352737</v>
      </c>
      <c r="X6" s="105">
        <v>1.0333333333352737</v>
      </c>
      <c r="Y6" s="105">
        <v>1.0333333333352737</v>
      </c>
      <c r="Z6" s="105">
        <v>1.0333333333352737</v>
      </c>
      <c r="AA6" s="104" t="s">
        <v>219</v>
      </c>
      <c r="AB6" s="105">
        <v>0.96666666666472645</v>
      </c>
      <c r="AC6" s="105">
        <v>0.96666666666472645</v>
      </c>
      <c r="AD6" s="105">
        <v>0.96666666666472645</v>
      </c>
      <c r="AE6" s="105">
        <v>0.96666666666472645</v>
      </c>
      <c r="AF6" s="105">
        <v>0.96666666666472645</v>
      </c>
      <c r="AG6" s="104" t="s">
        <v>219</v>
      </c>
      <c r="AH6" s="105">
        <v>0.9694444444418574</v>
      </c>
      <c r="AI6" s="105">
        <v>0.9694444444418574</v>
      </c>
      <c r="AJ6" s="105">
        <v>0.9694444444418574</v>
      </c>
      <c r="AK6" s="105">
        <v>0.9694444444418574</v>
      </c>
      <c r="AL6" s="105">
        <v>0.9694444444418574</v>
      </c>
      <c r="AM6" s="104" t="s">
        <v>219</v>
      </c>
      <c r="AN6" s="105">
        <v>1</v>
      </c>
      <c r="AO6" s="105">
        <v>1</v>
      </c>
      <c r="AP6" s="105">
        <v>1</v>
      </c>
      <c r="AQ6" s="105">
        <v>1</v>
      </c>
      <c r="AR6" s="105">
        <v>1</v>
      </c>
      <c r="AS6" s="104" t="s">
        <v>219</v>
      </c>
      <c r="AT6" s="105">
        <v>1</v>
      </c>
      <c r="AU6" s="105">
        <v>1</v>
      </c>
      <c r="AV6" s="105">
        <v>1</v>
      </c>
      <c r="AW6" s="105">
        <v>1</v>
      </c>
      <c r="AX6" s="105">
        <v>1</v>
      </c>
      <c r="AY6" s="104" t="s">
        <v>219</v>
      </c>
      <c r="AZ6" s="105">
        <v>1</v>
      </c>
      <c r="BA6" s="105">
        <v>1</v>
      </c>
      <c r="BB6" s="105">
        <v>1</v>
      </c>
      <c r="BC6" s="105">
        <v>1</v>
      </c>
      <c r="BD6" s="105">
        <v>1</v>
      </c>
      <c r="BE6" s="104"/>
      <c r="BF6"/>
      <c r="BG6"/>
    </row>
    <row r="7" spans="2:59" s="109" customFormat="1" x14ac:dyDescent="0.25">
      <c r="C7" s="109" t="s">
        <v>220</v>
      </c>
      <c r="D7" s="84">
        <v>-0.38000000000000006</v>
      </c>
      <c r="E7" s="84">
        <v>-1.1400000000000001</v>
      </c>
      <c r="F7" s="84">
        <v>-2.2800000000000002</v>
      </c>
      <c r="G7" s="84">
        <v>-3.4200000000000004</v>
      </c>
      <c r="H7" s="84">
        <v>-4.1800000000000006</v>
      </c>
      <c r="J7" s="84">
        <v>0.43333333333333329</v>
      </c>
      <c r="K7" s="84">
        <v>1.2999999999999998</v>
      </c>
      <c r="L7" s="84">
        <v>2.5999999999999996</v>
      </c>
      <c r="M7" s="84">
        <v>3.9</v>
      </c>
      <c r="N7" s="84">
        <v>4.7666666666666657</v>
      </c>
      <c r="P7" s="84">
        <v>-0.45416666666666661</v>
      </c>
      <c r="Q7" s="84">
        <v>-1.3624999999999998</v>
      </c>
      <c r="R7" s="84">
        <v>-2.7249999999999996</v>
      </c>
      <c r="S7" s="84">
        <v>-4.0874999999999995</v>
      </c>
      <c r="T7" s="84">
        <v>-4.9958333333333327</v>
      </c>
      <c r="V7" s="84">
        <v>0.41416666666666674</v>
      </c>
      <c r="W7" s="84">
        <v>1.2425000000000002</v>
      </c>
      <c r="X7" s="84">
        <v>2.4850000000000003</v>
      </c>
      <c r="Y7" s="84">
        <v>3.7275000000000005</v>
      </c>
      <c r="Z7" s="84">
        <v>4.5558333333333341</v>
      </c>
      <c r="AB7" s="84">
        <v>-0.41416666666666674</v>
      </c>
      <c r="AC7" s="84">
        <v>-1.2425000000000002</v>
      </c>
      <c r="AD7" s="84">
        <v>-2.4850000000000003</v>
      </c>
      <c r="AE7" s="84">
        <v>-3.7275000000000005</v>
      </c>
      <c r="AF7" s="84">
        <v>-4.5558333333333341</v>
      </c>
      <c r="AH7" s="84">
        <v>0.41416666666666674</v>
      </c>
      <c r="AI7" s="84">
        <v>1.2425000000000002</v>
      </c>
      <c r="AJ7" s="84">
        <v>2.4850000000000003</v>
      </c>
      <c r="AK7" s="84">
        <v>3.7275000000000005</v>
      </c>
      <c r="AL7" s="84">
        <v>4.5558333333333341</v>
      </c>
      <c r="AN7" s="84">
        <v>0</v>
      </c>
      <c r="AO7" s="84">
        <v>0</v>
      </c>
      <c r="AP7" s="84">
        <v>0</v>
      </c>
      <c r="AQ7" s="84">
        <v>0</v>
      </c>
      <c r="AR7" s="84">
        <v>0</v>
      </c>
      <c r="AT7" s="84">
        <v>0</v>
      </c>
      <c r="AU7" s="84">
        <v>0</v>
      </c>
      <c r="AV7" s="84">
        <v>0</v>
      </c>
      <c r="AW7" s="84">
        <v>0</v>
      </c>
      <c r="AX7" s="84">
        <v>0</v>
      </c>
      <c r="AZ7" s="84">
        <v>0</v>
      </c>
      <c r="BA7" s="84">
        <v>0</v>
      </c>
      <c r="BB7" s="84">
        <v>0</v>
      </c>
      <c r="BC7" s="84">
        <v>0</v>
      </c>
      <c r="BD7" s="84">
        <v>0</v>
      </c>
      <c r="BE7"/>
      <c r="BF7"/>
      <c r="BG7"/>
    </row>
    <row r="8" spans="2:59" s="109" customFormat="1" x14ac:dyDescent="0.25">
      <c r="C8" s="109" t="s">
        <v>221</v>
      </c>
      <c r="D8" s="109">
        <v>1</v>
      </c>
      <c r="E8" s="109">
        <v>3</v>
      </c>
      <c r="F8" s="109">
        <v>6</v>
      </c>
      <c r="G8" s="109">
        <v>9</v>
      </c>
      <c r="H8" s="109">
        <v>11</v>
      </c>
      <c r="J8" s="109">
        <v>1</v>
      </c>
      <c r="K8" s="109">
        <v>3</v>
      </c>
      <c r="L8" s="109">
        <v>6</v>
      </c>
      <c r="M8" s="109">
        <v>9</v>
      </c>
      <c r="N8" s="109">
        <v>11</v>
      </c>
      <c r="P8" s="109">
        <v>1</v>
      </c>
      <c r="Q8" s="109">
        <v>3</v>
      </c>
      <c r="R8" s="109">
        <v>6</v>
      </c>
      <c r="S8" s="109">
        <v>9</v>
      </c>
      <c r="T8" s="109">
        <v>11</v>
      </c>
      <c r="U8" s="110"/>
      <c r="V8" s="109">
        <v>1</v>
      </c>
      <c r="W8" s="109">
        <v>3</v>
      </c>
      <c r="X8" s="109">
        <v>6</v>
      </c>
      <c r="Y8" s="109">
        <v>9</v>
      </c>
      <c r="Z8" s="109">
        <v>11</v>
      </c>
      <c r="AA8" s="82"/>
      <c r="AB8" s="109">
        <v>1</v>
      </c>
      <c r="AC8" s="109">
        <v>3</v>
      </c>
      <c r="AD8" s="109">
        <v>6</v>
      </c>
      <c r="AE8" s="109">
        <v>9</v>
      </c>
      <c r="AF8" s="109">
        <v>11</v>
      </c>
      <c r="AG8"/>
      <c r="AH8" s="109">
        <v>1</v>
      </c>
      <c r="AI8" s="109">
        <v>3</v>
      </c>
      <c r="AJ8" s="109">
        <v>6</v>
      </c>
      <c r="AK8" s="109">
        <v>9</v>
      </c>
      <c r="AL8" s="109">
        <v>11</v>
      </c>
      <c r="AM8"/>
      <c r="AN8" s="109">
        <v>1</v>
      </c>
      <c r="AO8" s="109">
        <v>3</v>
      </c>
      <c r="AP8" s="109">
        <v>6</v>
      </c>
      <c r="AQ8" s="109">
        <v>9</v>
      </c>
      <c r="AR8" s="109">
        <v>11</v>
      </c>
      <c r="AS8"/>
      <c r="AT8" s="109">
        <v>1</v>
      </c>
      <c r="AU8" s="109">
        <v>3</v>
      </c>
      <c r="AV8" s="109">
        <v>6</v>
      </c>
      <c r="AW8" s="109">
        <v>9</v>
      </c>
      <c r="AX8" s="109">
        <v>11</v>
      </c>
      <c r="AY8"/>
      <c r="AZ8" s="109">
        <v>1</v>
      </c>
      <c r="BA8" s="109">
        <v>3</v>
      </c>
      <c r="BB8" s="109">
        <v>6</v>
      </c>
      <c r="BC8" s="109">
        <v>9</v>
      </c>
      <c r="BD8" s="109">
        <v>11</v>
      </c>
      <c r="BE8"/>
      <c r="BF8"/>
      <c r="BG8"/>
    </row>
    <row r="9" spans="2:59" s="109" customFormat="1" x14ac:dyDescent="0.25">
      <c r="C9" s="109" t="s">
        <v>221</v>
      </c>
      <c r="D9" s="109">
        <v>1</v>
      </c>
      <c r="E9" s="109">
        <v>3</v>
      </c>
      <c r="F9" s="109">
        <v>6</v>
      </c>
      <c r="G9" s="109">
        <v>9</v>
      </c>
      <c r="H9" s="109">
        <v>11</v>
      </c>
      <c r="J9" s="109">
        <v>1</v>
      </c>
      <c r="K9" s="109">
        <v>3</v>
      </c>
      <c r="L9" s="109">
        <v>6</v>
      </c>
      <c r="M9" s="109">
        <v>9</v>
      </c>
      <c r="N9" s="109">
        <v>11</v>
      </c>
      <c r="P9" s="109">
        <v>1</v>
      </c>
      <c r="Q9" s="109">
        <v>3</v>
      </c>
      <c r="R9" s="109">
        <v>6</v>
      </c>
      <c r="S9" s="109">
        <v>9</v>
      </c>
      <c r="T9" s="109">
        <v>11</v>
      </c>
      <c r="U9" s="110"/>
      <c r="V9" s="109">
        <v>1</v>
      </c>
      <c r="W9" s="109">
        <v>3</v>
      </c>
      <c r="X9" s="109">
        <v>6</v>
      </c>
      <c r="Y9" s="109">
        <v>9</v>
      </c>
      <c r="Z9" s="109">
        <v>11</v>
      </c>
      <c r="AA9" s="82"/>
      <c r="AB9" s="109">
        <v>1</v>
      </c>
      <c r="AC9" s="109">
        <v>3</v>
      </c>
      <c r="AD9" s="109">
        <v>6</v>
      </c>
      <c r="AE9" s="109">
        <v>9</v>
      </c>
      <c r="AF9" s="109">
        <v>11</v>
      </c>
      <c r="AG9"/>
      <c r="AH9" s="109">
        <v>1</v>
      </c>
      <c r="AI9" s="109">
        <v>3</v>
      </c>
      <c r="AJ9" s="109">
        <v>6</v>
      </c>
      <c r="AK9" s="109">
        <v>9</v>
      </c>
      <c r="AL9" s="109">
        <v>11</v>
      </c>
      <c r="AM9"/>
      <c r="AN9" s="109">
        <v>1</v>
      </c>
      <c r="AO9" s="109">
        <v>3</v>
      </c>
      <c r="AP9" s="109">
        <v>6</v>
      </c>
      <c r="AQ9" s="109">
        <v>9</v>
      </c>
      <c r="AR9" s="109">
        <v>11</v>
      </c>
      <c r="AS9"/>
      <c r="AT9" s="109">
        <v>1</v>
      </c>
      <c r="AU9" s="109">
        <v>3</v>
      </c>
      <c r="AV9" s="109">
        <v>6</v>
      </c>
      <c r="AW9" s="109">
        <v>9</v>
      </c>
      <c r="AX9" s="109">
        <v>11</v>
      </c>
      <c r="AY9"/>
      <c r="AZ9" s="109">
        <v>1</v>
      </c>
      <c r="BA9" s="109">
        <v>3</v>
      </c>
      <c r="BB9" s="109">
        <v>6</v>
      </c>
      <c r="BC9" s="109">
        <v>9</v>
      </c>
      <c r="BD9" s="109">
        <v>11</v>
      </c>
      <c r="BE9"/>
      <c r="BF9"/>
      <c r="BG9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Nav</vt:lpstr>
      <vt:lpstr>Maree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2024-08-20T17:53:23Z</dcterms:modified>
</cp:coreProperties>
</file>