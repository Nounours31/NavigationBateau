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719D4C6D-8529-4CE0-BEFA-2E75CDF76D58}" xr6:coauthVersionLast="47" xr6:coauthVersionMax="47" xr10:uidLastSave="{00000000-0000-0000-0000-000000000000}"/>
  <bookViews>
    <workbookView xWindow="5985" yWindow="420" windowWidth="27405" windowHeight="14970" tabRatio="872" xr2:uid="{00000000-000D-0000-FFFF-FFFF00000000}"/>
  </bookViews>
  <sheets>
    <sheet name="Nav" sheetId="3" r:id="rId1"/>
    <sheet name="GrilleCompas" sheetId="13" r:id="rId2"/>
    <sheet name="MareeExo" sheetId="12" r:id="rId3"/>
    <sheet name="Maree" sheetId="4" r:id="rId4"/>
    <sheet name="maree shom (2)" sheetId="11" r:id="rId5"/>
    <sheet name="Feuil1" sheetId="10" r:id="rId6"/>
  </sheets>
  <functionGroups builtInGroupCount="19"/>
  <definedNames>
    <definedName name="_xlnm._FilterDatabase" localSheetId="3" hidden="1">Maree!$C$30:$D$30</definedName>
    <definedName name="DonnéesExternes_1" localSheetId="3" hidden="1">Maree!#REF!</definedName>
    <definedName name="DonnéesExternes_1" localSheetId="4" hidden="1">'maree shom (2)'!$A$1:$D$39</definedName>
    <definedName name="DonnéesExternes_2" localSheetId="3" hidden="1">Maree!#REF!</definedName>
    <definedName name="_xlnm.Print_Area" localSheetId="1">GrilleCompas!$C$1:$AX$45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0" i="3" l="1"/>
  <c r="I109" i="3"/>
  <c r="E6" i="13"/>
  <c r="AA5" i="13"/>
  <c r="AW6" i="13"/>
  <c r="AU5" i="13"/>
  <c r="G5" i="13"/>
  <c r="B10" i="13"/>
  <c r="C10" i="13" s="1"/>
  <c r="J3" i="13"/>
  <c r="L3" i="13" s="1"/>
  <c r="AF3" i="13"/>
  <c r="AE6" i="13" s="1"/>
  <c r="AC6" i="13"/>
  <c r="C8" i="13"/>
  <c r="O24" i="12"/>
  <c r="N19" i="12"/>
  <c r="G4" i="12"/>
  <c r="R19" i="12" s="1"/>
  <c r="O2" i="12"/>
  <c r="N30" i="12"/>
  <c r="N29" i="12"/>
  <c r="N28" i="12"/>
  <c r="N27" i="12"/>
  <c r="L25" i="12"/>
  <c r="K25" i="12"/>
  <c r="L24" i="12"/>
  <c r="K24" i="12"/>
  <c r="E24" i="12"/>
  <c r="R30" i="12" s="1"/>
  <c r="N9" i="12"/>
  <c r="N8" i="12"/>
  <c r="N7" i="12"/>
  <c r="R6" i="12"/>
  <c r="N6" i="12"/>
  <c r="E7" i="12"/>
  <c r="R27" i="12" s="1"/>
  <c r="L4" i="12"/>
  <c r="K4" i="12"/>
  <c r="V4" i="12"/>
  <c r="W4" i="12" s="1"/>
  <c r="X4" i="12" s="1"/>
  <c r="Y4" i="12" s="1"/>
  <c r="Z4" i="12" s="1"/>
  <c r="AA4" i="12" s="1"/>
  <c r="L3" i="12"/>
  <c r="K3" i="12"/>
  <c r="E12" i="12" a="1"/>
  <c r="E6" i="12" a="1"/>
  <c r="O109" i="3" a="1"/>
  <c r="O109" i="3" l="1"/>
  <c r="I6" i="13"/>
  <c r="AH3" i="13"/>
  <c r="B12" i="13"/>
  <c r="B14" i="13" s="1"/>
  <c r="B16" i="13" s="1"/>
  <c r="B18" i="13" s="1"/>
  <c r="B20" i="13" s="1"/>
  <c r="B22" i="13" s="1"/>
  <c r="B24" i="13" s="1"/>
  <c r="B26" i="13" s="1"/>
  <c r="B28" i="13" s="1"/>
  <c r="B30" i="13" s="1"/>
  <c r="B32" i="13" s="1"/>
  <c r="B34" i="13" s="1"/>
  <c r="N3" i="13"/>
  <c r="K6" i="13"/>
  <c r="E8" i="12"/>
  <c r="R28" i="12" s="1"/>
  <c r="E12" i="12"/>
  <c r="E6" i="12"/>
  <c r="G6" i="12" s="1"/>
  <c r="N31" i="12"/>
  <c r="C34" i="13" l="1"/>
  <c r="B36" i="13"/>
  <c r="AJ3" i="13"/>
  <c r="AG6" i="13"/>
  <c r="C32" i="13"/>
  <c r="C12" i="13"/>
  <c r="P3" i="13"/>
  <c r="M6" i="13"/>
  <c r="E25" i="12"/>
  <c r="F25" i="12" s="1"/>
  <c r="I26" i="12" s="1"/>
  <c r="R7" i="12"/>
  <c r="R29" i="12"/>
  <c r="R8" i="12"/>
  <c r="R9" i="12"/>
  <c r="E13" i="12"/>
  <c r="C36" i="13" l="1"/>
  <c r="B38" i="13"/>
  <c r="AI6" i="13"/>
  <c r="AL3" i="13"/>
  <c r="C14" i="13"/>
  <c r="R3" i="13"/>
  <c r="O6" i="13"/>
  <c r="R31" i="12"/>
  <c r="R10" i="12"/>
  <c r="R12" i="12" s="1"/>
  <c r="F13" i="12"/>
  <c r="I28" i="12" a="1"/>
  <c r="I28" i="12" s="1"/>
  <c r="H28" i="12" s="1"/>
  <c r="R33" i="12" s="1"/>
  <c r="I27" i="12" a="1"/>
  <c r="I27" i="12" s="1"/>
  <c r="H27" i="12" s="1"/>
  <c r="H26" i="12"/>
  <c r="I29" i="12" s="1" a="1"/>
  <c r="I29" i="12" s="1"/>
  <c r="H29" i="12" s="1"/>
  <c r="R34" i="12" s="1"/>
  <c r="AN3" i="13" l="1"/>
  <c r="AK5" i="13"/>
  <c r="T3" i="13"/>
  <c r="S6" i="13" s="1"/>
  <c r="Q5" i="13"/>
  <c r="C38" i="13"/>
  <c r="B40" i="13"/>
  <c r="AM6" i="13"/>
  <c r="AP3" i="13"/>
  <c r="C16" i="13"/>
  <c r="R35" i="12"/>
  <c r="N36" i="12"/>
  <c r="R32" i="12"/>
  <c r="E30" i="12"/>
  <c r="E31" i="12" s="1"/>
  <c r="I14" i="12"/>
  <c r="H14" i="12" s="1"/>
  <c r="I15" i="12"/>
  <c r="H15" i="12" s="1"/>
  <c r="R13" i="12" s="1"/>
  <c r="G13" i="12"/>
  <c r="E32" i="12" a="1"/>
  <c r="V3" i="13" l="1"/>
  <c r="C40" i="13"/>
  <c r="B42" i="13"/>
  <c r="AO6" i="13"/>
  <c r="AR3" i="13"/>
  <c r="C18" i="13"/>
  <c r="X3" i="13"/>
  <c r="U6" i="13"/>
  <c r="R14" i="12"/>
  <c r="E32" i="12"/>
  <c r="R38" i="12" s="1"/>
  <c r="N15" i="12"/>
  <c r="E16" i="12"/>
  <c r="E17" i="12" s="1"/>
  <c r="E18" i="12" s="1"/>
  <c r="R20" i="12" s="1"/>
  <c r="R11" i="12"/>
  <c r="R37" i="12"/>
  <c r="C42" i="13" l="1"/>
  <c r="AQ6" i="13"/>
  <c r="AT3" i="13"/>
  <c r="C20" i="13"/>
  <c r="Z3" i="13"/>
  <c r="Y6" i="13" s="1"/>
  <c r="W6" i="13"/>
  <c r="R16" i="12"/>
  <c r="R17" i="12" s="1"/>
  <c r="R18" i="12" s="1"/>
  <c r="S75" i="4"/>
  <c r="AG72" i="4"/>
  <c r="AB75" i="4"/>
  <c r="AC75" i="4" s="1"/>
  <c r="T75" i="4"/>
  <c r="AG64" i="4"/>
  <c r="AJ64" i="4" s="1"/>
  <c r="D172" i="4"/>
  <c r="E172" i="4" s="1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AA172" i="4" s="1"/>
  <c r="AB172" i="4" s="1"/>
  <c r="AC172" i="4" s="1"/>
  <c r="AD172" i="4" s="1"/>
  <c r="AE172" i="4" s="1"/>
  <c r="AF172" i="4" s="1"/>
  <c r="AG172" i="4" s="1"/>
  <c r="C166" i="4"/>
  <c r="C167" i="4"/>
  <c r="B171" i="4"/>
  <c r="AG174" i="4" s="1"/>
  <c r="J85" i="4"/>
  <c r="J72" i="4"/>
  <c r="D72" i="4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C38" i="4"/>
  <c r="AB38" i="4" s="1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40" i="3"/>
  <c r="M141" i="3" s="1"/>
  <c r="J141" i="3" s="1"/>
  <c r="M135" i="3"/>
  <c r="M136" i="3" s="1"/>
  <c r="M130" i="3"/>
  <c r="M131" i="3" s="1"/>
  <c r="F77" i="3"/>
  <c r="AF55" i="3"/>
  <c r="AC33" i="3"/>
  <c r="AC32" i="3"/>
  <c r="K16" i="3"/>
  <c r="K15" i="3"/>
  <c r="AP15" i="4" a="1"/>
  <c r="AC42" i="4" a="1"/>
  <c r="AJ13" i="4" a="1"/>
  <c r="AC52" i="4" a="1"/>
  <c r="AL21" i="4" a="1"/>
  <c r="AC63" i="4" a="1"/>
  <c r="AD55" i="4" a="1"/>
  <c r="AC43" i="4" a="1"/>
  <c r="AC38" i="4"/>
  <c r="AD62" i="4" a="1"/>
  <c r="AD48" i="4" a="1"/>
  <c r="AC46" i="4" a="1"/>
  <c r="AL14" i="4" a="1"/>
  <c r="AL23" i="4" a="1"/>
  <c r="AD51" i="4" a="1"/>
  <c r="AL26" i="4" a="1"/>
  <c r="AJ19" i="4" a="1"/>
  <c r="Q90" i="4" a="1"/>
  <c r="AN14" i="4" a="1"/>
  <c r="Q93" i="4" a="1"/>
  <c r="AC58" i="4" a="1"/>
  <c r="AC62" i="4" a="1"/>
  <c r="AD54" i="4" a="1"/>
  <c r="AJ20" i="4" a="1"/>
  <c r="Q91" i="4" a="1"/>
  <c r="AC60" i="4" a="1"/>
  <c r="AJ22" i="4" a="1"/>
  <c r="AP23" i="4" a="1"/>
  <c r="AP28" i="4" a="1"/>
  <c r="AN20" i="4" a="1"/>
  <c r="AJ17" i="4" a="1"/>
  <c r="AD42" i="4" a="1"/>
  <c r="AP27" i="4" a="1"/>
  <c r="AD52" i="4" a="1"/>
  <c r="AC64" i="4" a="1"/>
  <c r="AN27" i="4" a="1"/>
  <c r="AN18" i="4" a="1"/>
  <c r="AD49" i="4" a="1"/>
  <c r="AD59" i="4" a="1"/>
  <c r="L127" i="4"/>
  <c r="AP14" i="4" a="1"/>
  <c r="AL27" i="4" a="1"/>
  <c r="AC54" i="4" a="1"/>
  <c r="AD40" i="4" a="1"/>
  <c r="AJ16" i="4" a="1"/>
  <c r="Q89" i="4" a="1"/>
  <c r="AN13" i="4" a="1"/>
  <c r="AL16" i="4" a="1"/>
  <c r="AP20" i="4" a="1"/>
  <c r="AN24" i="4" a="1"/>
  <c r="AN26" i="4" a="1"/>
  <c r="AL25" i="4" a="1"/>
  <c r="AN15" i="4" a="1"/>
  <c r="Q88" i="4" a="1"/>
  <c r="AP21" i="4" a="1"/>
  <c r="AC41" i="4" a="1"/>
  <c r="AD64" i="4" a="1"/>
  <c r="AD47" i="4" a="1"/>
  <c r="AJ15" i="4" a="1"/>
  <c r="E70" i="4" a="1"/>
  <c r="AD56" i="4" a="1"/>
  <c r="AL22" i="4" a="1"/>
  <c r="AD50" i="4" a="1"/>
  <c r="AL20" i="4" a="1"/>
  <c r="AP12" i="4" a="1"/>
  <c r="AP25" i="4" a="1"/>
  <c r="AP26" i="4" a="1"/>
  <c r="AC49" i="4" a="1"/>
  <c r="AN12" i="4" a="1"/>
  <c r="AL15" i="4" a="1"/>
  <c r="AD58" i="4" a="1"/>
  <c r="AD53" i="4" a="1"/>
  <c r="AJ21" i="4" a="1"/>
  <c r="AL19" i="4" a="1"/>
  <c r="AC55" i="4" a="1"/>
  <c r="AD41" i="4" a="1"/>
  <c r="AJ23" i="4" a="1"/>
  <c r="AC40" i="4"/>
  <c r="Q92" i="4" a="1"/>
  <c r="AJ25" i="4" a="1"/>
  <c r="AD38" i="4" a="1"/>
  <c r="AN19" i="4" a="1"/>
  <c r="AD57" i="4" a="1"/>
  <c r="AC39" i="4"/>
  <c r="AL24" i="4" a="1"/>
  <c r="AC47" i="4" a="1"/>
  <c r="AN23" i="4" a="1"/>
  <c r="AC59" i="4" a="1"/>
  <c r="AJ26" i="4" a="1"/>
  <c r="AP19" i="4" a="1"/>
  <c r="AN22" i="4" a="1"/>
  <c r="AP13" i="4" a="1"/>
  <c r="AC50" i="4" a="1"/>
  <c r="AJ18" i="4" a="1"/>
  <c r="AL17" i="4" a="1"/>
  <c r="L141" i="4"/>
  <c r="AL18" i="4" a="1"/>
  <c r="L99" i="4"/>
  <c r="AC45" i="4" a="1"/>
  <c r="AD63" i="4" a="1"/>
  <c r="AC51" i="4" a="1"/>
  <c r="AD43" i="4" a="1"/>
  <c r="AD39" i="4" a="1"/>
  <c r="AN28" i="4" a="1"/>
  <c r="AP22" i="4" a="1"/>
  <c r="AC57" i="4" a="1"/>
  <c r="AC48" i="4" a="1"/>
  <c r="AD60" i="4" a="1"/>
  <c r="AL13" i="4" a="1"/>
  <c r="AD46" i="4" a="1"/>
  <c r="AN16" i="4" a="1"/>
  <c r="AN25" i="4" a="1"/>
  <c r="L113" i="4"/>
  <c r="AL12" i="4" a="1"/>
  <c r="AD44" i="4" a="1"/>
  <c r="Q94" i="4" a="1"/>
  <c r="AJ28" i="4" a="1"/>
  <c r="AJ14" i="4" a="1"/>
  <c r="AP24" i="4" a="1"/>
  <c r="AN17" i="4" a="1"/>
  <c r="AN21" i="4" a="1"/>
  <c r="AJ27" i="4" a="1"/>
  <c r="AJ24" i="4" a="1"/>
  <c r="AJ12" i="4" a="1"/>
  <c r="AC53" i="4" a="1"/>
  <c r="AD61" i="4" a="1"/>
  <c r="AL28" i="4" a="1"/>
  <c r="AP16" i="4" a="1"/>
  <c r="AC44" i="4" a="1"/>
  <c r="AC56" i="4" a="1"/>
  <c r="AP18" i="4" a="1"/>
  <c r="AP17" i="4" a="1"/>
  <c r="AD45" i="4" a="1"/>
  <c r="AC61" i="4" a="1"/>
  <c r="S125" i="3" a="1"/>
  <c r="S126" i="3" a="1"/>
  <c r="E39" i="3" a="1"/>
  <c r="S122" i="3" a="1"/>
  <c r="F75" i="3"/>
  <c r="E35" i="3" a="1"/>
  <c r="F120" i="3" a="1"/>
  <c r="S127" i="3" a="1"/>
  <c r="F119" i="3" a="1"/>
  <c r="S128" i="3" a="1"/>
  <c r="O98" i="3" a="1"/>
  <c r="AB96" i="3" a="1"/>
  <c r="S118" i="3" a="1"/>
  <c r="S9" i="3" a="1"/>
  <c r="S124" i="3" a="1"/>
  <c r="J11" i="3" a="1"/>
  <c r="S120" i="3" a="1"/>
  <c r="S119" i="3" a="1"/>
  <c r="F122" i="3" a="1"/>
  <c r="F117" i="3" a="1"/>
  <c r="E71" i="3" a="1"/>
  <c r="AB97" i="3" a="1"/>
  <c r="N75" i="3" a="1"/>
  <c r="S123" i="3" a="1"/>
  <c r="F116" i="3" a="1"/>
  <c r="F79" i="3"/>
  <c r="S121" i="3" a="1"/>
  <c r="E41" i="3" a="1"/>
  <c r="E69" i="3" a="1"/>
  <c r="S117" i="3" a="1"/>
  <c r="S116" i="3" a="1"/>
  <c r="G9" i="3" a="1"/>
  <c r="E33" i="3" a="1"/>
  <c r="F121" i="3" a="1"/>
  <c r="F118" i="3" a="1"/>
  <c r="U173" i="4" a="1"/>
  <c r="J173" i="4" a="1"/>
  <c r="Q173" i="4" a="1"/>
  <c r="H173" i="4" a="1"/>
  <c r="T173" i="4" a="1"/>
  <c r="AD173" i="4" a="1"/>
  <c r="C173" i="4" a="1"/>
  <c r="AE173" i="4" a="1"/>
  <c r="M173" i="4" a="1"/>
  <c r="AF173" i="4" a="1"/>
  <c r="X173" i="4" a="1"/>
  <c r="Y173" i="4" a="1"/>
  <c r="AA173" i="4" a="1"/>
  <c r="AC173" i="4" a="1"/>
  <c r="S173" i="4" a="1"/>
  <c r="AB173" i="4" a="1"/>
  <c r="R173" i="4" a="1"/>
  <c r="P173" i="4" a="1"/>
  <c r="V173" i="4" a="1"/>
  <c r="AG173" i="4" a="1"/>
  <c r="C44" i="13" l="1"/>
  <c r="B46" i="13"/>
  <c r="AS6" i="13"/>
  <c r="AY3" i="13"/>
  <c r="C22" i="13"/>
  <c r="AC72" i="3"/>
  <c r="AC73" i="3"/>
  <c r="K174" i="4"/>
  <c r="AC64" i="4"/>
  <c r="AD64" i="4"/>
  <c r="AI64" i="4" s="1"/>
  <c r="S174" i="4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AD173" i="4"/>
  <c r="S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M173" i="4"/>
  <c r="J173" i="4"/>
  <c r="H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20" i="3"/>
  <c r="AC43" i="4"/>
  <c r="G9" i="3"/>
  <c r="F119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E70" i="4"/>
  <c r="AN12" i="4"/>
  <c r="AN19" i="4"/>
  <c r="AD61" i="4"/>
  <c r="AI61" i="4" s="1"/>
  <c r="F117" i="3"/>
  <c r="F121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16" i="3"/>
  <c r="F118" i="3"/>
  <c r="F122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31" i="3"/>
  <c r="J136" i="3"/>
  <c r="C39" i="4"/>
  <c r="AH40" i="4"/>
  <c r="AH39" i="4"/>
  <c r="AH38" i="4"/>
  <c r="E35" i="3"/>
  <c r="AG62" i="3" s="1"/>
  <c r="AH62" i="3" s="1"/>
  <c r="S121" i="3"/>
  <c r="S9" i="3"/>
  <c r="S120" i="3"/>
  <c r="S128" i="3"/>
  <c r="E71" i="3"/>
  <c r="AB97" i="3"/>
  <c r="O97" i="3" s="1"/>
  <c r="S118" i="3"/>
  <c r="S126" i="3"/>
  <c r="S122" i="3"/>
  <c r="E33" i="3"/>
  <c r="AG63" i="3" s="1"/>
  <c r="AH63" i="3" s="1"/>
  <c r="S117" i="3"/>
  <c r="AB96" i="3"/>
  <c r="O96" i="3" s="1"/>
  <c r="S124" i="3"/>
  <c r="S125" i="3"/>
  <c r="E39" i="3"/>
  <c r="S119" i="3"/>
  <c r="S123" i="3"/>
  <c r="E41" i="3"/>
  <c r="E69" i="3"/>
  <c r="G84" i="3" s="1"/>
  <c r="S116" i="3"/>
  <c r="S127" i="3"/>
  <c r="N92" i="4" a="1"/>
  <c r="N90" i="4" a="1"/>
  <c r="N91" i="4" a="1"/>
  <c r="N93" i="4" a="1"/>
  <c r="N88" i="4" a="1"/>
  <c r="N89" i="4" a="1"/>
  <c r="N94" i="4" a="1"/>
  <c r="V123" i="3" a="1"/>
  <c r="N71" i="3" a="1"/>
  <c r="V124" i="3" a="1"/>
  <c r="N69" i="3" a="1"/>
  <c r="N33" i="3" a="1"/>
  <c r="V117" i="3" a="1"/>
  <c r="N79" i="3" a="1"/>
  <c r="I122" i="3" a="1"/>
  <c r="V128" i="3" a="1"/>
  <c r="V126" i="3" a="1"/>
  <c r="V116" i="3" a="1"/>
  <c r="V122" i="3" a="1"/>
  <c r="I118" i="3" a="1"/>
  <c r="V118" i="3" a="1"/>
  <c r="V9" i="3" a="1"/>
  <c r="I121" i="3" a="1"/>
  <c r="I120" i="3" a="1"/>
  <c r="V119" i="3" a="1"/>
  <c r="V120" i="3" a="1"/>
  <c r="I119" i="3" a="1"/>
  <c r="V125" i="3" a="1"/>
  <c r="I116" i="3" a="1"/>
  <c r="N39" i="3" a="1"/>
  <c r="P84" i="3" a="1"/>
  <c r="V121" i="3" a="1"/>
  <c r="V127" i="3" a="1"/>
  <c r="N35" i="3" a="1"/>
  <c r="J9" i="3" a="1"/>
  <c r="N41" i="3" a="1"/>
  <c r="I117" i="3" a="1"/>
  <c r="E173" i="4" a="1"/>
  <c r="F173" i="4" a="1"/>
  <c r="K173" i="4" a="1"/>
  <c r="L173" i="4" a="1"/>
  <c r="D173" i="4" a="1"/>
  <c r="G173" i="4" a="1"/>
  <c r="W173" i="4" a="1"/>
  <c r="I173" i="4" a="1"/>
  <c r="O173" i="4" a="1"/>
  <c r="N173" i="4" a="1"/>
  <c r="Z173" i="4" a="1"/>
  <c r="C46" i="13" l="1"/>
  <c r="B48" i="13"/>
  <c r="C24" i="13"/>
  <c r="N79" i="3"/>
  <c r="D173" i="4"/>
  <c r="Z173" i="4"/>
  <c r="F173" i="4"/>
  <c r="I173" i="4"/>
  <c r="L173" i="4"/>
  <c r="W173" i="4"/>
  <c r="G173" i="4"/>
  <c r="E173" i="4"/>
  <c r="N173" i="4"/>
  <c r="K173" i="4"/>
  <c r="O173" i="4"/>
  <c r="AG65" i="3"/>
  <c r="AG64" i="3"/>
  <c r="AD56" i="3"/>
  <c r="AD58" i="3" s="1"/>
  <c r="AD61" i="3"/>
  <c r="AD62" i="3" s="1"/>
  <c r="AD64" i="3" s="1"/>
  <c r="U60" i="3" s="1"/>
  <c r="AI62" i="3"/>
  <c r="AJ62" i="3" s="1"/>
  <c r="AG68" i="3" s="1"/>
  <c r="AE47" i="3"/>
  <c r="AF47" i="3" s="1"/>
  <c r="AG47" i="3" s="1"/>
  <c r="AD47" i="3" s="1"/>
  <c r="AI63" i="3"/>
  <c r="AJ63" i="3" s="1"/>
  <c r="AG71" i="3" s="1"/>
  <c r="AG67" i="3"/>
  <c r="AG66" i="3"/>
  <c r="N88" i="4"/>
  <c r="AE64" i="4"/>
  <c r="AH64" i="4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27" i="3"/>
  <c r="V124" i="3"/>
  <c r="N71" i="3"/>
  <c r="I116" i="3"/>
  <c r="I117" i="3"/>
  <c r="N39" i="3"/>
  <c r="V125" i="3"/>
  <c r="V116" i="3"/>
  <c r="V128" i="3"/>
  <c r="I119" i="3"/>
  <c r="J9" i="3"/>
  <c r="V117" i="3"/>
  <c r="N41" i="3"/>
  <c r="V9" i="3"/>
  <c r="V123" i="3"/>
  <c r="V122" i="3"/>
  <c r="V121" i="3"/>
  <c r="I120" i="3"/>
  <c r="N69" i="3"/>
  <c r="V120" i="3"/>
  <c r="N33" i="3"/>
  <c r="V119" i="3"/>
  <c r="V126" i="3"/>
  <c r="N35" i="3"/>
  <c r="V118" i="3"/>
  <c r="I122" i="3"/>
  <c r="I118" i="3"/>
  <c r="I121" i="3"/>
  <c r="H89" i="3"/>
  <c r="AH45" i="4"/>
  <c r="AE54" i="4"/>
  <c r="AE55" i="4"/>
  <c r="AH55" i="4"/>
  <c r="AD36" i="3"/>
  <c r="AE36" i="3" s="1"/>
  <c r="AE51" i="4"/>
  <c r="AH51" i="4"/>
  <c r="AH47" i="4"/>
  <c r="AE47" i="4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E56" i="4"/>
  <c r="AH58" i="4"/>
  <c r="AE58" i="4"/>
  <c r="AE61" i="4"/>
  <c r="AH61" i="4"/>
  <c r="AB39" i="4"/>
  <c r="AF39" i="4" s="1"/>
  <c r="AF38" i="4" s="1"/>
  <c r="C40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V11" i="3" a="1"/>
  <c r="J89" i="3" a="1"/>
  <c r="P86" i="3" a="1"/>
  <c r="C48" i="13" l="1"/>
  <c r="B50" i="13"/>
  <c r="C26" i="13"/>
  <c r="AD51" i="3"/>
  <c r="AD48" i="3"/>
  <c r="AD57" i="3"/>
  <c r="AF57" i="3" s="1"/>
  <c r="AI67" i="3"/>
  <c r="AI66" i="3"/>
  <c r="AI65" i="3"/>
  <c r="AI64" i="3"/>
  <c r="AK54" i="4"/>
  <c r="AK64" i="4"/>
  <c r="AD18" i="4"/>
  <c r="AD19" i="4" s="1"/>
  <c r="AK40" i="4"/>
  <c r="AK42" i="4"/>
  <c r="AK52" i="4"/>
  <c r="AK49" i="4"/>
  <c r="AK46" i="4"/>
  <c r="AL38" i="4"/>
  <c r="AM38" i="4" s="1"/>
  <c r="AN38" i="4" s="1"/>
  <c r="I38" i="4" s="1"/>
  <c r="AK50" i="4"/>
  <c r="AK41" i="4"/>
  <c r="AK63" i="4"/>
  <c r="AK62" i="4"/>
  <c r="AK60" i="4"/>
  <c r="AD59" i="3"/>
  <c r="AK47" i="4"/>
  <c r="AK53" i="4"/>
  <c r="AK59" i="4"/>
  <c r="AK48" i="4"/>
  <c r="AK56" i="4"/>
  <c r="AK39" i="4"/>
  <c r="AL39" i="4" s="1"/>
  <c r="AM39" i="4" s="1"/>
  <c r="AN39" i="4" s="1"/>
  <c r="I39" i="4" s="1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H90" i="3"/>
  <c r="AE63" i="3"/>
  <c r="AG17" i="4"/>
  <c r="C41" i="4"/>
  <c r="AB40" i="4"/>
  <c r="AD38" i="3"/>
  <c r="AD39" i="3" s="1"/>
  <c r="J90" i="3" a="1"/>
  <c r="C50" i="13" l="1"/>
  <c r="B52" i="13"/>
  <c r="C28" i="13"/>
  <c r="C30" i="13"/>
  <c r="AM65" i="3"/>
  <c r="AD65" i="3"/>
  <c r="AE66" i="3" s="1"/>
  <c r="AD66" i="3" s="1"/>
  <c r="AG70" i="3"/>
  <c r="AG69" i="3"/>
  <c r="AL62" i="3" s="1"/>
  <c r="AD63" i="3"/>
  <c r="AE18" i="4"/>
  <c r="AG18" i="4" s="1"/>
  <c r="H38" i="4"/>
  <c r="AD52" i="3"/>
  <c r="I49" i="3" s="1"/>
  <c r="H39" i="4"/>
  <c r="AD41" i="3"/>
  <c r="AE41" i="3" s="1"/>
  <c r="AD42" i="3" s="1"/>
  <c r="AE42" i="3" s="1"/>
  <c r="J90" i="3"/>
  <c r="AE19" i="4"/>
  <c r="AD20" i="4"/>
  <c r="AB41" i="4"/>
  <c r="AF41" i="4" s="1"/>
  <c r="AF40" i="4" s="1"/>
  <c r="AL40" i="4" s="1"/>
  <c r="C42" i="4"/>
  <c r="E49" i="3" a="1"/>
  <c r="L49" i="3" a="1"/>
  <c r="C52" i="13" l="1"/>
  <c r="B54" i="13"/>
  <c r="I46" i="3"/>
  <c r="AL63" i="3"/>
  <c r="AL64" i="3" s="1"/>
  <c r="AM64" i="3" s="1"/>
  <c r="U46" i="3"/>
  <c r="AD53" i="3"/>
  <c r="U49" i="3" s="1"/>
  <c r="E49" i="3"/>
  <c r="L49" i="3"/>
  <c r="AM40" i="4"/>
  <c r="AN40" i="4" s="1"/>
  <c r="I40" i="4" s="1"/>
  <c r="H40" i="4"/>
  <c r="AL41" i="4"/>
  <c r="AB42" i="4"/>
  <c r="C43" i="4"/>
  <c r="AE20" i="4"/>
  <c r="AG20" i="4" s="1"/>
  <c r="AD21" i="4"/>
  <c r="AG19" i="4"/>
  <c r="E46" i="3" a="1"/>
  <c r="L46" i="3" a="1"/>
  <c r="C54" i="13" l="1"/>
  <c r="B56" i="13"/>
  <c r="AN64" i="3"/>
  <c r="AM66" i="3" s="1"/>
  <c r="I60" i="3" s="1"/>
  <c r="L46" i="3"/>
  <c r="E46" i="3"/>
  <c r="H41" i="4"/>
  <c r="AM41" i="4"/>
  <c r="AN41" i="4" s="1"/>
  <c r="I41" i="4" s="1"/>
  <c r="AE21" i="4"/>
  <c r="AD22" i="4"/>
  <c r="AE22" i="4" s="1"/>
  <c r="AG22" i="4" s="1"/>
  <c r="C44" i="4"/>
  <c r="AB43" i="4"/>
  <c r="AF43" i="4" s="1"/>
  <c r="L60" i="3" a="1"/>
  <c r="E60" i="3" a="1"/>
  <c r="B58" i="13" l="1"/>
  <c r="C56" i="13"/>
  <c r="E60" i="3"/>
  <c r="L60" i="3"/>
  <c r="AF9" i="4"/>
  <c r="AL9" i="4" s="1"/>
  <c r="AQ10" i="4" s="1"/>
  <c r="AF42" i="4"/>
  <c r="AL42" i="4" s="1"/>
  <c r="AL43" i="4"/>
  <c r="C45" i="4"/>
  <c r="AB44" i="4"/>
  <c r="AG21" i="4"/>
  <c r="AD31" i="4"/>
  <c r="B60" i="13" l="1"/>
  <c r="C58" i="13"/>
  <c r="AI9" i="4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M43" i="4"/>
  <c r="AN43" i="4" s="1"/>
  <c r="I43" i="4" s="1"/>
  <c r="H43" i="4"/>
  <c r="AM42" i="4"/>
  <c r="AN42" i="4" s="1"/>
  <c r="I42" i="4" s="1"/>
  <c r="H42" i="4"/>
  <c r="AT10" i="4"/>
  <c r="AR10" i="4"/>
  <c r="AS10" i="4" s="1"/>
  <c r="AU10" i="4"/>
  <c r="AB45" i="4"/>
  <c r="AF45" i="4" s="1"/>
  <c r="C46" i="4"/>
  <c r="E31" i="4"/>
  <c r="AE31" i="4" a="1"/>
  <c r="AE31" i="4" s="1"/>
  <c r="AD30" i="4" s="1"/>
  <c r="C60" i="13" l="1"/>
  <c r="B62" i="13"/>
  <c r="AU8" i="4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F44" i="4"/>
  <c r="AL44" i="4" s="1"/>
  <c r="AL45" i="4"/>
  <c r="C47" i="4"/>
  <c r="AB46" i="4"/>
  <c r="AS38" i="4"/>
  <c r="AE30" i="4" a="1"/>
  <c r="AE30" i="4" s="1"/>
  <c r="AT38" i="4" s="1"/>
  <c r="E30" i="4"/>
  <c r="AV10" i="4"/>
  <c r="AL10" i="4" s="1"/>
  <c r="C62" i="13" l="1"/>
  <c r="B64" i="13"/>
  <c r="C64" i="13" s="1"/>
  <c r="AV11" i="4"/>
  <c r="AN10" i="4" s="1"/>
  <c r="AM45" i="4"/>
  <c r="AN45" i="4" s="1"/>
  <c r="I45" i="4" s="1"/>
  <c r="H45" i="4"/>
  <c r="AM44" i="4"/>
  <c r="AN44" i="4" s="1"/>
  <c r="I44" i="4" s="1"/>
  <c r="H44" i="4"/>
  <c r="C48" i="4"/>
  <c r="AB47" i="4"/>
  <c r="AF47" i="4" s="1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K40" i="4" a="1"/>
  <c r="K43" i="4" a="1"/>
  <c r="K41" i="4" a="1"/>
  <c r="K42" i="4" a="1"/>
  <c r="K38" i="4" a="1"/>
  <c r="K45" i="4" a="1"/>
  <c r="K44" i="4" a="1"/>
  <c r="K39" i="4" a="1"/>
  <c r="AF46" i="4" l="1"/>
  <c r="AL46" i="4" s="1"/>
  <c r="AL47" i="4"/>
  <c r="K45" i="4"/>
  <c r="K38" i="4"/>
  <c r="K39" i="4"/>
  <c r="K43" i="4"/>
  <c r="K44" i="4"/>
  <c r="K42" i="4"/>
  <c r="K41" i="4"/>
  <c r="K40" i="4"/>
  <c r="AR55" i="4"/>
  <c r="AR52" i="4"/>
  <c r="AQ54" i="4"/>
  <c r="AQ42" i="4"/>
  <c r="J42" i="4"/>
  <c r="M42" i="4" s="1"/>
  <c r="AQ47" i="4"/>
  <c r="AR59" i="4"/>
  <c r="AQ39" i="4"/>
  <c r="J39" i="4"/>
  <c r="M39" i="4" s="1"/>
  <c r="AR51" i="4"/>
  <c r="AR47" i="4"/>
  <c r="AR53" i="4"/>
  <c r="AQ62" i="4"/>
  <c r="AR45" i="4"/>
  <c r="P45" i="4" s="1"/>
  <c r="AQ53" i="4"/>
  <c r="AQ41" i="4"/>
  <c r="J41" i="4"/>
  <c r="M41" i="4" s="1"/>
  <c r="AR56" i="4"/>
  <c r="AR38" i="4"/>
  <c r="P38" i="4" s="1"/>
  <c r="AD75" i="4" s="1"/>
  <c r="AF75" i="4" s="1"/>
  <c r="AR63" i="4"/>
  <c r="AQ48" i="4"/>
  <c r="AR61" i="4"/>
  <c r="AQ43" i="4"/>
  <c r="J43" i="4"/>
  <c r="M43" i="4" s="1"/>
  <c r="AR39" i="4"/>
  <c r="P39" i="4" s="1"/>
  <c r="AE75" i="4" s="1"/>
  <c r="AQ59" i="4"/>
  <c r="AQ63" i="4"/>
  <c r="AQ40" i="4"/>
  <c r="J40" i="4"/>
  <c r="M40" i="4" s="1"/>
  <c r="AQ61" i="4"/>
  <c r="AR50" i="4"/>
  <c r="AQ58" i="4"/>
  <c r="AQ60" i="4"/>
  <c r="AQ51" i="4"/>
  <c r="AQ55" i="4"/>
  <c r="AR43" i="4"/>
  <c r="P43" i="4" s="1"/>
  <c r="AQ45" i="4"/>
  <c r="J45" i="4"/>
  <c r="M45" i="4" s="1"/>
  <c r="AR54" i="4"/>
  <c r="AR46" i="4"/>
  <c r="AR64" i="4"/>
  <c r="AR44" i="4"/>
  <c r="P44" i="4" s="1"/>
  <c r="AQ46" i="4"/>
  <c r="AR62" i="4"/>
  <c r="AR42" i="4"/>
  <c r="P42" i="4" s="1"/>
  <c r="AR60" i="4"/>
  <c r="AR57" i="4"/>
  <c r="AQ50" i="4"/>
  <c r="AQ56" i="4"/>
  <c r="AQ38" i="4"/>
  <c r="J38" i="4"/>
  <c r="M38" i="4" s="1"/>
  <c r="AQ57" i="4"/>
  <c r="AR58" i="4"/>
  <c r="AR41" i="4"/>
  <c r="P41" i="4" s="1"/>
  <c r="AR40" i="4"/>
  <c r="P40" i="4" s="1"/>
  <c r="AQ52" i="4"/>
  <c r="AR48" i="4"/>
  <c r="AQ44" i="4"/>
  <c r="J44" i="4"/>
  <c r="M44" i="4" s="1"/>
  <c r="AQ49" i="4"/>
  <c r="AR49" i="4"/>
  <c r="AQ64" i="4"/>
  <c r="C49" i="4"/>
  <c r="AB48" i="4"/>
  <c r="K47" i="4" a="1"/>
  <c r="N45" i="4" a="1"/>
  <c r="N42" i="4" a="1"/>
  <c r="N38" i="4" a="1"/>
  <c r="N44" i="4" a="1"/>
  <c r="N43" i="4" a="1"/>
  <c r="N40" i="4" a="1"/>
  <c r="N39" i="4" a="1"/>
  <c r="N41" i="4" a="1"/>
  <c r="K46" i="4" a="1"/>
  <c r="AG75" i="4" l="1"/>
  <c r="R75" i="4"/>
  <c r="P46" i="4"/>
  <c r="K47" i="4"/>
  <c r="K46" i="4"/>
  <c r="H47" i="4"/>
  <c r="AM47" i="4"/>
  <c r="AN47" i="4" s="1"/>
  <c r="I47" i="4" s="1"/>
  <c r="AM46" i="4"/>
  <c r="AN46" i="4" s="1"/>
  <c r="I46" i="4" s="1"/>
  <c r="H46" i="4"/>
  <c r="J46" i="4"/>
  <c r="M46" i="4" s="1"/>
  <c r="J47" i="4"/>
  <c r="M47" i="4" s="1"/>
  <c r="N42" i="4"/>
  <c r="N45" i="4"/>
  <c r="N43" i="4"/>
  <c r="N40" i="4"/>
  <c r="N38" i="4"/>
  <c r="N41" i="4"/>
  <c r="N44" i="4"/>
  <c r="N39" i="4"/>
  <c r="P47" i="4"/>
  <c r="AB49" i="4"/>
  <c r="AF49" i="4" s="1"/>
  <c r="C50" i="4"/>
  <c r="N46" i="4" a="1"/>
  <c r="N47" i="4" a="1"/>
  <c r="N47" i="4" l="1"/>
  <c r="N46" i="4"/>
  <c r="AF48" i="4"/>
  <c r="AL48" i="4" s="1"/>
  <c r="AL49" i="4"/>
  <c r="AB50" i="4"/>
  <c r="C51" i="4"/>
  <c r="N48" i="4" a="1"/>
  <c r="K49" i="4" a="1"/>
  <c r="K49" i="4" l="1"/>
  <c r="N48" i="4"/>
  <c r="AM49" i="4"/>
  <c r="AN49" i="4" s="1"/>
  <c r="I49" i="4" s="1"/>
  <c r="H49" i="4"/>
  <c r="J49" i="4"/>
  <c r="M49" i="4" s="1"/>
  <c r="P49" i="4"/>
  <c r="H48" i="4"/>
  <c r="AM48" i="4"/>
  <c r="AN48" i="4" s="1"/>
  <c r="I48" i="4" s="1"/>
  <c r="J48" i="4"/>
  <c r="M48" i="4" s="1"/>
  <c r="P48" i="4"/>
  <c r="C52" i="4"/>
  <c r="AB51" i="4"/>
  <c r="AF51" i="4" s="1"/>
  <c r="K48" i="4" a="1"/>
  <c r="N49" i="4" a="1"/>
  <c r="K48" i="4" l="1"/>
  <c r="N49" i="4"/>
  <c r="AF50" i="4"/>
  <c r="AL50" i="4" s="1"/>
  <c r="AL51" i="4"/>
  <c r="C53" i="4"/>
  <c r="AB52" i="4"/>
  <c r="N51" i="4" a="1"/>
  <c r="N50" i="4"/>
  <c r="N51" i="4" l="1"/>
  <c r="AM51" i="4"/>
  <c r="AN51" i="4" s="1"/>
  <c r="I51" i="4" s="1"/>
  <c r="H51" i="4"/>
  <c r="J51" i="4"/>
  <c r="M51" i="4" s="1"/>
  <c r="P51" i="4"/>
  <c r="H50" i="4"/>
  <c r="AM50" i="4"/>
  <c r="AN50" i="4" s="1"/>
  <c r="I50" i="4" s="1"/>
  <c r="J50" i="4"/>
  <c r="M50" i="4" s="1"/>
  <c r="P50" i="4"/>
  <c r="AB53" i="4"/>
  <c r="AF53" i="4" s="1"/>
  <c r="C54" i="4"/>
  <c r="K50" i="4" a="1"/>
  <c r="K51" i="4" a="1"/>
  <c r="K50" i="4" l="1"/>
  <c r="K51" i="4"/>
  <c r="AF52" i="4"/>
  <c r="AL52" i="4" s="1"/>
  <c r="AL53" i="4"/>
  <c r="AB54" i="4"/>
  <c r="C55" i="4"/>
  <c r="N52" i="4" a="1"/>
  <c r="K53" i="4" a="1"/>
  <c r="N52" i="4" l="1"/>
  <c r="K53" i="4"/>
  <c r="AM52" i="4"/>
  <c r="AN52" i="4" s="1"/>
  <c r="I52" i="4" s="1"/>
  <c r="H52" i="4"/>
  <c r="J52" i="4"/>
  <c r="M52" i="4" s="1"/>
  <c r="P52" i="4"/>
  <c r="H53" i="4"/>
  <c r="AM53" i="4"/>
  <c r="AN53" i="4" s="1"/>
  <c r="I53" i="4" s="1"/>
  <c r="P53" i="4"/>
  <c r="J53" i="4"/>
  <c r="M53" i="4" s="1"/>
  <c r="C56" i="4"/>
  <c r="AB55" i="4"/>
  <c r="AF55" i="4" s="1"/>
  <c r="N53" i="4" a="1"/>
  <c r="K52" i="4" a="1"/>
  <c r="N53" i="4" l="1"/>
  <c r="K52" i="4"/>
  <c r="AF54" i="4"/>
  <c r="AL54" i="4" s="1"/>
  <c r="AL55" i="4"/>
  <c r="C57" i="4"/>
  <c r="AB56" i="4"/>
  <c r="N55" i="4" a="1"/>
  <c r="N54" i="4" a="1"/>
  <c r="N55" i="4" l="1"/>
  <c r="N54" i="4"/>
  <c r="H55" i="4"/>
  <c r="AM55" i="4"/>
  <c r="AN55" i="4" s="1"/>
  <c r="I55" i="4" s="1"/>
  <c r="J55" i="4"/>
  <c r="M55" i="4" s="1"/>
  <c r="P55" i="4"/>
  <c r="AM54" i="4"/>
  <c r="AN54" i="4" s="1"/>
  <c r="I54" i="4" s="1"/>
  <c r="H54" i="4"/>
  <c r="J54" i="4"/>
  <c r="M54" i="4" s="1"/>
  <c r="P54" i="4"/>
  <c r="AB57" i="4"/>
  <c r="AF57" i="4" s="1"/>
  <c r="C58" i="4"/>
  <c r="K55" i="4" a="1"/>
  <c r="K54" i="4" a="1"/>
  <c r="K54" i="4" l="1"/>
  <c r="K55" i="4"/>
  <c r="AF56" i="4"/>
  <c r="AL56" i="4" s="1"/>
  <c r="AL57" i="4"/>
  <c r="AB58" i="4"/>
  <c r="C59" i="4"/>
  <c r="N56" i="4" a="1"/>
  <c r="K57" i="4" a="1"/>
  <c r="N56" i="4" l="1"/>
  <c r="K57" i="4"/>
  <c r="H56" i="4"/>
  <c r="AM56" i="4"/>
  <c r="AN56" i="4" s="1"/>
  <c r="I56" i="4" s="1"/>
  <c r="J56" i="4"/>
  <c r="M56" i="4" s="1"/>
  <c r="P56" i="4"/>
  <c r="H57" i="4"/>
  <c r="AM57" i="4"/>
  <c r="AN57" i="4" s="1"/>
  <c r="I57" i="4" s="1"/>
  <c r="J57" i="4"/>
  <c r="M57" i="4" s="1"/>
  <c r="P57" i="4"/>
  <c r="C60" i="4"/>
  <c r="AB59" i="4"/>
  <c r="AF59" i="4" s="1"/>
  <c r="K56" i="4" a="1"/>
  <c r="N57" i="4" a="1"/>
  <c r="N57" i="4" l="1"/>
  <c r="K56" i="4"/>
  <c r="AF58" i="4"/>
  <c r="AL58" i="4" s="1"/>
  <c r="AL59" i="4"/>
  <c r="C61" i="4"/>
  <c r="AB60" i="4"/>
  <c r="K59" i="4" a="1"/>
  <c r="N58" i="4" a="1"/>
  <c r="K59" i="4" l="1"/>
  <c r="N58" i="4"/>
  <c r="AM59" i="4"/>
  <c r="AN59" i="4" s="1"/>
  <c r="I59" i="4" s="1"/>
  <c r="H59" i="4"/>
  <c r="J59" i="4"/>
  <c r="M59" i="4" s="1"/>
  <c r="P59" i="4"/>
  <c r="H58" i="4"/>
  <c r="AM58" i="4"/>
  <c r="AN58" i="4" s="1"/>
  <c r="I58" i="4" s="1"/>
  <c r="J58" i="4"/>
  <c r="M58" i="4" s="1"/>
  <c r="P58" i="4"/>
  <c r="C62" i="4"/>
  <c r="AB61" i="4"/>
  <c r="AF61" i="4" s="1"/>
  <c r="N59" i="4" a="1"/>
  <c r="K58" i="4" a="1"/>
  <c r="N59" i="4" l="1"/>
  <c r="K58" i="4"/>
  <c r="AF60" i="4"/>
  <c r="AL60" i="4" s="1"/>
  <c r="AL61" i="4"/>
  <c r="AB62" i="4"/>
  <c r="C63" i="4"/>
  <c r="K60" i="4" a="1"/>
  <c r="K61" i="4" a="1"/>
  <c r="N60" i="4" a="1"/>
  <c r="K61" i="4" l="1"/>
  <c r="K60" i="4"/>
  <c r="N60" i="4"/>
  <c r="H61" i="4"/>
  <c r="AM61" i="4"/>
  <c r="AN61" i="4" s="1"/>
  <c r="I61" i="4" s="1"/>
  <c r="J61" i="4"/>
  <c r="M61" i="4" s="1"/>
  <c r="P61" i="4"/>
  <c r="AM60" i="4"/>
  <c r="AN60" i="4" s="1"/>
  <c r="I60" i="4" s="1"/>
  <c r="H60" i="4"/>
  <c r="J60" i="4"/>
  <c r="M60" i="4" s="1"/>
  <c r="P60" i="4"/>
  <c r="C64" i="4"/>
  <c r="AB64" i="4" s="1"/>
  <c r="AB63" i="4"/>
  <c r="AF63" i="4" s="1"/>
  <c r="N61" i="4" a="1"/>
  <c r="AF64" i="4" l="1"/>
  <c r="AL64" i="4" s="1"/>
  <c r="N61" i="4"/>
  <c r="AF62" i="4"/>
  <c r="AL62" i="4" s="1"/>
  <c r="AL63" i="4"/>
  <c r="N62" i="4" a="1"/>
  <c r="N63" i="4" a="1"/>
  <c r="J64" i="4" l="1"/>
  <c r="M64" i="4" s="1"/>
  <c r="N62" i="4"/>
  <c r="N63" i="4"/>
  <c r="H62" i="4"/>
  <c r="AM62" i="4"/>
  <c r="AN62" i="4" s="1"/>
  <c r="I62" i="4" s="1"/>
  <c r="J62" i="4"/>
  <c r="M62" i="4" s="1"/>
  <c r="P62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P64" i="4"/>
  <c r="K62" i="4" a="1"/>
  <c r="N64" i="4" a="1"/>
  <c r="K63" i="4" a="1"/>
  <c r="K64" i="4" a="1"/>
  <c r="K64" i="4" l="1"/>
  <c r="K62" i="4"/>
  <c r="N64" i="4"/>
  <c r="K6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6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6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6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7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7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7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8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8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8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9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9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9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0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0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0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1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1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1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A5A04-A231-4BFB-9C59-3BE8D3A839CE}" keepAlive="1" name="Query - maree (7)" description="Connection to the 'maree (7)' query in the workbook." type="5" refreshedVersion="0" background="1">
    <dbPr connection="Provider=Microsoft.Mashup.OleDb.1;Data Source=$Workbook$;Location=&quot;maree (7)&quot;;Extended Properties=&quot;&quot;" command="SELECT * FROM [maree (7)]"/>
  </connection>
  <connection id="2" xr16:uid="{0E861351-4760-46BB-A9B1-42B37D91D1D9}" keepAlive="1" name="Query - maree (8)" description="Connection to the 'maree (8)' query in the workbook." type="5" refreshedVersion="7" background="1" saveData="1">
    <dbPr connection="Provider=Microsoft.Mashup.OleDb.1;Data Source=$Workbook$;Location=&quot;maree (8)&quot;;Extended Properties=&quot;&quot;" command="SELECT * FROM [maree (8)]"/>
  </connection>
  <connection id="3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4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5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6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7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8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  <connection id="9" xr16:uid="{E5632CCE-39EC-4B07-8413-C8E8AB4EBB17}" keepAlive="1" name="Requête - maree shom" description="Connexion à la requête « maree shom » dans le classeur." type="5" refreshedVersion="0" background="1">
    <dbPr connection="Provider=Microsoft.Mashup.OleDb.1;Data Source=$Workbook$;Location=&quot;maree shom&quot;;Extended Properties=&quot;&quot;" command="SELECT * FROM [maree shom]"/>
  </connection>
  <connection id="10" xr16:uid="{22B23E11-C150-41A5-BA8A-9F37EFF32EBE}" keepAlive="1" name="Requête - maree shom (2)" description="Connexion à la requête « maree shom (2) » dans le classeur." type="5" refreshedVersion="8" background="1" saveData="1">
    <dbPr connection="Provider=Microsoft.Mashup.OleDb.1;Data Source=$Workbook$;Location=&quot;maree shom (2)&quot;;Extended Properties=&quot;&quot;" command="SELECT * FROM [maree shom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<sst xmlns="http://schemas.openxmlformats.org/spreadsheetml/2006/main" count="884" uniqueCount="524">
  <si>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</si>
  <si>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</si>
  <si>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</si>
  <si>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</si>
  <si>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</si>
  <si>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</si>
  <si>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</si>
  <si>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</si>
  <si>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</si>
  <si>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</si>
  <si>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</si>
  <si>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</si>
  <si>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</si>
  <si>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</si>
  <si>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</si>
  <si>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</si>
  <si>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</si>
  <si>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</si>
  <si>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</si>
  <si>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</si>
  <si>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</si>
  <si>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</si>
  <si>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Deg</t>
  </si>
  <si>
    <t>Min</t>
  </si>
  <si>
    <t>deg</t>
  </si>
  <si>
    <t>11:59</t>
  </si>
  <si>
    <t>rad</t>
  </si>
  <si>
    <t>Signe</t>
  </si>
  <si>
    <t>Rad</t>
  </si>
  <si>
    <t>Corrections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</si>
  <si>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</si>
  <si>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</si>
  <si>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</si>
  <si>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</si>
  <si>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</si>
  <si>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</si>
  <si>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</si>
  <si>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</si>
  <si>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</si>
  <si>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</si>
  <si>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</si>
  <si>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</si>
  <si>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</si>
  <si>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</si>
  <si>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</si>
  <si>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</si>
  <si>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</si>
  <si>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</si>
  <si>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</si>
  <si>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</si>
  <si>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</si>
  <si>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</si>
  <si>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</si>
  <si>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</si>
  <si>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</si>
  <si>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</si>
  <si>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</si>
  <si>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</si>
  <si>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</si>
  <si>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</si>
  <si>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</si>
  <si>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</si>
  <si>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</si>
  <si>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</si>
  <si>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</si>
  <si>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</si>
  <si>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</si>
  <si>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</si>
  <si>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</si>
  <si>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</si>
  <si>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</si>
  <si>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</si>
  <si>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</si>
  <si>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</si>
  <si>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</si>
  <si>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</si>
  <si>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</si>
  <si>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</si>
  <si>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</si>
  <si>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</si>
  <si>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</si>
  <si>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</si>
  <si>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</si>
  <si>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</si>
  <si>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</si>
  <si>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</si>
  <si>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</si>
  <si>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</si>
  <si>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</si>
  <si>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</si>
  <si>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</si>
  <si>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</si>
  <si>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</si>
  <si>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</si>
  <si>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</si>
  <si>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</si>
  <si>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</si>
  <si>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</si>
  <si>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</si>
  <si>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</si>
  <si>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</si>
  <si>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</si>
  <si>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</si>
  <si>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</si>
  <si>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</si>
  <si>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</si>
  <si>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</si>
  <si>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</si>
  <si>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</si>
  <si>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</si>
  <si>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</si>
  <si>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</si>
  <si>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</si>
  <si>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</si>
  <si>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</si>
  <si>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</si>
  <si>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</si>
  <si>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</si>
  <si>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</si>
  <si>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</si>
  <si>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</si>
  <si>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</si>
  <si>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</si>
  <si>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</si>
  <si>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</si>
  <si>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</si>
  <si>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</si>
  <si>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Ad</t>
  </si>
  <si>
    <t>Rv</t>
  </si>
  <si>
    <t>phi b</t>
  </si>
  <si>
    <t>phi m</t>
  </si>
  <si>
    <t>Delta Long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</si>
  <si>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</si>
  <si>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</si>
  <si>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</si>
  <si>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</si>
  <si>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</si>
  <si>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</si>
  <si>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</si>
  <si>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</si>
  <si>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</si>
  <si>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</si>
  <si>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</si>
  <si>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</si>
  <si>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</si>
  <si>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</si>
  <si>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</si>
  <si>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</si>
  <si>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</si>
  <si>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</si>
  <si>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</si>
  <si>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</si>
  <si>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</si>
  <si>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</si>
  <si>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</si>
  <si>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</si>
  <si>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</si>
  <si>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</si>
  <si>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</si>
  <si>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</si>
  <si>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</si>
  <si>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</si>
  <si>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</si>
  <si>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</si>
  <si>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</si>
  <si>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</si>
  <si>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</si>
  <si>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</si>
  <si>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</si>
  <si>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</si>
  <si>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</si>
  <si>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</si>
  <si>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</si>
  <si>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</si>
  <si>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</si>
  <si>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</si>
  <si>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</si>
  <si>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</si>
  <si>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</si>
  <si>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</si>
  <si>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</si>
  <si>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</si>
  <si>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</si>
  <si>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</si>
  <si>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</si>
  <si>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</si>
  <si>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</si>
  <si>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</si>
  <si>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</si>
  <si>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</si>
  <si>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</si>
  <si>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St Quay -Port</t>
  </si>
  <si>
    <t>H : Heure (hh:mm) ou 
heure minute 0,23)</t>
  </si>
  <si>
    <t>Tracer err ?</t>
  </si>
  <si>
    <t>13:26:00</t>
  </si>
  <si>
    <t>Is VE</t>
  </si>
  <si>
    <t>PM + x Heure</t>
  </si>
  <si>
    <t>2:30</t>
  </si>
  <si>
    <t>x decimal</t>
  </si>
  <si>
    <t>PasDeCorrection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</si>
  <si>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</si>
  <si>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</si>
  <si>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</si>
  <si>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</si>
  <si>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</si>
  <si>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</si>
  <si>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</si>
  <si>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</si>
  <si>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</si>
  <si>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</si>
  <si>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</si>
  <si>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</si>
  <si>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</si>
  <si>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</si>
  <si>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</si>
  <si>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</si>
  <si>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</si>
  <si>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</si>
  <si>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</si>
  <si>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</si>
  <si>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</si>
  <si>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</si>
  <si>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</si>
  <si>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</si>
  <si>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</si>
  <si>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</si>
  <si>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</si>
  <si>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</si>
  <si>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</si>
  <si>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</si>
  <si>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1/1/1970</t>
  </si>
  <si>
    <t>PM - x Heure</t>
  </si>
  <si>
    <t>BM - x Heure</t>
  </si>
  <si>
    <t>BM + x Heure</t>
  </si>
  <si>
    <t>Ref (PM ou BM)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</si>
  <si>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</si>
  <si>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</si>
  <si>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</si>
  <si>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</si>
  <si>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</si>
  <si>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</si>
  <si>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</si>
  <si>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</si>
  <si>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</si>
  <si>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</si>
  <si>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</si>
  <si>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</si>
  <si>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</si>
  <si>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</si>
  <si>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</si>
  <si>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</si>
  <si>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</si>
  <si>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2:20</t>
  </si>
  <si>
    <t>2024/09/13 23:34</t>
  </si>
  <si>
    <t>2024/09/16 01:51</t>
  </si>
  <si>
    <t>2024/09/11 13:26</t>
  </si>
  <si>
    <t>2024/09/12 13:26</t>
  </si>
  <si>
    <t>2024/09/13 13:26</t>
  </si>
  <si>
    <t>2024/09/14 13:26</t>
  </si>
  <si>
    <t>2024/09/15 13:26</t>
  </si>
  <si>
    <t>2024/09/16 13:26</t>
  </si>
  <si>
    <t>2024/09/17 13:26</t>
  </si>
  <si>
    <t>Column1</t>
  </si>
  <si>
    <t>Column2</t>
  </si>
  <si>
    <t>Column3</t>
  </si>
  <si>
    <t>Column4</t>
  </si>
  <si>
    <t>2024-09-11</t>
  </si>
  <si>
    <t>04:01</t>
  </si>
  <si>
    <t>09:49</t>
  </si>
  <si>
    <t>16:30</t>
  </si>
  <si>
    <t>22:16</t>
  </si>
  <si>
    <t>2024-09-12</t>
  </si>
  <si>
    <t>04:49</t>
  </si>
  <si>
    <t>10:47</t>
  </si>
  <si>
    <t>17:43</t>
  </si>
  <si>
    <t>23:48</t>
  </si>
  <si>
    <t>2024-09-13</t>
  </si>
  <si>
    <t>06:24</t>
  </si>
  <si>
    <t>12:55</t>
  </si>
  <si>
    <t>19:44</t>
  </si>
  <si>
    <t>2024-09-14</t>
  </si>
  <si>
    <t>02:04</t>
  </si>
  <si>
    <t>08:29</t>
  </si>
  <si>
    <t>14:43</t>
  </si>
  <si>
    <t>21:15</t>
  </si>
  <si>
    <t>2024-09-15</t>
  </si>
  <si>
    <t>03:23</t>
  </si>
  <si>
    <t>09:48</t>
  </si>
  <si>
    <t>15:49</t>
  </si>
  <si>
    <t>22:19</t>
  </si>
  <si>
    <t>2024-09-16</t>
  </si>
  <si>
    <t>04:21</t>
  </si>
  <si>
    <t>10:46</t>
  </si>
  <si>
    <t>16:43</t>
  </si>
  <si>
    <t>23:13</t>
  </si>
  <si>
    <t>2024-09-17</t>
  </si>
  <si>
    <t>05:13</t>
  </si>
  <si>
    <t>11:38</t>
  </si>
  <si>
    <t>17:32</t>
  </si>
  <si>
    <t>2024-09-18</t>
  </si>
  <si>
    <t>00:04</t>
  </si>
  <si>
    <t>06:00</t>
  </si>
  <si>
    <t>12:26</t>
  </si>
  <si>
    <t>18:19</t>
  </si>
  <si>
    <t>2024-09-19</t>
  </si>
  <si>
    <t>00:51</t>
  </si>
  <si>
    <t>06:44</t>
  </si>
  <si>
    <t>13:11</t>
  </si>
  <si>
    <t>19:03</t>
  </si>
  <si>
    <t>2024-09-20</t>
  </si>
  <si>
    <t>01:34</t>
  </si>
  <si>
    <t>07:26</t>
  </si>
  <si>
    <t>13:53</t>
  </si>
  <si>
    <t>2024/09/11 08:05</t>
  </si>
  <si>
    <t>2024/09/11 11:55</t>
  </si>
  <si>
    <t>2024/09/11 20:58</t>
  </si>
  <si>
    <t>2024/09/11 23:48</t>
  </si>
  <si>
    <t>2024/09/12 09:38</t>
  </si>
  <si>
    <t>2024/09/12 12:09</t>
  </si>
  <si>
    <t>2024/09/12 23:48</t>
  </si>
  <si>
    <t>2024/09/13 12:11</t>
  </si>
  <si>
    <t>2024/09/13 13:35</t>
  </si>
  <si>
    <t>2024/09/14 00:56</t>
  </si>
  <si>
    <t>2024/09/14 03:11</t>
  </si>
  <si>
    <t>2024/09/14 12:48</t>
  </si>
  <si>
    <t>2024/09/14 16:27</t>
  </si>
  <si>
    <t>2024/09/15 01:21</t>
  </si>
  <si>
    <t>2024/09/15 05:27</t>
  </si>
  <si>
    <t>2024/09/15 13:31</t>
  </si>
  <si>
    <t>2024/09/15 18:06</t>
  </si>
  <si>
    <t>2024/09/16 02:03</t>
  </si>
  <si>
    <t>2024/09/16 06:45</t>
  </si>
  <si>
    <t>2024/09/16 14:15</t>
  </si>
  <si>
    <t>2024/09/16 19:14</t>
  </si>
  <si>
    <t>2024/09/17 02:47</t>
  </si>
  <si>
    <t>2024/09/17 07:47</t>
  </si>
  <si>
    <t>2024/09/17 15:00</t>
  </si>
  <si>
    <t>2024/09/17 20:12</t>
  </si>
  <si>
    <t>2024/09/11 09:49</t>
  </si>
  <si>
    <t>2024/09/11 07:19</t>
  </si>
  <si>
    <t>2024/09/11 22:16</t>
  </si>
  <si>
    <t>2024/09/11 19:46</t>
  </si>
  <si>
    <t>2024/09/12 10:47</t>
  </si>
  <si>
    <t>2024/09/12 08:17</t>
  </si>
  <si>
    <t>2024/09/12 21:18</t>
  </si>
  <si>
    <t>2024/09/13 12:55</t>
  </si>
  <si>
    <t>2024/09/13 10:25</t>
  </si>
  <si>
    <t>2024/09/14 02:04</t>
  </si>
  <si>
    <t>2024/09/14 14:43</t>
  </si>
  <si>
    <t>2024/09/14 12:13</t>
  </si>
  <si>
    <t>2024/09/15 03:23</t>
  </si>
  <si>
    <t>2024/09/15 00:53</t>
  </si>
  <si>
    <t>2024/09/15 15:49</t>
  </si>
  <si>
    <t>2024/09/15 13:19</t>
  </si>
  <si>
    <t>2024/09/16 04:21</t>
  </si>
  <si>
    <t>2024/09/16 16:43</t>
  </si>
  <si>
    <t>2024/09/16 14:13</t>
  </si>
  <si>
    <t>2024/09/17 05:13</t>
  </si>
  <si>
    <t>2024/09/17 02:43</t>
  </si>
  <si>
    <t>2024/09/17 17:32</t>
  </si>
  <si>
    <t>2024/09/17 15:02</t>
  </si>
  <si>
    <t>2024/09/11 12:19</t>
  </si>
  <si>
    <t>2024/09/12 00:46</t>
  </si>
  <si>
    <t>2024/09/12 13:17</t>
  </si>
  <si>
    <t>2024/09/13 02:18</t>
  </si>
  <si>
    <t>2024/09/13 15:25</t>
  </si>
  <si>
    <t>2024/09/14 04:34</t>
  </si>
  <si>
    <t>2024/09/14 17:13</t>
  </si>
  <si>
    <t>2024/09/15 05:53</t>
  </si>
  <si>
    <t>2024/09/15 18:19</t>
  </si>
  <si>
    <t>2024/09/16 06:51</t>
  </si>
  <si>
    <t>2024/09/16 19:13</t>
  </si>
  <si>
    <t>2024/09/17 07:43</t>
  </si>
  <si>
    <t>2024/09/17 20:02</t>
  </si>
  <si>
    <t>2024/09/11 16:30</t>
  </si>
  <si>
    <t>2024/09/11 14:00</t>
  </si>
  <si>
    <t>2024/09/12 04:49</t>
  </si>
  <si>
    <t>2024/09/12 02:19</t>
  </si>
  <si>
    <t>2024/09/12 17:43</t>
  </si>
  <si>
    <t>2024/09/12 15:13</t>
  </si>
  <si>
    <t>2024/09/13 06:24</t>
  </si>
  <si>
    <t>2024/09/13 03:54</t>
  </si>
  <si>
    <t>2024/09/13 19:44</t>
  </si>
  <si>
    <t>2024/09/13 17:14</t>
  </si>
  <si>
    <t>2024/09/14 08:29</t>
  </si>
  <si>
    <t>2024/09/14 05:59</t>
  </si>
  <si>
    <t>2024/09/14 21:15</t>
  </si>
  <si>
    <t>2024/09/14 18:45</t>
  </si>
  <si>
    <t>2024/09/15 09:48</t>
  </si>
  <si>
    <t>2024/09/15 07:18</t>
  </si>
  <si>
    <t>2024/09/15 22:19</t>
  </si>
  <si>
    <t>2024/09/15 19:49</t>
  </si>
  <si>
    <t>2024/09/16 10:46</t>
  </si>
  <si>
    <t>2024/09/16 08:16</t>
  </si>
  <si>
    <t>2024/09/16 23:13</t>
  </si>
  <si>
    <t>2024/09/16 20:43</t>
  </si>
  <si>
    <t>2024/09/17 11:38</t>
  </si>
  <si>
    <t>2024/09/17 09:08</t>
  </si>
  <si>
    <t>2024/09/18 00:04</t>
  </si>
  <si>
    <t>2024/09/17 21:34</t>
  </si>
  <si>
    <t>2024/09/11 04:01</t>
  </si>
  <si>
    <t>2024/09/11 06:31</t>
  </si>
  <si>
    <t>2024/09/11 19:00</t>
  </si>
  <si>
    <t>2024/09/12 07:19</t>
  </si>
  <si>
    <t>2024/09/12 20:13</t>
  </si>
  <si>
    <t>2024/09/13 08:54</t>
  </si>
  <si>
    <t>2024/09/13 22:14</t>
  </si>
  <si>
    <t>2024/09/14 10:59</t>
  </si>
  <si>
    <t>2024/09/14 23:45</t>
  </si>
  <si>
    <t>2024/09/15 12:18</t>
  </si>
  <si>
    <t>2024/09/16 00:49</t>
  </si>
  <si>
    <t>2024/09/16 13:16</t>
  </si>
  <si>
    <t>2024/09/17 01:43</t>
  </si>
  <si>
    <t>2024/09/17 14:08</t>
  </si>
  <si>
    <t>2024/09/14</t>
  </si>
  <si>
    <t>is var. lat. null</t>
  </si>
  <si>
    <t>Ou "arrivée"</t>
  </si>
  <si>
    <t>Ou "départ"</t>
  </si>
  <si>
    <t>distance (Mn)</t>
  </si>
  <si>
    <t>https://fr.wikipedia.org/wiki/Orthodromie</t>
  </si>
  <si>
    <r>
      <t xml:space="preserve">(Longitude) </t>
    </r>
    <r>
      <rPr>
        <b/>
        <sz val="11"/>
        <color rgb="FFFA7D00"/>
        <rFont val="Symbol"/>
        <family val="1"/>
        <charset val="2"/>
      </rPr>
      <t>l</t>
    </r>
  </si>
  <si>
    <r>
      <t>(latitude)</t>
    </r>
    <r>
      <rPr>
        <b/>
        <sz val="11"/>
        <color rgb="FFFA7D00"/>
        <rFont val="Symbol"/>
        <family val="1"/>
        <charset val="2"/>
      </rPr>
      <t xml:space="preserve"> j</t>
    </r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</si>
  <si>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</si>
  <si>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</si>
  <si>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</si>
  <si>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r>
      <t>cos(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</si>
  <si>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t>cotan(Ad)</t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</si>
  <si>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</si>
  <si>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</si>
  <si>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t>tanAd</t>
  </si>
  <si>
    <t>A (Depart)</t>
  </si>
  <si>
    <t>B (Arrivee)</t>
  </si>
  <si>
    <r>
      <t>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</si>
  <si>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a)</t>
    </r>
  </si>
  <si>
    <t>hauteur = (Marnage/2) * ( 1 - cos(Pi() * (Heure - Heure0) / (Heure1 - Heure0))</t>
  </si>
  <si>
    <t>Marnage</t>
  </si>
  <si>
    <t>H0</t>
  </si>
  <si>
    <t>H1</t>
  </si>
  <si>
    <t>Epoch</t>
  </si>
  <si>
    <t>epoch</t>
  </si>
  <si>
    <t>H-H0</t>
  </si>
  <si>
    <t>H1-H0</t>
  </si>
  <si>
    <t>47°25'</t>
  </si>
  <si>
    <t>2°45</t>
  </si>
  <si>
    <t>2°43</t>
  </si>
  <si>
    <t>47°20,1</t>
  </si>
  <si>
    <t>1:00:01</t>
  </si>
  <si>
    <t>253°0</t>
  </si>
  <si>
    <t>H (heure)</t>
  </si>
  <si>
    <t>h (m)</t>
  </si>
  <si>
    <t>Hm</t>
  </si>
  <si>
    <t>Dz</t>
  </si>
  <si>
    <t>h = ?</t>
  </si>
  <si>
    <t>Dz cumulé</t>
  </si>
  <si>
    <t>h</t>
  </si>
  <si>
    <t>Ma</t>
  </si>
  <si>
    <t>Marnage (ma)</t>
  </si>
  <si>
    <t xml:space="preserve">m </t>
  </si>
  <si>
    <t>douzieme (dz)</t>
  </si>
  <si>
    <t>Heure Maree (Hm)</t>
  </si>
  <si>
    <t>min</t>
  </si>
  <si>
    <t>Nb heure (NbH)</t>
  </si>
  <si>
    <t>Nb heure maree</t>
  </si>
  <si>
    <t>NbH / Hm</t>
  </si>
  <si>
    <t>Nb Heure</t>
  </si>
  <si>
    <t>Nb douzieme heure maree pleine (A)</t>
  </si>
  <si>
    <t>dz</t>
  </si>
  <si>
    <t>Nb Heure maree</t>
  </si>
  <si>
    <t>Heure Maree suivante</t>
  </si>
  <si>
    <t>ieme Hm</t>
  </si>
  <si>
    <t>Nb Hm pleine</t>
  </si>
  <si>
    <t>Nb dz de la Heure Maree suivante (X)</t>
  </si>
  <si>
    <t>Dz heure suivante</t>
  </si>
  <si>
    <t>Fraction de Douzieme (B)</t>
  </si>
  <si>
    <t xml:space="preserve">(Fraction (Nb heure maree) * X) = </t>
  </si>
  <si>
    <t>Nb Dz</t>
  </si>
  <si>
    <t>Variation hauteur</t>
  </si>
  <si>
    <t>Nb Dz total</t>
  </si>
  <si>
    <t>=A + B</t>
  </si>
  <si>
    <t>Nb Dz total * Dz</t>
  </si>
  <si>
    <t>Hauteur depart + variation</t>
  </si>
  <si>
    <t>H = ?</t>
  </si>
  <si>
    <t>Index NbDz</t>
  </si>
  <si>
    <t>Nb DZ cumulé</t>
  </si>
  <si>
    <t>variation hauteur  (V)</t>
  </si>
  <si>
    <t>Variation heure</t>
  </si>
  <si>
    <t>Nb douzieme  (N)</t>
  </si>
  <si>
    <t>Nb heure maree pleine (A)</t>
  </si>
  <si>
    <t>Douzieme restant</t>
  </si>
  <si>
    <t>Nb douzieme heure maree plein - N</t>
  </si>
  <si>
    <t>Fraction d'heure maree (B)</t>
  </si>
  <si>
    <t xml:space="preserve">(Fraction (Nb heure maree) / X) = </t>
  </si>
  <si>
    <t>Nb heure maree total</t>
  </si>
  <si>
    <t xml:space="preserve">Heure  </t>
  </si>
  <si>
    <t>heure depart + variation horaire</t>
  </si>
  <si>
    <t>Pression</t>
  </si>
  <si>
    <t>mBar</t>
  </si>
  <si>
    <t>Pression / correction hauteur</t>
  </si>
  <si>
    <t>cm</t>
  </si>
  <si>
    <t>Hauteur (Hors Pression)</t>
  </si>
  <si>
    <t>Hauteur avec Pression Atm</t>
  </si>
  <si>
    <t>10:00</t>
  </si>
  <si>
    <t>13:30</t>
  </si>
  <si>
    <t>10:45</t>
  </si>
  <si>
    <t>16:40</t>
  </si>
  <si>
    <t>d est lie au perturbation du bateau</t>
  </si>
  <si>
    <t>Si Cap change, Zv cst, D cst =&gt; seul d(cap) change</t>
  </si>
  <si>
    <t>Zc = Zv - W (cap)</t>
  </si>
  <si>
    <t>W(cap) = D + d(cap)</t>
  </si>
  <si>
    <t xml:space="preserve">Note </t>
  </si>
  <si>
    <t>note la diff entre compas de relevement et compas de navigation fix</t>
  </si>
  <si>
    <t>3. pour chaque cap (de 10 en 10 ou 20 en 20)</t>
  </si>
  <si>
    <t>Correction du W du compas de relevement</t>
  </si>
  <si>
    <t>2. prendre un cap sur un alignement</t>
  </si>
  <si>
    <t>==&gt; le relevement doit etre constant</t>
  </si>
  <si>
    <t>faire un 360° pas trop largue</t>
  </si>
  <si>
    <t>prendre un amer a &gt; 3 milles</t>
  </si>
  <si>
    <t>prendre un compas de relevement</t>
  </si>
  <si>
    <t>1. chercher un endroit a magnetique sur le bateau</t>
  </si>
  <si>
    <t>Methodo</t>
  </si>
  <si>
    <t>Deviation du compas</t>
  </si>
  <si>
    <t>Déviation du compas</t>
  </si>
  <si>
    <t>Hauteur Phare (metres)</t>
  </si>
  <si>
    <t>Portee en milles (Mn)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</si>
</sst>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m/d/yy\ h:mm;@"/>
  </numFmts>
  <fonts count="50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  <font>
      <u/>
      <sz val="11"/>
      <color rgb="FFFF0000"/>
      <name val="Calibri"/>
      <family val="2"/>
    </font>
    <font>
      <sz val="8"/>
      <color theme="1"/>
      <name val="Roboto"/>
    </font>
    <font>
      <u/>
      <sz val="11"/>
      <color theme="10"/>
      <name val="Calibri"/>
      <family val="2"/>
      <scheme val="minor"/>
    </font>
    <font>
      <b/>
      <sz val="11"/>
      <color rgb="FFFA7D00"/>
      <name val="Symbol"/>
      <family val="1"/>
      <charset val="2"/>
    </font>
    <font>
      <i/>
      <sz val="11"/>
      <color rgb="FF7F7F7F"/>
      <name val="Calibri"/>
      <family val="2"/>
      <scheme val="minor"/>
    </font>
    <font>
      <b/>
      <sz val="18"/>
      <color theme="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4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/>
      <right style="thick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dotted">
        <color theme="0" tint="-0.14993743705557422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thin">
        <color theme="1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 style="thin">
        <color theme="0" tint="-0.14990691854609822"/>
      </bottom>
      <diagonal/>
    </border>
    <border>
      <left style="dotted">
        <color theme="0" tint="-0.14993743705557422"/>
      </left>
      <right/>
      <top/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/>
      <diagonal/>
    </border>
    <border>
      <left style="dotted">
        <color theme="0" tint="-0.14993743705557422"/>
      </left>
      <right/>
      <top style="thin">
        <color theme="0" tint="-0.14990691854609822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thin">
        <color theme="0" tint="-0.14990691854609822"/>
      </top>
      <bottom/>
      <diagonal/>
    </border>
    <border>
      <left style="dotted">
        <color theme="0" tint="-0.14993743705557422"/>
      </left>
      <right/>
      <top style="thin">
        <color theme="1"/>
      </top>
      <bottom style="thin">
        <color theme="0" tint="-0.149906918546098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thin">
        <color auto="1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thin">
        <color auto="1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thin">
        <color auto="1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thin">
        <color theme="1"/>
      </bottom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  <xf numFmtId="0" fontId="41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82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2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3" fillId="10" borderId="2" xfId="6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3" fillId="10" borderId="4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29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29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5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49" fontId="0" fillId="0" borderId="2" xfId="0" quotePrefix="1" applyNumberFormat="1" applyBorder="1"/>
    <xf numFmtId="165" fontId="0" fillId="0" borderId="0" xfId="0" applyNumberFormat="1"/>
    <xf numFmtId="165" fontId="0" fillId="17" borderId="0" xfId="0" applyNumberFormat="1" applyFill="1"/>
    <xf numFmtId="0" fontId="37" fillId="0" borderId="0" xfId="0" applyFont="1"/>
    <xf numFmtId="165" fontId="37" fillId="0" borderId="0" xfId="0" applyNumberFormat="1" applyFont="1"/>
    <xf numFmtId="165" fontId="37" fillId="17" borderId="0" xfId="0" applyNumberFormat="1" applyFont="1" applyFill="1"/>
    <xf numFmtId="0" fontId="38" fillId="10" borderId="0" xfId="6" applyFont="1"/>
    <xf numFmtId="165" fontId="38" fillId="10" borderId="0" xfId="6" applyNumberFormat="1" applyFont="1"/>
    <xf numFmtId="2" fontId="37" fillId="0" borderId="0" xfId="0" applyNumberFormat="1" applyFont="1"/>
    <xf numFmtId="2" fontId="38" fillId="10" borderId="0" xfId="6" applyNumberFormat="1" applyFont="1"/>
    <xf numFmtId="0" fontId="0" fillId="18" borderId="93" xfId="0" applyFill="1" applyBorder="1"/>
    <xf numFmtId="0" fontId="0" fillId="0" borderId="93" xfId="0" applyBorder="1"/>
    <xf numFmtId="0" fontId="0" fillId="18" borderId="92" xfId="0" applyFill="1" applyBorder="1"/>
    <xf numFmtId="0" fontId="0" fillId="18" borderId="94" xfId="0" applyFill="1" applyBorder="1"/>
    <xf numFmtId="0" fontId="0" fillId="0" borderId="92" xfId="0" applyBorder="1"/>
    <xf numFmtId="0" fontId="0" fillId="0" borderId="94" xfId="0" applyBorder="1"/>
    <xf numFmtId="0" fontId="41" fillId="0" borderId="0" xfId="8"/>
    <xf numFmtId="164" fontId="1" fillId="2" borderId="1" xfId="1" applyNumberFormat="1"/>
    <xf numFmtId="0" fontId="3" fillId="11" borderId="1" xfId="2" applyAlignment="1">
      <alignment horizontal="center"/>
    </xf>
    <xf numFmtId="20" fontId="3" fillId="11" borderId="1" xfId="2" quotePrefix="1" applyNumberFormat="1" applyAlignment="1">
      <alignment horizontal="center"/>
    </xf>
    <xf numFmtId="49" fontId="3" fillId="11" borderId="1" xfId="2" quotePrefix="1" applyNumberFormat="1" applyAlignment="1">
      <alignment horizontal="center"/>
    </xf>
    <xf numFmtId="2" fontId="3" fillId="11" borderId="1" xfId="2" quotePrefix="1" applyNumberFormat="1" applyAlignment="1">
      <alignment horizontal="center"/>
    </xf>
    <xf numFmtId="0" fontId="3" fillId="11" borderId="1" xfId="2"/>
    <xf numFmtId="20" fontId="3" fillId="11" borderId="1" xfId="2" quotePrefix="1" applyNumberFormat="1"/>
    <xf numFmtId="0" fontId="4" fillId="4" borderId="0" xfId="3"/>
    <xf numFmtId="0" fontId="43" fillId="0" borderId="0" xfId="9"/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left"/>
    </xf>
    <xf numFmtId="0" fontId="6" fillId="5" borderId="23" xfId="4"/>
    <xf numFmtId="0" fontId="0" fillId="0" borderId="6" xfId="0" applyBorder="1" applyAlignment="1">
      <alignment horizontal="right"/>
    </xf>
    <xf numFmtId="0" fontId="0" fillId="0" borderId="8" xfId="0" applyBorder="1" applyAlignment="1">
      <alignment horizontal="left"/>
    </xf>
    <xf numFmtId="0" fontId="43" fillId="0" borderId="0" xfId="9" applyFill="1" applyBorder="1"/>
    <xf numFmtId="0" fontId="4" fillId="4" borderId="0" xfId="3" applyBorder="1"/>
    <xf numFmtId="0" fontId="4" fillId="4" borderId="4" xfId="3" applyBorder="1" applyAlignment="1">
      <alignment horizontal="right"/>
    </xf>
    <xf numFmtId="0" fontId="4" fillId="4" borderId="5" xfId="3" applyBorder="1" applyAlignment="1">
      <alignment horizontal="left"/>
    </xf>
    <xf numFmtId="0" fontId="3" fillId="11" borderId="1" xfId="2" quotePrefix="1"/>
    <xf numFmtId="2" fontId="3" fillId="11" borderId="1" xfId="2" quotePrefix="1" applyNumberFormat="1"/>
    <xf numFmtId="0" fontId="3" fillId="11" borderId="1" xfId="2" quotePrefix="1" applyNumberFormat="1" applyAlignment="1">
      <alignment horizontal="center"/>
    </xf>
    <xf numFmtId="0" fontId="0" fillId="0" borderId="0" xfId="0"/>
    <xf numFmtId="0" fontId="4" fillId="22" borderId="4" xfId="3" applyFill="1" applyBorder="1" applyAlignment="1">
      <alignment horizontal="right"/>
    </xf>
    <xf numFmtId="0" fontId="4" fillId="22" borderId="5" xfId="3" applyFill="1" applyBorder="1" applyAlignment="1">
      <alignment horizontal="left"/>
    </xf>
    <xf numFmtId="0" fontId="10" fillId="0" borderId="0" xfId="0" applyFont="1"/>
    <xf numFmtId="0" fontId="0" fillId="23" borderId="0" xfId="0" applyFill="1"/>
    <xf numFmtId="0" fontId="4" fillId="4" borderId="0" xfId="3" quotePrefix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45" fillId="0" borderId="0" xfId="0" quotePrefix="1" applyFont="1" applyBorder="1" applyAlignment="1">
      <alignment vertical="center"/>
    </xf>
    <xf numFmtId="0" fontId="37" fillId="0" borderId="0" xfId="0" applyFont="1" applyBorder="1"/>
    <xf numFmtId="0" fontId="0" fillId="0" borderId="0" xfId="0" applyBorder="1" applyAlignment="1"/>
    <xf numFmtId="0" fontId="0" fillId="0" borderId="108" xfId="0" applyBorder="1" applyAlignment="1"/>
    <xf numFmtId="0" fontId="0" fillId="0" borderId="106" xfId="0" applyBorder="1" applyAlignment="1"/>
    <xf numFmtId="0" fontId="0" fillId="0" borderId="110" xfId="0" applyBorder="1" applyAlignment="1"/>
    <xf numFmtId="0" fontId="0" fillId="0" borderId="107" xfId="0" applyBorder="1" applyAlignment="1"/>
    <xf numFmtId="0" fontId="0" fillId="0" borderId="111" xfId="0" applyBorder="1" applyAlignment="1"/>
    <xf numFmtId="0" fontId="0" fillId="0" borderId="109" xfId="0" applyBorder="1" applyAlignment="1"/>
    <xf numFmtId="0" fontId="0" fillId="0" borderId="112" xfId="0" applyBorder="1" applyAlignment="1"/>
    <xf numFmtId="0" fontId="0" fillId="0" borderId="113" xfId="0" applyBorder="1" applyAlignment="1"/>
    <xf numFmtId="0" fontId="0" fillId="0" borderId="114" xfId="0" applyBorder="1" applyAlignment="1"/>
    <xf numFmtId="0" fontId="0" fillId="0" borderId="115" xfId="0" applyBorder="1" applyAlignment="1"/>
    <xf numFmtId="0" fontId="0" fillId="0" borderId="116" xfId="0" applyBorder="1" applyAlignment="1"/>
    <xf numFmtId="0" fontId="0" fillId="0" borderId="117" xfId="0" applyBorder="1" applyAlignment="1"/>
    <xf numFmtId="0" fontId="0" fillId="0" borderId="118" xfId="0" applyBorder="1" applyAlignment="1"/>
    <xf numFmtId="0" fontId="0" fillId="0" borderId="120" xfId="0" applyBorder="1" applyAlignment="1"/>
    <xf numFmtId="0" fontId="0" fillId="0" borderId="121" xfId="0" applyBorder="1" applyAlignment="1"/>
    <xf numFmtId="0" fontId="0" fillId="0" borderId="122" xfId="0" applyBorder="1" applyAlignment="1"/>
    <xf numFmtId="0" fontId="0" fillId="0" borderId="123" xfId="0" applyBorder="1" applyAlignment="1"/>
    <xf numFmtId="0" fontId="0" fillId="0" borderId="124" xfId="0" applyBorder="1" applyAlignment="1"/>
    <xf numFmtId="0" fontId="0" fillId="0" borderId="125" xfId="0" applyBorder="1" applyAlignment="1"/>
    <xf numFmtId="0" fontId="0" fillId="0" borderId="126" xfId="0" applyBorder="1" applyAlignment="1"/>
    <xf numFmtId="0" fontId="0" fillId="0" borderId="127" xfId="0" applyBorder="1" applyAlignment="1"/>
    <xf numFmtId="0" fontId="0" fillId="0" borderId="119" xfId="0" applyBorder="1" applyAlignment="1"/>
    <xf numFmtId="0" fontId="0" fillId="0" borderId="128" xfId="0" applyBorder="1" applyAlignment="1"/>
    <xf numFmtId="0" fontId="0" fillId="0" borderId="129" xfId="0" applyBorder="1" applyAlignment="1"/>
    <xf numFmtId="0" fontId="0" fillId="0" borderId="130" xfId="0" applyBorder="1" applyAlignment="1"/>
    <xf numFmtId="0" fontId="0" fillId="0" borderId="131" xfId="0" applyBorder="1" applyAlignment="1"/>
    <xf numFmtId="0" fontId="0" fillId="0" borderId="132" xfId="0" applyBorder="1" applyAlignment="1"/>
    <xf numFmtId="0" fontId="0" fillId="0" borderId="133" xfId="0" applyBorder="1" applyAlignment="1"/>
    <xf numFmtId="0" fontId="0" fillId="0" borderId="134" xfId="0" applyBorder="1" applyAlignment="1"/>
    <xf numFmtId="0" fontId="0" fillId="0" borderId="135" xfId="0" applyBorder="1" applyAlignment="1"/>
    <xf numFmtId="0" fontId="0" fillId="0" borderId="136" xfId="0" applyBorder="1" applyAlignment="1"/>
    <xf numFmtId="0" fontId="0" fillId="0" borderId="137" xfId="0" applyBorder="1" applyAlignment="1"/>
    <xf numFmtId="0" fontId="0" fillId="0" borderId="138" xfId="0" applyBorder="1" applyAlignment="1"/>
    <xf numFmtId="0" fontId="0" fillId="0" borderId="139" xfId="0" applyBorder="1" applyAlignment="1"/>
    <xf numFmtId="0" fontId="0" fillId="0" borderId="140" xfId="0" applyBorder="1" applyAlignment="1"/>
    <xf numFmtId="0" fontId="0" fillId="0" borderId="141" xfId="0" applyBorder="1" applyAlignment="1"/>
    <xf numFmtId="0" fontId="0" fillId="0" borderId="142" xfId="0" applyBorder="1" applyAlignment="1"/>
    <xf numFmtId="0" fontId="0" fillId="0" borderId="143" xfId="0" applyBorder="1" applyAlignment="1"/>
    <xf numFmtId="0" fontId="10" fillId="16" borderId="2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9" borderId="2" xfId="0" applyFont="1" applyFill="1" applyBorder="1" applyAlignment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3" fillId="4" borderId="2" xfId="3" applyNumberFormat="1" applyFont="1" applyBorder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0" fillId="6" borderId="24" xfId="5" applyNumberFormat="1" applyFont="1" applyAlignment="1" applyProtection="1">
      <alignment horizontal="center" vertical="center"/>
    </xf>
    <xf numFmtId="0" fontId="25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2" fillId="3" borderId="2" xfId="3" applyFont="1" applyFill="1" applyBorder="1" applyAlignment="1">
      <alignment horizontal="center"/>
    </xf>
    <xf numFmtId="164" fontId="22" fillId="5" borderId="2" xfId="4" applyNumberFormat="1" applyFont="1" applyBorder="1" applyAlignment="1" applyProtection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0" fontId="27" fillId="0" borderId="29" xfId="0" applyFont="1" applyBorder="1" applyAlignment="1">
      <alignment horizontal="right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0" fontId="19" fillId="4" borderId="2" xfId="3" applyFont="1" applyBorder="1" applyAlignment="1">
      <alignment horizontal="center" vertical="center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0" fontId="12" fillId="4" borderId="2" xfId="3" applyFont="1" applyBorder="1" applyAlignment="1">
      <alignment horizontal="center"/>
    </xf>
    <xf numFmtId="0" fontId="12" fillId="4" borderId="4" xfId="3" applyFont="1" applyBorder="1" applyAlignment="1">
      <alignment horizont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0" fontId="10" fillId="6" borderId="24" xfId="5" applyFont="1" applyAlignment="1">
      <alignment horizontal="center" vertic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164" fontId="19" fillId="4" borderId="2" xfId="3" applyNumberFormat="1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0" fontId="1" fillId="2" borderId="1" xfId="1" applyAlignment="1">
      <alignment horizontal="center"/>
    </xf>
    <xf numFmtId="164" fontId="10" fillId="6" borderId="97" xfId="5" applyNumberFormat="1" applyFont="1" applyBorder="1" applyAlignment="1">
      <alignment horizontal="center" vertical="center"/>
    </xf>
    <xf numFmtId="164" fontId="10" fillId="6" borderId="98" xfId="5" applyNumberFormat="1" applyFont="1" applyBorder="1" applyAlignment="1">
      <alignment horizontal="center" vertical="center"/>
    </xf>
    <xf numFmtId="164" fontId="10" fillId="6" borderId="99" xfId="5" applyNumberFormat="1" applyFont="1" applyBorder="1" applyAlignment="1">
      <alignment horizontal="center" vertical="center"/>
    </xf>
    <xf numFmtId="164" fontId="10" fillId="6" borderId="96" xfId="5" applyNumberFormat="1" applyFont="1" applyBorder="1" applyAlignment="1">
      <alignment horizontal="center" vertical="center"/>
    </xf>
    <xf numFmtId="164" fontId="10" fillId="6" borderId="83" xfId="5" applyNumberFormat="1" applyFont="1" applyBorder="1" applyAlignment="1">
      <alignment horizontal="center" vertical="center"/>
    </xf>
    <xf numFmtId="164" fontId="10" fillId="6" borderId="100" xfId="5" applyNumberFormat="1" applyFont="1" applyBorder="1" applyAlignment="1">
      <alignment horizontal="center" vertical="center"/>
    </xf>
    <xf numFmtId="164" fontId="40" fillId="6" borderId="24" xfId="5" applyNumberFormat="1" applyFont="1" applyAlignment="1">
      <alignment horizontal="center" vertical="center"/>
    </xf>
    <xf numFmtId="0" fontId="1" fillId="2" borderId="36" xfId="1" applyBorder="1" applyAlignment="1">
      <alignment horizontal="center"/>
    </xf>
    <xf numFmtId="0" fontId="1" fillId="2" borderId="3" xfId="1" applyBorder="1" applyAlignment="1">
      <alignment horizontal="center"/>
    </xf>
    <xf numFmtId="0" fontId="44" fillId="24" borderId="0" xfId="0" applyFont="1" applyFill="1" applyAlignment="1">
      <alignment horizontal="center" vertical="center"/>
    </xf>
    <xf numFmtId="0" fontId="45" fillId="0" borderId="0" xfId="0" quotePrefix="1" applyFont="1" applyBorder="1" applyAlignment="1">
      <alignment horizontal="center" vertical="top"/>
    </xf>
    <xf numFmtId="0" fontId="0" fillId="0" borderId="102" xfId="0" applyBorder="1" applyAlignment="1">
      <alignment horizontal="center"/>
    </xf>
    <xf numFmtId="0" fontId="0" fillId="0" borderId="103" xfId="0" applyBorder="1" applyAlignment="1">
      <alignment horizontal="center"/>
    </xf>
    <xf numFmtId="0" fontId="48" fillId="0" borderId="0" xfId="0" quotePrefix="1" applyFont="1" applyBorder="1" applyAlignment="1">
      <alignment horizontal="center" vertical="top"/>
    </xf>
    <xf numFmtId="0" fontId="37" fillId="0" borderId="0" xfId="0" quotePrefix="1" applyFont="1" applyBorder="1" applyAlignment="1">
      <alignment horizontal="center"/>
    </xf>
    <xf numFmtId="0" fontId="49" fillId="0" borderId="0" xfId="0" quotePrefix="1" applyFon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0" xfId="0" applyAlignment="1">
      <alignment horizontal="right" vertical="center"/>
    </xf>
    <xf numFmtId="0" fontId="0" fillId="0" borderId="101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46" fillId="0" borderId="0" xfId="0" quotePrefix="1" applyFont="1" applyBorder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0" fontId="0" fillId="0" borderId="91" xfId="0" applyBorder="1" applyAlignment="1">
      <alignment horizontal="center"/>
    </xf>
    <xf numFmtId="0" fontId="0" fillId="0" borderId="105" xfId="0" applyBorder="1" applyAlignment="1">
      <alignment horizontal="center"/>
    </xf>
    <xf numFmtId="0" fontId="4" fillId="4" borderId="2" xfId="3" applyBorder="1" applyAlignment="1">
      <alignment horizontal="left"/>
    </xf>
    <xf numFmtId="0" fontId="4" fillId="4" borderId="2" xfId="3" quotePrefix="1" applyBorder="1" applyAlignment="1">
      <alignment horizontal="center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29" xfId="0" quotePrefix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9" xfId="0" applyBorder="1" applyAlignment="1">
      <alignment horizontal="left"/>
    </xf>
    <xf numFmtId="0" fontId="4" fillId="22" borderId="2" xfId="3" applyFill="1" applyBorder="1" applyAlignment="1">
      <alignment horizontal="left"/>
    </xf>
    <xf numFmtId="0" fontId="4" fillId="22" borderId="2" xfId="3" quotePrefix="1" applyFill="1" applyBorder="1" applyAlignment="1">
      <alignment horizontal="center"/>
    </xf>
    <xf numFmtId="0" fontId="4" fillId="22" borderId="2" xfId="3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49" fontId="0" fillId="0" borderId="2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32" fillId="4" borderId="2" xfId="3" applyFont="1" applyBorder="1" applyAlignment="1">
      <alignment horizontal="center" vertical="center" wrapText="1"/>
    </xf>
    <xf numFmtId="0" fontId="32" fillId="4" borderId="29" xfId="3" applyFont="1" applyBorder="1" applyAlignment="1">
      <alignment horizontal="center" vertical="center" wrapText="1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49" fontId="29" fillId="20" borderId="2" xfId="0" applyNumberFormat="1" applyFont="1" applyFill="1" applyBorder="1" applyAlignment="1">
      <alignment horizontal="center"/>
    </xf>
    <xf numFmtId="0" fontId="29" fillId="20" borderId="2" xfId="0" applyFont="1" applyFill="1" applyBorder="1" applyAlignment="1">
      <alignment horizontal="center"/>
    </xf>
    <xf numFmtId="0" fontId="0" fillId="22" borderId="30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3" fillId="10" borderId="4" xfId="6" applyFont="1" applyBorder="1" applyAlignment="1">
      <alignment horizontal="center"/>
    </xf>
    <xf numFmtId="0" fontId="33" fillId="10" borderId="22" xfId="6" applyFont="1" applyBorder="1" applyAlignment="1">
      <alignment horizontal="center"/>
    </xf>
    <xf numFmtId="0" fontId="33" fillId="10" borderId="5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/>
    </xf>
    <xf numFmtId="0" fontId="29" fillId="6" borderId="24" xfId="5" applyFont="1" applyAlignment="1">
      <alignment horizontal="center"/>
    </xf>
    <xf numFmtId="0" fontId="29" fillId="6" borderId="84" xfId="5" applyFont="1" applyBorder="1" applyAlignment="1">
      <alignment horizontal="center"/>
    </xf>
    <xf numFmtId="0" fontId="29" fillId="6" borderId="79" xfId="5" applyFont="1" applyBorder="1" applyAlignment="1">
      <alignment horizontal="center" vertical="center"/>
    </xf>
    <xf numFmtId="0" fontId="29" fillId="6" borderId="80" xfId="5" applyFont="1" applyBorder="1" applyAlignment="1">
      <alignment horizontal="center" vertical="center"/>
    </xf>
    <xf numFmtId="0" fontId="29" fillId="6" borderId="81" xfId="5" applyFont="1" applyBorder="1" applyAlignment="1">
      <alignment horizontal="center" vertical="center"/>
    </xf>
    <xf numFmtId="0" fontId="29" fillId="6" borderId="8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29" fillId="6" borderId="78" xfId="5" applyFont="1" applyBorder="1" applyAlignment="1">
      <alignment horizontal="center"/>
    </xf>
    <xf numFmtId="0" fontId="29" fillId="6" borderId="83" xfId="5" applyFont="1" applyBorder="1" applyAlignment="1">
      <alignment horizontal="center"/>
    </xf>
    <xf numFmtId="164" fontId="30" fillId="14" borderId="0" xfId="0" applyNumberFormat="1" applyFont="1" applyFill="1" applyAlignment="1">
      <alignment horizontal="center" vertical="center"/>
    </xf>
    <xf numFmtId="164" fontId="31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49" fontId="0" fillId="22" borderId="2" xfId="0" applyNumberFormat="1" applyFill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  <xf numFmtId="0" fontId="4" fillId="4" borderId="0" xfId="3" applyAlignment="1">
      <alignment horizontal="center"/>
    </xf>
    <xf numFmtId="0" fontId="4" fillId="4" borderId="91" xfId="3" applyBorder="1" applyAlignment="1">
      <alignment horizontal="center"/>
    </xf>
  </cellXfs>
  <cellStyles count="10">
    <cellStyle name="60% - Accent5" xfId="7" builtinId="48" customBuiltin="1"/>
    <cellStyle name="Calculation" xfId="1" builtinId="22" customBuiltin="1"/>
    <cellStyle name="Check Cell" xfId="4" builtinId="23"/>
    <cellStyle name="Explanatory Text" xfId="9" builtinId="53"/>
    <cellStyle name="Good" xfId="3" builtinId="26"/>
    <cellStyle name="Hyperlink" xfId="8" builtinId="8"/>
    <cellStyle name="Input" xfId="2" builtinId="20" customBuiltin="1"/>
    <cellStyle name="Neutral" xfId="6" builtinId="28"/>
    <cellStyle name="Normal" xfId="0" builtinId="0"/>
    <cellStyle name="Note" xfId="5" builtinId="1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D5FFDA"/>
      <color rgb="FF00FF00"/>
      <color rgb="FFECEBFF"/>
      <color rgb="FFFFC7C1"/>
      <color rgb="FFC5FFC5"/>
      <color rgb="FF66FF66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45546.167361111111</c:v>
                </c:pt>
                <c:pt idx="1">
                  <c:v>45546.207638888889</c:v>
                </c:pt>
                <c:pt idx="2">
                  <c:v>45546.247916666667</c:v>
                </c:pt>
                <c:pt idx="3">
                  <c:v>45546.288194444445</c:v>
                </c:pt>
                <c:pt idx="4">
                  <c:v>45546.328472222223</c:v>
                </c:pt>
                <c:pt idx="5">
                  <c:v>45546.368750000001</c:v>
                </c:pt>
                <c:pt idx="6">
                  <c:v>45546.40902777778</c:v>
                </c:pt>
                <c:pt idx="7">
                  <c:v>45546.455439814818</c:v>
                </c:pt>
                <c:pt idx="8">
                  <c:v>45546.501851851855</c:v>
                </c:pt>
                <c:pt idx="9">
                  <c:v>45546.548263888886</c:v>
                </c:pt>
                <c:pt idx="10">
                  <c:v>45546.594675925924</c:v>
                </c:pt>
                <c:pt idx="11">
                  <c:v>45546.641087962962</c:v>
                </c:pt>
                <c:pt idx="12">
                  <c:v>45546.6875</c:v>
                </c:pt>
                <c:pt idx="13">
                  <c:v>45546.727546296293</c:v>
                </c:pt>
                <c:pt idx="14">
                  <c:v>45546.767592592594</c:v>
                </c:pt>
                <c:pt idx="15">
                  <c:v>45546.807638888888</c:v>
                </c:pt>
                <c:pt idx="16">
                  <c:v>45546.847685185188</c:v>
                </c:pt>
                <c:pt idx="17">
                  <c:v>45546.887731481482</c:v>
                </c:pt>
                <c:pt idx="18">
                  <c:v>45546.927777777775</c:v>
                </c:pt>
                <c:pt idx="19">
                  <c:v>45546.973263888889</c:v>
                </c:pt>
                <c:pt idx="20">
                  <c:v>45547.018750000003</c:v>
                </c:pt>
                <c:pt idx="21">
                  <c:v>45547.064236111109</c:v>
                </c:pt>
                <c:pt idx="22">
                  <c:v>45547.109722222223</c:v>
                </c:pt>
                <c:pt idx="23">
                  <c:v>45547.15520833333</c:v>
                </c:pt>
                <c:pt idx="24">
                  <c:v>45547.200694444444</c:v>
                </c:pt>
                <c:pt idx="25">
                  <c:v>45547.242129629631</c:v>
                </c:pt>
                <c:pt idx="26">
                  <c:v>45547.283564814818</c:v>
                </c:pt>
                <c:pt idx="27">
                  <c:v>45547.324999999997</c:v>
                </c:pt>
                <c:pt idx="28">
                  <c:v>45547.366435185184</c:v>
                </c:pt>
                <c:pt idx="29">
                  <c:v>45547.407870370371</c:v>
                </c:pt>
                <c:pt idx="30">
                  <c:v>45547.449305555558</c:v>
                </c:pt>
                <c:pt idx="31">
                  <c:v>45547.497453703705</c:v>
                </c:pt>
                <c:pt idx="32">
                  <c:v>45547.545601851853</c:v>
                </c:pt>
                <c:pt idx="33">
                  <c:v>45547.59375</c:v>
                </c:pt>
                <c:pt idx="34">
                  <c:v>45547.641898148147</c:v>
                </c:pt>
                <c:pt idx="35">
                  <c:v>45547.690046296295</c:v>
                </c:pt>
                <c:pt idx="36">
                  <c:v>45547.738194444442</c:v>
                </c:pt>
                <c:pt idx="37">
                  <c:v>45547.780439814815</c:v>
                </c:pt>
                <c:pt idx="38">
                  <c:v>45547.822685185187</c:v>
                </c:pt>
                <c:pt idx="39">
                  <c:v>45547.864930555559</c:v>
                </c:pt>
                <c:pt idx="40">
                  <c:v>45547.907175925924</c:v>
                </c:pt>
                <c:pt idx="41">
                  <c:v>45547.949421296296</c:v>
                </c:pt>
                <c:pt idx="42">
                  <c:v>45547.991666666669</c:v>
                </c:pt>
                <c:pt idx="43">
                  <c:v>45548.037499999999</c:v>
                </c:pt>
                <c:pt idx="44">
                  <c:v>45548.083333333336</c:v>
                </c:pt>
                <c:pt idx="45">
                  <c:v>45548.129166666666</c:v>
                </c:pt>
                <c:pt idx="46">
                  <c:v>45548.175000000003</c:v>
                </c:pt>
                <c:pt idx="47">
                  <c:v>45548.220833333333</c:v>
                </c:pt>
                <c:pt idx="48">
                  <c:v>45548.26666666667</c:v>
                </c:pt>
                <c:pt idx="49">
                  <c:v>45548.311921296299</c:v>
                </c:pt>
                <c:pt idx="50">
                  <c:v>45548.357175925928</c:v>
                </c:pt>
                <c:pt idx="51">
                  <c:v>45548.402430555558</c:v>
                </c:pt>
                <c:pt idx="52">
                  <c:v>45548.447685185187</c:v>
                </c:pt>
                <c:pt idx="53">
                  <c:v>45548.492939814816</c:v>
                </c:pt>
                <c:pt idx="54">
                  <c:v>45548.538194444445</c:v>
                </c:pt>
                <c:pt idx="55">
                  <c:v>45548.585532407407</c:v>
                </c:pt>
                <c:pt idx="56">
                  <c:v>45548.632870370369</c:v>
                </c:pt>
                <c:pt idx="57">
                  <c:v>45548.680208333331</c:v>
                </c:pt>
                <c:pt idx="58">
                  <c:v>45548.727546296293</c:v>
                </c:pt>
                <c:pt idx="59">
                  <c:v>45548.774884259263</c:v>
                </c:pt>
                <c:pt idx="60">
                  <c:v>45548.822222222225</c:v>
                </c:pt>
                <c:pt idx="61">
                  <c:v>45548.866203703707</c:v>
                </c:pt>
                <c:pt idx="62">
                  <c:v>45548.910185185188</c:v>
                </c:pt>
                <c:pt idx="63">
                  <c:v>45548.95416666667</c:v>
                </c:pt>
                <c:pt idx="64">
                  <c:v>45548.998148148145</c:v>
                </c:pt>
                <c:pt idx="65">
                  <c:v>45549.042129629626</c:v>
                </c:pt>
                <c:pt idx="66">
                  <c:v>45549.086111111108</c:v>
                </c:pt>
                <c:pt idx="67">
                  <c:v>45549.130671296298</c:v>
                </c:pt>
                <c:pt idx="68">
                  <c:v>45549.17523148148</c:v>
                </c:pt>
                <c:pt idx="69">
                  <c:v>45549.21979166667</c:v>
                </c:pt>
                <c:pt idx="70">
                  <c:v>45549.264351851853</c:v>
                </c:pt>
                <c:pt idx="71">
                  <c:v>45549.308912037035</c:v>
                </c:pt>
                <c:pt idx="72">
                  <c:v>45549.353472222225</c:v>
                </c:pt>
                <c:pt idx="73">
                  <c:v>45549.39675925926</c:v>
                </c:pt>
                <c:pt idx="74">
                  <c:v>45549.440046296295</c:v>
                </c:pt>
                <c:pt idx="75">
                  <c:v>45549.48333333333</c:v>
                </c:pt>
                <c:pt idx="76">
                  <c:v>45549.526620370372</c:v>
                </c:pt>
                <c:pt idx="77">
                  <c:v>45549.569907407407</c:v>
                </c:pt>
                <c:pt idx="78">
                  <c:v>45549.613194444442</c:v>
                </c:pt>
                <c:pt idx="79">
                  <c:v>45549.658564814818</c:v>
                </c:pt>
                <c:pt idx="80">
                  <c:v>45549.703935185185</c:v>
                </c:pt>
                <c:pt idx="81">
                  <c:v>45549.749305555553</c:v>
                </c:pt>
                <c:pt idx="82">
                  <c:v>45549.794675925928</c:v>
                </c:pt>
                <c:pt idx="83">
                  <c:v>45549.840046296296</c:v>
                </c:pt>
                <c:pt idx="84">
                  <c:v>45549.885416666664</c:v>
                </c:pt>
                <c:pt idx="85">
                  <c:v>45549.92800925926</c:v>
                </c:pt>
                <c:pt idx="86">
                  <c:v>45549.970601851855</c:v>
                </c:pt>
                <c:pt idx="87">
                  <c:v>45550.013194444444</c:v>
                </c:pt>
                <c:pt idx="88">
                  <c:v>45550.055787037039</c:v>
                </c:pt>
                <c:pt idx="89">
                  <c:v>45550.098379629628</c:v>
                </c:pt>
                <c:pt idx="90">
                  <c:v>45550.140972222223</c:v>
                </c:pt>
                <c:pt idx="91">
                  <c:v>45550.185532407406</c:v>
                </c:pt>
                <c:pt idx="92">
                  <c:v>45550.230092592596</c:v>
                </c:pt>
                <c:pt idx="93">
                  <c:v>45550.274652777778</c:v>
                </c:pt>
                <c:pt idx="94">
                  <c:v>45550.319212962961</c:v>
                </c:pt>
                <c:pt idx="95">
                  <c:v>45550.36377314815</c:v>
                </c:pt>
                <c:pt idx="96">
                  <c:v>45550.408333333333</c:v>
                </c:pt>
                <c:pt idx="97">
                  <c:v>45550.450115740743</c:v>
                </c:pt>
                <c:pt idx="98">
                  <c:v>45550.491898148146</c:v>
                </c:pt>
                <c:pt idx="99">
                  <c:v>45550.533680555556</c:v>
                </c:pt>
                <c:pt idx="100">
                  <c:v>45550.575462962966</c:v>
                </c:pt>
                <c:pt idx="101">
                  <c:v>45550.617245370369</c:v>
                </c:pt>
                <c:pt idx="102">
                  <c:v>45550.65902777778</c:v>
                </c:pt>
                <c:pt idx="103">
                  <c:v>45550.70416666667</c:v>
                </c:pt>
                <c:pt idx="104">
                  <c:v>45550.749305555553</c:v>
                </c:pt>
                <c:pt idx="105">
                  <c:v>45550.794444444444</c:v>
                </c:pt>
                <c:pt idx="106">
                  <c:v>45550.839583333334</c:v>
                </c:pt>
                <c:pt idx="107">
                  <c:v>45550.884722222225</c:v>
                </c:pt>
                <c:pt idx="108">
                  <c:v>45550.929861111108</c:v>
                </c:pt>
                <c:pt idx="109">
                  <c:v>45550.971759259257</c:v>
                </c:pt>
                <c:pt idx="110">
                  <c:v>45551.013657407406</c:v>
                </c:pt>
                <c:pt idx="111">
                  <c:v>45551.055555555555</c:v>
                </c:pt>
                <c:pt idx="112">
                  <c:v>45551.097453703704</c:v>
                </c:pt>
                <c:pt idx="113">
                  <c:v>45551.139351851853</c:v>
                </c:pt>
                <c:pt idx="114">
                  <c:v>45551.181250000001</c:v>
                </c:pt>
                <c:pt idx="115">
                  <c:v>45551.225810185184</c:v>
                </c:pt>
                <c:pt idx="116">
                  <c:v>45551.270370370374</c:v>
                </c:pt>
                <c:pt idx="117">
                  <c:v>45551.314930555556</c:v>
                </c:pt>
                <c:pt idx="118">
                  <c:v>45551.359490740739</c:v>
                </c:pt>
                <c:pt idx="119">
                  <c:v>45551.404050925928</c:v>
                </c:pt>
                <c:pt idx="120">
                  <c:v>45551.448611111111</c:v>
                </c:pt>
                <c:pt idx="121">
                  <c:v>45551.489930555559</c:v>
                </c:pt>
                <c:pt idx="122">
                  <c:v>45551.53125</c:v>
                </c:pt>
                <c:pt idx="123">
                  <c:v>45551.572569444441</c:v>
                </c:pt>
                <c:pt idx="124">
                  <c:v>45551.613888888889</c:v>
                </c:pt>
                <c:pt idx="125">
                  <c:v>45551.65520833333</c:v>
                </c:pt>
                <c:pt idx="126">
                  <c:v>45551.696527777778</c:v>
                </c:pt>
                <c:pt idx="127">
                  <c:v>45551.741666666669</c:v>
                </c:pt>
                <c:pt idx="128">
                  <c:v>45551.786805555559</c:v>
                </c:pt>
                <c:pt idx="129">
                  <c:v>45551.831944444442</c:v>
                </c:pt>
                <c:pt idx="130">
                  <c:v>45551.877083333333</c:v>
                </c:pt>
                <c:pt idx="131">
                  <c:v>45551.922222222223</c:v>
                </c:pt>
                <c:pt idx="132">
                  <c:v>45551.967361111114</c:v>
                </c:pt>
                <c:pt idx="133">
                  <c:v>45552.009027777778</c:v>
                </c:pt>
                <c:pt idx="134">
                  <c:v>45552.050694444442</c:v>
                </c:pt>
                <c:pt idx="135">
                  <c:v>45552.092361111114</c:v>
                </c:pt>
                <c:pt idx="136">
                  <c:v>45552.134027777778</c:v>
                </c:pt>
                <c:pt idx="137">
                  <c:v>45552.175694444442</c:v>
                </c:pt>
                <c:pt idx="138">
                  <c:v>45552.217361111114</c:v>
                </c:pt>
                <c:pt idx="139">
                  <c:v>45552.261921296296</c:v>
                </c:pt>
                <c:pt idx="140">
                  <c:v>45552.306481481479</c:v>
                </c:pt>
                <c:pt idx="141">
                  <c:v>45552.351041666669</c:v>
                </c:pt>
                <c:pt idx="142">
                  <c:v>45552.395601851851</c:v>
                </c:pt>
                <c:pt idx="143">
                  <c:v>45552.440162037034</c:v>
                </c:pt>
                <c:pt idx="144">
                  <c:v>45552.484722222223</c:v>
                </c:pt>
                <c:pt idx="145">
                  <c:v>45552.525694444441</c:v>
                </c:pt>
                <c:pt idx="146">
                  <c:v>45552.566666666666</c:v>
                </c:pt>
                <c:pt idx="147">
                  <c:v>45552.607638888891</c:v>
                </c:pt>
                <c:pt idx="148">
                  <c:v>45552.648611111108</c:v>
                </c:pt>
                <c:pt idx="149">
                  <c:v>45552.689583333333</c:v>
                </c:pt>
                <c:pt idx="150">
                  <c:v>45552.730555555558</c:v>
                </c:pt>
                <c:pt idx="151">
                  <c:v>45552.775925925926</c:v>
                </c:pt>
                <c:pt idx="152">
                  <c:v>45552.821296296293</c:v>
                </c:pt>
                <c:pt idx="153">
                  <c:v>45552.866666666669</c:v>
                </c:pt>
                <c:pt idx="154">
                  <c:v>45552.912037037036</c:v>
                </c:pt>
                <c:pt idx="155">
                  <c:v>45552.957407407404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4.07</c:v>
                </c:pt>
                <c:pt idx="1">
                  <c:v>4.4283333333405261</c:v>
                </c:pt>
                <c:pt idx="2">
                  <c:v>5.145000000021577</c:v>
                </c:pt>
                <c:pt idx="3">
                  <c:v>6.2199999999676345</c:v>
                </c:pt>
                <c:pt idx="4">
                  <c:v>7.2949999999784225</c:v>
                </c:pt>
                <c:pt idx="5">
                  <c:v>8.0116666666594725</c:v>
                </c:pt>
                <c:pt idx="6">
                  <c:v>8.3699999999999992</c:v>
                </c:pt>
                <c:pt idx="7">
                  <c:v>8.0383333333217788</c:v>
                </c:pt>
                <c:pt idx="8">
                  <c:v>7.3750000000115543</c:v>
                </c:pt>
                <c:pt idx="9">
                  <c:v>6.38</c:v>
                </c:pt>
                <c:pt idx="10">
                  <c:v>5.3849999999884455</c:v>
                </c:pt>
                <c:pt idx="11">
                  <c:v>4.721666666678221</c:v>
                </c:pt>
                <c:pt idx="12">
                  <c:v>4.3899999999999997</c:v>
                </c:pt>
                <c:pt idx="13">
                  <c:v>4.6866666666636716</c:v>
                </c:pt>
                <c:pt idx="14">
                  <c:v>5.2799999999880214</c:v>
                </c:pt>
                <c:pt idx="15">
                  <c:v>6.1699999999730499</c:v>
                </c:pt>
                <c:pt idx="16">
                  <c:v>7.0600000000119776</c:v>
                </c:pt>
                <c:pt idx="17">
                  <c:v>7.6533333333363274</c:v>
                </c:pt>
                <c:pt idx="18">
                  <c:v>7.95</c:v>
                </c:pt>
                <c:pt idx="19">
                  <c:v>7.677499999995157</c:v>
                </c:pt>
                <c:pt idx="20">
                  <c:v>7.1324999999854706</c:v>
                </c:pt>
                <c:pt idx="21">
                  <c:v>6.3150000000217945</c:v>
                </c:pt>
                <c:pt idx="22">
                  <c:v>5.4975000000145293</c:v>
                </c:pt>
                <c:pt idx="23">
                  <c:v>4.9525000000048429</c:v>
                </c:pt>
                <c:pt idx="24">
                  <c:v>4.68</c:v>
                </c:pt>
                <c:pt idx="25">
                  <c:v>4.9391666666616096</c:v>
                </c:pt>
                <c:pt idx="26">
                  <c:v>5.4575000000151697</c:v>
                </c:pt>
                <c:pt idx="27">
                  <c:v>6.2350000000000003</c:v>
                </c:pt>
                <c:pt idx="28">
                  <c:v>7.0124999999848301</c:v>
                </c:pt>
                <c:pt idx="29">
                  <c:v>7.5308333333383901</c:v>
                </c:pt>
                <c:pt idx="30">
                  <c:v>7.79</c:v>
                </c:pt>
                <c:pt idx="31">
                  <c:v>7.5458333333374332</c:v>
                </c:pt>
                <c:pt idx="32">
                  <c:v>7.0574999999877006</c:v>
                </c:pt>
                <c:pt idx="33">
                  <c:v>6.3250000000000002</c:v>
                </c:pt>
                <c:pt idx="34">
                  <c:v>5.5925000000122997</c:v>
                </c:pt>
                <c:pt idx="35">
                  <c:v>5.1041666666625671</c:v>
                </c:pt>
                <c:pt idx="36">
                  <c:v>4.8600000000000003</c:v>
                </c:pt>
                <c:pt idx="37">
                  <c:v>5.0758333333312686</c:v>
                </c:pt>
                <c:pt idx="38">
                  <c:v>5.5074999999917393</c:v>
                </c:pt>
                <c:pt idx="39">
                  <c:v>6.1549999999814133</c:v>
                </c:pt>
                <c:pt idx="40">
                  <c:v>6.8025000000082612</c:v>
                </c:pt>
                <c:pt idx="41">
                  <c:v>7.2341666666687319</c:v>
                </c:pt>
                <c:pt idx="42">
                  <c:v>7.45</c:v>
                </c:pt>
                <c:pt idx="43">
                  <c:v>7.2524999999895492</c:v>
                </c:pt>
                <c:pt idx="44">
                  <c:v>6.8574999999999999</c:v>
                </c:pt>
                <c:pt idx="45">
                  <c:v>6.265000000015676</c:v>
                </c:pt>
                <c:pt idx="46">
                  <c:v>5.6725000000000003</c:v>
                </c:pt>
                <c:pt idx="47">
                  <c:v>5.2774999999947747</c:v>
                </c:pt>
                <c:pt idx="48">
                  <c:v>5.08</c:v>
                </c:pt>
                <c:pt idx="49">
                  <c:v>5.2891666666647987</c:v>
                </c:pt>
                <c:pt idx="50">
                  <c:v>5.7074999999925264</c:v>
                </c:pt>
                <c:pt idx="51">
                  <c:v>6.334999999983185</c:v>
                </c:pt>
                <c:pt idx="52">
                  <c:v>6.9625000000074726</c:v>
                </c:pt>
                <c:pt idx="53">
                  <c:v>7.3808333333352012</c:v>
                </c:pt>
                <c:pt idx="54">
                  <c:v>7.59</c:v>
                </c:pt>
                <c:pt idx="55">
                  <c:v>7.3516666666707371</c:v>
                </c:pt>
                <c:pt idx="56">
                  <c:v>6.8749999999877893</c:v>
                </c:pt>
                <c:pt idx="57">
                  <c:v>6.16</c:v>
                </c:pt>
                <c:pt idx="58">
                  <c:v>5.445000000012211</c:v>
                </c:pt>
                <c:pt idx="59">
                  <c:v>4.9683333333292632</c:v>
                </c:pt>
                <c:pt idx="60">
                  <c:v>4.7300000000000004</c:v>
                </c:pt>
                <c:pt idx="61">
                  <c:v>4.9800000000045959</c:v>
                </c:pt>
                <c:pt idx="62">
                  <c:v>5.4800000000137867</c:v>
                </c:pt>
                <c:pt idx="63">
                  <c:v>6.230000000020679</c:v>
                </c:pt>
                <c:pt idx="64">
                  <c:v>6.9799999999862141</c:v>
                </c:pt>
                <c:pt idx="65">
                  <c:v>7.479999999995405</c:v>
                </c:pt>
                <c:pt idx="66">
                  <c:v>7.73</c:v>
                </c:pt>
                <c:pt idx="67">
                  <c:v>7.4758333333356397</c:v>
                </c:pt>
                <c:pt idx="68">
                  <c:v>6.9675000000092231</c:v>
                </c:pt>
                <c:pt idx="69">
                  <c:v>6.2049999999792496</c:v>
                </c:pt>
                <c:pt idx="70">
                  <c:v>5.4424999999907779</c:v>
                </c:pt>
                <c:pt idx="71">
                  <c:v>4.9341666666643613</c:v>
                </c:pt>
                <c:pt idx="72">
                  <c:v>4.68</c:v>
                </c:pt>
                <c:pt idx="73">
                  <c:v>4.976666666672207</c:v>
                </c:pt>
                <c:pt idx="74">
                  <c:v>5.5700000000166217</c:v>
                </c:pt>
                <c:pt idx="75">
                  <c:v>6.459999999975067</c:v>
                </c:pt>
                <c:pt idx="76">
                  <c:v>7.3499999999833783</c:v>
                </c:pt>
                <c:pt idx="77">
                  <c:v>7.9433333333277929</c:v>
                </c:pt>
                <c:pt idx="78">
                  <c:v>8.24</c:v>
                </c:pt>
                <c:pt idx="79">
                  <c:v>7.8783333333333339</c:v>
                </c:pt>
                <c:pt idx="80">
                  <c:v>7.1550000000000002</c:v>
                </c:pt>
                <c:pt idx="81">
                  <c:v>6.07</c:v>
                </c:pt>
                <c:pt idx="82">
                  <c:v>4.9850000000000003</c:v>
                </c:pt>
                <c:pt idx="83">
                  <c:v>4.2616666666666676</c:v>
                </c:pt>
                <c:pt idx="84">
                  <c:v>3.9</c:v>
                </c:pt>
                <c:pt idx="85">
                  <c:v>4.293333333340799</c:v>
                </c:pt>
                <c:pt idx="86">
                  <c:v>5.0800000000223973</c:v>
                </c:pt>
                <c:pt idx="87">
                  <c:v>6.2599999999664035</c:v>
                </c:pt>
                <c:pt idx="88">
                  <c:v>7.4399999999776023</c:v>
                </c:pt>
                <c:pt idx="89">
                  <c:v>8.2266666666592005</c:v>
                </c:pt>
                <c:pt idx="90">
                  <c:v>8.6199999999999992</c:v>
                </c:pt>
                <c:pt idx="91">
                  <c:v>8.2133333333333329</c:v>
                </c:pt>
                <c:pt idx="92">
                  <c:v>7.3999999999999995</c:v>
                </c:pt>
                <c:pt idx="93">
                  <c:v>6.18</c:v>
                </c:pt>
                <c:pt idx="94">
                  <c:v>4.96</c:v>
                </c:pt>
                <c:pt idx="95">
                  <c:v>4.1466666666666674</c:v>
                </c:pt>
                <c:pt idx="96">
                  <c:v>3.74</c:v>
                </c:pt>
                <c:pt idx="97">
                  <c:v>4.1966666666755028</c:v>
                </c:pt>
                <c:pt idx="98">
                  <c:v>5.1100000000265089</c:v>
                </c:pt>
                <c:pt idx="99">
                  <c:v>6.4800000000397624</c:v>
                </c:pt>
                <c:pt idx="100">
                  <c:v>7.8499999999734928</c:v>
                </c:pt>
                <c:pt idx="101">
                  <c:v>8.763333333324498</c:v>
                </c:pt>
                <c:pt idx="102">
                  <c:v>9.2200000000000006</c:v>
                </c:pt>
                <c:pt idx="103">
                  <c:v>8.6900000000094924</c:v>
                </c:pt>
                <c:pt idx="104">
                  <c:v>7.6299999999715231</c:v>
                </c:pt>
                <c:pt idx="105">
                  <c:v>6.04</c:v>
                </c:pt>
                <c:pt idx="106">
                  <c:v>4.4500000000284761</c:v>
                </c:pt>
                <c:pt idx="107">
                  <c:v>3.3899999999905073</c:v>
                </c:pt>
                <c:pt idx="108">
                  <c:v>2.86</c:v>
                </c:pt>
                <c:pt idx="109">
                  <c:v>3.4233333333550724</c:v>
                </c:pt>
                <c:pt idx="110">
                  <c:v>4.5499999999782608</c:v>
                </c:pt>
                <c:pt idx="111">
                  <c:v>6.24</c:v>
                </c:pt>
                <c:pt idx="112">
                  <c:v>7.9300000000217388</c:v>
                </c:pt>
                <c:pt idx="113">
                  <c:v>9.0566666666449276</c:v>
                </c:pt>
                <c:pt idx="114">
                  <c:v>9.6199999999999992</c:v>
                </c:pt>
                <c:pt idx="115">
                  <c:v>9.0450000000052153</c:v>
                </c:pt>
                <c:pt idx="116">
                  <c:v>7.8950000000208638</c:v>
                </c:pt>
                <c:pt idx="117">
                  <c:v>6.1699999999530561</c:v>
                </c:pt>
                <c:pt idx="118">
                  <c:v>4.444999999979137</c:v>
                </c:pt>
                <c:pt idx="119">
                  <c:v>3.2949999999947854</c:v>
                </c:pt>
                <c:pt idx="120">
                  <c:v>2.72</c:v>
                </c:pt>
                <c:pt idx="121">
                  <c:v>3.3441666666483485</c:v>
                </c:pt>
                <c:pt idx="122">
                  <c:v>4.5925000000000002</c:v>
                </c:pt>
                <c:pt idx="123">
                  <c:v>6.465000000054955</c:v>
                </c:pt>
                <c:pt idx="124">
                  <c:v>8.3375000000000004</c:v>
                </c:pt>
                <c:pt idx="125">
                  <c:v>9.5858333332966978</c:v>
                </c:pt>
                <c:pt idx="126">
                  <c:v>10.210000000000001</c:v>
                </c:pt>
                <c:pt idx="127">
                  <c:v>9.518333333345721</c:v>
                </c:pt>
                <c:pt idx="128">
                  <c:v>8.1349999999628366</c:v>
                </c:pt>
                <c:pt idx="129">
                  <c:v>6.0600000000000005</c:v>
                </c:pt>
                <c:pt idx="130">
                  <c:v>3.985000000037163</c:v>
                </c:pt>
                <c:pt idx="131">
                  <c:v>2.6016666666542791</c:v>
                </c:pt>
                <c:pt idx="132">
                  <c:v>1.91</c:v>
                </c:pt>
                <c:pt idx="133">
                  <c:v>2.6266666666666665</c:v>
                </c:pt>
                <c:pt idx="134">
                  <c:v>4.0599999999999996</c:v>
                </c:pt>
                <c:pt idx="135">
                  <c:v>6.21</c:v>
                </c:pt>
                <c:pt idx="136">
                  <c:v>8.36</c:v>
                </c:pt>
                <c:pt idx="137">
                  <c:v>9.793333333333333</c:v>
                </c:pt>
                <c:pt idx="138">
                  <c:v>10.51</c:v>
                </c:pt>
                <c:pt idx="139">
                  <c:v>9.7875000000065544</c:v>
                </c:pt>
                <c:pt idx="140">
                  <c:v>8.3425000000262166</c:v>
                </c:pt>
                <c:pt idx="141">
                  <c:v>6.1749999999410141</c:v>
                </c:pt>
                <c:pt idx="142">
                  <c:v>4.0074999999737848</c:v>
                </c:pt>
                <c:pt idx="143">
                  <c:v>2.5624999999934461</c:v>
                </c:pt>
                <c:pt idx="144">
                  <c:v>1.84</c:v>
                </c:pt>
                <c:pt idx="145">
                  <c:v>2.6075000000151438</c:v>
                </c:pt>
                <c:pt idx="146">
                  <c:v>4.1425000000454313</c:v>
                </c:pt>
                <c:pt idx="147">
                  <c:v>6.4450000000681475</c:v>
                </c:pt>
                <c:pt idx="148">
                  <c:v>8.7474999999545684</c:v>
                </c:pt>
                <c:pt idx="149">
                  <c:v>10.282499999984857</c:v>
                </c:pt>
                <c:pt idx="150">
                  <c:v>11.05</c:v>
                </c:pt>
                <c:pt idx="151">
                  <c:v>10.226666666666667</c:v>
                </c:pt>
                <c:pt idx="152">
                  <c:v>8.58</c:v>
                </c:pt>
                <c:pt idx="153">
                  <c:v>6.11</c:v>
                </c:pt>
                <c:pt idx="154">
                  <c:v>3.6400000000000006</c:v>
                </c:pt>
                <c:pt idx="155">
                  <c:v>1.9933333333333336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hauteur:7.45m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45546.337187500001</c:v>
                </c:pt>
                <c:pt idx="1">
                  <c:v>45546.496608796297</c:v>
                </c:pt>
                <c:pt idx="2">
                  <c:v>45546.87400462963</c:v>
                </c:pt>
                <c:pt idx="3">
                  <c:v>45546.992256944446</c:v>
                </c:pt>
                <c:pt idx="4">
                  <c:v>45547.401412037034</c:v>
                </c:pt>
                <c:pt idx="5">
                  <c:v>45547.506898148145</c:v>
                </c:pt>
                <c:pt idx="6">
                  <c:v>45547.991666666669</c:v>
                </c:pt>
                <c:pt idx="7">
                  <c:v>45547.991666666669</c:v>
                </c:pt>
                <c:pt idx="8">
                  <c:v>45548.507905092592</c:v>
                </c:pt>
                <c:pt idx="9">
                  <c:v>45548.566006944442</c:v>
                </c:pt>
                <c:pt idx="10">
                  <c:v>45549.039490740739</c:v>
                </c:pt>
                <c:pt idx="11">
                  <c:v>45549.132939814815</c:v>
                </c:pt>
                <c:pt idx="12">
                  <c:v>45549.533912037034</c:v>
                </c:pt>
                <c:pt idx="13">
                  <c:v>45549.685428240744</c:v>
                </c:pt>
                <c:pt idx="14">
                  <c:v>45550.056331018517</c:v>
                </c:pt>
                <c:pt idx="15">
                  <c:v>45550.227349537039</c:v>
                </c:pt>
                <c:pt idx="16">
                  <c:v>45550.563263888886</c:v>
                </c:pt>
                <c:pt idx="17">
                  <c:v>45550.754421296297</c:v>
                </c:pt>
                <c:pt idx="18">
                  <c:v>45551.085555555554</c:v>
                </c:pt>
                <c:pt idx="19">
                  <c:v>45551.281863425924</c:v>
                </c:pt>
                <c:pt idx="20">
                  <c:v>45551.594305555554</c:v>
                </c:pt>
                <c:pt idx="21">
                  <c:v>45551.801701388889</c:v>
                </c:pt>
                <c:pt idx="22">
                  <c:v>45552.116388888891</c:v>
                </c:pt>
                <c:pt idx="23">
                  <c:v>45552.324826388889</c:v>
                </c:pt>
                <c:pt idx="24">
                  <c:v>45552.625520833331</c:v>
                </c:pt>
                <c:pt idx="25">
                  <c:v>45552.842048611114</c:v>
                </c:pt>
                <c:pt idx="26">
                  <c:v>45552.842048611114</c:v>
                </c:pt>
                <c:pt idx="27">
                  <c:v>45552.842048611114</c:v>
                </c:pt>
                <c:pt idx="28">
                  <c:v>45552.842048611114</c:v>
                </c:pt>
                <c:pt idx="29">
                  <c:v>45552.842048611114</c:v>
                </c:pt>
                <c:pt idx="30">
                  <c:v>45552.842048611114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7.45</c:v>
                </c:pt>
                <c:pt idx="1">
                  <c:v>7.45</c:v>
                </c:pt>
                <c:pt idx="2">
                  <c:v>7.45</c:v>
                </c:pt>
                <c:pt idx="3">
                  <c:v>7.45</c:v>
                </c:pt>
                <c:pt idx="4">
                  <c:v>7.45</c:v>
                </c:pt>
                <c:pt idx="5">
                  <c:v>7.45</c:v>
                </c:pt>
                <c:pt idx="6">
                  <c:v>7.45</c:v>
                </c:pt>
                <c:pt idx="7">
                  <c:v>7.45</c:v>
                </c:pt>
                <c:pt idx="8">
                  <c:v>7.45</c:v>
                </c:pt>
                <c:pt idx="9">
                  <c:v>7.45</c:v>
                </c:pt>
                <c:pt idx="10">
                  <c:v>7.45</c:v>
                </c:pt>
                <c:pt idx="11">
                  <c:v>7.45</c:v>
                </c:pt>
                <c:pt idx="12">
                  <c:v>7.45</c:v>
                </c:pt>
                <c:pt idx="13">
                  <c:v>7.45</c:v>
                </c:pt>
                <c:pt idx="14">
                  <c:v>7.45</c:v>
                </c:pt>
                <c:pt idx="15">
                  <c:v>7.45</c:v>
                </c:pt>
                <c:pt idx="16">
                  <c:v>7.45</c:v>
                </c:pt>
                <c:pt idx="17">
                  <c:v>7.45</c:v>
                </c:pt>
                <c:pt idx="18">
                  <c:v>7.45</c:v>
                </c:pt>
                <c:pt idx="19">
                  <c:v>7.45</c:v>
                </c:pt>
                <c:pt idx="20">
                  <c:v>7.45</c:v>
                </c:pt>
                <c:pt idx="21">
                  <c:v>7.45</c:v>
                </c:pt>
                <c:pt idx="22">
                  <c:v>7.45</c:v>
                </c:pt>
                <c:pt idx="23">
                  <c:v>7.45</c:v>
                </c:pt>
                <c:pt idx="24">
                  <c:v>7.45</c:v>
                </c:pt>
                <c:pt idx="25">
                  <c:v>7.45</c:v>
                </c:pt>
                <c:pt idx="26">
                  <c:v>7.45</c:v>
                </c:pt>
                <c:pt idx="27">
                  <c:v>7.45</c:v>
                </c:pt>
                <c:pt idx="28">
                  <c:v>7.45</c:v>
                </c:pt>
                <c:pt idx="29">
                  <c:v>7.45</c:v>
                </c:pt>
                <c:pt idx="30">
                  <c:v>7.45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53"/>
          <c:min val="45546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40482</xdr:colOff>
      <xdr:row>14</xdr:row>
      <xdr:rowOff>85727</xdr:rowOff>
    </xdr:from>
    <xdr:to>
      <xdr:col>40</xdr:col>
      <xdr:colOff>208465</xdr:colOff>
      <xdr:row>58</xdr:row>
      <xdr:rowOff>58317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89907" y="2752727"/>
          <a:ext cx="9302458" cy="8354590"/>
        </a:xfrm>
        <a:prstGeom prst="rect">
          <a:avLst/>
        </a:prstGeom>
      </xdr:spPr>
    </xdr:pic>
    <xdr:clientData/>
  </xdr:twoCellAnchor>
  <xdr:twoCellAnchor editAs="oneCell">
    <xdr:from>
      <xdr:col>36</xdr:col>
      <xdr:colOff>304800</xdr:colOff>
      <xdr:row>67</xdr:row>
      <xdr:rowOff>16671</xdr:rowOff>
    </xdr:from>
    <xdr:to>
      <xdr:col>43</xdr:col>
      <xdr:colOff>248501</xdr:colOff>
      <xdr:row>91</xdr:row>
      <xdr:rowOff>38736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383500" y="12780171"/>
          <a:ext cx="6077801" cy="4594065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  <xdr:twoCellAnchor editAs="oneCell">
    <xdr:from>
      <xdr:col>30</xdr:col>
      <xdr:colOff>276226</xdr:colOff>
      <xdr:row>61</xdr:row>
      <xdr:rowOff>124501</xdr:rowOff>
    </xdr:from>
    <xdr:to>
      <xdr:col>35</xdr:col>
      <xdr:colOff>571501</xdr:colOff>
      <xdr:row>73</xdr:row>
      <xdr:rowOff>114824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25651" y="11745001"/>
          <a:ext cx="5048250" cy="2276323"/>
        </a:xfrm>
        <a:prstGeom prst="rect">
          <a:avLst/>
        </a:prstGeom>
      </xdr:spPr>
    </xdr:pic>
    <xdr:clientData/>
  </xdr:twoCellAnchor>
  <xdr:twoCellAnchor editAs="oneCell">
    <xdr:from>
      <xdr:col>13</xdr:col>
      <xdr:colOff>95250</xdr:colOff>
      <xdr:row>98</xdr:row>
      <xdr:rowOff>180975</xdr:rowOff>
    </xdr:from>
    <xdr:to>
      <xdr:col>29</xdr:col>
      <xdr:colOff>322837</xdr:colOff>
      <xdr:row>104</xdr:row>
      <xdr:rowOff>152261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4939CEEC-F9B7-466F-A4EC-306D4041E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667375" y="18849975"/>
          <a:ext cx="8104762" cy="1114286"/>
        </a:xfrm>
        <a:prstGeom prst="rect">
          <a:avLst/>
        </a:prstGeom>
      </xdr:spPr>
    </xdr:pic>
    <xdr:clientData/>
  </xdr:twoCellAnchor>
  <xdr:twoCellAnchor editAs="oneCell">
    <xdr:from>
      <xdr:col>13</xdr:col>
      <xdr:colOff>114300</xdr:colOff>
      <xdr:row>107</xdr:row>
      <xdr:rowOff>180975</xdr:rowOff>
    </xdr:from>
    <xdr:to>
      <xdr:col>29</xdr:col>
      <xdr:colOff>418077</xdr:colOff>
      <xdr:row>110</xdr:row>
      <xdr:rowOff>114237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5A36DBC-2FD0-4562-ADC7-85253DC4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686425" y="20564475"/>
          <a:ext cx="8180952" cy="5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52</xdr:col>
      <xdr:colOff>392723</xdr:colOff>
      <xdr:row>9</xdr:row>
      <xdr:rowOff>126023</xdr:rowOff>
    </xdr:from>
    <xdr:ext cx="2375720" cy="3443406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434323" y="1840523"/>
          <a:ext cx="2375720" cy="3443406"/>
        </a:xfrm>
        <a:prstGeom prst="rect">
          <a:avLst/>
        </a:prstGeom>
      </xdr:spPr>
    </xdr:pic>
    <xdr:clientData/>
  </xdr:oneCellAnchor>
  <xdr:oneCellAnchor>
    <xdr:from>
      <xdr:col>26</xdr:col>
      <xdr:colOff>74147</xdr:colOff>
      <xdr:row>5</xdr:row>
      <xdr:rowOff>101792</xdr:rowOff>
    </xdr:from>
    <xdr:ext cx="98116" cy="436054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3979397" y="726209"/>
          <a:ext cx="98116" cy="436054"/>
        </a:xfrm>
        <a:prstGeom prst="rect">
          <a:avLst/>
        </a:prstGeom>
      </xdr:spPr>
    </xdr:pic>
    <xdr:clientData/>
  </xdr:oneCellAnchor>
  <xdr:oneCellAnchor>
    <xdr:from>
      <xdr:col>25</xdr:col>
      <xdr:colOff>44586</xdr:colOff>
      <xdr:row>16</xdr:row>
      <xdr:rowOff>134989</xdr:rowOff>
    </xdr:from>
    <xdr:ext cx="449975" cy="87143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 flipH="1">
          <a:off x="3902652" y="2696773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77265</xdr:colOff>
      <xdr:row>25</xdr:row>
      <xdr:rowOff>7060</xdr:rowOff>
    </xdr:from>
    <xdr:ext cx="90073" cy="438252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0800000" flipH="1">
          <a:off x="3868215" y="4464760"/>
          <a:ext cx="90073" cy="438252"/>
        </a:xfrm>
        <a:prstGeom prst="rect">
          <a:avLst/>
        </a:prstGeom>
      </xdr:spPr>
    </xdr:pic>
    <xdr:clientData/>
  </xdr:oneCellAnchor>
  <xdr:oneCellAnchor>
    <xdr:from>
      <xdr:col>24</xdr:col>
      <xdr:colOff>7546</xdr:colOff>
      <xdr:row>34</xdr:row>
      <xdr:rowOff>137106</xdr:rowOff>
    </xdr:from>
    <xdr:ext cx="449975" cy="87143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 flipH="1">
          <a:off x="3882545" y="5882357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65624</xdr:colOff>
      <xdr:row>42</xdr:row>
      <xdr:rowOff>90670</xdr:rowOff>
    </xdr:from>
    <xdr:ext cx="90073" cy="438252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3970874" y="7541337"/>
          <a:ext cx="90073" cy="438252"/>
        </a:xfrm>
        <a:prstGeom prst="rect">
          <a:avLst/>
        </a:prstGeom>
      </xdr:spPr>
    </xdr:pic>
    <xdr:clientData/>
  </xdr:oneCellAnchor>
  <xdr:oneCellAnchor>
    <xdr:from>
      <xdr:col>27</xdr:col>
      <xdr:colOff>10592</xdr:colOff>
      <xdr:row>11</xdr:row>
      <xdr:rowOff>7062</xdr:rowOff>
    </xdr:from>
    <xdr:ext cx="87143" cy="43825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645273" flipH="1">
          <a:off x="4021675" y="1552229"/>
          <a:ext cx="87143" cy="438252"/>
        </a:xfrm>
        <a:prstGeom prst="rect">
          <a:avLst/>
        </a:prstGeom>
      </xdr:spPr>
    </xdr:pic>
    <xdr:clientData/>
  </xdr:oneCellAnchor>
  <xdr:oneCellAnchor>
    <xdr:from>
      <xdr:col>24</xdr:col>
      <xdr:colOff>111261</xdr:colOff>
      <xdr:row>21</xdr:row>
      <xdr:rowOff>96891</xdr:rowOff>
    </xdr:from>
    <xdr:ext cx="449975" cy="87143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7857562" flipH="1">
          <a:off x="3855027" y="3611175"/>
          <a:ext cx="87143" cy="449975"/>
        </a:xfrm>
        <a:prstGeom prst="rect">
          <a:avLst/>
        </a:prstGeom>
      </xdr:spPr>
    </xdr:pic>
    <xdr:clientData/>
  </xdr:oneCellAnchor>
  <xdr:oneCellAnchor>
    <xdr:from>
      <xdr:col>24</xdr:col>
      <xdr:colOff>101735</xdr:colOff>
      <xdr:row>30</xdr:row>
      <xdr:rowOff>11166</xdr:rowOff>
    </xdr:from>
    <xdr:ext cx="449975" cy="87143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3648137" flipH="1">
          <a:off x="3845501" y="5239950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58214</xdr:colOff>
      <xdr:row>37</xdr:row>
      <xdr:rowOff>35636</xdr:rowOff>
    </xdr:from>
    <xdr:ext cx="90073" cy="438252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9035933" flipH="1">
          <a:off x="3849164" y="6636461"/>
          <a:ext cx="90073" cy="438252"/>
        </a:xfrm>
        <a:prstGeom prst="rect">
          <a:avLst/>
        </a:prstGeom>
      </xdr:spPr>
    </xdr:pic>
    <xdr:clientData/>
  </xdr:oneCellAnchor>
  <xdr:twoCellAnchor>
    <xdr:from>
      <xdr:col>29</xdr:col>
      <xdr:colOff>19050</xdr:colOff>
      <xdr:row>5</xdr:row>
      <xdr:rowOff>11724</xdr:rowOff>
    </xdr:from>
    <xdr:to>
      <xdr:col>35</xdr:col>
      <xdr:colOff>47625</xdr:colOff>
      <xdr:row>5</xdr:row>
      <xdr:rowOff>11724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4438650" y="640374"/>
          <a:ext cx="714375" cy="0"/>
        </a:xfrm>
        <a:prstGeom prst="straightConnector1">
          <a:avLst/>
        </a:prstGeom>
        <a:ln w="254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38100</xdr:colOff>
      <xdr:row>5</xdr:row>
      <xdr:rowOff>0</xdr:rowOff>
    </xdr:from>
    <xdr:to>
      <xdr:col>24</xdr:col>
      <xdr:colOff>85726</xdr:colOff>
      <xdr:row>5</xdr:row>
      <xdr:rowOff>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H="1">
          <a:off x="3200400" y="628650"/>
          <a:ext cx="733426" cy="0"/>
        </a:xfrm>
        <a:prstGeom prst="straightConnector1">
          <a:avLst/>
        </a:prstGeom>
        <a:ln w="254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53</xdr:col>
      <xdr:colOff>351892</xdr:colOff>
      <xdr:row>67</xdr:row>
      <xdr:rowOff>166320</xdr:rowOff>
    </xdr:from>
    <xdr:ext cx="1841646" cy="2801271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003092" y="7214820"/>
          <a:ext cx="1841646" cy="2801271"/>
        </a:xfrm>
        <a:prstGeom prst="rect">
          <a:avLst/>
        </a:prstGeom>
      </xdr:spPr>
    </xdr:pic>
    <xdr:clientData/>
  </xdr:oneCellAnchor>
  <xdr:oneCellAnchor>
    <xdr:from>
      <xdr:col>53</xdr:col>
      <xdr:colOff>301921</xdr:colOff>
      <xdr:row>84</xdr:row>
      <xdr:rowOff>12456</xdr:rowOff>
    </xdr:from>
    <xdr:ext cx="3745470" cy="259165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953121" y="10299456"/>
          <a:ext cx="3745470" cy="259165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552450</xdr:colOff>
      <xdr:row>80</xdr:row>
      <xdr:rowOff>19051</xdr:rowOff>
    </xdr:from>
    <xdr:to>
      <xdr:col>36</xdr:col>
      <xdr:colOff>587110</xdr:colOff>
      <xdr:row>110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67</xdr:row>
          <xdr:rowOff>133350</xdr:rowOff>
        </xdr:from>
        <xdr:to>
          <xdr:col>18</xdr:col>
          <xdr:colOff>581025</xdr:colOff>
          <xdr:row>69</xdr:row>
          <xdr:rowOff>142875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3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3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238125</xdr:colOff>
      <xdr:row>65</xdr:row>
      <xdr:rowOff>19050</xdr:rowOff>
    </xdr:from>
    <xdr:ext cx="6543675" cy="1466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𝐻𝑎𝑢𝑡𝑒𝑢𝑟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d>
                      <m:dPr>
                        <m:begChr m:val="{"/>
                        <m:endChr m:val="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𝑚𝑜𝑛𝑡𝑎𝑛𝑡𝑒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𝐵𝑀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𝑑𝑒𝑠𝑐𝑒𝑛𝑑𝑎𝑛𝑡𝑒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</m:e>
                        </m:eqArr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𝐻𝑎𝑢𝑡𝑒𝑢𝑟=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█(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𝑠𝑖 𝑚𝑜𝑛𝑡𝑎𝑛𝑡𝑒: 〖𝐻𝑎𝑢𝑡𝑒𝑢𝑟〗_𝐵𝑀+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〗_𝑃𝑀)/(〖𝐻𝑒𝑢𝑟𝑒 〗_𝐵𝑀  − 〖𝐻𝑒𝑢𝑟𝑒 〗_𝑃𝑀 ))]〗  @ @ @𝑠𝑖 𝑑𝑒𝑠𝑐𝑒𝑛𝑑𝑎𝑛𝑡𝑒: 〖𝐻𝑎𝑢𝑡𝑒𝑢𝑟〗_𝑃𝑀−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〗_𝐵𝑀)/(〖𝐻𝑒𝑢𝑟𝑒 〗_𝑃𝑀  − 〖𝐻𝑒𝑢𝑟𝑒 〗_𝐵𝑀 ))]〗 )┤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171450</xdr:colOff>
      <xdr:row>78</xdr:row>
      <xdr:rowOff>133350</xdr:rowOff>
    </xdr:from>
    <xdr:ext cx="6543675" cy="7334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𝐻𝑒𝑢𝑟𝑒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𝐻𝑒𝑢𝑟𝑒</m:t>
                        </m:r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𝐷𝑒𝑏𝑢𝑡</m:t>
                        </m:r>
                      </m:sub>
                    </m:sSub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+  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𝑓𝑖𝑛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− 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𝐷𝑒𝑏𝑢𝑡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𝜋</m:t>
                        </m:r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sty m:val="p"/>
                      </m:rPr>
                      <a:rPr lang="fr-F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arccos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( 1 −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𝑎𝑏𝑠</m:t>
                        </m:r>
                        <m:d>
                          <m:d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𝐻𝑎𝑢𝑡𝑒𝑢𝑟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𝐷𝑒𝑏𝑢𝑡</m:t>
                                </m:r>
                              </m:sub>
                            </m:sSub>
                          </m:e>
                        </m:d>
                      </m:num>
                      <m:den>
                        <m:f>
                          <m:f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𝑀𝑎𝑟𝑛𝑎𝑔𝑒</m:t>
                            </m:r>
                          </m:num>
                          <m:den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5A5B532-26A1-40F6-B93A-476C27219D21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𝐻𝑒𝑢𝑟𝑒= 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〖𝐻𝑒𝑢𝑟𝑒 〗_𝐷𝑒𝑏𝑢𝑡  +   ((〖𝐻𝑒𝑢𝑟𝑒〗_𝑓𝑖𝑛  − 〖𝐻𝑒𝑢𝑟𝑒〗_𝐷𝑒𝑏𝑢𝑡))/𝜋  ∗arccos( 1 −𝑎𝑏𝑠(𝐻𝑎𝑢𝑡𝑒𝑢𝑟 −〖𝐻𝑎𝑢𝑡𝑒𝑢𝑟〗_𝐷𝑒𝑏𝑢𝑡 )/(𝑀𝑎𝑟𝑛𝑎𝑔𝑒/2)  )</a:t>
              </a:r>
              <a:endParaRPr lang="en-US" sz="1100"/>
            </a:p>
          </xdr:txBody>
        </xdr:sp>
      </mc:Fallback>
    </mc:AlternateContent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5D4EEFED-356C-4544-8D2B-F9E1A7BAB27F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244715-A21F-49BC-A118-B43909B54890}" name="maree_shom__2" displayName="maree_shom__2" ref="A1:D39" tableType="queryTable" totalsRowShown="0">
  <autoFilter ref="A1:D39" xr:uid="{B7244715-A21F-49BC-A118-B43909B54890}"/>
  <tableColumns count="4">
    <tableColumn id="1" xr3:uid="{2A83617A-2DD0-4132-8473-389D1E0F940A}" uniqueName="1" name="Column1" queryTableFieldId="1" dataDxfId="9"/>
    <tableColumn id="2" xr3:uid="{209B8F31-DE54-40EF-8810-A52E76707B35}" uniqueName="2" name="Column2" queryTableFieldId="2" dataDxfId="8"/>
    <tableColumn id="3" xr3:uid="{20ADFD66-DC25-4D98-A75B-E840F2E9C54F}" uniqueName="3" name="Column3" queryTableFieldId="3"/>
    <tableColumn id="4" xr3:uid="{A5CDBEAE-E71D-4055-AA8A-56146A9E8B42}" uniqueName="4" name="Column4" queryTableFieldId="4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r.wikipedia.org/wiki/Orthodromie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3"/>
  <sheetViews>
    <sheetView tabSelected="1" topLeftCell="A86" zoomScaleNormal="100" workbookViewId="0">
      <selection activeCell="C105" sqref="C105"/>
    </sheetView>
  </sheetViews>
  <sheetFormatPr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327" t="s">
        <v>75</v>
      </c>
      <c r="D1" s="327"/>
      <c r="E1" s="327"/>
      <c r="F1" s="327"/>
      <c r="G1" s="328" t="s">
        <v>76</v>
      </c>
      <c r="H1" s="328"/>
      <c r="I1" s="328"/>
      <c r="J1" s="328"/>
      <c r="K1" s="328"/>
      <c r="L1" s="328"/>
      <c r="M1" s="328"/>
      <c r="N1" s="328"/>
      <c r="O1" s="328"/>
      <c r="P1" s="328"/>
      <c r="Q1" s="328"/>
      <c r="R1" s="328"/>
      <c r="S1" s="328"/>
      <c r="T1" s="328"/>
      <c r="U1" s="328"/>
      <c r="V1" s="328"/>
      <c r="W1" s="328"/>
      <c r="X1" s="328"/>
      <c r="Y1" s="328"/>
      <c r="AB1" s="17"/>
      <c r="AC1" s="18"/>
      <c r="AD1" s="18"/>
      <c r="AM1" s="5"/>
    </row>
    <row r="2" spans="1:54" s="1" customFormat="1" ht="15" customHeight="1">
      <c r="C2" s="327"/>
      <c r="D2" s="327"/>
      <c r="E2" s="327"/>
      <c r="F2" s="327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  <c r="R2" s="328"/>
      <c r="S2" s="328"/>
      <c r="T2" s="328"/>
      <c r="U2" s="328"/>
      <c r="V2" s="328"/>
      <c r="W2" s="328"/>
      <c r="X2" s="328"/>
      <c r="Y2" s="328"/>
      <c r="AB2" s="17"/>
      <c r="AC2" s="18"/>
      <c r="AD2" s="18"/>
      <c r="AM2" s="5"/>
    </row>
    <row r="3" spans="1:54" s="1" customFormat="1" ht="15" customHeight="1">
      <c r="C3" s="327"/>
      <c r="D3" s="327"/>
      <c r="E3" s="327"/>
      <c r="F3" s="327"/>
      <c r="G3" s="329" t="s">
        <v>78</v>
      </c>
      <c r="H3" s="329"/>
      <c r="I3" s="329"/>
      <c r="J3" s="331" t="s">
        <v>77</v>
      </c>
      <c r="K3" s="331"/>
      <c r="L3" s="331"/>
      <c r="AB3" s="17"/>
      <c r="AC3" s="18"/>
      <c r="AD3" s="18"/>
      <c r="AM3" s="5"/>
    </row>
    <row r="4" spans="1:54" s="1" customFormat="1" ht="15" customHeight="1">
      <c r="C4" s="327"/>
      <c r="D4" s="327"/>
      <c r="E4" s="327"/>
      <c r="F4" s="327"/>
      <c r="G4" s="330"/>
      <c r="H4" s="330"/>
      <c r="I4" s="330"/>
      <c r="J4" s="332"/>
      <c r="K4" s="332"/>
      <c r="L4" s="332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310" t="s">
        <v>11</v>
      </c>
      <c r="E7" s="310"/>
      <c r="F7" s="310"/>
      <c r="G7" s="310"/>
      <c r="H7" s="310"/>
      <c r="I7" s="310"/>
      <c r="J7" s="14"/>
      <c r="O7" s="311" t="s">
        <v>12</v>
      </c>
      <c r="P7" s="312"/>
      <c r="Q7" s="312"/>
      <c r="R7" s="312"/>
      <c r="S7" s="312"/>
      <c r="T7" s="312"/>
      <c r="U7" s="313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314" t="s">
        <v>8</v>
      </c>
      <c r="E8" s="314"/>
      <c r="F8" s="314"/>
      <c r="G8" s="272" t="s">
        <v>7</v>
      </c>
      <c r="H8" s="272"/>
      <c r="I8" s="272"/>
      <c r="J8" s="227" t="s">
        <v>16</v>
      </c>
      <c r="K8" s="227"/>
      <c r="L8" s="227"/>
      <c r="M8" s="227"/>
      <c r="N8" s="227"/>
      <c r="O8" s="315" t="s">
        <v>13</v>
      </c>
      <c r="P8" s="316"/>
      <c r="Q8" s="316"/>
      <c r="R8" s="317"/>
      <c r="S8" s="224" t="s">
        <v>14</v>
      </c>
      <c r="T8" s="225"/>
      <c r="U8" s="226"/>
      <c r="V8" s="227" t="s">
        <v>16</v>
      </c>
      <c r="W8" s="227"/>
      <c r="X8" s="227"/>
      <c r="Y8" s="227"/>
      <c r="Z8" s="227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318" t="s">
        <v>25</v>
      </c>
      <c r="E9" s="319"/>
      <c r="F9" s="319"/>
      <c r="G9" s="272">
        <f t="array" ref="G9">heureConvert2Decimal(D9)</f>
        <v>11.983333333333333</v>
      </c>
      <c r="H9" s="272"/>
      <c r="I9" s="272"/>
      <c r="J9" s="320" t="str">
        <f t="array" ref="J9">heureDecimal2Txt(G9)</f>
        <v>11:59:00.00(11.9833)</v>
      </c>
      <c r="K9" s="320"/>
      <c r="L9" s="320"/>
      <c r="M9" s="320"/>
      <c r="N9" s="320"/>
      <c r="O9" s="212" t="s">
        <v>132</v>
      </c>
      <c r="P9" s="213"/>
      <c r="Q9" s="213"/>
      <c r="R9" s="214"/>
      <c r="S9" s="321">
        <f t="array" ref="S9">angleConvert2Decimal(O9)</f>
        <v>0.46666666666666667</v>
      </c>
      <c r="T9" s="322"/>
      <c r="U9" s="323"/>
      <c r="V9" s="320" t="str">
        <f t="array" ref="V9">angleDecimal2Txt(S9)</f>
        <v>+00°28.00 (+00.4666) [+00°28'00.00]</v>
      </c>
      <c r="W9" s="320"/>
      <c r="X9" s="320"/>
      <c r="Y9" s="320"/>
      <c r="Z9" s="320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319"/>
      <c r="E10" s="319"/>
      <c r="F10" s="319"/>
      <c r="G10" s="272"/>
      <c r="H10" s="272"/>
      <c r="I10" s="272"/>
      <c r="J10" s="320"/>
      <c r="K10" s="320"/>
      <c r="L10" s="320"/>
      <c r="M10" s="320"/>
      <c r="N10" s="320"/>
      <c r="O10" s="299"/>
      <c r="P10" s="300"/>
      <c r="Q10" s="300"/>
      <c r="R10" s="301"/>
      <c r="S10" s="324"/>
      <c r="T10" s="325"/>
      <c r="U10" s="326"/>
      <c r="V10" s="320"/>
      <c r="W10" s="320"/>
      <c r="X10" s="320"/>
      <c r="Y10" s="320"/>
      <c r="Z10" s="320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318"/>
      <c r="E11" s="319"/>
      <c r="F11" s="319"/>
      <c r="G11" s="272">
        <v>11.9</v>
      </c>
      <c r="H11" s="272"/>
      <c r="I11" s="272"/>
      <c r="J11" s="320" t="str">
        <f t="array" ref="J11">heureDecimal2Txt(G11)</f>
        <v>11:54:00.00(11.9000)</v>
      </c>
      <c r="K11" s="320"/>
      <c r="L11" s="320"/>
      <c r="M11" s="320"/>
      <c r="N11" s="320"/>
      <c r="O11" s="212"/>
      <c r="P11" s="213"/>
      <c r="Q11" s="213"/>
      <c r="R11" s="214"/>
      <c r="S11" s="321">
        <f>S9-59.2166667</f>
        <v>-58.750000033333329</v>
      </c>
      <c r="T11" s="322"/>
      <c r="U11" s="323"/>
      <c r="V11" s="320" t="str">
        <f t="array" ref="V11">angleDecimal2Txt(S11)</f>
        <v>-58°45.00 (-58.7500) [-58°45'00.00]</v>
      </c>
      <c r="W11" s="320"/>
      <c r="X11" s="320"/>
      <c r="Y11" s="320"/>
      <c r="Z11" s="320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319"/>
      <c r="E12" s="319"/>
      <c r="F12" s="319"/>
      <c r="G12" s="272"/>
      <c r="H12" s="272"/>
      <c r="I12" s="272"/>
      <c r="J12" s="320"/>
      <c r="K12" s="320"/>
      <c r="L12" s="320"/>
      <c r="M12" s="320"/>
      <c r="N12" s="320"/>
      <c r="O12" s="299"/>
      <c r="P12" s="300"/>
      <c r="Q12" s="300"/>
      <c r="R12" s="301"/>
      <c r="S12" s="324"/>
      <c r="T12" s="325"/>
      <c r="U12" s="326"/>
      <c r="V12" s="320"/>
      <c r="W12" s="320"/>
      <c r="X12" s="320"/>
      <c r="Y12" s="320"/>
      <c r="Z12" s="320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307" t="s">
        <v>17</v>
      </c>
      <c r="E14" s="308"/>
      <c r="F14" s="309"/>
      <c r="G14" s="14"/>
      <c r="H14" s="14"/>
      <c r="I14" s="307" t="s">
        <v>31</v>
      </c>
      <c r="J14" s="308"/>
      <c r="K14" s="309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303" t="s">
        <v>40</v>
      </c>
      <c r="X14" s="303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22</v>
      </c>
      <c r="J15" s="24" t="s">
        <v>28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303" t="s">
        <v>41</v>
      </c>
      <c r="X15" s="303"/>
      <c r="Y15" s="19" t="s">
        <v>42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28</v>
      </c>
      <c r="J16" s="27" t="s">
        <v>22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302" t="s">
        <v>46</v>
      </c>
      <c r="X16" s="302"/>
      <c r="Y16" s="29" t="s">
        <v>45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303" t="s">
        <v>43</v>
      </c>
      <c r="X17" s="304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303" t="s">
        <v>44</v>
      </c>
      <c r="X18" s="304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303" t="s">
        <v>49</v>
      </c>
      <c r="X19" s="303"/>
      <c r="Y19" s="37" t="s">
        <v>47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303" t="s">
        <v>48</v>
      </c>
      <c r="X20" s="304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303" t="s">
        <v>50</v>
      </c>
      <c r="X21" s="304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53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303" t="s">
        <v>51</v>
      </c>
      <c r="X22" s="303"/>
      <c r="Y22" s="335" t="s">
        <v>52</v>
      </c>
      <c r="Z22" s="335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334"/>
      <c r="X23" s="334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102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1:65" s="1" customFormat="1" ht="15" customHeight="1" thickTop="1">
      <c r="A33" s="359" t="s">
        <v>417</v>
      </c>
      <c r="B33" s="360"/>
      <c r="C33" s="285" t="s">
        <v>32</v>
      </c>
      <c r="D33" s="305" t="s">
        <v>20</v>
      </c>
      <c r="E33" s="258">
        <f t="array" ref="E33">angleConvert2Decimal(I33)*VLOOKUP(H33,$D$16:$F$17,3)</f>
        <v>47.416666666666664</v>
      </c>
      <c r="F33" s="258"/>
      <c r="G33" s="259"/>
      <c r="H33" s="262" t="s">
        <v>1</v>
      </c>
      <c r="I33" s="264" t="s">
        <v>442</v>
      </c>
      <c r="J33" s="265"/>
      <c r="K33" s="265"/>
      <c r="L33" s="265"/>
      <c r="M33" s="266"/>
      <c r="N33" s="255" t="str">
        <f t="array" ref="N33">angleDecimal2Txt(E33)</f>
        <v>+47°25.00 (+47.4166) [+47°25'00.00]</v>
      </c>
      <c r="O33" s="255"/>
      <c r="P33" s="255"/>
      <c r="Q33" s="255"/>
      <c r="R33" s="255"/>
      <c r="S33" s="255"/>
      <c r="T33" s="255"/>
      <c r="U33" s="255"/>
      <c r="V33" s="255"/>
      <c r="W33" s="256"/>
      <c r="AA33" s="17"/>
      <c r="AB33" s="40" t="s">
        <v>103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1:65" s="1" customFormat="1" ht="15" customHeight="1" thickBot="1">
      <c r="A34" s="361"/>
      <c r="B34" s="362"/>
      <c r="C34" s="286"/>
      <c r="D34" s="306"/>
      <c r="E34" s="260"/>
      <c r="F34" s="260"/>
      <c r="G34" s="261"/>
      <c r="H34" s="263"/>
      <c r="I34" s="267"/>
      <c r="J34" s="268"/>
      <c r="K34" s="268"/>
      <c r="L34" s="268"/>
      <c r="M34" s="269"/>
      <c r="N34" s="253"/>
      <c r="O34" s="253"/>
      <c r="P34" s="253"/>
      <c r="Q34" s="253"/>
      <c r="R34" s="253"/>
      <c r="S34" s="253"/>
      <c r="T34" s="253"/>
      <c r="U34" s="253"/>
      <c r="V34" s="253"/>
      <c r="W34" s="254"/>
      <c r="X34" s="1" t="s">
        <v>110</v>
      </c>
      <c r="AA34" s="17"/>
      <c r="AB34" s="41" t="s">
        <v>98</v>
      </c>
      <c r="AC34" s="14"/>
      <c r="AD34" s="42" t="s">
        <v>24</v>
      </c>
      <c r="AE34" s="42" t="s">
        <v>26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1:65" s="1" customFormat="1" ht="15" customHeight="1" thickTop="1">
      <c r="A35" s="361"/>
      <c r="B35" s="362"/>
      <c r="C35" s="286"/>
      <c r="D35" s="273" t="s">
        <v>21</v>
      </c>
      <c r="E35" s="258">
        <f t="array" ref="E35">angleConvert2Decimal(I35)*VLOOKUP(H35,$E$16:$F$17,2)</f>
        <v>-2.75</v>
      </c>
      <c r="F35" s="258"/>
      <c r="G35" s="259"/>
      <c r="H35" s="275" t="s">
        <v>4</v>
      </c>
      <c r="I35" s="277" t="s">
        <v>443</v>
      </c>
      <c r="J35" s="278"/>
      <c r="K35" s="278"/>
      <c r="L35" s="278"/>
      <c r="M35" s="279"/>
      <c r="N35" s="255" t="str">
        <f t="array" ref="N35">angleDecimal2Txt(E35)</f>
        <v>-02°45.00 (-02.7500) [-02°45'00.00]</v>
      </c>
      <c r="O35" s="255"/>
      <c r="P35" s="255"/>
      <c r="Q35" s="255"/>
      <c r="R35" s="255"/>
      <c r="S35" s="255"/>
      <c r="T35" s="255"/>
      <c r="U35" s="255"/>
      <c r="V35" s="255"/>
      <c r="W35" s="256"/>
      <c r="AA35" s="17"/>
      <c r="AB35" s="14"/>
      <c r="AC35" s="43" t="s">
        <v>99</v>
      </c>
      <c r="AD35" s="16">
        <f>$E$41-$E$35</f>
        <v>3.3333333333333215E-2</v>
      </c>
      <c r="AE35" s="42">
        <f>AD35*AC33</f>
        <v>5.817764173314411E-4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1:65" s="1" customFormat="1" ht="15" customHeight="1" thickBot="1">
      <c r="A36" s="363"/>
      <c r="B36" s="364"/>
      <c r="C36" s="287"/>
      <c r="D36" s="274"/>
      <c r="E36" s="260"/>
      <c r="F36" s="260"/>
      <c r="G36" s="261"/>
      <c r="H36" s="276"/>
      <c r="I36" s="280"/>
      <c r="J36" s="281"/>
      <c r="K36" s="281"/>
      <c r="L36" s="281"/>
      <c r="M36" s="282"/>
      <c r="N36" s="253"/>
      <c r="O36" s="253"/>
      <c r="P36" s="253"/>
      <c r="Q36" s="253"/>
      <c r="R36" s="253"/>
      <c r="S36" s="253"/>
      <c r="T36" s="253"/>
      <c r="U36" s="253"/>
      <c r="V36" s="253"/>
      <c r="W36" s="254"/>
      <c r="Z36" s="12"/>
      <c r="AA36" s="44"/>
      <c r="AB36" s="14"/>
      <c r="AC36" s="43" t="s">
        <v>100</v>
      </c>
      <c r="AD36" s="16">
        <f>$E$39-$E$33</f>
        <v>-8.1666666666663446E-2</v>
      </c>
      <c r="AE36" s="42">
        <f>AD36*AC33</f>
        <v>-1.4253522224619796E-3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1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101</v>
      </c>
      <c r="AD37" s="43">
        <f>(E39+E33)/2</f>
        <v>47.375833333333333</v>
      </c>
      <c r="AE37" s="42">
        <f>AD37*AC33</f>
        <v>0.82686427754274694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1:65" s="1" customFormat="1" ht="15" customHeight="1" thickBot="1">
      <c r="C38" s="14"/>
      <c r="Y38" s="14"/>
      <c r="Z38" s="12"/>
      <c r="AA38" s="44"/>
      <c r="AB38" s="14"/>
      <c r="AC38" s="43" t="s">
        <v>119</v>
      </c>
      <c r="AD38" s="43">
        <f>ABS(AE35/AE36)*COS(AE37)</f>
        <v>0.27640260665719152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1:65" s="1" customFormat="1" ht="15" customHeight="1" thickTop="1">
      <c r="A39" s="365" t="s">
        <v>416</v>
      </c>
      <c r="B39" s="365"/>
      <c r="C39" s="285" t="s">
        <v>9</v>
      </c>
      <c r="D39" s="305" t="s">
        <v>20</v>
      </c>
      <c r="E39" s="258">
        <f t="array" ref="E39">angleConvert2Decimal(I39)</f>
        <v>47.335000000000001</v>
      </c>
      <c r="F39" s="258"/>
      <c r="G39" s="259"/>
      <c r="H39" s="262" t="s">
        <v>1</v>
      </c>
      <c r="I39" s="264" t="s">
        <v>445</v>
      </c>
      <c r="J39" s="265"/>
      <c r="K39" s="265"/>
      <c r="L39" s="265"/>
      <c r="M39" s="266"/>
      <c r="N39" s="255" t="str">
        <f t="array" ref="N39">angleDecimal2Txt(E39)</f>
        <v>+47°20.10 (+47.3350) [+47°20'06.00]</v>
      </c>
      <c r="O39" s="255"/>
      <c r="P39" s="255"/>
      <c r="Q39" s="255"/>
      <c r="R39" s="255"/>
      <c r="S39" s="255"/>
      <c r="T39" s="255"/>
      <c r="U39" s="255"/>
      <c r="V39" s="255"/>
      <c r="W39" s="256"/>
      <c r="Y39" s="14"/>
      <c r="Z39" s="12"/>
      <c r="AA39" s="44"/>
      <c r="AB39" s="14"/>
      <c r="AC39" s="45" t="s">
        <v>111</v>
      </c>
      <c r="AD39" s="45">
        <f>ATAN(AD38)*$AC$32</f>
        <v>15.450937676200759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1:65" s="1" customFormat="1" ht="15" customHeight="1" thickBot="1">
      <c r="A40" s="365"/>
      <c r="B40" s="365"/>
      <c r="C40" s="286"/>
      <c r="D40" s="306"/>
      <c r="E40" s="260"/>
      <c r="F40" s="260"/>
      <c r="G40" s="261"/>
      <c r="H40" s="263"/>
      <c r="I40" s="267"/>
      <c r="J40" s="268"/>
      <c r="K40" s="268"/>
      <c r="L40" s="268"/>
      <c r="M40" s="269"/>
      <c r="N40" s="253"/>
      <c r="O40" s="253"/>
      <c r="P40" s="253"/>
      <c r="Q40" s="253"/>
      <c r="R40" s="253"/>
      <c r="S40" s="253"/>
      <c r="T40" s="253"/>
      <c r="U40" s="253"/>
      <c r="V40" s="253"/>
      <c r="W40" s="254"/>
      <c r="X40" s="1" t="s">
        <v>109</v>
      </c>
      <c r="Y40" s="14"/>
      <c r="Z40" s="12"/>
      <c r="AA40" s="44"/>
      <c r="AB40" s="14"/>
      <c r="AC40" s="45" t="s">
        <v>112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1:65" s="1" customFormat="1" ht="15" customHeight="1" thickTop="1">
      <c r="A41" s="365"/>
      <c r="B41" s="365"/>
      <c r="C41" s="286"/>
      <c r="D41" s="273" t="s">
        <v>21</v>
      </c>
      <c r="E41" s="258">
        <f t="array" ref="E41">angleConvert2Decimal(I41)*VLOOKUP(H41,$E$16:$F$17,2)</f>
        <v>-2.7166666666666668</v>
      </c>
      <c r="F41" s="258"/>
      <c r="G41" s="259"/>
      <c r="H41" s="275" t="s">
        <v>4</v>
      </c>
      <c r="I41" s="277" t="s">
        <v>444</v>
      </c>
      <c r="J41" s="278"/>
      <c r="K41" s="278"/>
      <c r="L41" s="278"/>
      <c r="M41" s="279"/>
      <c r="N41" s="255" t="str">
        <f t="array" ref="N41">angleDecimal2Txt(E41)</f>
        <v>-02°43.00 (-02.7166) [-02°43'00.00]</v>
      </c>
      <c r="O41" s="255"/>
      <c r="P41" s="255"/>
      <c r="Q41" s="255"/>
      <c r="R41" s="255"/>
      <c r="S41" s="255"/>
      <c r="T41" s="255"/>
      <c r="U41" s="255"/>
      <c r="V41" s="255"/>
      <c r="W41" s="256"/>
      <c r="Y41" s="14"/>
      <c r="Z41" s="12"/>
      <c r="AA41" s="44"/>
      <c r="AB41" s="14"/>
      <c r="AC41" s="45" t="s">
        <v>35</v>
      </c>
      <c r="AD41" s="45">
        <f>IF(AD40="NE",AD39,IF(AD40="NW",360-AD39,IF(AD40="SE",180-AD39,180+AD39)))</f>
        <v>164.54906232379923</v>
      </c>
      <c r="AE41" s="14">
        <f>AD41*AC33</f>
        <v>2.8719229186196484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1:65" s="1" customFormat="1" ht="15" customHeight="1" thickBot="1">
      <c r="A42" s="365"/>
      <c r="B42" s="365"/>
      <c r="C42" s="287"/>
      <c r="D42" s="274"/>
      <c r="E42" s="260"/>
      <c r="F42" s="260"/>
      <c r="G42" s="261"/>
      <c r="H42" s="276"/>
      <c r="I42" s="280"/>
      <c r="J42" s="281"/>
      <c r="K42" s="281"/>
      <c r="L42" s="281"/>
      <c r="M42" s="282"/>
      <c r="N42" s="253"/>
      <c r="O42" s="253"/>
      <c r="P42" s="253"/>
      <c r="Q42" s="253"/>
      <c r="R42" s="253"/>
      <c r="S42" s="253"/>
      <c r="T42" s="253"/>
      <c r="U42" s="253"/>
      <c r="V42" s="253"/>
      <c r="W42" s="254"/>
      <c r="Y42" s="14"/>
      <c r="Z42" s="12"/>
      <c r="AA42" s="44"/>
      <c r="AB42" s="14"/>
      <c r="AC42" s="45" t="s">
        <v>104</v>
      </c>
      <c r="AD42" s="45">
        <f>60*AD36/COS(AE41)</f>
        <v>5.0837314648998717</v>
      </c>
      <c r="AE42" s="14">
        <f>AD42*1.852</f>
        <v>9.4150706729945632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1:65" ht="15" customHeight="1">
      <c r="Z43" s="12"/>
      <c r="AA43" s="44"/>
      <c r="AB43" s="46" t="s">
        <v>105</v>
      </c>
      <c r="AC43" s="14"/>
      <c r="AE43" s="12"/>
      <c r="AF43" s="12"/>
      <c r="AG43" s="12"/>
    </row>
    <row r="44" spans="1:65" ht="15" customHeight="1">
      <c r="Z44" s="12"/>
      <c r="AA44" s="44"/>
      <c r="AB44" s="14"/>
      <c r="AC44" s="47" t="s">
        <v>99</v>
      </c>
      <c r="AD44" s="48">
        <f>$E$41-$E$35</f>
        <v>3.3333333333333215E-2</v>
      </c>
      <c r="AE44" s="49">
        <f>AD44*AC33</f>
        <v>5.817764173314411E-4</v>
      </c>
      <c r="AF44" s="12"/>
      <c r="AG44" s="12"/>
    </row>
    <row r="45" spans="1:65" ht="15" customHeight="1">
      <c r="E45" s="283" t="s">
        <v>121</v>
      </c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U45" s="235" t="s">
        <v>33</v>
      </c>
      <c r="V45" s="236"/>
      <c r="W45" s="236"/>
      <c r="X45" s="237"/>
      <c r="AB45" s="14"/>
      <c r="AC45" s="50" t="s">
        <v>100</v>
      </c>
      <c r="AD45" s="16">
        <f>$E$39-$E$33</f>
        <v>-8.1666666666663446E-2</v>
      </c>
      <c r="AE45" s="51" t="s">
        <v>114</v>
      </c>
      <c r="AF45" s="51" t="s">
        <v>115</v>
      </c>
      <c r="AG45" s="51" t="s">
        <v>116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1:65" s="1" customFormat="1" ht="15" customHeight="1">
      <c r="B46" s="270" t="s">
        <v>120</v>
      </c>
      <c r="C46" s="270"/>
      <c r="D46" s="14"/>
      <c r="E46" s="244" t="str">
        <f t="array" ref="E46">angleDecimal2Txt(I46,0)</f>
        <v>+164°32.94</v>
      </c>
      <c r="F46" s="244"/>
      <c r="G46" s="244"/>
      <c r="H46" s="244"/>
      <c r="I46" s="234">
        <f>IF(OR(AF57,AE55),AD58,AD41)</f>
        <v>164.54906232379923</v>
      </c>
      <c r="J46" s="234"/>
      <c r="K46" s="234"/>
      <c r="L46" s="284" t="str">
        <f t="array" ref="L46">angleDecimal2Txt(I46)</f>
        <v>+164°32.94 (+164.5490) [+164°32'56.62]</v>
      </c>
      <c r="M46" s="284"/>
      <c r="N46" s="284"/>
      <c r="O46" s="284"/>
      <c r="P46" s="284"/>
      <c r="Q46" s="284"/>
      <c r="R46" s="284"/>
      <c r="S46" s="284"/>
      <c r="U46" s="238">
        <f>IF(OR(AF57,AE55),AD59,AD42)</f>
        <v>5.0837314648998717</v>
      </c>
      <c r="V46" s="239"/>
      <c r="W46" s="239"/>
      <c r="X46" s="240"/>
      <c r="AA46" s="17"/>
      <c r="AB46" s="14"/>
      <c r="AC46" s="50" t="s">
        <v>107</v>
      </c>
      <c r="AD46" s="11">
        <f>AG46</f>
        <v>0.94233658819265642</v>
      </c>
      <c r="AE46" s="51">
        <f>PI()/4 + E33*$AC$33/2</f>
        <v>1.1991866402244371</v>
      </c>
      <c r="AF46" s="51">
        <f>TAN(AE46)</f>
        <v>2.5659700344249465</v>
      </c>
      <c r="AG46" s="51">
        <f>LN(AF46)</f>
        <v>0.94233658819265642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1:65" s="1" customFormat="1" ht="15" customHeight="1">
      <c r="B47" s="270"/>
      <c r="C47" s="270"/>
      <c r="D47" s="14"/>
      <c r="E47" s="244"/>
      <c r="F47" s="244"/>
      <c r="G47" s="244"/>
      <c r="H47" s="244"/>
      <c r="I47" s="234"/>
      <c r="J47" s="234"/>
      <c r="K47" s="234"/>
      <c r="L47" s="284"/>
      <c r="M47" s="284"/>
      <c r="N47" s="284"/>
      <c r="O47" s="284"/>
      <c r="P47" s="284"/>
      <c r="Q47" s="284"/>
      <c r="R47" s="284"/>
      <c r="S47" s="284"/>
      <c r="U47" s="241"/>
      <c r="V47" s="242"/>
      <c r="W47" s="242"/>
      <c r="X47" s="243"/>
      <c r="AA47" s="17"/>
      <c r="AB47" s="14"/>
      <c r="AC47" s="50" t="s">
        <v>106</v>
      </c>
      <c r="AD47" s="11">
        <f>AG47</f>
        <v>0.94023177235931921</v>
      </c>
      <c r="AE47" s="51">
        <f>PI()/4 + E39*$AC$33/2</f>
        <v>1.1984739641132063</v>
      </c>
      <c r="AF47" s="51">
        <f>TAN(AE47)</f>
        <v>2.5605748200268104</v>
      </c>
      <c r="AG47" s="51">
        <f>LN(AF47)</f>
        <v>0.94023177235931921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1:65" ht="15" customHeight="1">
      <c r="AB48" s="14"/>
      <c r="AC48" s="50" t="s">
        <v>108</v>
      </c>
      <c r="AD48" s="11">
        <f>AD47-AD46</f>
        <v>-2.1048158333372147E-3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338" t="s">
        <v>105</v>
      </c>
      <c r="C49" s="338"/>
      <c r="E49" s="244" t="str">
        <f t="array" ref="E49">angleDecimal2Txt(I49,0)</f>
        <v>+164°32.94</v>
      </c>
      <c r="F49" s="244"/>
      <c r="G49" s="244"/>
      <c r="H49" s="244"/>
      <c r="I49" s="234">
        <f>AD52</f>
        <v>164.54906651008358</v>
      </c>
      <c r="J49" s="234"/>
      <c r="K49" s="234"/>
      <c r="L49" s="284" t="str">
        <f t="array" ref="L49">angleDecimal2Txt(I49)</f>
        <v>+164°32.94 (+164.5490) [+164°32'56.63]</v>
      </c>
      <c r="M49" s="284"/>
      <c r="N49" s="284"/>
      <c r="O49" s="284"/>
      <c r="P49" s="284"/>
      <c r="Q49" s="284"/>
      <c r="R49" s="284"/>
      <c r="S49" s="284"/>
      <c r="T49" s="1"/>
      <c r="U49" s="238">
        <f>AD53</f>
        <v>5.0837313622328981</v>
      </c>
      <c r="V49" s="239"/>
      <c r="W49" s="239"/>
      <c r="X49" s="240"/>
      <c r="AB49" s="14"/>
      <c r="AC49" s="43" t="s">
        <v>119</v>
      </c>
      <c r="AD49" s="42">
        <f>ABS(AE44/AD48)</f>
        <v>0.27640252801074122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338"/>
      <c r="C50" s="338"/>
      <c r="E50" s="244"/>
      <c r="F50" s="244"/>
      <c r="G50" s="244"/>
      <c r="H50" s="244"/>
      <c r="I50" s="234"/>
      <c r="J50" s="234"/>
      <c r="K50" s="234"/>
      <c r="L50" s="284"/>
      <c r="M50" s="284"/>
      <c r="N50" s="284"/>
      <c r="O50" s="284"/>
      <c r="P50" s="284"/>
      <c r="Q50" s="284"/>
      <c r="R50" s="284"/>
      <c r="S50" s="284"/>
      <c r="T50" s="1"/>
      <c r="U50" s="241"/>
      <c r="V50" s="242"/>
      <c r="W50" s="242"/>
      <c r="X50" s="243"/>
      <c r="AA50" s="17"/>
      <c r="AB50" s="14"/>
      <c r="AC50" s="45" t="s">
        <v>111</v>
      </c>
      <c r="AD50" s="52">
        <f>ATAN(AD49)*$AC$32</f>
        <v>15.450933489916421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112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35</v>
      </c>
      <c r="AD52" s="45">
        <f>IF(AD51="NE",AD50,IF(AD51="NW",360-AD50,IF(AD51="SE",180-AD50,180+AD50)))</f>
        <v>164.54906651008358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104</v>
      </c>
      <c r="AD53" s="45">
        <f>ABS(60*AD45/COS(AD52*$AC$33))</f>
        <v>5.0837313622328981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AB54" s="41" t="s">
        <v>113</v>
      </c>
      <c r="AC54" s="12"/>
      <c r="AD54" s="12"/>
      <c r="AE54" s="12" t="s">
        <v>415</v>
      </c>
      <c r="AF54" s="12" t="s">
        <v>118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117</v>
      </c>
      <c r="AD55" s="54">
        <f>E39-E33</f>
        <v>-8.1666666666663446E-2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99</v>
      </c>
      <c r="AD56" s="48">
        <f>$E$41-$E$35</f>
        <v>3.3333333333333215E-2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119</v>
      </c>
      <c r="AD57" s="12">
        <f>ABS(AE35/AE36)*COS(AE37)</f>
        <v>0.27640260665719152</v>
      </c>
      <c r="AF57" s="14" t="b">
        <f>OR(ISERROR(AD57), (AD57&gt;AF55))</f>
        <v>0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35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283" t="s">
        <v>122</v>
      </c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283"/>
      <c r="U59" s="235" t="s">
        <v>33</v>
      </c>
      <c r="V59" s="236"/>
      <c r="W59" s="236"/>
      <c r="X59" s="237"/>
      <c r="AB59" s="12"/>
      <c r="AC59" s="57" t="s">
        <v>104</v>
      </c>
      <c r="AD59" s="57">
        <f>60 * ABS(AD56 * COS(AE37))</f>
        <v>1.3543727726201849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270" t="s">
        <v>105</v>
      </c>
      <c r="C60" s="270"/>
      <c r="E60" s="244" t="str">
        <f t="array" ref="E60">angleDecimal2Txt(I60,0)</f>
        <v>+164°32.20</v>
      </c>
      <c r="F60" s="244"/>
      <c r="G60" s="244"/>
      <c r="H60" s="244"/>
      <c r="I60" s="234">
        <f>AM66</f>
        <v>164.53679713471269</v>
      </c>
      <c r="J60" s="234"/>
      <c r="K60" s="234"/>
      <c r="L60" s="284" t="str">
        <f t="array" ref="L60">angleDecimal2Txt(I60)</f>
        <v>+164°32.20 (+164.5367) [+164°32'12.46]</v>
      </c>
      <c r="M60" s="284"/>
      <c r="N60" s="284"/>
      <c r="O60" s="284"/>
      <c r="P60" s="284"/>
      <c r="Q60" s="284"/>
      <c r="R60" s="284"/>
      <c r="S60" s="284"/>
      <c r="T60" s="1"/>
      <c r="U60" s="238">
        <f>AD64</f>
        <v>5.0837313233728052</v>
      </c>
      <c r="V60" s="239"/>
      <c r="W60" s="239"/>
      <c r="X60" s="240"/>
      <c r="AB60" s="41" t="s">
        <v>123</v>
      </c>
      <c r="AC60" s="138" t="s">
        <v>419</v>
      </c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270"/>
      <c r="C61" s="270"/>
      <c r="E61" s="244"/>
      <c r="F61" s="244"/>
      <c r="G61" s="244"/>
      <c r="H61" s="244"/>
      <c r="I61" s="234"/>
      <c r="J61" s="234"/>
      <c r="K61" s="234"/>
      <c r="L61" s="284"/>
      <c r="M61" s="284"/>
      <c r="N61" s="284"/>
      <c r="O61" s="284"/>
      <c r="P61" s="284"/>
      <c r="Q61" s="284"/>
      <c r="R61" s="284"/>
      <c r="S61" s="284"/>
      <c r="T61" s="1"/>
      <c r="U61" s="241"/>
      <c r="V61" s="242"/>
      <c r="W61" s="242"/>
      <c r="X61" s="243"/>
      <c r="AB61" s="12"/>
      <c r="AC61" s="12" t="s">
        <v>124</v>
      </c>
      <c r="AD61" s="54">
        <f>E41-E35</f>
        <v>3.3333333333333215E-2</v>
      </c>
      <c r="AF61" s="117"/>
      <c r="AG61" s="358" t="s">
        <v>430</v>
      </c>
      <c r="AH61" s="358"/>
      <c r="AI61" s="358" t="s">
        <v>431</v>
      </c>
      <c r="AJ61" s="358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125</v>
      </c>
      <c r="AD62" s="12">
        <f>(SIN(E39*AC33)*SIN(E33*AC33))+(COS(E39*AC33)*COS(E33*AC33)*COS(AD61*AC33))</f>
        <v>0.99999890657917923</v>
      </c>
      <c r="AF62" s="117" t="s">
        <v>420</v>
      </c>
      <c r="AG62" s="139">
        <f>E35</f>
        <v>-2.75</v>
      </c>
      <c r="AH62" s="117">
        <f>AG62*$AC$33</f>
        <v>-4.799655442984406E-2</v>
      </c>
      <c r="AI62" s="139">
        <f>E41</f>
        <v>-2.7166666666666668</v>
      </c>
      <c r="AJ62" s="117">
        <f>AI62*$AC$33</f>
        <v>-4.7414778012512621E-2</v>
      </c>
      <c r="AK62" s="12" t="s">
        <v>426</v>
      </c>
      <c r="AL62" s="12">
        <f>(AG66*AI67-AG67*AI66*AG69)/(AI66*AG70)</f>
        <v>-3.614897158800142</v>
      </c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U63"/>
      <c r="V63"/>
      <c r="W63"/>
      <c r="X63"/>
      <c r="AB63" s="12"/>
      <c r="AC63" s="14" t="s">
        <v>41</v>
      </c>
      <c r="AD63" s="14">
        <f>AE63*AC32</f>
        <v>8.4728855389546748E-2</v>
      </c>
      <c r="AE63" s="14">
        <f>ACOS(AD62)</f>
        <v>1.4787974979937335E-3</v>
      </c>
      <c r="AF63" s="117" t="s">
        <v>421</v>
      </c>
      <c r="AG63" s="139">
        <f>E33</f>
        <v>47.416666666666664</v>
      </c>
      <c r="AH63" s="117">
        <f>AG63*$AC$33</f>
        <v>0.82757695365397788</v>
      </c>
      <c r="AI63" s="139">
        <f>E39</f>
        <v>47.335000000000001</v>
      </c>
      <c r="AJ63" s="117">
        <f>AI63*$AC$33</f>
        <v>0.82615160143151589</v>
      </c>
      <c r="AK63" s="12" t="s">
        <v>429</v>
      </c>
      <c r="AL63" s="12">
        <f>1/AL62</f>
        <v>-0.27663304267608002</v>
      </c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U64"/>
      <c r="V64"/>
      <c r="W64"/>
      <c r="X64"/>
      <c r="AB64" s="12"/>
      <c r="AC64" s="58" t="s">
        <v>418</v>
      </c>
      <c r="AD64" s="56">
        <f>60*ACOS(AD62)*AC32</f>
        <v>5.0837313233728052</v>
      </c>
      <c r="AF64" s="117" t="s">
        <v>422</v>
      </c>
      <c r="AG64" s="366">
        <f>COS(AH62)</f>
        <v>0.99884838648495067</v>
      </c>
      <c r="AH64" s="367"/>
      <c r="AI64" s="366">
        <f>COS(AJ62)</f>
        <v>0.99887612999009212</v>
      </c>
      <c r="AJ64" s="367"/>
      <c r="AK64" s="12" t="s">
        <v>127</v>
      </c>
      <c r="AL64" s="12">
        <f>ATAN(AL63)</f>
        <v>-0.26988380290308467</v>
      </c>
      <c r="AM64" s="12">
        <f>AL64*AC32</f>
        <v>-15.463202865287306</v>
      </c>
      <c r="AN64" s="12">
        <f>ABS(AM64)</f>
        <v>15.463202865287306</v>
      </c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U65"/>
      <c r="V65"/>
      <c r="W65"/>
      <c r="X65"/>
      <c r="AB65" s="12"/>
      <c r="AC65" s="12" t="s">
        <v>126</v>
      </c>
      <c r="AD65" s="12">
        <f>((AI67-AG67*AD62)/(SIN(AE63)*AG66))</f>
        <v>-0.96380188328636174</v>
      </c>
      <c r="AF65" s="117" t="s">
        <v>423</v>
      </c>
      <c r="AG65" s="366">
        <f>SIN(AH62)</f>
        <v>-4.7978128521343942E-2</v>
      </c>
      <c r="AH65" s="367"/>
      <c r="AI65" s="366">
        <f>SIN(AJ62)</f>
        <v>-4.7397013998948412E-2</v>
      </c>
      <c r="AJ65" s="367"/>
      <c r="AK65" s="12"/>
      <c r="AL65" s="45" t="s">
        <v>112</v>
      </c>
      <c r="AM65" s="45" t="str">
        <f>CONCATENATE(IF(AG71&lt;0,"S","N"),IF(AG68&gt;0,"E","W"))</f>
        <v>SE</v>
      </c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127</v>
      </c>
      <c r="AD66" s="56">
        <f>AE66*AC32</f>
        <v>164.53679713648469</v>
      </c>
      <c r="AE66" s="14">
        <f>ACOS(AD65)</f>
        <v>2.8717088507176358</v>
      </c>
      <c r="AF66" s="117" t="s">
        <v>425</v>
      </c>
      <c r="AG66" s="366">
        <f>COS(AH63)</f>
        <v>0.67666181908535272</v>
      </c>
      <c r="AH66" s="367"/>
      <c r="AI66" s="366">
        <f>COS(AJ63)</f>
        <v>0.67771060958698359</v>
      </c>
      <c r="AJ66" s="367"/>
      <c r="AL66" s="45" t="s">
        <v>35</v>
      </c>
      <c r="AM66" s="45">
        <f>IF(AM65="NE",AN64,IF(AM65="NW",360-AN64,IF(AM65="SE",180-AN64,180+AN64)))</f>
        <v>164.53679713471269</v>
      </c>
    </row>
    <row r="67" spans="2:65" s="1" customFormat="1" ht="15" customHeight="1" thickBot="1">
      <c r="B67" s="2" t="s">
        <v>34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139" t="s">
        <v>424</v>
      </c>
      <c r="AG67" s="366">
        <f>SIN(AH63)</f>
        <v>0.73629395121249053</v>
      </c>
      <c r="AH67" s="367"/>
      <c r="AI67" s="366">
        <f>SIN(AJ63)</f>
        <v>0.73532872217345024</v>
      </c>
      <c r="AJ67" s="367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17" t="s">
        <v>432</v>
      </c>
      <c r="AG68" s="358">
        <f>AJ62-AH62</f>
        <v>5.8177641733143937E-4</v>
      </c>
      <c r="AH68" s="358"/>
      <c r="AI68" s="358"/>
      <c r="AJ68" s="358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285" t="s">
        <v>32</v>
      </c>
      <c r="D69" s="339" t="s">
        <v>20</v>
      </c>
      <c r="E69" s="258">
        <f t="array" ref="E69">angleConvert2Decimal(I69)*VLOOKUP(H69,D16:F17,3)</f>
        <v>47.335000000000001</v>
      </c>
      <c r="F69" s="258"/>
      <c r="G69" s="259"/>
      <c r="H69" s="262" t="s">
        <v>1</v>
      </c>
      <c r="I69" s="264" t="s">
        <v>445</v>
      </c>
      <c r="J69" s="265"/>
      <c r="K69" s="265"/>
      <c r="L69" s="265"/>
      <c r="M69" s="266"/>
      <c r="N69" s="255" t="str">
        <f t="array" ref="N69">angleDecimal2Txt(E69)</f>
        <v>+47°20.10 (+47.3350) [+47°20'06.00]</v>
      </c>
      <c r="O69" s="255"/>
      <c r="P69" s="255"/>
      <c r="Q69" s="255"/>
      <c r="R69" s="255"/>
      <c r="S69" s="255"/>
      <c r="T69" s="255"/>
      <c r="U69" s="255"/>
      <c r="V69" s="255"/>
      <c r="W69" s="256"/>
      <c r="AA69" s="17"/>
      <c r="AE69" s="12"/>
      <c r="AF69" s="117" t="s">
        <v>427</v>
      </c>
      <c r="AG69" s="358">
        <f>COS(AG68)</f>
        <v>0.99999983076810495</v>
      </c>
      <c r="AH69" s="358"/>
      <c r="AI69" s="358"/>
      <c r="AJ69" s="358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286"/>
      <c r="D70" s="340"/>
      <c r="E70" s="260"/>
      <c r="F70" s="260"/>
      <c r="G70" s="261"/>
      <c r="H70" s="263"/>
      <c r="I70" s="267"/>
      <c r="J70" s="268"/>
      <c r="K70" s="268"/>
      <c r="L70" s="268"/>
      <c r="M70" s="269"/>
      <c r="N70" s="253"/>
      <c r="O70" s="253"/>
      <c r="P70" s="253"/>
      <c r="Q70" s="253"/>
      <c r="R70" s="253"/>
      <c r="S70" s="253"/>
      <c r="T70" s="253"/>
      <c r="U70" s="253"/>
      <c r="V70" s="253"/>
      <c r="W70" s="254"/>
      <c r="AA70" s="17"/>
      <c r="AE70" s="12"/>
      <c r="AF70" s="117" t="s">
        <v>428</v>
      </c>
      <c r="AG70" s="358">
        <f>SIN(AG68)</f>
        <v>5.8177638451306374E-4</v>
      </c>
      <c r="AH70" s="358"/>
      <c r="AI70" s="358"/>
      <c r="AJ70" s="358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286"/>
      <c r="D71" s="340" t="s">
        <v>21</v>
      </c>
      <c r="E71" s="258">
        <f t="array" ref="E71">angleConvert2Decimal(I71)*VLOOKUP(H71,E16:F18,2)</f>
        <v>-2.7166666666666668</v>
      </c>
      <c r="F71" s="258"/>
      <c r="G71" s="259"/>
      <c r="H71" s="275" t="s">
        <v>4</v>
      </c>
      <c r="I71" s="277" t="s">
        <v>444</v>
      </c>
      <c r="J71" s="278"/>
      <c r="K71" s="278"/>
      <c r="L71" s="278"/>
      <c r="M71" s="279"/>
      <c r="N71" s="255" t="str">
        <f t="array" ref="N71">angleDecimal2Txt(E71)</f>
        <v>-02°43.00 (-02.7166) [-02°43'00.00]</v>
      </c>
      <c r="O71" s="255"/>
      <c r="P71" s="255"/>
      <c r="Q71" s="255"/>
      <c r="R71" s="255"/>
      <c r="S71" s="255"/>
      <c r="T71" s="255"/>
      <c r="U71" s="255"/>
      <c r="V71" s="255"/>
      <c r="W71" s="256"/>
      <c r="AA71" s="17"/>
      <c r="AE71" s="12"/>
      <c r="AF71" s="117" t="s">
        <v>433</v>
      </c>
      <c r="AG71" s="358">
        <f>AJ63-AH63</f>
        <v>-1.4253522224619841E-3</v>
      </c>
      <c r="AH71" s="358"/>
      <c r="AI71" s="358"/>
      <c r="AJ71" s="358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287"/>
      <c r="D72" s="341"/>
      <c r="E72" s="260"/>
      <c r="F72" s="260"/>
      <c r="G72" s="261"/>
      <c r="H72" s="276"/>
      <c r="I72" s="280"/>
      <c r="J72" s="281"/>
      <c r="K72" s="281"/>
      <c r="L72" s="281"/>
      <c r="M72" s="282"/>
      <c r="N72" s="253"/>
      <c r="O72" s="253"/>
      <c r="P72" s="253"/>
      <c r="Q72" s="253"/>
      <c r="R72" s="253"/>
      <c r="S72" s="253"/>
      <c r="T72" s="253"/>
      <c r="U72" s="253"/>
      <c r="V72" s="253"/>
      <c r="W72" s="254"/>
      <c r="AA72" s="17"/>
      <c r="AB72" s="12" t="s">
        <v>128</v>
      </c>
      <c r="AC72" s="12">
        <f>F75*K15</f>
        <v>4.4156830075456535</v>
      </c>
      <c r="AD72" s="12" t="s">
        <v>26</v>
      </c>
      <c r="AE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104</v>
      </c>
      <c r="AC73" s="12">
        <f>F77*F79/60</f>
        <v>0.15504305555555559</v>
      </c>
      <c r="AD73" s="12" t="s">
        <v>24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285" t="s">
        <v>36</v>
      </c>
      <c r="D75" s="345" t="s">
        <v>37</v>
      </c>
      <c r="E75" s="346"/>
      <c r="F75" s="354">
        <f>angleConvert2Decimal(I75)</f>
        <v>253</v>
      </c>
      <c r="G75" s="355"/>
      <c r="H75" s="355"/>
      <c r="I75" s="257" t="s">
        <v>447</v>
      </c>
      <c r="J75" s="257"/>
      <c r="K75" s="257"/>
      <c r="L75" s="257"/>
      <c r="M75" s="257"/>
      <c r="N75" s="255" t="str">
        <f t="array" ref="N75">angleDecimal2Txt(F75)</f>
        <v>+253°00.00 (+253.0000) [+253°00'00.00]</v>
      </c>
      <c r="O75" s="255"/>
      <c r="P75" s="255"/>
      <c r="Q75" s="255"/>
      <c r="R75" s="255"/>
      <c r="S75" s="255"/>
      <c r="T75" s="255"/>
      <c r="U75" s="255"/>
      <c r="V75" s="255"/>
      <c r="W75" s="256"/>
      <c r="AA75" s="17"/>
      <c r="AB75" s="12" t="s">
        <v>129</v>
      </c>
      <c r="AC75" s="12">
        <f>E69+AC73*COS(AC72)</f>
        <v>47.289669797541798</v>
      </c>
      <c r="AD75" s="12"/>
      <c r="AE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296"/>
      <c r="D76" s="338"/>
      <c r="E76" s="347"/>
      <c r="F76" s="354"/>
      <c r="G76" s="355"/>
      <c r="H76" s="355"/>
      <c r="I76" s="257"/>
      <c r="J76" s="257"/>
      <c r="K76" s="257"/>
      <c r="L76" s="257"/>
      <c r="M76" s="257"/>
      <c r="N76" s="253"/>
      <c r="O76" s="253"/>
      <c r="P76" s="253"/>
      <c r="Q76" s="253"/>
      <c r="R76" s="253"/>
      <c r="S76" s="253"/>
      <c r="T76" s="253"/>
      <c r="U76" s="253"/>
      <c r="V76" s="253"/>
      <c r="W76" s="254"/>
      <c r="AA76" s="17"/>
      <c r="AB76" s="12" t="s">
        <v>130</v>
      </c>
      <c r="AC76" s="12">
        <f>(AC75+E69)/2</f>
        <v>47.312334898770899</v>
      </c>
      <c r="AD76" s="12">
        <f>AC76*K15</f>
        <v>0.82575602078977028</v>
      </c>
      <c r="AE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296"/>
      <c r="D77" s="338" t="s">
        <v>36</v>
      </c>
      <c r="E77" s="347"/>
      <c r="F77" s="354">
        <f>I77</f>
        <v>9.3000000000000007</v>
      </c>
      <c r="G77" s="355"/>
      <c r="H77" s="355"/>
      <c r="I77" s="257">
        <v>9.3000000000000007</v>
      </c>
      <c r="J77" s="257"/>
      <c r="K77" s="257"/>
      <c r="L77" s="257"/>
      <c r="M77" s="257"/>
      <c r="N77" s="250"/>
      <c r="O77" s="250"/>
      <c r="P77" s="250"/>
      <c r="Q77" s="250"/>
      <c r="R77" s="250"/>
      <c r="S77" s="250"/>
      <c r="T77" s="250"/>
      <c r="U77" s="250"/>
      <c r="V77" s="250"/>
      <c r="W77" s="250"/>
      <c r="AA77" s="17"/>
      <c r="AE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296"/>
      <c r="D78" s="338"/>
      <c r="E78" s="347"/>
      <c r="F78" s="354"/>
      <c r="G78" s="355"/>
      <c r="H78" s="355"/>
      <c r="I78" s="257"/>
      <c r="J78" s="257"/>
      <c r="K78" s="257"/>
      <c r="L78" s="257"/>
      <c r="M78" s="257"/>
      <c r="N78" s="250"/>
      <c r="O78" s="250"/>
      <c r="P78" s="250"/>
      <c r="Q78" s="250"/>
      <c r="R78" s="250"/>
      <c r="S78" s="250"/>
      <c r="T78" s="250"/>
      <c r="U78" s="250"/>
      <c r="V78" s="250"/>
      <c r="W78" s="250"/>
      <c r="AA78" s="17"/>
      <c r="AB78" s="1" t="s">
        <v>51</v>
      </c>
      <c r="AC78" s="1">
        <f>E71+AC73*SIN(AC72)/COS(AD76)</f>
        <v>-2.9353511753088259</v>
      </c>
      <c r="AE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296"/>
      <c r="D79" s="338" t="s">
        <v>39</v>
      </c>
      <c r="E79" s="347"/>
      <c r="F79" s="354">
        <f>heureConvert2Decimal(I79)</f>
        <v>1.0002777777777778</v>
      </c>
      <c r="G79" s="355"/>
      <c r="H79" s="355"/>
      <c r="I79" s="353" t="s">
        <v>446</v>
      </c>
      <c r="J79" s="353"/>
      <c r="K79" s="353"/>
      <c r="L79" s="353"/>
      <c r="M79" s="353"/>
      <c r="N79" s="255" t="str">
        <f t="array" ref="N79">heureDecimal2Txt(F79)</f>
        <v>01:00:01.00(01.0002)</v>
      </c>
      <c r="O79" s="255"/>
      <c r="P79" s="255"/>
      <c r="Q79" s="255"/>
      <c r="R79" s="255"/>
      <c r="S79" s="255"/>
      <c r="T79" s="255"/>
      <c r="U79" s="255"/>
      <c r="V79" s="255"/>
      <c r="W79" s="256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297"/>
      <c r="D80" s="356"/>
      <c r="E80" s="357"/>
      <c r="F80" s="354"/>
      <c r="G80" s="355"/>
      <c r="H80" s="355"/>
      <c r="I80" s="353"/>
      <c r="J80" s="353"/>
      <c r="K80" s="353"/>
      <c r="L80" s="353"/>
      <c r="M80" s="353"/>
      <c r="N80" s="253"/>
      <c r="O80" s="253"/>
      <c r="P80" s="253"/>
      <c r="Q80" s="253"/>
      <c r="R80" s="253"/>
      <c r="S80" s="253"/>
      <c r="T80" s="253"/>
      <c r="U80" s="253"/>
      <c r="V80" s="253"/>
      <c r="W80" s="254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350" t="s">
        <v>38</v>
      </c>
      <c r="G83" s="351"/>
      <c r="H83" s="351"/>
      <c r="I83" s="351"/>
      <c r="J83" s="351"/>
      <c r="K83" s="351"/>
      <c r="L83" s="351"/>
      <c r="M83" s="351"/>
      <c r="N83" s="351"/>
      <c r="O83" s="351"/>
      <c r="P83" s="351"/>
      <c r="Q83" s="351"/>
      <c r="R83" s="351"/>
      <c r="S83" s="351"/>
      <c r="T83" s="351"/>
      <c r="U83" s="351"/>
      <c r="V83" s="351"/>
      <c r="W83" s="351"/>
      <c r="X83" s="351"/>
      <c r="Y83" s="352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342" t="s">
        <v>20</v>
      </c>
      <c r="G84" s="298">
        <f>E69+F77*F79*COS(F75*K15)/60</f>
        <v>47.289669797541798</v>
      </c>
      <c r="H84" s="298"/>
      <c r="I84" s="298"/>
      <c r="J84" s="298"/>
      <c r="K84" s="298"/>
      <c r="L84" s="298"/>
      <c r="M84" s="298"/>
      <c r="N84" s="298"/>
      <c r="O84" s="298"/>
      <c r="P84" s="251" t="str">
        <f t="array" ref="P84">angleDecimal2Txt(G84)</f>
        <v>+47°17.38 (+47.2896) [+47°17'22.81]</v>
      </c>
      <c r="Q84" s="251"/>
      <c r="R84" s="251"/>
      <c r="S84" s="251"/>
      <c r="T84" s="251"/>
      <c r="U84" s="251"/>
      <c r="V84" s="251"/>
      <c r="W84" s="251"/>
      <c r="X84" s="251"/>
      <c r="Y84" s="25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343"/>
      <c r="G85" s="298"/>
      <c r="H85" s="298"/>
      <c r="I85" s="298"/>
      <c r="J85" s="298"/>
      <c r="K85" s="298"/>
      <c r="L85" s="298"/>
      <c r="M85" s="298"/>
      <c r="N85" s="298"/>
      <c r="O85" s="298"/>
      <c r="P85" s="253"/>
      <c r="Q85" s="253"/>
      <c r="R85" s="253"/>
      <c r="S85" s="253"/>
      <c r="T85" s="253"/>
      <c r="U85" s="253"/>
      <c r="V85" s="253"/>
      <c r="W85" s="253"/>
      <c r="X85" s="253"/>
      <c r="Y85" s="254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348" t="s">
        <v>21</v>
      </c>
      <c r="G86" s="344">
        <f>AC78</f>
        <v>-2.9353511753088259</v>
      </c>
      <c r="H86" s="298"/>
      <c r="I86" s="298"/>
      <c r="J86" s="298"/>
      <c r="K86" s="298"/>
      <c r="L86" s="298"/>
      <c r="M86" s="298"/>
      <c r="N86" s="298"/>
      <c r="O86" s="298"/>
      <c r="P86" s="255" t="str">
        <f t="array" ref="P86">angleDecimal2Txt(G86)</f>
        <v>-02°56.12 (-02.9353) [-02°56'07.26]</v>
      </c>
      <c r="Q86" s="255"/>
      <c r="R86" s="255"/>
      <c r="S86" s="255"/>
      <c r="T86" s="255"/>
      <c r="U86" s="255"/>
      <c r="V86" s="255"/>
      <c r="W86" s="255"/>
      <c r="X86" s="255"/>
      <c r="Y86" s="256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349"/>
      <c r="G87" s="298"/>
      <c r="H87" s="298"/>
      <c r="I87" s="298"/>
      <c r="J87" s="298"/>
      <c r="K87" s="298"/>
      <c r="L87" s="298"/>
      <c r="M87" s="298"/>
      <c r="N87" s="298"/>
      <c r="O87" s="298"/>
      <c r="P87" s="253"/>
      <c r="Q87" s="253"/>
      <c r="R87" s="253"/>
      <c r="S87" s="253"/>
      <c r="T87" s="253"/>
      <c r="U87" s="253"/>
      <c r="V87" s="253"/>
      <c r="W87" s="253"/>
      <c r="X87" s="253"/>
      <c r="Y87" s="254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100</v>
      </c>
      <c r="G89" s="60"/>
      <c r="H89" s="336">
        <f>G84-E69</f>
        <v>-4.5330202458202962E-2</v>
      </c>
      <c r="I89" s="337"/>
      <c r="J89" s="337" t="str">
        <f t="array" ref="J89">angleDecimal2Txt(H89)</f>
        <v>-00°02.71 (-00.0453) [-00°02'43.18]</v>
      </c>
      <c r="K89" s="337"/>
      <c r="L89" s="337"/>
      <c r="M89" s="337"/>
      <c r="N89" s="337"/>
      <c r="O89" s="337"/>
      <c r="AB89" s="12"/>
      <c r="AC89" s="12"/>
      <c r="AD89" s="12"/>
    </row>
    <row r="90" spans="2:61" ht="15" customHeight="1">
      <c r="F90" s="60" t="s">
        <v>131</v>
      </c>
      <c r="G90" s="60"/>
      <c r="H90" s="336">
        <f>G86-E71</f>
        <v>-0.21868450864215916</v>
      </c>
      <c r="I90" s="337"/>
      <c r="J90" s="337" t="str">
        <f t="array" ref="J90">angleDecimal2Txt(H90)</f>
        <v>-00°13.12 (-00.2186) [-00°13'07.26]</v>
      </c>
      <c r="K90" s="337"/>
      <c r="L90" s="337"/>
      <c r="M90" s="337"/>
      <c r="N90" s="337"/>
      <c r="O90" s="337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134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288" t="s">
        <v>10</v>
      </c>
      <c r="D96" s="289"/>
      <c r="E96" s="289"/>
      <c r="F96" s="289"/>
      <c r="G96" s="289"/>
      <c r="H96" s="290"/>
      <c r="I96" s="292">
        <f>AB96</f>
        <v>-0.05</v>
      </c>
      <c r="J96" s="293"/>
      <c r="K96" s="293"/>
      <c r="L96" s="294" t="s">
        <v>55</v>
      </c>
      <c r="M96" s="295"/>
      <c r="N96" s="295"/>
      <c r="O96" s="333">
        <f>AB96</f>
        <v>-0.05</v>
      </c>
      <c r="P96" s="333"/>
      <c r="Q96" s="333"/>
      <c r="R96" s="333"/>
      <c r="S96" s="333"/>
      <c r="T96" s="333"/>
      <c r="U96" s="333"/>
      <c r="V96" s="333"/>
      <c r="W96" s="333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2:60" s="1" customFormat="1" ht="15" customHeight="1" thickTop="1" thickBot="1">
      <c r="C97" s="291" t="s">
        <v>15</v>
      </c>
      <c r="D97" s="291"/>
      <c r="E97" s="291"/>
      <c r="F97" s="291"/>
      <c r="G97" s="291"/>
      <c r="H97" s="291"/>
      <c r="I97" s="245">
        <f>AB97</f>
        <v>2.5833333333333335</v>
      </c>
      <c r="J97" s="246"/>
      <c r="K97" s="246"/>
      <c r="L97" s="247" t="s">
        <v>133</v>
      </c>
      <c r="M97" s="248"/>
      <c r="N97" s="249"/>
      <c r="O97" s="333">
        <f>AB97</f>
        <v>2.5833333333333335</v>
      </c>
      <c r="P97" s="333"/>
      <c r="Q97" s="333"/>
      <c r="R97" s="333"/>
      <c r="S97" s="333"/>
      <c r="T97" s="333"/>
      <c r="U97" s="333"/>
      <c r="V97" s="333"/>
      <c r="W97" s="333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2:60" s="1" customFormat="1" ht="15" customHeight="1" thickTop="1" thickBot="1">
      <c r="C98" s="291" t="s">
        <v>56</v>
      </c>
      <c r="D98" s="291"/>
      <c r="E98" s="291"/>
      <c r="F98" s="291"/>
      <c r="G98" s="291"/>
      <c r="H98" s="291"/>
      <c r="I98" s="245">
        <f>AB98</f>
        <v>2.5333333333333337</v>
      </c>
      <c r="J98" s="246"/>
      <c r="K98" s="246"/>
      <c r="L98" s="247" t="s">
        <v>133</v>
      </c>
      <c r="M98" s="248"/>
      <c r="N98" s="249"/>
      <c r="O98" s="333" t="str">
        <f t="array" ref="O98">angleDecimal2Txt(AC98)</f>
        <v>+00°00.00 (+00.0000) [+00°00'00.00]</v>
      </c>
      <c r="P98" s="333"/>
      <c r="Q98" s="333"/>
      <c r="R98" s="333"/>
      <c r="S98" s="333"/>
      <c r="T98" s="333"/>
      <c r="U98" s="333"/>
      <c r="V98" s="333"/>
      <c r="W98" s="333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2:60" s="1" customFormat="1" ht="15" customHeight="1" thickTop="1">
      <c r="C99" s="291" t="s">
        <v>57</v>
      </c>
      <c r="D99" s="291"/>
      <c r="E99" s="291"/>
      <c r="F99" s="291"/>
      <c r="G99" s="291"/>
      <c r="H99" s="291"/>
      <c r="I99" s="245">
        <v>13</v>
      </c>
      <c r="J99" s="246"/>
      <c r="K99" s="246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2:60" ht="15" customHeight="1">
      <c r="AA100" s="14"/>
      <c r="AB100" s="14"/>
      <c r="AC100" s="14"/>
    </row>
    <row r="101" spans="2:60" ht="15" customHeight="1">
      <c r="AA101" s="14"/>
      <c r="AB101" s="14"/>
      <c r="AC101" s="14"/>
    </row>
    <row r="102" spans="2:60" ht="15" customHeight="1">
      <c r="I102" s="210" t="s">
        <v>58</v>
      </c>
      <c r="J102" s="210"/>
      <c r="K102" s="210"/>
      <c r="L102" s="210">
        <f>I99/TAN(I98*PI()/180)</f>
        <v>293.82619257974028</v>
      </c>
      <c r="M102" s="210"/>
      <c r="AA102" s="14"/>
      <c r="AB102" s="14"/>
      <c r="AC102" s="14"/>
    </row>
    <row r="103" spans="2:60" ht="15" customHeight="1">
      <c r="I103" s="210" t="s">
        <v>33</v>
      </c>
      <c r="J103" s="210"/>
      <c r="K103" s="210"/>
      <c r="L103" s="210">
        <f>L102/1852</f>
        <v>0.15865345171692238</v>
      </c>
      <c r="M103" s="210"/>
      <c r="AA103" s="14"/>
      <c r="AB103" s="14"/>
      <c r="AC103" s="14"/>
    </row>
    <row r="104" spans="2:60" ht="15" customHeight="1">
      <c r="AA104" s="14"/>
      <c r="AB104" s="14"/>
      <c r="AC104" s="14"/>
    </row>
    <row r="105" spans="2:60" ht="15" customHeight="1">
      <c r="H105" s="12"/>
      <c r="I105" s="12"/>
      <c r="J105" s="12"/>
      <c r="K105" s="12"/>
      <c r="L105" s="12"/>
      <c r="M105" s="12"/>
      <c r="N105" s="12"/>
      <c r="AA105" s="14"/>
    </row>
    <row r="106" spans="2:60" s="163" customFormat="1" ht="15" customHeight="1">
      <c r="H106" s="12"/>
      <c r="I106" s="12"/>
      <c r="J106" s="12"/>
      <c r="K106" s="12"/>
      <c r="L106" s="12"/>
      <c r="M106" s="12"/>
      <c r="N106" s="12"/>
      <c r="AB106" s="7"/>
      <c r="AC106" s="7"/>
    </row>
    <row r="107" spans="2:60" s="163" customFormat="1" ht="15" customHeight="1">
      <c r="H107" s="12"/>
      <c r="I107" s="12"/>
      <c r="J107" s="12"/>
      <c r="K107" s="12"/>
      <c r="L107" s="12"/>
      <c r="M107" s="12"/>
      <c r="N107" s="12"/>
      <c r="AB107" s="7"/>
      <c r="AC107" s="7"/>
    </row>
    <row r="108" spans="2:60" s="163" customFormat="1" ht="15" customHeight="1" thickBot="1">
      <c r="H108" s="12"/>
      <c r="I108" s="12"/>
      <c r="J108" s="12"/>
      <c r="K108" s="12"/>
      <c r="L108" s="12"/>
      <c r="M108" s="12"/>
      <c r="N108" s="12"/>
      <c r="AB108" s="7"/>
      <c r="AC108" s="7"/>
    </row>
    <row r="109" spans="2:60" s="163" customFormat="1" ht="15" customHeight="1" thickTop="1" thickBot="1">
      <c r="C109" s="291" t="s">
        <v>522</v>
      </c>
      <c r="D109" s="291"/>
      <c r="E109" s="291"/>
      <c r="F109" s="291"/>
      <c r="G109" s="291"/>
      <c r="H109" s="291"/>
      <c r="I109" s="245">
        <f>L109</f>
        <v>16</v>
      </c>
      <c r="J109" s="246"/>
      <c r="K109" s="246"/>
      <c r="L109" s="247">
        <v>16</v>
      </c>
      <c r="M109" s="248"/>
      <c r="N109" s="249"/>
      <c r="O109" s="333" t="str">
        <f t="array" ref="O109">angleDecimal2Txt(AC109)</f>
        <v>+00°00.00 (+00.0000) [+00°00'00.00]</v>
      </c>
      <c r="P109" s="333"/>
      <c r="Q109" s="333"/>
      <c r="R109" s="333"/>
      <c r="S109" s="333"/>
      <c r="T109" s="333"/>
      <c r="U109" s="333"/>
      <c r="V109" s="333"/>
      <c r="W109" s="333"/>
      <c r="AB109" s="7"/>
      <c r="AC109" s="7"/>
    </row>
    <row r="110" spans="2:60" s="163" customFormat="1" ht="15" customHeight="1" thickTop="1">
      <c r="C110" s="291" t="s">
        <v>523</v>
      </c>
      <c r="D110" s="291"/>
      <c r="E110" s="291"/>
      <c r="F110" s="291"/>
      <c r="G110" s="291"/>
      <c r="H110" s="291"/>
      <c r="I110" s="481" t="str">
        <f>CONCATENATE(2.1*SQRT(I109), " Mn")</f>
        <v>8.4 Mn</v>
      </c>
      <c r="J110" s="480"/>
      <c r="K110" s="480"/>
      <c r="L110" s="480"/>
      <c r="M110" s="480"/>
      <c r="N110" s="480"/>
      <c r="AB110" s="7"/>
      <c r="AC110" s="7"/>
    </row>
    <row r="111" spans="2:60" ht="15" customHeight="1" thickBot="1">
      <c r="H111" s="12"/>
      <c r="I111" s="12"/>
      <c r="J111" s="12"/>
      <c r="K111" s="12"/>
      <c r="L111" s="12"/>
      <c r="M111" s="12"/>
      <c r="N111" s="12"/>
      <c r="AA111" s="14"/>
    </row>
    <row r="112" spans="2:60" ht="15" customHeight="1" thickBot="1">
      <c r="B112" s="2" t="s">
        <v>136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8"/>
    </row>
    <row r="113" spans="2:26" ht="15" customHeight="1">
      <c r="H113" s="12"/>
      <c r="I113" s="12"/>
      <c r="J113" s="12"/>
      <c r="K113" s="12"/>
      <c r="L113" s="12"/>
      <c r="M113" s="12"/>
      <c r="N113" s="12"/>
    </row>
    <row r="114" spans="2:26" ht="15" customHeight="1" thickBot="1">
      <c r="B114" s="14" t="s">
        <v>137</v>
      </c>
      <c r="O114" s="14" t="s">
        <v>138</v>
      </c>
    </row>
    <row r="115" spans="2:26" ht="15" customHeight="1" thickTop="1" thickBot="1">
      <c r="C115" s="271" t="s">
        <v>8</v>
      </c>
      <c r="D115" s="271"/>
      <c r="E115" s="271"/>
      <c r="F115" s="272" t="s">
        <v>7</v>
      </c>
      <c r="G115" s="272"/>
      <c r="H115" s="272"/>
      <c r="I115" s="227" t="s">
        <v>16</v>
      </c>
      <c r="J115" s="227"/>
      <c r="K115" s="227"/>
      <c r="L115" s="227"/>
      <c r="M115" s="227"/>
      <c r="N115" s="10"/>
      <c r="O115" s="221" t="s">
        <v>13</v>
      </c>
      <c r="P115" s="222"/>
      <c r="Q115" s="222"/>
      <c r="R115" s="223"/>
      <c r="S115" s="224" t="s">
        <v>14</v>
      </c>
      <c r="T115" s="225"/>
      <c r="U115" s="226"/>
      <c r="V115" s="227" t="s">
        <v>16</v>
      </c>
      <c r="W115" s="227"/>
      <c r="X115" s="227"/>
      <c r="Y115" s="227"/>
      <c r="Z115" s="227"/>
    </row>
    <row r="116" spans="2:26" ht="15" customHeight="1" thickTop="1" thickBot="1">
      <c r="C116" s="228" t="s">
        <v>25</v>
      </c>
      <c r="D116" s="229"/>
      <c r="E116" s="230"/>
      <c r="F116" s="231">
        <f t="array" ref="F116">heureConvert2Decimal(C116)</f>
        <v>11.983333333333333</v>
      </c>
      <c r="G116" s="232"/>
      <c r="H116" s="233"/>
      <c r="I116" s="218" t="str">
        <f t="array" ref="I116">heureDecimal2Txt(F116)</f>
        <v>11:59:00.00(11.9833)</v>
      </c>
      <c r="J116" s="219"/>
      <c r="K116" s="219"/>
      <c r="L116" s="219"/>
      <c r="M116" s="220"/>
      <c r="O116" s="212" t="s">
        <v>150</v>
      </c>
      <c r="P116" s="213"/>
      <c r="Q116" s="213"/>
      <c r="R116" s="214"/>
      <c r="S116" s="215">
        <f t="array" ref="S116">angleConvert2Decimal(O116)</f>
        <v>1</v>
      </c>
      <c r="T116" s="216"/>
      <c r="U116" s="217"/>
      <c r="V116" s="218" t="str">
        <f t="array" ref="V116">angleDecimal2Txt(S116)</f>
        <v>+01°00.00 (+01.0000) [+01°00'00.00]</v>
      </c>
      <c r="W116" s="219"/>
      <c r="X116" s="219"/>
      <c r="Y116" s="219"/>
      <c r="Z116" s="220"/>
    </row>
    <row r="117" spans="2:26" ht="15" customHeight="1" thickTop="1" thickBot="1">
      <c r="C117" s="228" t="s">
        <v>25</v>
      </c>
      <c r="D117" s="229"/>
      <c r="E117" s="230"/>
      <c r="F117" s="231">
        <f t="array" ref="F117">heureConvert2Decimal(C117)</f>
        <v>11.983333333333333</v>
      </c>
      <c r="G117" s="232"/>
      <c r="H117" s="233"/>
      <c r="I117" s="218" t="str">
        <f t="array" ref="I117">heureDecimal2Txt(F117)</f>
        <v>11:59:00.00(11.9833)</v>
      </c>
      <c r="J117" s="219"/>
      <c r="K117" s="219"/>
      <c r="L117" s="219"/>
      <c r="M117" s="220"/>
      <c r="O117" s="212" t="s">
        <v>132</v>
      </c>
      <c r="P117" s="213"/>
      <c r="Q117" s="213"/>
      <c r="R117" s="214"/>
      <c r="S117" s="215">
        <f t="array" ref="S117">angleConvert2Decimal(O117)</f>
        <v>0.46666666666666667</v>
      </c>
      <c r="T117" s="216"/>
      <c r="U117" s="217"/>
      <c r="V117" s="218" t="str">
        <f t="array" ref="V117">angleDecimal2Txt(S117)</f>
        <v>+00°28.00 (+00.4666) [+00°28'00.00]</v>
      </c>
      <c r="W117" s="219"/>
      <c r="X117" s="219"/>
      <c r="Y117" s="219"/>
      <c r="Z117" s="220"/>
    </row>
    <row r="118" spans="2:26" ht="15" customHeight="1" thickTop="1" thickBot="1">
      <c r="C118" s="228" t="s">
        <v>25</v>
      </c>
      <c r="D118" s="229"/>
      <c r="E118" s="230"/>
      <c r="F118" s="231">
        <f t="array" ref="F118">heureConvert2Decimal(C118)</f>
        <v>11.983333333333333</v>
      </c>
      <c r="G118" s="232"/>
      <c r="H118" s="233"/>
      <c r="I118" s="218" t="str">
        <f t="array" ref="I118">heureDecimal2Txt(F118)</f>
        <v>11:59:00.00(11.9833)</v>
      </c>
      <c r="J118" s="219"/>
      <c r="K118" s="219"/>
      <c r="L118" s="219"/>
      <c r="M118" s="220"/>
      <c r="O118" s="212" t="s">
        <v>132</v>
      </c>
      <c r="P118" s="213"/>
      <c r="Q118" s="213"/>
      <c r="R118" s="214"/>
      <c r="S118" s="215">
        <f t="array" ref="S118">angleConvert2Decimal(O118)</f>
        <v>0.46666666666666667</v>
      </c>
      <c r="T118" s="216"/>
      <c r="U118" s="217"/>
      <c r="V118" s="218" t="str">
        <f t="array" ref="V118">angleDecimal2Txt(S118)</f>
        <v>+00°28.00 (+00.4666) [+00°28'00.00]</v>
      </c>
      <c r="W118" s="219"/>
      <c r="X118" s="219"/>
      <c r="Y118" s="219"/>
      <c r="Z118" s="220"/>
    </row>
    <row r="119" spans="2:26" ht="15" customHeight="1" thickTop="1" thickBot="1">
      <c r="C119" s="228" t="s">
        <v>25</v>
      </c>
      <c r="D119" s="229"/>
      <c r="E119" s="230"/>
      <c r="F119" s="231">
        <f t="array" ref="F119">heureConvert2Decimal(C119)</f>
        <v>11.983333333333333</v>
      </c>
      <c r="G119" s="232"/>
      <c r="H119" s="233"/>
      <c r="I119" s="218" t="str">
        <f t="array" ref="I119">heureDecimal2Txt(F119)</f>
        <v>11:59:00.00(11.9833)</v>
      </c>
      <c r="J119" s="219"/>
      <c r="K119" s="219"/>
      <c r="L119" s="219"/>
      <c r="M119" s="220"/>
      <c r="O119" s="212" t="s">
        <v>132</v>
      </c>
      <c r="P119" s="213"/>
      <c r="Q119" s="213"/>
      <c r="R119" s="214"/>
      <c r="S119" s="215">
        <f t="array" ref="S119">angleConvert2Decimal(O119)</f>
        <v>0.46666666666666667</v>
      </c>
      <c r="T119" s="216"/>
      <c r="U119" s="217"/>
      <c r="V119" s="218" t="str">
        <f t="array" ref="V119">angleDecimal2Txt(S119)</f>
        <v>+00°28.00 (+00.4666) [+00°28'00.00]</v>
      </c>
      <c r="W119" s="219"/>
      <c r="X119" s="219"/>
      <c r="Y119" s="219"/>
      <c r="Z119" s="220"/>
    </row>
    <row r="120" spans="2:26" ht="15" customHeight="1" thickTop="1" thickBot="1">
      <c r="C120" s="228" t="s">
        <v>25</v>
      </c>
      <c r="D120" s="229"/>
      <c r="E120" s="230"/>
      <c r="F120" s="231">
        <f t="array" ref="F120">heureConvert2Decimal(C120)</f>
        <v>11.983333333333333</v>
      </c>
      <c r="G120" s="232"/>
      <c r="H120" s="233"/>
      <c r="I120" s="218" t="str">
        <f t="array" ref="I120">heureDecimal2Txt(F120)</f>
        <v>11:59:00.00(11.9833)</v>
      </c>
      <c r="J120" s="219"/>
      <c r="K120" s="219"/>
      <c r="L120" s="219"/>
      <c r="M120" s="220"/>
      <c r="O120" s="212" t="s">
        <v>132</v>
      </c>
      <c r="P120" s="213"/>
      <c r="Q120" s="213"/>
      <c r="R120" s="214"/>
      <c r="S120" s="215">
        <f t="array" ref="S120">angleConvert2Decimal(O120)</f>
        <v>0.46666666666666667</v>
      </c>
      <c r="T120" s="216"/>
      <c r="U120" s="217"/>
      <c r="V120" s="218" t="str">
        <f t="array" ref="V120">angleDecimal2Txt(S120)</f>
        <v>+00°28.00 (+00.4666) [+00°28'00.00]</v>
      </c>
      <c r="W120" s="219"/>
      <c r="X120" s="219"/>
      <c r="Y120" s="219"/>
      <c r="Z120" s="220"/>
    </row>
    <row r="121" spans="2:26" ht="15" customHeight="1" thickTop="1" thickBot="1">
      <c r="C121" s="228" t="s">
        <v>25</v>
      </c>
      <c r="D121" s="229"/>
      <c r="E121" s="230"/>
      <c r="F121" s="231">
        <f t="array" ref="F121">heureConvert2Decimal(C121)</f>
        <v>11.983333333333333</v>
      </c>
      <c r="G121" s="232"/>
      <c r="H121" s="233"/>
      <c r="I121" s="218" t="str">
        <f t="array" ref="I121">heureDecimal2Txt(F121)</f>
        <v>11:59:00.00(11.9833)</v>
      </c>
      <c r="J121" s="219"/>
      <c r="K121" s="219"/>
      <c r="L121" s="219"/>
      <c r="M121" s="220"/>
      <c r="O121" s="212" t="s">
        <v>132</v>
      </c>
      <c r="P121" s="213"/>
      <c r="Q121" s="213"/>
      <c r="R121" s="214"/>
      <c r="S121" s="215">
        <f t="array" ref="S121">angleConvert2Decimal(O121)</f>
        <v>0.46666666666666667</v>
      </c>
      <c r="T121" s="216"/>
      <c r="U121" s="217"/>
      <c r="V121" s="218" t="str">
        <f t="array" ref="V121">angleDecimal2Txt(S121)</f>
        <v>+00°28.00 (+00.4666) [+00°28'00.00]</v>
      </c>
      <c r="W121" s="219"/>
      <c r="X121" s="219"/>
      <c r="Y121" s="219"/>
      <c r="Z121" s="220"/>
    </row>
    <row r="122" spans="2:26" ht="15" customHeight="1" thickTop="1" thickBot="1">
      <c r="C122" s="228" t="s">
        <v>25</v>
      </c>
      <c r="D122" s="229"/>
      <c r="E122" s="230"/>
      <c r="F122" s="231">
        <f t="array" ref="F122">heureConvert2Decimal(C122)</f>
        <v>11.983333333333333</v>
      </c>
      <c r="G122" s="232"/>
      <c r="H122" s="233"/>
      <c r="I122" s="218" t="str">
        <f t="array" ref="I122">heureDecimal2Txt(F122)</f>
        <v>11:59:00.00(11.9833)</v>
      </c>
      <c r="J122" s="219"/>
      <c r="K122" s="219"/>
      <c r="L122" s="219"/>
      <c r="M122" s="220"/>
      <c r="O122" s="212" t="s">
        <v>132</v>
      </c>
      <c r="P122" s="213"/>
      <c r="Q122" s="213"/>
      <c r="R122" s="214"/>
      <c r="S122" s="215">
        <f t="array" ref="S122">angleConvert2Decimal(O122)</f>
        <v>0.46666666666666667</v>
      </c>
      <c r="T122" s="216"/>
      <c r="U122" s="217"/>
      <c r="V122" s="218" t="str">
        <f t="array" ref="V122">angleDecimal2Txt(S122)</f>
        <v>+00°28.00 (+00.4666) [+00°28'00.00]</v>
      </c>
      <c r="W122" s="219"/>
      <c r="X122" s="219"/>
      <c r="Y122" s="219"/>
      <c r="Z122" s="220"/>
    </row>
    <row r="123" spans="2:26" ht="15" customHeight="1" thickTop="1" thickBot="1">
      <c r="O123" s="212" t="s">
        <v>132</v>
      </c>
      <c r="P123" s="213"/>
      <c r="Q123" s="213"/>
      <c r="R123" s="214"/>
      <c r="S123" s="215">
        <f t="array" ref="S123">angleConvert2Decimal(O123)</f>
        <v>0.46666666666666667</v>
      </c>
      <c r="T123" s="216"/>
      <c r="U123" s="217"/>
      <c r="V123" s="218" t="str">
        <f t="array" ref="V123">angleDecimal2Txt(S123)</f>
        <v>+00°28.00 (+00.4666) [+00°28'00.00]</v>
      </c>
      <c r="W123" s="219"/>
      <c r="X123" s="219"/>
      <c r="Y123" s="219"/>
      <c r="Z123" s="220"/>
    </row>
    <row r="124" spans="2:26" ht="15" customHeight="1" thickTop="1" thickBot="1">
      <c r="O124" s="212" t="s">
        <v>132</v>
      </c>
      <c r="P124" s="213"/>
      <c r="Q124" s="213"/>
      <c r="R124" s="214"/>
      <c r="S124" s="215">
        <f t="array" ref="S124">angleConvert2Decimal(O124)</f>
        <v>0.46666666666666667</v>
      </c>
      <c r="T124" s="216"/>
      <c r="U124" s="217"/>
      <c r="V124" s="218" t="str">
        <f t="array" ref="V124">angleDecimal2Txt(S124)</f>
        <v>+00°28.00 (+00.4666) [+00°28'00.00]</v>
      </c>
      <c r="W124" s="219"/>
      <c r="X124" s="219"/>
      <c r="Y124" s="219"/>
      <c r="Z124" s="220"/>
    </row>
    <row r="125" spans="2:26" ht="15" customHeight="1" thickTop="1" thickBot="1">
      <c r="O125" s="212" t="s">
        <v>132</v>
      </c>
      <c r="P125" s="213"/>
      <c r="Q125" s="213"/>
      <c r="R125" s="214"/>
      <c r="S125" s="215">
        <f t="array" ref="S125">angleConvert2Decimal(O125)</f>
        <v>0.46666666666666667</v>
      </c>
      <c r="T125" s="216"/>
      <c r="U125" s="217"/>
      <c r="V125" s="218" t="str">
        <f t="array" ref="V125">angleDecimal2Txt(S125)</f>
        <v>+00°28.00 (+00.4666) [+00°28'00.00]</v>
      </c>
      <c r="W125" s="219"/>
      <c r="X125" s="219"/>
      <c r="Y125" s="219"/>
      <c r="Z125" s="220"/>
    </row>
    <row r="126" spans="2:26" ht="15" customHeight="1" thickTop="1" thickBot="1">
      <c r="O126" s="212" t="s">
        <v>132</v>
      </c>
      <c r="P126" s="213"/>
      <c r="Q126" s="213"/>
      <c r="R126" s="214"/>
      <c r="S126" s="215">
        <f t="array" ref="S126">angleConvert2Decimal(O126)</f>
        <v>0.46666666666666667</v>
      </c>
      <c r="T126" s="216"/>
      <c r="U126" s="217"/>
      <c r="V126" s="218" t="str">
        <f t="array" ref="V126">angleDecimal2Txt(S126)</f>
        <v>+00°28.00 (+00.4666) [+00°28'00.00]</v>
      </c>
      <c r="W126" s="219"/>
      <c r="X126" s="219"/>
      <c r="Y126" s="219"/>
      <c r="Z126" s="220"/>
    </row>
    <row r="127" spans="2:26" ht="15" customHeight="1" thickTop="1" thickBot="1">
      <c r="O127" s="212" t="s">
        <v>132</v>
      </c>
      <c r="P127" s="213"/>
      <c r="Q127" s="213"/>
      <c r="R127" s="214"/>
      <c r="S127" s="215">
        <f t="array" ref="S127">angleConvert2Decimal(O127)</f>
        <v>0.46666666666666667</v>
      </c>
      <c r="T127" s="216"/>
      <c r="U127" s="217"/>
      <c r="V127" s="218" t="str">
        <f t="array" ref="V127">angleDecimal2Txt(S127)</f>
        <v>+00°28.00 (+00.4666) [+00°28'00.00]</v>
      </c>
      <c r="W127" s="219"/>
      <c r="X127" s="219"/>
      <c r="Y127" s="219"/>
      <c r="Z127" s="220"/>
    </row>
    <row r="128" spans="2:26" ht="15" customHeight="1" thickTop="1" thickBot="1">
      <c r="O128" s="212" t="s">
        <v>132</v>
      </c>
      <c r="P128" s="213"/>
      <c r="Q128" s="213"/>
      <c r="R128" s="214"/>
      <c r="S128" s="215">
        <f t="array" ref="S128">angleConvert2Decimal(O128)</f>
        <v>0.46666666666666667</v>
      </c>
      <c r="T128" s="216"/>
      <c r="U128" s="217"/>
      <c r="V128" s="218" t="str">
        <f t="array" ref="V128">angleDecimal2Txt(S128)</f>
        <v>+00°28.00 (+00.4666) [+00°28'00.00]</v>
      </c>
      <c r="W128" s="219"/>
      <c r="X128" s="219"/>
      <c r="Y128" s="219"/>
      <c r="Z128" s="220"/>
    </row>
    <row r="129" spans="2:27" ht="15" customHeight="1" thickTop="1" thickBot="1">
      <c r="B129" s="2" t="s">
        <v>149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2"/>
    </row>
    <row r="130" spans="2:27" ht="15" customHeight="1">
      <c r="C130" s="209" t="s">
        <v>145</v>
      </c>
      <c r="D130" s="62" t="s">
        <v>139</v>
      </c>
      <c r="E130" s="63">
        <v>5</v>
      </c>
      <c r="F130" s="64"/>
      <c r="G130" s="210" t="s">
        <v>147</v>
      </c>
      <c r="H130" s="210"/>
      <c r="I130" s="210"/>
      <c r="J130" s="210"/>
      <c r="L130" s="14" t="s">
        <v>143</v>
      </c>
      <c r="M130" s="14">
        <f>(E131-E133)/(E130-E132)</f>
        <v>4.9616666666666669</v>
      </c>
    </row>
    <row r="131" spans="2:27" ht="15" customHeight="1">
      <c r="C131" s="209"/>
      <c r="D131" s="62" t="s">
        <v>140</v>
      </c>
      <c r="E131" s="63">
        <v>23.23</v>
      </c>
      <c r="F131" s="65" t="s">
        <v>148</v>
      </c>
      <c r="G131" s="62" t="s">
        <v>54</v>
      </c>
      <c r="H131" s="63">
        <v>10.5</v>
      </c>
      <c r="I131" s="66" t="s">
        <v>135</v>
      </c>
      <c r="J131" s="67">
        <f>M130*H131+M131</f>
        <v>50.519166666666671</v>
      </c>
      <c r="L131" s="14" t="s">
        <v>144</v>
      </c>
      <c r="M131" s="14">
        <f>E131-M130*(E130)</f>
        <v>-1.5783333333333331</v>
      </c>
    </row>
    <row r="132" spans="2:27" ht="15" customHeight="1">
      <c r="C132" s="211" t="s">
        <v>146</v>
      </c>
      <c r="D132" s="68" t="s">
        <v>141</v>
      </c>
      <c r="E132" s="63">
        <v>11</v>
      </c>
      <c r="F132" s="64"/>
      <c r="G132" s="64"/>
      <c r="H132" s="64"/>
      <c r="I132" s="64"/>
      <c r="J132" s="64"/>
    </row>
    <row r="133" spans="2:27" ht="15" customHeight="1">
      <c r="C133" s="211"/>
      <c r="D133" s="68" t="s">
        <v>142</v>
      </c>
      <c r="E133" s="63">
        <v>53</v>
      </c>
      <c r="F133" s="64"/>
      <c r="G133" s="64"/>
      <c r="H133" s="64"/>
      <c r="I133" s="64"/>
      <c r="J133" s="64"/>
    </row>
    <row r="135" spans="2:27" ht="15" customHeight="1">
      <c r="C135" s="209" t="s">
        <v>145</v>
      </c>
      <c r="D135" s="62" t="s">
        <v>139</v>
      </c>
      <c r="E135" s="63">
        <v>0</v>
      </c>
      <c r="F135" s="64"/>
      <c r="G135" s="210" t="s">
        <v>147</v>
      </c>
      <c r="H135" s="210"/>
      <c r="I135" s="210"/>
      <c r="J135" s="210"/>
      <c r="L135" s="14" t="s">
        <v>143</v>
      </c>
      <c r="M135" s="14">
        <f>(E136-E138)/(E135-E137)</f>
        <v>1</v>
      </c>
    </row>
    <row r="136" spans="2:27" ht="15" customHeight="1">
      <c r="C136" s="209"/>
      <c r="D136" s="62" t="s">
        <v>140</v>
      </c>
      <c r="E136" s="63">
        <v>0</v>
      </c>
      <c r="F136" s="65" t="s">
        <v>148</v>
      </c>
      <c r="G136" s="62" t="s">
        <v>54</v>
      </c>
      <c r="H136" s="63">
        <v>10.5</v>
      </c>
      <c r="I136" s="66" t="s">
        <v>135</v>
      </c>
      <c r="J136" s="67">
        <f>M135*H136+M136</f>
        <v>10.5</v>
      </c>
      <c r="L136" s="14" t="s">
        <v>144</v>
      </c>
      <c r="M136" s="14">
        <f>E136-M135*(E135)</f>
        <v>0</v>
      </c>
    </row>
    <row r="137" spans="2:27" ht="15" customHeight="1">
      <c r="C137" s="211" t="s">
        <v>146</v>
      </c>
      <c r="D137" s="68" t="s">
        <v>141</v>
      </c>
      <c r="E137" s="63">
        <v>11</v>
      </c>
      <c r="F137" s="64"/>
      <c r="G137" s="64"/>
      <c r="H137" s="64"/>
      <c r="I137" s="64"/>
      <c r="J137" s="64"/>
    </row>
    <row r="138" spans="2:27" ht="15" customHeight="1">
      <c r="C138" s="211"/>
      <c r="D138" s="68" t="s">
        <v>142</v>
      </c>
      <c r="E138" s="63">
        <v>11</v>
      </c>
      <c r="F138" s="64"/>
      <c r="G138" s="64"/>
      <c r="H138" s="64"/>
      <c r="I138" s="64"/>
      <c r="J138" s="64"/>
    </row>
    <row r="140" spans="2:27" ht="15" customHeight="1">
      <c r="C140" s="209" t="s">
        <v>145</v>
      </c>
      <c r="D140" s="62" t="s">
        <v>139</v>
      </c>
      <c r="E140" s="63">
        <v>0</v>
      </c>
      <c r="F140" s="64"/>
      <c r="G140" s="210" t="s">
        <v>147</v>
      </c>
      <c r="H140" s="210"/>
      <c r="I140" s="210"/>
      <c r="J140" s="210"/>
      <c r="L140" s="14" t="s">
        <v>143</v>
      </c>
      <c r="M140" s="14">
        <f>(E141-E143)/(E140-E142)</f>
        <v>-1</v>
      </c>
    </row>
    <row r="141" spans="2:27" ht="15" customHeight="1">
      <c r="C141" s="209"/>
      <c r="D141" s="62" t="s">
        <v>140</v>
      </c>
      <c r="E141" s="63">
        <v>11</v>
      </c>
      <c r="F141" s="65" t="s">
        <v>148</v>
      </c>
      <c r="G141" s="62" t="s">
        <v>54</v>
      </c>
      <c r="H141" s="63">
        <v>10.5</v>
      </c>
      <c r="I141" s="66" t="s">
        <v>135</v>
      </c>
      <c r="J141" s="67">
        <f>M140*H141+M141</f>
        <v>0.5</v>
      </c>
      <c r="L141" s="14" t="s">
        <v>144</v>
      </c>
      <c r="M141" s="14">
        <f>E141-M140*(E140)</f>
        <v>11</v>
      </c>
    </row>
    <row r="142" spans="2:27" ht="15" customHeight="1">
      <c r="C142" s="211" t="s">
        <v>146</v>
      </c>
      <c r="D142" s="68" t="s">
        <v>141</v>
      </c>
      <c r="E142" s="63">
        <v>11</v>
      </c>
      <c r="F142" s="64"/>
      <c r="G142" s="64"/>
      <c r="H142" s="64"/>
      <c r="I142" s="64"/>
      <c r="J142" s="64"/>
    </row>
    <row r="143" spans="2:27" ht="15" customHeight="1">
      <c r="C143" s="211"/>
      <c r="D143" s="68" t="s">
        <v>142</v>
      </c>
      <c r="E143" s="63">
        <v>0</v>
      </c>
      <c r="F143" s="64"/>
      <c r="G143" s="64"/>
      <c r="H143" s="64"/>
      <c r="I143" s="64"/>
      <c r="J143" s="64"/>
    </row>
  </sheetData>
  <mergeCells count="228">
    <mergeCell ref="C109:H109"/>
    <mergeCell ref="I109:K109"/>
    <mergeCell ref="L109:N109"/>
    <mergeCell ref="O109:W109"/>
    <mergeCell ref="C110:H110"/>
    <mergeCell ref="I110:N110"/>
    <mergeCell ref="AG71:AJ71"/>
    <mergeCell ref="A33:B36"/>
    <mergeCell ref="A39:B42"/>
    <mergeCell ref="AG61:AH61"/>
    <mergeCell ref="AI61:AJ61"/>
    <mergeCell ref="AG64:AH64"/>
    <mergeCell ref="AG65:AH65"/>
    <mergeCell ref="I60:K61"/>
    <mergeCell ref="L60:S61"/>
    <mergeCell ref="U60:X61"/>
    <mergeCell ref="C33:C36"/>
    <mergeCell ref="N41:W42"/>
    <mergeCell ref="AG67:AH67"/>
    <mergeCell ref="AI64:AJ64"/>
    <mergeCell ref="AI65:AJ65"/>
    <mergeCell ref="AI67:AJ67"/>
    <mergeCell ref="AG69:AJ69"/>
    <mergeCell ref="AG70:AJ70"/>
    <mergeCell ref="AG66:AH66"/>
    <mergeCell ref="AI66:AJ66"/>
    <mergeCell ref="AG68:AJ68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W22:X22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C115:E115"/>
    <mergeCell ref="F115:H115"/>
    <mergeCell ref="I115:M115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75:C80"/>
    <mergeCell ref="G84:O85"/>
    <mergeCell ref="C116:E116"/>
    <mergeCell ref="F116:H116"/>
    <mergeCell ref="I116:M116"/>
    <mergeCell ref="C117:E117"/>
    <mergeCell ref="F117:H117"/>
    <mergeCell ref="I117:M117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21:E121"/>
    <mergeCell ref="F121:H121"/>
    <mergeCell ref="I121:M121"/>
    <mergeCell ref="C122:E122"/>
    <mergeCell ref="F122:H122"/>
    <mergeCell ref="I122:M122"/>
    <mergeCell ref="C118:E118"/>
    <mergeCell ref="F118:H118"/>
    <mergeCell ref="I118:M118"/>
    <mergeCell ref="C119:E119"/>
    <mergeCell ref="F119:H119"/>
    <mergeCell ref="I119:M119"/>
    <mergeCell ref="C120:E120"/>
    <mergeCell ref="F120:H120"/>
    <mergeCell ref="I120:M120"/>
    <mergeCell ref="O116:R116"/>
    <mergeCell ref="S116:U116"/>
    <mergeCell ref="V116:Z116"/>
    <mergeCell ref="O117:R117"/>
    <mergeCell ref="S117:U117"/>
    <mergeCell ref="V117:Z117"/>
    <mergeCell ref="O115:R115"/>
    <mergeCell ref="S115:U115"/>
    <mergeCell ref="V115:Z115"/>
    <mergeCell ref="O118:R118"/>
    <mergeCell ref="S118:U118"/>
    <mergeCell ref="V118:Z118"/>
    <mergeCell ref="O119:R119"/>
    <mergeCell ref="S119:U119"/>
    <mergeCell ref="V119:Z119"/>
    <mergeCell ref="O120:R120"/>
    <mergeCell ref="S120:U120"/>
    <mergeCell ref="V120:Z120"/>
    <mergeCell ref="O121:R121"/>
    <mergeCell ref="S121:U121"/>
    <mergeCell ref="V121:Z121"/>
    <mergeCell ref="O122:R122"/>
    <mergeCell ref="S122:U122"/>
    <mergeCell ref="V122:Z122"/>
    <mergeCell ref="O123:R123"/>
    <mergeCell ref="S123:U123"/>
    <mergeCell ref="V123:Z123"/>
    <mergeCell ref="O124:R124"/>
    <mergeCell ref="S124:U124"/>
    <mergeCell ref="V124:Z124"/>
    <mergeCell ref="O125:R125"/>
    <mergeCell ref="S125:U125"/>
    <mergeCell ref="V125:Z125"/>
    <mergeCell ref="C130:C131"/>
    <mergeCell ref="C132:C133"/>
    <mergeCell ref="G130:J130"/>
    <mergeCell ref="C135:C136"/>
    <mergeCell ref="G135:J135"/>
    <mergeCell ref="C137:C138"/>
    <mergeCell ref="C140:C141"/>
    <mergeCell ref="G140:J140"/>
    <mergeCell ref="C142:C143"/>
    <mergeCell ref="O126:R126"/>
    <mergeCell ref="S126:U126"/>
    <mergeCell ref="V126:Z126"/>
    <mergeCell ref="O127:R127"/>
    <mergeCell ref="S127:U127"/>
    <mergeCell ref="V127:Z127"/>
    <mergeCell ref="O128:R128"/>
    <mergeCell ref="S128:U128"/>
    <mergeCell ref="V128:Z128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hyperlinks>
    <hyperlink ref="AC60" r:id="rId1" xr:uid="{66EF4C7A-740D-46AA-8EA2-60F2D51408A9}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2B494-0661-48B6-839C-56D732EEC1B7}">
  <sheetPr codeName="Sheet8"/>
  <dimension ref="A1:AY90"/>
  <sheetViews>
    <sheetView showGridLines="0" zoomScale="120" zoomScaleNormal="120" workbookViewId="0">
      <selection activeCell="BF10" sqref="BF10"/>
    </sheetView>
  </sheetViews>
  <sheetFormatPr defaultColWidth="9.140625" defaultRowHeight="15"/>
  <cols>
    <col min="1" max="2" width="9.140625" style="160"/>
    <col min="3" max="3" width="3.85546875" style="160" customWidth="1"/>
    <col min="4" max="4" width="2.140625" style="160" customWidth="1"/>
    <col min="5" max="5" width="0.7109375" style="160" customWidth="1"/>
    <col min="6" max="49" width="1.5703125" style="160" customWidth="1"/>
    <col min="50" max="50" width="2" style="160" customWidth="1"/>
    <col min="51" max="51" width="2.140625" style="160" customWidth="1"/>
    <col min="52" max="16384" width="9.140625" style="160"/>
  </cols>
  <sheetData>
    <row r="1" spans="1:51" ht="15" customHeight="1">
      <c r="C1" s="368" t="s">
        <v>521</v>
      </c>
      <c r="D1" s="368"/>
      <c r="E1" s="368"/>
      <c r="F1" s="368"/>
      <c r="G1" s="368"/>
      <c r="H1" s="368"/>
      <c r="I1" s="368"/>
      <c r="J1" s="368"/>
      <c r="K1" s="368"/>
      <c r="L1" s="368"/>
      <c r="M1" s="368"/>
      <c r="N1" s="368"/>
      <c r="O1" s="368"/>
      <c r="P1" s="368"/>
      <c r="Q1" s="368"/>
      <c r="R1" s="368"/>
      <c r="S1" s="368"/>
      <c r="T1" s="368"/>
      <c r="U1" s="368"/>
      <c r="V1" s="368"/>
      <c r="W1" s="368"/>
      <c r="X1" s="368"/>
      <c r="Y1" s="368"/>
      <c r="Z1" s="368"/>
      <c r="AA1" s="368"/>
      <c r="AB1" s="368"/>
      <c r="AC1" s="368"/>
      <c r="AD1" s="368"/>
      <c r="AE1" s="368"/>
      <c r="AF1" s="368"/>
      <c r="AG1" s="368"/>
      <c r="AH1" s="368"/>
      <c r="AI1" s="368"/>
      <c r="AJ1" s="368"/>
      <c r="AK1" s="368"/>
      <c r="AL1" s="368"/>
      <c r="AM1" s="368"/>
      <c r="AN1" s="368"/>
      <c r="AO1" s="368"/>
      <c r="AP1" s="368"/>
      <c r="AQ1" s="368"/>
      <c r="AR1" s="368"/>
      <c r="AS1" s="368"/>
      <c r="AT1" s="368"/>
      <c r="AU1" s="368"/>
      <c r="AV1" s="368"/>
      <c r="AW1" s="368"/>
      <c r="AX1" s="368"/>
      <c r="AY1"/>
    </row>
    <row r="2" spans="1:51" ht="15" customHeight="1"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8"/>
      <c r="S2" s="368"/>
      <c r="T2" s="368"/>
      <c r="U2" s="368"/>
      <c r="V2" s="368"/>
      <c r="W2" s="368"/>
      <c r="X2" s="368"/>
      <c r="Y2" s="368"/>
      <c r="Z2" s="368"/>
      <c r="AA2" s="368"/>
      <c r="AB2" s="368"/>
      <c r="AC2" s="368"/>
      <c r="AD2" s="368"/>
      <c r="AE2" s="368"/>
      <c r="AF2" s="368"/>
      <c r="AG2" s="368"/>
      <c r="AH2" s="368"/>
      <c r="AI2" s="368"/>
      <c r="AJ2" s="368"/>
      <c r="AK2" s="368"/>
      <c r="AL2" s="368"/>
      <c r="AM2" s="368"/>
      <c r="AN2" s="368"/>
      <c r="AO2" s="368"/>
      <c r="AP2" s="368"/>
      <c r="AQ2" s="368"/>
      <c r="AR2" s="368"/>
      <c r="AS2" s="368"/>
      <c r="AT2" s="368"/>
      <c r="AU2" s="368"/>
      <c r="AV2" s="368"/>
      <c r="AW2" s="368"/>
      <c r="AX2" s="368"/>
      <c r="AY2"/>
    </row>
    <row r="3" spans="1:51" ht="7.5" hidden="1" customHeight="1">
      <c r="F3" s="160">
        <v>11</v>
      </c>
      <c r="H3" s="160">
        <v>10</v>
      </c>
      <c r="J3" s="160">
        <f>H3-1</f>
        <v>9</v>
      </c>
      <c r="L3" s="160">
        <f>J3-1</f>
        <v>8</v>
      </c>
      <c r="N3" s="160">
        <f>L3-1</f>
        <v>7</v>
      </c>
      <c r="P3" s="160">
        <f>N3-1</f>
        <v>6</v>
      </c>
      <c r="R3" s="160">
        <f>P3-1</f>
        <v>5</v>
      </c>
      <c r="T3" s="160">
        <f>R3-1</f>
        <v>4</v>
      </c>
      <c r="V3" s="160">
        <f>T3-1</f>
        <v>3</v>
      </c>
      <c r="X3" s="160">
        <f>V3-1</f>
        <v>2</v>
      </c>
      <c r="Z3" s="160">
        <f>X3-1</f>
        <v>1</v>
      </c>
      <c r="AB3" s="160">
        <v>0</v>
      </c>
      <c r="AD3" s="160">
        <v>1</v>
      </c>
      <c r="AF3" s="160">
        <f>AD3+1</f>
        <v>2</v>
      </c>
      <c r="AH3" s="160">
        <f>AF3+1</f>
        <v>3</v>
      </c>
      <c r="AJ3" s="160">
        <f>AH3+1</f>
        <v>4</v>
      </c>
      <c r="AL3" s="160">
        <f>AJ3+1</f>
        <v>5</v>
      </c>
      <c r="AN3" s="160">
        <f>AL3+1</f>
        <v>6</v>
      </c>
      <c r="AP3" s="160">
        <f>AN3+1</f>
        <v>7</v>
      </c>
      <c r="AR3" s="160">
        <f>AP3+1</f>
        <v>8</v>
      </c>
      <c r="AT3" s="160">
        <f>AR3+1</f>
        <v>9</v>
      </c>
      <c r="AV3" s="160">
        <v>10</v>
      </c>
      <c r="AW3" s="160">
        <v>11</v>
      </c>
      <c r="AX3" s="160">
        <v>11</v>
      </c>
      <c r="AY3" s="160">
        <f>AT3+1</f>
        <v>10</v>
      </c>
    </row>
    <row r="4" spans="1:51" ht="6" customHeight="1"/>
    <row r="5" spans="1:51" ht="6" customHeight="1">
      <c r="C5" s="167"/>
      <c r="D5" s="168"/>
      <c r="E5" s="168"/>
      <c r="F5" s="168"/>
      <c r="G5" s="372" t="str">
        <f>CONCATENATE("-",H3,"°")</f>
        <v>-10°</v>
      </c>
      <c r="H5" s="372"/>
      <c r="I5" s="169"/>
      <c r="J5" s="169"/>
      <c r="K5" s="169"/>
      <c r="L5" s="169"/>
      <c r="M5" s="169"/>
      <c r="N5" s="169"/>
      <c r="O5" s="169"/>
      <c r="P5" s="169"/>
      <c r="Q5" s="369" t="str">
        <f>CONCATENATE("-",R3,"°")</f>
        <v>-5°</v>
      </c>
      <c r="R5" s="369"/>
      <c r="S5" s="169"/>
      <c r="T5" s="169"/>
      <c r="U5" s="169"/>
      <c r="V5" s="169"/>
      <c r="W5" s="380"/>
      <c r="X5" s="380"/>
      <c r="Y5" s="169"/>
      <c r="Z5" s="169"/>
      <c r="AA5" s="369" t="str">
        <f>CONCATENATE(AB3,"°")</f>
        <v>0°</v>
      </c>
      <c r="AB5" s="369"/>
      <c r="AC5" s="169"/>
      <c r="AD5" s="169"/>
      <c r="AE5" s="379"/>
      <c r="AF5" s="379"/>
      <c r="AG5" s="169"/>
      <c r="AH5" s="169"/>
      <c r="AI5" s="169"/>
      <c r="AJ5" s="169"/>
      <c r="AK5" s="369" t="str">
        <f>CONCATENATE(AL3,"°")</f>
        <v>5°</v>
      </c>
      <c r="AL5" s="369"/>
      <c r="AM5" s="169"/>
      <c r="AN5" s="169"/>
      <c r="AO5" s="169"/>
      <c r="AP5" s="169"/>
      <c r="AQ5" s="169"/>
      <c r="AR5" s="169"/>
      <c r="AS5" s="169"/>
      <c r="AT5" s="169"/>
      <c r="AU5" s="369" t="str">
        <f>CONCATENATE(AV3,"°")</f>
        <v>10°</v>
      </c>
      <c r="AV5" s="369"/>
      <c r="AW5" s="169"/>
      <c r="AX5" s="168"/>
      <c r="AY5" s="168"/>
    </row>
    <row r="6" spans="1:51" ht="15.75" customHeight="1">
      <c r="C6" s="167"/>
      <c r="D6" s="168"/>
      <c r="E6" s="374" t="str">
        <f>CONCATENATE("-",F3,"°")</f>
        <v>-11°</v>
      </c>
      <c r="F6" s="374"/>
      <c r="G6" s="372"/>
      <c r="H6" s="372"/>
      <c r="I6" s="373" t="str">
        <f>CONCATENATE("-",J3,"°")</f>
        <v>-9°</v>
      </c>
      <c r="J6" s="373"/>
      <c r="K6" s="373" t="str">
        <f>CONCATENATE("-",L3,"°")</f>
        <v>-8°</v>
      </c>
      <c r="L6" s="373"/>
      <c r="M6" s="373" t="str">
        <f>CONCATENATE("-",N3,"°")</f>
        <v>-7°</v>
      </c>
      <c r="N6" s="373"/>
      <c r="O6" s="373" t="str">
        <f>CONCATENATE("-",P3,"°")</f>
        <v>-6°</v>
      </c>
      <c r="P6" s="373"/>
      <c r="Q6" s="369"/>
      <c r="R6" s="369"/>
      <c r="S6" s="373" t="str">
        <f>CONCATENATE("-",T3,"°")</f>
        <v>-4°</v>
      </c>
      <c r="T6" s="373"/>
      <c r="U6" s="373" t="str">
        <f>CONCATENATE("-",V3,"°")</f>
        <v>-3°</v>
      </c>
      <c r="V6" s="373"/>
      <c r="W6" s="373" t="str">
        <f>CONCATENATE("-",X3,"°")</f>
        <v>-2°</v>
      </c>
      <c r="X6" s="373"/>
      <c r="Y6" s="373" t="str">
        <f>CONCATENATE("-",Z3,"°")</f>
        <v>-1°</v>
      </c>
      <c r="Z6" s="373"/>
      <c r="AA6" s="369"/>
      <c r="AB6" s="369"/>
      <c r="AC6" s="373" t="str">
        <f>CONCATENATE(AD3,"°")</f>
        <v>1°</v>
      </c>
      <c r="AD6" s="373"/>
      <c r="AE6" s="373" t="str">
        <f>CONCATENATE(AF3,"°")</f>
        <v>2°</v>
      </c>
      <c r="AF6" s="373"/>
      <c r="AG6" s="373" t="str">
        <f>CONCATENATE(AH3,"°")</f>
        <v>3°</v>
      </c>
      <c r="AH6" s="373"/>
      <c r="AI6" s="373" t="str">
        <f>CONCATENATE(AJ3,"°")</f>
        <v>4°</v>
      </c>
      <c r="AJ6" s="373"/>
      <c r="AK6" s="369"/>
      <c r="AL6" s="369"/>
      <c r="AM6" s="373" t="str">
        <f>CONCATENATE(AN3,"°")</f>
        <v>6°</v>
      </c>
      <c r="AN6" s="373"/>
      <c r="AO6" s="373" t="str">
        <f>CONCATENATE(AP3,"°")</f>
        <v>7°</v>
      </c>
      <c r="AP6" s="373"/>
      <c r="AQ6" s="373" t="str">
        <f>CONCATENATE(AR3,"°")</f>
        <v>8°</v>
      </c>
      <c r="AR6" s="373"/>
      <c r="AS6" s="373" t="str">
        <f>CONCATENATE(AT3,"°")</f>
        <v>9°</v>
      </c>
      <c r="AT6" s="373"/>
      <c r="AU6" s="369"/>
      <c r="AV6" s="369"/>
      <c r="AW6" s="373" t="str">
        <f>CONCATENATE(AX3,"°")</f>
        <v>11°</v>
      </c>
      <c r="AX6" s="373"/>
      <c r="AY6" s="168"/>
    </row>
    <row r="7" spans="1:51" ht="6" customHeight="1">
      <c r="C7" s="167"/>
      <c r="D7" s="167"/>
      <c r="E7" s="167"/>
      <c r="F7" s="370"/>
      <c r="G7" s="375"/>
      <c r="H7" s="371"/>
      <c r="I7" s="370"/>
      <c r="J7" s="370"/>
      <c r="K7" s="370"/>
      <c r="L7" s="370"/>
      <c r="M7" s="370"/>
      <c r="N7" s="370"/>
      <c r="O7" s="370"/>
      <c r="P7" s="370"/>
      <c r="Q7" s="375"/>
      <c r="R7" s="381"/>
      <c r="S7" s="382"/>
      <c r="T7" s="370"/>
      <c r="U7" s="370"/>
      <c r="V7" s="370"/>
      <c r="W7" s="370"/>
      <c r="X7" s="370"/>
      <c r="Y7" s="370"/>
      <c r="Z7" s="370"/>
      <c r="AA7" s="370"/>
      <c r="AB7" s="371"/>
      <c r="AC7" s="370"/>
      <c r="AD7" s="370"/>
      <c r="AE7" s="370"/>
      <c r="AF7" s="370"/>
      <c r="AG7" s="370"/>
      <c r="AH7" s="370"/>
      <c r="AI7" s="370"/>
      <c r="AJ7" s="370"/>
      <c r="AK7" s="370"/>
      <c r="AL7" s="371"/>
      <c r="AM7" s="370"/>
      <c r="AN7" s="370"/>
      <c r="AO7" s="370"/>
      <c r="AP7" s="370"/>
      <c r="AQ7" s="370"/>
      <c r="AR7" s="370"/>
      <c r="AS7" s="370"/>
      <c r="AT7" s="370"/>
      <c r="AU7" s="370"/>
      <c r="AV7" s="371"/>
      <c r="AW7" s="370"/>
      <c r="AX7" s="170"/>
      <c r="AY7" s="167"/>
    </row>
    <row r="8" spans="1:51" ht="6" customHeight="1">
      <c r="A8" s="160">
        <v>20</v>
      </c>
      <c r="B8" s="160">
        <v>0</v>
      </c>
      <c r="C8" s="378" t="str">
        <f>CONCATENATE(B8,"°")</f>
        <v>0°</v>
      </c>
      <c r="D8" s="378"/>
      <c r="E8" s="166"/>
      <c r="F8" s="370"/>
      <c r="G8" s="375"/>
      <c r="H8" s="371"/>
      <c r="I8" s="370"/>
      <c r="J8" s="370"/>
      <c r="K8" s="370"/>
      <c r="L8" s="370"/>
      <c r="M8" s="370"/>
      <c r="N8" s="370"/>
      <c r="O8" s="370"/>
      <c r="P8" s="370"/>
      <c r="Q8" s="375"/>
      <c r="R8" s="381"/>
      <c r="S8" s="382"/>
      <c r="T8" s="370"/>
      <c r="U8" s="370"/>
      <c r="V8" s="370"/>
      <c r="W8" s="370"/>
      <c r="X8" s="370"/>
      <c r="Y8" s="370"/>
      <c r="Z8" s="370"/>
      <c r="AA8" s="370"/>
      <c r="AB8" s="371"/>
      <c r="AC8" s="370"/>
      <c r="AD8" s="370"/>
      <c r="AE8" s="370"/>
      <c r="AF8" s="370"/>
      <c r="AG8" s="370"/>
      <c r="AH8" s="370"/>
      <c r="AI8" s="370"/>
      <c r="AJ8" s="370"/>
      <c r="AK8" s="370"/>
      <c r="AL8" s="371"/>
      <c r="AM8" s="370"/>
      <c r="AN8" s="370"/>
      <c r="AO8" s="370"/>
      <c r="AP8" s="370"/>
      <c r="AQ8" s="370"/>
      <c r="AR8" s="370"/>
      <c r="AS8" s="370"/>
      <c r="AT8" s="370"/>
      <c r="AU8" s="370"/>
      <c r="AV8" s="371"/>
      <c r="AW8" s="370"/>
      <c r="AX8" s="170"/>
      <c r="AY8" s="167"/>
    </row>
    <row r="9" spans="1:51" ht="15" customHeight="1">
      <c r="C9" s="378"/>
      <c r="D9" s="378"/>
      <c r="E9" s="166"/>
      <c r="F9" s="183"/>
      <c r="G9" s="184"/>
      <c r="H9" s="192"/>
      <c r="I9" s="184"/>
      <c r="J9" s="200"/>
      <c r="K9" s="183"/>
      <c r="L9" s="200"/>
      <c r="M9" s="183"/>
      <c r="N9" s="200"/>
      <c r="O9" s="183"/>
      <c r="P9" s="200"/>
      <c r="Q9" s="184"/>
      <c r="R9" s="192"/>
      <c r="S9" s="183"/>
      <c r="T9" s="200"/>
      <c r="U9" s="183"/>
      <c r="V9" s="200"/>
      <c r="W9" s="183"/>
      <c r="X9" s="200"/>
      <c r="Y9" s="183"/>
      <c r="Z9" s="200"/>
      <c r="AA9" s="184"/>
      <c r="AB9" s="192"/>
      <c r="AC9" s="183"/>
      <c r="AD9" s="200"/>
      <c r="AE9" s="183"/>
      <c r="AF9" s="200"/>
      <c r="AG9" s="183"/>
      <c r="AH9" s="200"/>
      <c r="AI9" s="183"/>
      <c r="AJ9" s="200"/>
      <c r="AK9" s="184"/>
      <c r="AL9" s="192"/>
      <c r="AM9" s="183"/>
      <c r="AN9" s="200"/>
      <c r="AO9" s="183"/>
      <c r="AP9" s="200"/>
      <c r="AQ9" s="183"/>
      <c r="AR9" s="200"/>
      <c r="AS9" s="183"/>
      <c r="AT9" s="200"/>
      <c r="AU9" s="184"/>
      <c r="AV9" s="192"/>
      <c r="AW9" s="183"/>
      <c r="AX9" s="170"/>
      <c r="AY9" s="167"/>
    </row>
    <row r="10" spans="1:51" ht="15" customHeight="1">
      <c r="B10" s="160">
        <f>B8+$A$8</f>
        <v>20</v>
      </c>
      <c r="C10" s="378" t="str">
        <f>CONCATENATE(B10,"°")</f>
        <v>20°</v>
      </c>
      <c r="D10" s="378"/>
      <c r="E10" s="166"/>
      <c r="F10" s="179"/>
      <c r="G10" s="185"/>
      <c r="H10" s="193"/>
      <c r="I10" s="185"/>
      <c r="J10" s="201"/>
      <c r="K10" s="179"/>
      <c r="L10" s="201"/>
      <c r="M10" s="179"/>
      <c r="N10" s="201"/>
      <c r="O10" s="179"/>
      <c r="P10" s="201"/>
      <c r="Q10" s="185"/>
      <c r="R10" s="193"/>
      <c r="S10" s="179"/>
      <c r="T10" s="201"/>
      <c r="U10" s="179"/>
      <c r="V10" s="201"/>
      <c r="W10" s="179"/>
      <c r="X10" s="201"/>
      <c r="Y10" s="179"/>
      <c r="Z10" s="201"/>
      <c r="AA10" s="185"/>
      <c r="AB10" s="193"/>
      <c r="AC10" s="179"/>
      <c r="AD10" s="201"/>
      <c r="AE10" s="179"/>
      <c r="AF10" s="201"/>
      <c r="AG10" s="179"/>
      <c r="AH10" s="201"/>
      <c r="AI10" s="179"/>
      <c r="AJ10" s="201"/>
      <c r="AK10" s="185"/>
      <c r="AL10" s="193"/>
      <c r="AM10" s="179"/>
      <c r="AN10" s="201"/>
      <c r="AO10" s="179"/>
      <c r="AP10" s="201"/>
      <c r="AQ10" s="179"/>
      <c r="AR10" s="201"/>
      <c r="AS10" s="179"/>
      <c r="AT10" s="201"/>
      <c r="AU10" s="185"/>
      <c r="AV10" s="193"/>
      <c r="AW10" s="179"/>
      <c r="AX10" s="170"/>
      <c r="AY10" s="167"/>
    </row>
    <row r="11" spans="1:51" ht="15" customHeight="1">
      <c r="C11" s="378"/>
      <c r="D11" s="378"/>
      <c r="E11" s="166"/>
      <c r="F11" s="177"/>
      <c r="G11" s="186"/>
      <c r="H11" s="194"/>
      <c r="I11" s="186"/>
      <c r="J11" s="202"/>
      <c r="K11" s="177"/>
      <c r="L11" s="202"/>
      <c r="M11" s="177"/>
      <c r="N11" s="202"/>
      <c r="O11" s="177"/>
      <c r="P11" s="202"/>
      <c r="Q11" s="186"/>
      <c r="R11" s="194"/>
      <c r="S11" s="177"/>
      <c r="T11" s="202"/>
      <c r="U11" s="177"/>
      <c r="V11" s="202"/>
      <c r="W11" s="177"/>
      <c r="X11" s="202"/>
      <c r="Y11" s="177"/>
      <c r="Z11" s="202"/>
      <c r="AA11" s="186"/>
      <c r="AB11" s="194"/>
      <c r="AC11" s="177"/>
      <c r="AD11" s="202"/>
      <c r="AE11" s="177"/>
      <c r="AF11" s="202"/>
      <c r="AG11" s="177"/>
      <c r="AH11" s="202"/>
      <c r="AI11" s="177"/>
      <c r="AJ11" s="202"/>
      <c r="AK11" s="186"/>
      <c r="AL11" s="194"/>
      <c r="AM11" s="177"/>
      <c r="AN11" s="202"/>
      <c r="AO11" s="177"/>
      <c r="AP11" s="202"/>
      <c r="AQ11" s="177"/>
      <c r="AR11" s="202"/>
      <c r="AS11" s="177"/>
      <c r="AT11" s="202"/>
      <c r="AU11" s="186"/>
      <c r="AV11" s="194"/>
      <c r="AW11" s="177"/>
      <c r="AX11" s="170"/>
      <c r="AY11" s="167"/>
    </row>
    <row r="12" spans="1:51" ht="15" customHeight="1">
      <c r="B12" s="160">
        <f>B10+$A$8</f>
        <v>40</v>
      </c>
      <c r="C12" s="378" t="str">
        <f>CONCATENATE(B12,"°")</f>
        <v>40°</v>
      </c>
      <c r="D12" s="378"/>
      <c r="E12" s="166"/>
      <c r="F12" s="180"/>
      <c r="G12" s="187"/>
      <c r="H12" s="195"/>
      <c r="I12" s="187"/>
      <c r="J12" s="203"/>
      <c r="K12" s="180"/>
      <c r="L12" s="203"/>
      <c r="M12" s="180"/>
      <c r="N12" s="203"/>
      <c r="O12" s="180"/>
      <c r="P12" s="203"/>
      <c r="Q12" s="187"/>
      <c r="R12" s="195"/>
      <c r="S12" s="180"/>
      <c r="T12" s="203"/>
      <c r="U12" s="180"/>
      <c r="V12" s="203"/>
      <c r="W12" s="180"/>
      <c r="X12" s="203"/>
      <c r="Y12" s="180"/>
      <c r="Z12" s="203"/>
      <c r="AA12" s="187"/>
      <c r="AB12" s="195"/>
      <c r="AC12" s="180"/>
      <c r="AD12" s="203"/>
      <c r="AE12" s="180"/>
      <c r="AF12" s="203"/>
      <c r="AG12" s="180"/>
      <c r="AH12" s="203"/>
      <c r="AI12" s="180"/>
      <c r="AJ12" s="203"/>
      <c r="AK12" s="187"/>
      <c r="AL12" s="195"/>
      <c r="AM12" s="180"/>
      <c r="AN12" s="203"/>
      <c r="AO12" s="180"/>
      <c r="AP12" s="203"/>
      <c r="AQ12" s="180"/>
      <c r="AR12" s="203"/>
      <c r="AS12" s="180"/>
      <c r="AT12" s="203"/>
      <c r="AU12" s="187"/>
      <c r="AV12" s="195"/>
      <c r="AW12" s="180"/>
      <c r="AX12" s="170"/>
      <c r="AY12" s="167"/>
    </row>
    <row r="13" spans="1:51" ht="15" customHeight="1">
      <c r="C13" s="378"/>
      <c r="D13" s="378"/>
      <c r="E13" s="166"/>
      <c r="F13" s="178"/>
      <c r="G13" s="188"/>
      <c r="H13" s="196"/>
      <c r="I13" s="188"/>
      <c r="J13" s="204"/>
      <c r="K13" s="178"/>
      <c r="L13" s="204"/>
      <c r="M13" s="178"/>
      <c r="N13" s="204"/>
      <c r="O13" s="178"/>
      <c r="P13" s="204"/>
      <c r="Q13" s="188"/>
      <c r="R13" s="196"/>
      <c r="S13" s="178"/>
      <c r="T13" s="204"/>
      <c r="U13" s="178"/>
      <c r="V13" s="204"/>
      <c r="W13" s="178"/>
      <c r="X13" s="204"/>
      <c r="Y13" s="178"/>
      <c r="Z13" s="204"/>
      <c r="AA13" s="188"/>
      <c r="AB13" s="196"/>
      <c r="AC13" s="178"/>
      <c r="AD13" s="204"/>
      <c r="AE13" s="178"/>
      <c r="AF13" s="204"/>
      <c r="AG13" s="178"/>
      <c r="AH13" s="204"/>
      <c r="AI13" s="178"/>
      <c r="AJ13" s="204"/>
      <c r="AK13" s="188"/>
      <c r="AL13" s="196"/>
      <c r="AM13" s="178"/>
      <c r="AN13" s="204"/>
      <c r="AO13" s="178"/>
      <c r="AP13" s="204"/>
      <c r="AQ13" s="178"/>
      <c r="AR13" s="204"/>
      <c r="AS13" s="178"/>
      <c r="AT13" s="204"/>
      <c r="AU13" s="188"/>
      <c r="AV13" s="196"/>
      <c r="AW13" s="178"/>
      <c r="AX13" s="170"/>
      <c r="AY13" s="167"/>
    </row>
    <row r="14" spans="1:51" ht="15" customHeight="1">
      <c r="B14" s="160">
        <f>B12+$A$8</f>
        <v>60</v>
      </c>
      <c r="C14" s="378" t="str">
        <f>CONCATENATE(B14,"°")</f>
        <v>60°</v>
      </c>
      <c r="D14" s="378"/>
      <c r="E14" s="166"/>
      <c r="F14" s="179"/>
      <c r="G14" s="185"/>
      <c r="H14" s="193"/>
      <c r="I14" s="185"/>
      <c r="J14" s="201"/>
      <c r="K14" s="179"/>
      <c r="L14" s="201"/>
      <c r="M14" s="179"/>
      <c r="N14" s="201"/>
      <c r="O14" s="179"/>
      <c r="P14" s="201"/>
      <c r="Q14" s="185"/>
      <c r="R14" s="193"/>
      <c r="S14" s="179"/>
      <c r="T14" s="201"/>
      <c r="U14" s="179"/>
      <c r="V14" s="201"/>
      <c r="W14" s="179"/>
      <c r="X14" s="201"/>
      <c r="Y14" s="179"/>
      <c r="Z14" s="201"/>
      <c r="AA14" s="185"/>
      <c r="AB14" s="193"/>
      <c r="AC14" s="179"/>
      <c r="AD14" s="201"/>
      <c r="AE14" s="179"/>
      <c r="AF14" s="201"/>
      <c r="AG14" s="179"/>
      <c r="AH14" s="201"/>
      <c r="AI14" s="179"/>
      <c r="AJ14" s="201"/>
      <c r="AK14" s="185"/>
      <c r="AL14" s="193"/>
      <c r="AM14" s="179"/>
      <c r="AN14" s="201"/>
      <c r="AO14" s="179"/>
      <c r="AP14" s="201"/>
      <c r="AQ14" s="179"/>
      <c r="AR14" s="201"/>
      <c r="AS14" s="179"/>
      <c r="AT14" s="201"/>
      <c r="AU14" s="185"/>
      <c r="AV14" s="193"/>
      <c r="AW14" s="179"/>
      <c r="AX14" s="170"/>
      <c r="AY14" s="167"/>
    </row>
    <row r="15" spans="1:51" ht="15" customHeight="1">
      <c r="C15" s="378"/>
      <c r="D15" s="378"/>
      <c r="E15" s="166"/>
      <c r="F15" s="177"/>
      <c r="G15" s="186"/>
      <c r="H15" s="194"/>
      <c r="I15" s="186"/>
      <c r="J15" s="202"/>
      <c r="K15" s="177"/>
      <c r="L15" s="202"/>
      <c r="M15" s="177"/>
      <c r="N15" s="202"/>
      <c r="O15" s="177"/>
      <c r="P15" s="202"/>
      <c r="Q15" s="186"/>
      <c r="R15" s="194"/>
      <c r="S15" s="177"/>
      <c r="T15" s="202"/>
      <c r="U15" s="177"/>
      <c r="V15" s="202"/>
      <c r="W15" s="177"/>
      <c r="X15" s="202"/>
      <c r="Y15" s="177"/>
      <c r="Z15" s="202"/>
      <c r="AA15" s="186"/>
      <c r="AB15" s="194"/>
      <c r="AC15" s="177"/>
      <c r="AD15" s="202"/>
      <c r="AE15" s="177"/>
      <c r="AF15" s="202"/>
      <c r="AG15" s="177"/>
      <c r="AH15" s="202"/>
      <c r="AI15" s="177"/>
      <c r="AJ15" s="202"/>
      <c r="AK15" s="186"/>
      <c r="AL15" s="194"/>
      <c r="AM15" s="177"/>
      <c r="AN15" s="202"/>
      <c r="AO15" s="177"/>
      <c r="AP15" s="202"/>
      <c r="AQ15" s="177"/>
      <c r="AR15" s="202"/>
      <c r="AS15" s="177"/>
      <c r="AT15" s="202"/>
      <c r="AU15" s="186"/>
      <c r="AV15" s="194"/>
      <c r="AW15" s="177"/>
      <c r="AX15" s="170"/>
      <c r="AY15" s="167"/>
    </row>
    <row r="16" spans="1:51" ht="15" customHeight="1">
      <c r="B16" s="160">
        <f>B14+$A$8</f>
        <v>80</v>
      </c>
      <c r="C16" s="378" t="str">
        <f>CONCATENATE(B16,"°")</f>
        <v>80°</v>
      </c>
      <c r="D16" s="378"/>
      <c r="E16" s="166"/>
      <c r="F16" s="176"/>
      <c r="G16" s="189"/>
      <c r="H16" s="197"/>
      <c r="I16" s="189"/>
      <c r="J16" s="205"/>
      <c r="K16" s="176"/>
      <c r="L16" s="205"/>
      <c r="M16" s="176"/>
      <c r="N16" s="205"/>
      <c r="O16" s="176"/>
      <c r="P16" s="205"/>
      <c r="Q16" s="189"/>
      <c r="R16" s="197"/>
      <c r="S16" s="176"/>
      <c r="T16" s="205"/>
      <c r="U16" s="176"/>
      <c r="V16" s="205"/>
      <c r="W16" s="176"/>
      <c r="X16" s="205"/>
      <c r="Y16" s="176"/>
      <c r="Z16" s="205"/>
      <c r="AA16" s="189"/>
      <c r="AB16" s="197"/>
      <c r="AC16" s="176"/>
      <c r="AD16" s="205"/>
      <c r="AE16" s="176"/>
      <c r="AF16" s="205"/>
      <c r="AG16" s="176"/>
      <c r="AH16" s="205"/>
      <c r="AI16" s="176"/>
      <c r="AJ16" s="205"/>
      <c r="AK16" s="189"/>
      <c r="AL16" s="197"/>
      <c r="AM16" s="176"/>
      <c r="AN16" s="205"/>
      <c r="AO16" s="176"/>
      <c r="AP16" s="205"/>
      <c r="AQ16" s="176"/>
      <c r="AR16" s="205"/>
      <c r="AS16" s="176"/>
      <c r="AT16" s="205"/>
      <c r="AU16" s="189"/>
      <c r="AV16" s="197"/>
      <c r="AW16" s="176"/>
      <c r="AX16" s="170"/>
      <c r="AY16" s="167"/>
    </row>
    <row r="17" spans="2:51" ht="15" customHeight="1">
      <c r="C17" s="378"/>
      <c r="D17" s="378"/>
      <c r="E17" s="166"/>
      <c r="F17" s="181"/>
      <c r="G17" s="190"/>
      <c r="H17" s="198"/>
      <c r="I17" s="190"/>
      <c r="J17" s="206"/>
      <c r="K17" s="181"/>
      <c r="L17" s="206"/>
      <c r="M17" s="181"/>
      <c r="N17" s="206"/>
      <c r="O17" s="181"/>
      <c r="P17" s="206"/>
      <c r="Q17" s="190"/>
      <c r="R17" s="198"/>
      <c r="S17" s="181"/>
      <c r="T17" s="206"/>
      <c r="U17" s="181"/>
      <c r="V17" s="206"/>
      <c r="W17" s="181"/>
      <c r="X17" s="206"/>
      <c r="Y17" s="181"/>
      <c r="Z17" s="206"/>
      <c r="AA17" s="190"/>
      <c r="AB17" s="198"/>
      <c r="AC17" s="181"/>
      <c r="AD17" s="206"/>
      <c r="AE17" s="181"/>
      <c r="AF17" s="206"/>
      <c r="AG17" s="181"/>
      <c r="AH17" s="206"/>
      <c r="AI17" s="181"/>
      <c r="AJ17" s="206"/>
      <c r="AK17" s="190"/>
      <c r="AL17" s="198"/>
      <c r="AM17" s="181"/>
      <c r="AN17" s="206"/>
      <c r="AO17" s="181"/>
      <c r="AP17" s="206"/>
      <c r="AQ17" s="181"/>
      <c r="AR17" s="206"/>
      <c r="AS17" s="181"/>
      <c r="AT17" s="206"/>
      <c r="AU17" s="190"/>
      <c r="AV17" s="198"/>
      <c r="AW17" s="181"/>
      <c r="AX17" s="170"/>
      <c r="AY17" s="167"/>
    </row>
    <row r="18" spans="2:51" ht="15" customHeight="1">
      <c r="B18" s="160">
        <f>B16+$A$8</f>
        <v>100</v>
      </c>
      <c r="C18" s="378" t="str">
        <f>CONCATENATE(B18,"°")</f>
        <v>100°</v>
      </c>
      <c r="D18" s="378"/>
      <c r="E18" s="166"/>
      <c r="F18" s="182"/>
      <c r="G18" s="191"/>
      <c r="H18" s="199"/>
      <c r="I18" s="191"/>
      <c r="J18" s="207"/>
      <c r="K18" s="182"/>
      <c r="L18" s="207"/>
      <c r="M18" s="182"/>
      <c r="N18" s="207"/>
      <c r="O18" s="182"/>
      <c r="P18" s="207"/>
      <c r="Q18" s="191"/>
      <c r="R18" s="199"/>
      <c r="S18" s="182"/>
      <c r="T18" s="207"/>
      <c r="U18" s="182"/>
      <c r="V18" s="207"/>
      <c r="W18" s="182"/>
      <c r="X18" s="207"/>
      <c r="Y18" s="182"/>
      <c r="Z18" s="207"/>
      <c r="AA18" s="191"/>
      <c r="AB18" s="199"/>
      <c r="AC18" s="182"/>
      <c r="AD18" s="207"/>
      <c r="AE18" s="182"/>
      <c r="AF18" s="207"/>
      <c r="AG18" s="182"/>
      <c r="AH18" s="207"/>
      <c r="AI18" s="182"/>
      <c r="AJ18" s="207"/>
      <c r="AK18" s="191"/>
      <c r="AL18" s="199"/>
      <c r="AM18" s="182"/>
      <c r="AN18" s="207"/>
      <c r="AO18" s="182"/>
      <c r="AP18" s="207"/>
      <c r="AQ18" s="182"/>
      <c r="AR18" s="207"/>
      <c r="AS18" s="182"/>
      <c r="AT18" s="207"/>
      <c r="AU18" s="191"/>
      <c r="AV18" s="199"/>
      <c r="AW18" s="182"/>
      <c r="AX18" s="170"/>
      <c r="AY18" s="167"/>
    </row>
    <row r="19" spans="2:51" ht="15" customHeight="1">
      <c r="C19" s="378"/>
      <c r="D19" s="378"/>
      <c r="E19" s="166"/>
      <c r="F19" s="177"/>
      <c r="G19" s="186"/>
      <c r="H19" s="194"/>
      <c r="I19" s="186"/>
      <c r="J19" s="202"/>
      <c r="K19" s="177"/>
      <c r="L19" s="202"/>
      <c r="M19" s="177"/>
      <c r="N19" s="202"/>
      <c r="O19" s="177"/>
      <c r="P19" s="202"/>
      <c r="Q19" s="186"/>
      <c r="R19" s="194"/>
      <c r="S19" s="177"/>
      <c r="T19" s="202"/>
      <c r="U19" s="177"/>
      <c r="V19" s="202"/>
      <c r="W19" s="177"/>
      <c r="X19" s="202"/>
      <c r="Y19" s="177"/>
      <c r="Z19" s="202"/>
      <c r="AA19" s="186"/>
      <c r="AB19" s="194"/>
      <c r="AC19" s="177"/>
      <c r="AD19" s="202"/>
      <c r="AE19" s="177"/>
      <c r="AF19" s="202"/>
      <c r="AG19" s="177"/>
      <c r="AH19" s="202"/>
      <c r="AI19" s="177"/>
      <c r="AJ19" s="202"/>
      <c r="AK19" s="186"/>
      <c r="AL19" s="194"/>
      <c r="AM19" s="177"/>
      <c r="AN19" s="202"/>
      <c r="AO19" s="177"/>
      <c r="AP19" s="202"/>
      <c r="AQ19" s="177"/>
      <c r="AR19" s="202"/>
      <c r="AS19" s="177"/>
      <c r="AT19" s="202"/>
      <c r="AU19" s="186"/>
      <c r="AV19" s="194"/>
      <c r="AW19" s="177"/>
      <c r="AX19" s="170"/>
      <c r="AY19" s="167"/>
    </row>
    <row r="20" spans="2:51" ht="15" customHeight="1">
      <c r="B20" s="160">
        <f>B18+$A$8</f>
        <v>120</v>
      </c>
      <c r="C20" s="378" t="str">
        <f>CONCATENATE(B20,"°")</f>
        <v>120°</v>
      </c>
      <c r="D20" s="378"/>
      <c r="E20" s="166"/>
      <c r="F20" s="176"/>
      <c r="G20" s="189"/>
      <c r="H20" s="197"/>
      <c r="I20" s="189"/>
      <c r="J20" s="205"/>
      <c r="K20" s="176"/>
      <c r="L20" s="205"/>
      <c r="M20" s="176"/>
      <c r="N20" s="205"/>
      <c r="O20" s="176"/>
      <c r="P20" s="205"/>
      <c r="Q20" s="189"/>
      <c r="R20" s="197"/>
      <c r="S20" s="176"/>
      <c r="T20" s="205"/>
      <c r="U20" s="176"/>
      <c r="V20" s="205"/>
      <c r="W20" s="176"/>
      <c r="X20" s="205"/>
      <c r="Y20" s="176"/>
      <c r="Z20" s="205"/>
      <c r="AA20" s="189"/>
      <c r="AB20" s="197"/>
      <c r="AC20" s="176"/>
      <c r="AD20" s="205"/>
      <c r="AE20" s="176"/>
      <c r="AF20" s="205"/>
      <c r="AG20" s="176"/>
      <c r="AH20" s="205"/>
      <c r="AI20" s="176"/>
      <c r="AJ20" s="205"/>
      <c r="AK20" s="189"/>
      <c r="AL20" s="197"/>
      <c r="AM20" s="176"/>
      <c r="AN20" s="205"/>
      <c r="AO20" s="176"/>
      <c r="AP20" s="205"/>
      <c r="AQ20" s="176"/>
      <c r="AR20" s="205"/>
      <c r="AS20" s="176"/>
      <c r="AT20" s="205"/>
      <c r="AU20" s="189"/>
      <c r="AV20" s="197"/>
      <c r="AW20" s="176"/>
      <c r="AX20" s="170"/>
      <c r="AY20" s="167"/>
    </row>
    <row r="21" spans="2:51" ht="15" customHeight="1">
      <c r="C21" s="378"/>
      <c r="D21" s="378"/>
      <c r="E21" s="166"/>
      <c r="F21" s="178"/>
      <c r="G21" s="188"/>
      <c r="H21" s="196"/>
      <c r="I21" s="188"/>
      <c r="J21" s="204"/>
      <c r="K21" s="178"/>
      <c r="L21" s="204"/>
      <c r="M21" s="178"/>
      <c r="N21" s="204"/>
      <c r="O21" s="178"/>
      <c r="P21" s="204"/>
      <c r="Q21" s="188"/>
      <c r="R21" s="196"/>
      <c r="S21" s="178"/>
      <c r="T21" s="204"/>
      <c r="U21" s="178"/>
      <c r="V21" s="204"/>
      <c r="W21" s="178"/>
      <c r="X21" s="204"/>
      <c r="Y21" s="178"/>
      <c r="Z21" s="204"/>
      <c r="AA21" s="188"/>
      <c r="AB21" s="196"/>
      <c r="AC21" s="178"/>
      <c r="AD21" s="204"/>
      <c r="AE21" s="178"/>
      <c r="AF21" s="204"/>
      <c r="AG21" s="178"/>
      <c r="AH21" s="204"/>
      <c r="AI21" s="178"/>
      <c r="AJ21" s="204"/>
      <c r="AK21" s="188"/>
      <c r="AL21" s="196"/>
      <c r="AM21" s="178"/>
      <c r="AN21" s="204"/>
      <c r="AO21" s="178"/>
      <c r="AP21" s="204"/>
      <c r="AQ21" s="178"/>
      <c r="AR21" s="204"/>
      <c r="AS21" s="178"/>
      <c r="AT21" s="204"/>
      <c r="AU21" s="188"/>
      <c r="AV21" s="196"/>
      <c r="AW21" s="178"/>
      <c r="AX21" s="170"/>
      <c r="AY21" s="167"/>
    </row>
    <row r="22" spans="2:51" ht="15" customHeight="1">
      <c r="B22" s="160">
        <f>B20+$A$8</f>
        <v>140</v>
      </c>
      <c r="C22" s="378" t="str">
        <f>CONCATENATE(B22,"°")</f>
        <v>140°</v>
      </c>
      <c r="D22" s="378"/>
      <c r="E22" s="166"/>
      <c r="F22" s="179"/>
      <c r="G22" s="185"/>
      <c r="H22" s="193"/>
      <c r="I22" s="185"/>
      <c r="J22" s="201"/>
      <c r="K22" s="179"/>
      <c r="L22" s="201"/>
      <c r="M22" s="179"/>
      <c r="N22" s="201"/>
      <c r="O22" s="179"/>
      <c r="P22" s="201"/>
      <c r="Q22" s="185"/>
      <c r="R22" s="193"/>
      <c r="S22" s="179"/>
      <c r="T22" s="201"/>
      <c r="U22" s="179"/>
      <c r="V22" s="201"/>
      <c r="W22" s="179"/>
      <c r="X22" s="201"/>
      <c r="Y22" s="179"/>
      <c r="Z22" s="201"/>
      <c r="AA22" s="185"/>
      <c r="AB22" s="193"/>
      <c r="AC22" s="179"/>
      <c r="AD22" s="201"/>
      <c r="AE22" s="179"/>
      <c r="AF22" s="201"/>
      <c r="AG22" s="179"/>
      <c r="AH22" s="201"/>
      <c r="AI22" s="179"/>
      <c r="AJ22" s="201"/>
      <c r="AK22" s="185"/>
      <c r="AL22" s="193"/>
      <c r="AM22" s="179"/>
      <c r="AN22" s="201"/>
      <c r="AO22" s="179"/>
      <c r="AP22" s="201"/>
      <c r="AQ22" s="179"/>
      <c r="AR22" s="201"/>
      <c r="AS22" s="179"/>
      <c r="AT22" s="201"/>
      <c r="AU22" s="185"/>
      <c r="AV22" s="193"/>
      <c r="AW22" s="179"/>
      <c r="AX22" s="170"/>
      <c r="AY22" s="167"/>
    </row>
    <row r="23" spans="2:51" ht="15" customHeight="1">
      <c r="C23" s="378"/>
      <c r="D23" s="378"/>
      <c r="E23" s="166"/>
      <c r="F23" s="176"/>
      <c r="G23" s="189"/>
      <c r="H23" s="197"/>
      <c r="I23" s="189"/>
      <c r="J23" s="205"/>
      <c r="K23" s="176"/>
      <c r="L23" s="205"/>
      <c r="M23" s="176"/>
      <c r="N23" s="205"/>
      <c r="O23" s="176"/>
      <c r="P23" s="205"/>
      <c r="Q23" s="189"/>
      <c r="R23" s="197"/>
      <c r="S23" s="176"/>
      <c r="T23" s="205"/>
      <c r="U23" s="176"/>
      <c r="V23" s="205"/>
      <c r="W23" s="176"/>
      <c r="X23" s="205"/>
      <c r="Y23" s="176"/>
      <c r="Z23" s="205"/>
      <c r="AA23" s="189"/>
      <c r="AB23" s="197"/>
      <c r="AC23" s="176"/>
      <c r="AD23" s="205"/>
      <c r="AE23" s="176"/>
      <c r="AF23" s="205"/>
      <c r="AG23" s="176"/>
      <c r="AH23" s="205"/>
      <c r="AI23" s="176"/>
      <c r="AJ23" s="205"/>
      <c r="AK23" s="189"/>
      <c r="AL23" s="197"/>
      <c r="AM23" s="176"/>
      <c r="AN23" s="205"/>
      <c r="AO23" s="176"/>
      <c r="AP23" s="205"/>
      <c r="AQ23" s="176"/>
      <c r="AR23" s="205"/>
      <c r="AS23" s="176"/>
      <c r="AT23" s="205"/>
      <c r="AU23" s="189"/>
      <c r="AV23" s="197"/>
      <c r="AW23" s="176"/>
      <c r="AX23" s="170"/>
      <c r="AY23" s="167"/>
    </row>
    <row r="24" spans="2:51" ht="15" customHeight="1">
      <c r="B24" s="160">
        <f>B22+$A$8</f>
        <v>160</v>
      </c>
      <c r="C24" s="378" t="str">
        <f>CONCATENATE(B24,"°")</f>
        <v>160°</v>
      </c>
      <c r="D24" s="378"/>
      <c r="E24" s="166"/>
      <c r="F24" s="176"/>
      <c r="G24" s="189"/>
      <c r="H24" s="197"/>
      <c r="I24" s="189"/>
      <c r="J24" s="205"/>
      <c r="K24" s="176"/>
      <c r="L24" s="205"/>
      <c r="M24" s="176"/>
      <c r="N24" s="205"/>
      <c r="O24" s="176"/>
      <c r="P24" s="205"/>
      <c r="Q24" s="189"/>
      <c r="R24" s="197"/>
      <c r="S24" s="176"/>
      <c r="T24" s="205"/>
      <c r="U24" s="176"/>
      <c r="V24" s="205"/>
      <c r="W24" s="176"/>
      <c r="X24" s="205"/>
      <c r="Y24" s="176"/>
      <c r="Z24" s="205"/>
      <c r="AA24" s="189"/>
      <c r="AB24" s="197"/>
      <c r="AC24" s="176"/>
      <c r="AD24" s="205"/>
      <c r="AE24" s="176"/>
      <c r="AF24" s="205"/>
      <c r="AG24" s="176"/>
      <c r="AH24" s="205"/>
      <c r="AI24" s="176"/>
      <c r="AJ24" s="205"/>
      <c r="AK24" s="189"/>
      <c r="AL24" s="197"/>
      <c r="AM24" s="176"/>
      <c r="AN24" s="205"/>
      <c r="AO24" s="176"/>
      <c r="AP24" s="205"/>
      <c r="AQ24" s="176"/>
      <c r="AR24" s="205"/>
      <c r="AS24" s="176"/>
      <c r="AT24" s="205"/>
      <c r="AU24" s="189"/>
      <c r="AV24" s="197"/>
      <c r="AW24" s="176"/>
      <c r="AX24" s="170"/>
      <c r="AY24" s="167"/>
    </row>
    <row r="25" spans="2:51" ht="15" customHeight="1">
      <c r="C25" s="378"/>
      <c r="D25" s="378"/>
      <c r="E25" s="166"/>
      <c r="F25" s="178"/>
      <c r="G25" s="188"/>
      <c r="H25" s="196"/>
      <c r="I25" s="188"/>
      <c r="J25" s="204"/>
      <c r="K25" s="178"/>
      <c r="L25" s="204"/>
      <c r="M25" s="178"/>
      <c r="N25" s="204"/>
      <c r="O25" s="178"/>
      <c r="P25" s="204"/>
      <c r="Q25" s="188"/>
      <c r="R25" s="196"/>
      <c r="S25" s="178"/>
      <c r="T25" s="204"/>
      <c r="U25" s="178"/>
      <c r="V25" s="204"/>
      <c r="W25" s="178"/>
      <c r="X25" s="204"/>
      <c r="Y25" s="178"/>
      <c r="Z25" s="204"/>
      <c r="AA25" s="188"/>
      <c r="AB25" s="196"/>
      <c r="AC25" s="178"/>
      <c r="AD25" s="204"/>
      <c r="AE25" s="178"/>
      <c r="AF25" s="204"/>
      <c r="AG25" s="178"/>
      <c r="AH25" s="204"/>
      <c r="AI25" s="178"/>
      <c r="AJ25" s="204"/>
      <c r="AK25" s="188"/>
      <c r="AL25" s="196"/>
      <c r="AM25" s="178"/>
      <c r="AN25" s="204"/>
      <c r="AO25" s="178"/>
      <c r="AP25" s="204"/>
      <c r="AQ25" s="178"/>
      <c r="AR25" s="204"/>
      <c r="AS25" s="178"/>
      <c r="AT25" s="204"/>
      <c r="AU25" s="188"/>
      <c r="AV25" s="196"/>
      <c r="AW25" s="178"/>
      <c r="AX25" s="170"/>
      <c r="AY25" s="167"/>
    </row>
    <row r="26" spans="2:51" ht="15" customHeight="1">
      <c r="B26" s="160">
        <f>B24+$A$8</f>
        <v>180</v>
      </c>
      <c r="C26" s="378" t="str">
        <f>CONCATENATE(B26,"°")</f>
        <v>180°</v>
      </c>
      <c r="D26" s="378"/>
      <c r="E26" s="166"/>
      <c r="F26" s="180"/>
      <c r="G26" s="187"/>
      <c r="H26" s="195"/>
      <c r="I26" s="187"/>
      <c r="J26" s="203"/>
      <c r="K26" s="180"/>
      <c r="L26" s="203"/>
      <c r="M26" s="180"/>
      <c r="N26" s="203"/>
      <c r="O26" s="180"/>
      <c r="P26" s="203"/>
      <c r="Q26" s="187"/>
      <c r="R26" s="195"/>
      <c r="S26" s="180"/>
      <c r="T26" s="203"/>
      <c r="U26" s="180"/>
      <c r="V26" s="203"/>
      <c r="W26" s="180"/>
      <c r="X26" s="203"/>
      <c r="Y26" s="180"/>
      <c r="Z26" s="203"/>
      <c r="AA26" s="187"/>
      <c r="AB26" s="195"/>
      <c r="AC26" s="180"/>
      <c r="AD26" s="203"/>
      <c r="AE26" s="180"/>
      <c r="AF26" s="203"/>
      <c r="AG26" s="180"/>
      <c r="AH26" s="203"/>
      <c r="AI26" s="180"/>
      <c r="AJ26" s="203"/>
      <c r="AK26" s="187"/>
      <c r="AL26" s="195"/>
      <c r="AM26" s="180"/>
      <c r="AN26" s="203"/>
      <c r="AO26" s="180"/>
      <c r="AP26" s="203"/>
      <c r="AQ26" s="180"/>
      <c r="AR26" s="203"/>
      <c r="AS26" s="180"/>
      <c r="AT26" s="203"/>
      <c r="AU26" s="187"/>
      <c r="AV26" s="195"/>
      <c r="AW26" s="180"/>
      <c r="AX26" s="170"/>
      <c r="AY26" s="167"/>
    </row>
    <row r="27" spans="2:51" ht="15" customHeight="1">
      <c r="C27" s="378"/>
      <c r="D27" s="378"/>
      <c r="E27" s="166"/>
      <c r="F27" s="183"/>
      <c r="G27" s="184"/>
      <c r="H27" s="192"/>
      <c r="I27" s="184"/>
      <c r="J27" s="200"/>
      <c r="K27" s="183"/>
      <c r="L27" s="200"/>
      <c r="M27" s="183"/>
      <c r="N27" s="200"/>
      <c r="O27" s="183"/>
      <c r="P27" s="200"/>
      <c r="Q27" s="184"/>
      <c r="R27" s="192"/>
      <c r="S27" s="183"/>
      <c r="T27" s="200"/>
      <c r="U27" s="183"/>
      <c r="V27" s="200"/>
      <c r="W27" s="183"/>
      <c r="X27" s="200"/>
      <c r="Y27" s="183"/>
      <c r="Z27" s="200"/>
      <c r="AA27" s="184"/>
      <c r="AB27" s="192"/>
      <c r="AC27" s="183"/>
      <c r="AD27" s="200"/>
      <c r="AE27" s="183"/>
      <c r="AF27" s="200"/>
      <c r="AG27" s="183"/>
      <c r="AH27" s="200"/>
      <c r="AI27" s="183"/>
      <c r="AJ27" s="200"/>
      <c r="AK27" s="184"/>
      <c r="AL27" s="192"/>
      <c r="AM27" s="183"/>
      <c r="AN27" s="200"/>
      <c r="AO27" s="183"/>
      <c r="AP27" s="200"/>
      <c r="AQ27" s="183"/>
      <c r="AR27" s="200"/>
      <c r="AS27" s="183"/>
      <c r="AT27" s="200"/>
      <c r="AU27" s="184"/>
      <c r="AV27" s="192"/>
      <c r="AW27" s="183"/>
      <c r="AX27" s="170"/>
      <c r="AY27" s="167"/>
    </row>
    <row r="28" spans="2:51" ht="15" customHeight="1">
      <c r="B28" s="160">
        <f>B26+$A$8</f>
        <v>200</v>
      </c>
      <c r="C28" s="378" t="str">
        <f>CONCATENATE(B28,"°")</f>
        <v>200°</v>
      </c>
      <c r="D28" s="378"/>
      <c r="E28" s="166"/>
      <c r="F28" s="176"/>
      <c r="G28" s="189"/>
      <c r="H28" s="197"/>
      <c r="I28" s="189"/>
      <c r="J28" s="205"/>
      <c r="K28" s="176"/>
      <c r="L28" s="205"/>
      <c r="M28" s="176"/>
      <c r="N28" s="205"/>
      <c r="O28" s="176"/>
      <c r="P28" s="205"/>
      <c r="Q28" s="189"/>
      <c r="R28" s="197"/>
      <c r="S28" s="176"/>
      <c r="T28" s="205"/>
      <c r="U28" s="176"/>
      <c r="V28" s="205"/>
      <c r="W28" s="176"/>
      <c r="X28" s="205"/>
      <c r="Y28" s="176"/>
      <c r="Z28" s="205"/>
      <c r="AA28" s="189"/>
      <c r="AB28" s="197"/>
      <c r="AC28" s="176"/>
      <c r="AD28" s="205"/>
      <c r="AE28" s="176"/>
      <c r="AF28" s="205"/>
      <c r="AG28" s="176"/>
      <c r="AH28" s="205"/>
      <c r="AI28" s="176"/>
      <c r="AJ28" s="205"/>
      <c r="AK28" s="189"/>
      <c r="AL28" s="197"/>
      <c r="AM28" s="176"/>
      <c r="AN28" s="205"/>
      <c r="AO28" s="176"/>
      <c r="AP28" s="205"/>
      <c r="AQ28" s="176"/>
      <c r="AR28" s="205"/>
      <c r="AS28" s="176"/>
      <c r="AT28" s="205"/>
      <c r="AU28" s="189"/>
      <c r="AV28" s="197"/>
      <c r="AW28" s="176"/>
      <c r="AX28" s="170"/>
      <c r="AY28" s="167"/>
    </row>
    <row r="29" spans="2:51" ht="15" customHeight="1">
      <c r="C29" s="378"/>
      <c r="D29" s="378"/>
      <c r="E29" s="166"/>
      <c r="F29" s="178"/>
      <c r="G29" s="188"/>
      <c r="H29" s="196"/>
      <c r="I29" s="188"/>
      <c r="J29" s="204"/>
      <c r="K29" s="178"/>
      <c r="L29" s="204"/>
      <c r="M29" s="178"/>
      <c r="N29" s="204"/>
      <c r="O29" s="178"/>
      <c r="P29" s="204"/>
      <c r="Q29" s="188"/>
      <c r="R29" s="196"/>
      <c r="S29" s="178"/>
      <c r="T29" s="204"/>
      <c r="U29" s="178"/>
      <c r="V29" s="204"/>
      <c r="W29" s="178"/>
      <c r="X29" s="204"/>
      <c r="Y29" s="178"/>
      <c r="Z29" s="204"/>
      <c r="AA29" s="188"/>
      <c r="AB29" s="196"/>
      <c r="AC29" s="178"/>
      <c r="AD29" s="204"/>
      <c r="AE29" s="178"/>
      <c r="AF29" s="204"/>
      <c r="AG29" s="178"/>
      <c r="AH29" s="204"/>
      <c r="AI29" s="178"/>
      <c r="AJ29" s="204"/>
      <c r="AK29" s="188"/>
      <c r="AL29" s="196"/>
      <c r="AM29" s="178"/>
      <c r="AN29" s="204"/>
      <c r="AO29" s="178"/>
      <c r="AP29" s="204"/>
      <c r="AQ29" s="178"/>
      <c r="AR29" s="204"/>
      <c r="AS29" s="178"/>
      <c r="AT29" s="204"/>
      <c r="AU29" s="188"/>
      <c r="AV29" s="196"/>
      <c r="AW29" s="178"/>
      <c r="AX29" s="170"/>
      <c r="AY29" s="167"/>
    </row>
    <row r="30" spans="2:51" ht="15" customHeight="1">
      <c r="B30" s="160">
        <f>B28+$A$8</f>
        <v>220</v>
      </c>
      <c r="C30" s="378" t="str">
        <f>CONCATENATE(B30,"°")</f>
        <v>220°</v>
      </c>
      <c r="D30" s="378"/>
      <c r="E30" s="166"/>
      <c r="F30" s="179"/>
      <c r="G30" s="185"/>
      <c r="H30" s="193"/>
      <c r="I30" s="185"/>
      <c r="J30" s="201"/>
      <c r="K30" s="179"/>
      <c r="L30" s="201"/>
      <c r="M30" s="179"/>
      <c r="N30" s="201"/>
      <c r="O30" s="179"/>
      <c r="P30" s="201"/>
      <c r="Q30" s="185"/>
      <c r="R30" s="193"/>
      <c r="S30" s="179"/>
      <c r="T30" s="201"/>
      <c r="U30" s="179"/>
      <c r="V30" s="201"/>
      <c r="W30" s="179"/>
      <c r="X30" s="201"/>
      <c r="Y30" s="179"/>
      <c r="Z30" s="201"/>
      <c r="AA30" s="185"/>
      <c r="AB30" s="193"/>
      <c r="AC30" s="179"/>
      <c r="AD30" s="201"/>
      <c r="AE30" s="179"/>
      <c r="AF30" s="201"/>
      <c r="AG30" s="179"/>
      <c r="AH30" s="201"/>
      <c r="AI30" s="179"/>
      <c r="AJ30" s="201"/>
      <c r="AK30" s="185"/>
      <c r="AL30" s="193"/>
      <c r="AM30" s="179"/>
      <c r="AN30" s="201"/>
      <c r="AO30" s="179"/>
      <c r="AP30" s="201"/>
      <c r="AQ30" s="179"/>
      <c r="AR30" s="201"/>
      <c r="AS30" s="179"/>
      <c r="AT30" s="201"/>
      <c r="AU30" s="185"/>
      <c r="AV30" s="193"/>
      <c r="AW30" s="179"/>
      <c r="AX30" s="170"/>
      <c r="AY30" s="167"/>
    </row>
    <row r="31" spans="2:51" ht="15" customHeight="1">
      <c r="C31" s="378"/>
      <c r="D31" s="378"/>
      <c r="E31" s="166"/>
      <c r="F31" s="176"/>
      <c r="G31" s="189"/>
      <c r="H31" s="197"/>
      <c r="I31" s="189"/>
      <c r="J31" s="205"/>
      <c r="K31" s="176"/>
      <c r="L31" s="205"/>
      <c r="M31" s="176"/>
      <c r="N31" s="205"/>
      <c r="O31" s="176"/>
      <c r="P31" s="205"/>
      <c r="Q31" s="189"/>
      <c r="R31" s="197"/>
      <c r="S31" s="176"/>
      <c r="T31" s="205"/>
      <c r="U31" s="176"/>
      <c r="V31" s="205"/>
      <c r="W31" s="176"/>
      <c r="X31" s="205"/>
      <c r="Y31" s="176"/>
      <c r="Z31" s="205"/>
      <c r="AA31" s="189"/>
      <c r="AB31" s="197"/>
      <c r="AC31" s="176"/>
      <c r="AD31" s="205"/>
      <c r="AE31" s="176"/>
      <c r="AF31" s="205"/>
      <c r="AG31" s="176"/>
      <c r="AH31" s="205"/>
      <c r="AI31" s="176"/>
      <c r="AJ31" s="205"/>
      <c r="AK31" s="189"/>
      <c r="AL31" s="197"/>
      <c r="AM31" s="176"/>
      <c r="AN31" s="205"/>
      <c r="AO31" s="176"/>
      <c r="AP31" s="205"/>
      <c r="AQ31" s="176"/>
      <c r="AR31" s="205"/>
      <c r="AS31" s="176"/>
      <c r="AT31" s="205"/>
      <c r="AU31" s="189"/>
      <c r="AV31" s="197"/>
      <c r="AW31" s="176"/>
      <c r="AX31" s="170"/>
      <c r="AY31" s="167"/>
    </row>
    <row r="32" spans="2:51" ht="15" customHeight="1">
      <c r="B32" s="160">
        <f>B30+$A$8</f>
        <v>240</v>
      </c>
      <c r="C32" s="378" t="str">
        <f>CONCATENATE(B32,"°")</f>
        <v>240°</v>
      </c>
      <c r="D32" s="378"/>
      <c r="E32" s="166"/>
      <c r="F32" s="176"/>
      <c r="G32" s="189"/>
      <c r="H32" s="197"/>
      <c r="I32" s="189"/>
      <c r="J32" s="205"/>
      <c r="K32" s="176"/>
      <c r="L32" s="205"/>
      <c r="M32" s="176"/>
      <c r="N32" s="205"/>
      <c r="O32" s="176"/>
      <c r="P32" s="205"/>
      <c r="Q32" s="189"/>
      <c r="R32" s="197"/>
      <c r="S32" s="176"/>
      <c r="T32" s="205"/>
      <c r="U32" s="176"/>
      <c r="V32" s="205"/>
      <c r="W32" s="176"/>
      <c r="X32" s="205"/>
      <c r="Y32" s="176"/>
      <c r="Z32" s="205"/>
      <c r="AA32" s="189"/>
      <c r="AB32" s="197"/>
      <c r="AC32" s="176"/>
      <c r="AD32" s="205"/>
      <c r="AE32" s="176"/>
      <c r="AF32" s="205"/>
      <c r="AG32" s="176"/>
      <c r="AH32" s="205"/>
      <c r="AI32" s="176"/>
      <c r="AJ32" s="205"/>
      <c r="AK32" s="189"/>
      <c r="AL32" s="197"/>
      <c r="AM32" s="176"/>
      <c r="AN32" s="205"/>
      <c r="AO32" s="176"/>
      <c r="AP32" s="205"/>
      <c r="AQ32" s="176"/>
      <c r="AR32" s="205"/>
      <c r="AS32" s="176"/>
      <c r="AT32" s="205"/>
      <c r="AU32" s="189"/>
      <c r="AV32" s="197"/>
      <c r="AW32" s="176"/>
      <c r="AX32" s="170"/>
      <c r="AY32" s="167"/>
    </row>
    <row r="33" spans="2:51" ht="15" customHeight="1">
      <c r="C33" s="378"/>
      <c r="D33" s="378"/>
      <c r="E33" s="166"/>
      <c r="F33" s="178"/>
      <c r="G33" s="188"/>
      <c r="H33" s="196"/>
      <c r="I33" s="188"/>
      <c r="J33" s="204"/>
      <c r="K33" s="178"/>
      <c r="L33" s="204"/>
      <c r="M33" s="178"/>
      <c r="N33" s="204"/>
      <c r="O33" s="178"/>
      <c r="P33" s="204"/>
      <c r="Q33" s="188"/>
      <c r="R33" s="196"/>
      <c r="S33" s="178"/>
      <c r="T33" s="204"/>
      <c r="U33" s="178"/>
      <c r="V33" s="204"/>
      <c r="W33" s="178"/>
      <c r="X33" s="204"/>
      <c r="Y33" s="178"/>
      <c r="Z33" s="204"/>
      <c r="AA33" s="188"/>
      <c r="AB33" s="196"/>
      <c r="AC33" s="178"/>
      <c r="AD33" s="204"/>
      <c r="AE33" s="178"/>
      <c r="AF33" s="204"/>
      <c r="AG33" s="178"/>
      <c r="AH33" s="204"/>
      <c r="AI33" s="178"/>
      <c r="AJ33" s="204"/>
      <c r="AK33" s="188"/>
      <c r="AL33" s="196"/>
      <c r="AM33" s="178"/>
      <c r="AN33" s="204"/>
      <c r="AO33" s="178"/>
      <c r="AP33" s="204"/>
      <c r="AQ33" s="178"/>
      <c r="AR33" s="204"/>
      <c r="AS33" s="178"/>
      <c r="AT33" s="204"/>
      <c r="AU33" s="188"/>
      <c r="AV33" s="196"/>
      <c r="AW33" s="178"/>
      <c r="AX33" s="170"/>
      <c r="AY33" s="167"/>
    </row>
    <row r="34" spans="2:51" ht="15" customHeight="1">
      <c r="B34" s="160">
        <f>B32+$A$8</f>
        <v>260</v>
      </c>
      <c r="C34" s="378" t="str">
        <f>CONCATENATE(B34,"°")</f>
        <v>260°</v>
      </c>
      <c r="D34" s="378"/>
      <c r="E34" s="166"/>
      <c r="F34" s="179"/>
      <c r="G34" s="185"/>
      <c r="H34" s="193"/>
      <c r="I34" s="185"/>
      <c r="J34" s="201"/>
      <c r="K34" s="179"/>
      <c r="L34" s="201"/>
      <c r="M34" s="179"/>
      <c r="N34" s="201"/>
      <c r="O34" s="179"/>
      <c r="P34" s="201"/>
      <c r="Q34" s="185"/>
      <c r="R34" s="193"/>
      <c r="S34" s="179"/>
      <c r="T34" s="201"/>
      <c r="U34" s="179"/>
      <c r="V34" s="201"/>
      <c r="W34" s="179"/>
      <c r="X34" s="201"/>
      <c r="Y34" s="179"/>
      <c r="Z34" s="201"/>
      <c r="AA34" s="185"/>
      <c r="AB34" s="193"/>
      <c r="AC34" s="179"/>
      <c r="AD34" s="201"/>
      <c r="AE34" s="179"/>
      <c r="AF34" s="201"/>
      <c r="AG34" s="179"/>
      <c r="AH34" s="201"/>
      <c r="AI34" s="179"/>
      <c r="AJ34" s="201"/>
      <c r="AK34" s="185"/>
      <c r="AL34" s="193"/>
      <c r="AM34" s="179"/>
      <c r="AN34" s="201"/>
      <c r="AO34" s="179"/>
      <c r="AP34" s="201"/>
      <c r="AQ34" s="179"/>
      <c r="AR34" s="201"/>
      <c r="AS34" s="179"/>
      <c r="AT34" s="201"/>
      <c r="AU34" s="185"/>
      <c r="AV34" s="193"/>
      <c r="AW34" s="179"/>
      <c r="AX34" s="170"/>
      <c r="AY34" s="167"/>
    </row>
    <row r="35" spans="2:51" ht="15" customHeight="1">
      <c r="C35" s="378"/>
      <c r="D35" s="378"/>
      <c r="E35" s="166"/>
      <c r="F35" s="180"/>
      <c r="G35" s="187"/>
      <c r="H35" s="195"/>
      <c r="I35" s="187"/>
      <c r="J35" s="203"/>
      <c r="K35" s="180"/>
      <c r="L35" s="203"/>
      <c r="M35" s="180"/>
      <c r="N35" s="203"/>
      <c r="O35" s="180"/>
      <c r="P35" s="203"/>
      <c r="Q35" s="187"/>
      <c r="R35" s="195"/>
      <c r="S35" s="180"/>
      <c r="T35" s="203"/>
      <c r="U35" s="180"/>
      <c r="V35" s="203"/>
      <c r="W35" s="180"/>
      <c r="X35" s="203"/>
      <c r="Y35" s="180"/>
      <c r="Z35" s="203"/>
      <c r="AA35" s="187"/>
      <c r="AB35" s="195"/>
      <c r="AC35" s="180"/>
      <c r="AD35" s="203"/>
      <c r="AE35" s="180"/>
      <c r="AF35" s="203"/>
      <c r="AG35" s="180"/>
      <c r="AH35" s="203"/>
      <c r="AI35" s="180"/>
      <c r="AJ35" s="203"/>
      <c r="AK35" s="187"/>
      <c r="AL35" s="195"/>
      <c r="AM35" s="180"/>
      <c r="AN35" s="203"/>
      <c r="AO35" s="180"/>
      <c r="AP35" s="203"/>
      <c r="AQ35" s="180"/>
      <c r="AR35" s="203"/>
      <c r="AS35" s="180"/>
      <c r="AT35" s="203"/>
      <c r="AU35" s="187"/>
      <c r="AV35" s="195"/>
      <c r="AW35" s="180"/>
      <c r="AX35" s="170"/>
      <c r="AY35" s="167"/>
    </row>
    <row r="36" spans="2:51" ht="15" customHeight="1">
      <c r="B36" s="160">
        <f>B34+$A$8</f>
        <v>280</v>
      </c>
      <c r="C36" s="378" t="str">
        <f>CONCATENATE(B36,"°")</f>
        <v>280°</v>
      </c>
      <c r="D36" s="378"/>
      <c r="E36" s="166"/>
      <c r="F36" s="183"/>
      <c r="G36" s="184"/>
      <c r="H36" s="192"/>
      <c r="I36" s="184"/>
      <c r="J36" s="200"/>
      <c r="K36" s="183"/>
      <c r="L36" s="200"/>
      <c r="M36" s="183"/>
      <c r="N36" s="200"/>
      <c r="O36" s="183"/>
      <c r="P36" s="200"/>
      <c r="Q36" s="184"/>
      <c r="R36" s="192"/>
      <c r="S36" s="183"/>
      <c r="T36" s="200"/>
      <c r="U36" s="183"/>
      <c r="V36" s="200"/>
      <c r="W36" s="183"/>
      <c r="X36" s="200"/>
      <c r="Y36" s="183"/>
      <c r="Z36" s="200"/>
      <c r="AA36" s="184"/>
      <c r="AB36" s="192"/>
      <c r="AC36" s="183"/>
      <c r="AD36" s="200"/>
      <c r="AE36" s="183"/>
      <c r="AF36" s="200"/>
      <c r="AG36" s="183"/>
      <c r="AH36" s="200"/>
      <c r="AI36" s="183"/>
      <c r="AJ36" s="200"/>
      <c r="AK36" s="184"/>
      <c r="AL36" s="192"/>
      <c r="AM36" s="183"/>
      <c r="AN36" s="200"/>
      <c r="AO36" s="183"/>
      <c r="AP36" s="200"/>
      <c r="AQ36" s="183"/>
      <c r="AR36" s="200"/>
      <c r="AS36" s="183"/>
      <c r="AT36" s="200"/>
      <c r="AU36" s="184"/>
      <c r="AV36" s="192"/>
      <c r="AW36" s="183"/>
      <c r="AX36" s="170"/>
      <c r="AY36" s="167"/>
    </row>
    <row r="37" spans="2:51" ht="15" customHeight="1">
      <c r="C37" s="378"/>
      <c r="D37" s="378"/>
      <c r="E37" s="166"/>
      <c r="F37" s="178"/>
      <c r="G37" s="188"/>
      <c r="H37" s="196"/>
      <c r="I37" s="188"/>
      <c r="J37" s="204"/>
      <c r="K37" s="178"/>
      <c r="L37" s="204"/>
      <c r="M37" s="178"/>
      <c r="N37" s="204"/>
      <c r="O37" s="178"/>
      <c r="P37" s="204"/>
      <c r="Q37" s="188"/>
      <c r="R37" s="196"/>
      <c r="S37" s="178"/>
      <c r="T37" s="204"/>
      <c r="U37" s="178"/>
      <c r="V37" s="204"/>
      <c r="W37" s="178"/>
      <c r="X37" s="204"/>
      <c r="Y37" s="178"/>
      <c r="Z37" s="204"/>
      <c r="AA37" s="188"/>
      <c r="AB37" s="196"/>
      <c r="AC37" s="178"/>
      <c r="AD37" s="204"/>
      <c r="AE37" s="178"/>
      <c r="AF37" s="204"/>
      <c r="AG37" s="178"/>
      <c r="AH37" s="204"/>
      <c r="AI37" s="178"/>
      <c r="AJ37" s="204"/>
      <c r="AK37" s="188"/>
      <c r="AL37" s="196"/>
      <c r="AM37" s="178"/>
      <c r="AN37" s="204"/>
      <c r="AO37" s="178"/>
      <c r="AP37" s="204"/>
      <c r="AQ37" s="178"/>
      <c r="AR37" s="204"/>
      <c r="AS37" s="178"/>
      <c r="AT37" s="204"/>
      <c r="AU37" s="188"/>
      <c r="AV37" s="196"/>
      <c r="AW37" s="178"/>
      <c r="AX37" s="170"/>
      <c r="AY37" s="167"/>
    </row>
    <row r="38" spans="2:51" ht="15" customHeight="1">
      <c r="B38" s="160">
        <f>B36+$A$8</f>
        <v>300</v>
      </c>
      <c r="C38" s="378" t="str">
        <f>CONCATENATE(B38,"°")</f>
        <v>300°</v>
      </c>
      <c r="D38" s="378"/>
      <c r="E38" s="166"/>
      <c r="F38" s="179"/>
      <c r="G38" s="185"/>
      <c r="H38" s="193"/>
      <c r="I38" s="185"/>
      <c r="J38" s="201"/>
      <c r="K38" s="179"/>
      <c r="L38" s="201"/>
      <c r="M38" s="179"/>
      <c r="N38" s="201"/>
      <c r="O38" s="179"/>
      <c r="P38" s="201"/>
      <c r="Q38" s="185"/>
      <c r="R38" s="193"/>
      <c r="S38" s="179"/>
      <c r="T38" s="201"/>
      <c r="U38" s="179"/>
      <c r="V38" s="201"/>
      <c r="W38" s="179"/>
      <c r="X38" s="201"/>
      <c r="Y38" s="179"/>
      <c r="Z38" s="201"/>
      <c r="AA38" s="185"/>
      <c r="AB38" s="193"/>
      <c r="AC38" s="179"/>
      <c r="AD38" s="201"/>
      <c r="AE38" s="179"/>
      <c r="AF38" s="201"/>
      <c r="AG38" s="179"/>
      <c r="AH38" s="201"/>
      <c r="AI38" s="179"/>
      <c r="AJ38" s="201"/>
      <c r="AK38" s="185"/>
      <c r="AL38" s="193"/>
      <c r="AM38" s="179"/>
      <c r="AN38" s="201"/>
      <c r="AO38" s="179"/>
      <c r="AP38" s="201"/>
      <c r="AQ38" s="179"/>
      <c r="AR38" s="201"/>
      <c r="AS38" s="179"/>
      <c r="AT38" s="201"/>
      <c r="AU38" s="185"/>
      <c r="AV38" s="193"/>
      <c r="AW38" s="179"/>
      <c r="AX38" s="170"/>
      <c r="AY38" s="167"/>
    </row>
    <row r="39" spans="2:51" ht="15" customHeight="1">
      <c r="C39" s="378"/>
      <c r="D39" s="378"/>
      <c r="E39" s="166"/>
      <c r="F39" s="176"/>
      <c r="G39" s="189"/>
      <c r="H39" s="197"/>
      <c r="I39" s="189"/>
      <c r="J39" s="205"/>
      <c r="K39" s="176"/>
      <c r="L39" s="205"/>
      <c r="M39" s="176"/>
      <c r="N39" s="205"/>
      <c r="O39" s="176"/>
      <c r="P39" s="205"/>
      <c r="Q39" s="189"/>
      <c r="R39" s="197"/>
      <c r="S39" s="176"/>
      <c r="T39" s="205"/>
      <c r="U39" s="176"/>
      <c r="V39" s="205"/>
      <c r="W39" s="176"/>
      <c r="X39" s="205"/>
      <c r="Y39" s="176"/>
      <c r="Z39" s="205"/>
      <c r="AA39" s="189"/>
      <c r="AB39" s="197"/>
      <c r="AC39" s="176"/>
      <c r="AD39" s="205"/>
      <c r="AE39" s="176"/>
      <c r="AF39" s="205"/>
      <c r="AG39" s="176"/>
      <c r="AH39" s="205"/>
      <c r="AI39" s="176"/>
      <c r="AJ39" s="205"/>
      <c r="AK39" s="189"/>
      <c r="AL39" s="197"/>
      <c r="AM39" s="176"/>
      <c r="AN39" s="205"/>
      <c r="AO39" s="176"/>
      <c r="AP39" s="205"/>
      <c r="AQ39" s="176"/>
      <c r="AR39" s="205"/>
      <c r="AS39" s="176"/>
      <c r="AT39" s="205"/>
      <c r="AU39" s="189"/>
      <c r="AV39" s="197"/>
      <c r="AW39" s="176"/>
      <c r="AX39" s="170"/>
      <c r="AY39" s="167"/>
    </row>
    <row r="40" spans="2:51" ht="15" customHeight="1">
      <c r="B40" s="160">
        <f>B38+$A$8</f>
        <v>320</v>
      </c>
      <c r="C40" s="378" t="str">
        <f>CONCATENATE(B40,"°")</f>
        <v>320°</v>
      </c>
      <c r="D40" s="378"/>
      <c r="E40" s="166"/>
      <c r="F40" s="176"/>
      <c r="G40" s="189"/>
      <c r="H40" s="197"/>
      <c r="I40" s="189"/>
      <c r="J40" s="205"/>
      <c r="K40" s="176"/>
      <c r="L40" s="205"/>
      <c r="M40" s="176"/>
      <c r="N40" s="205"/>
      <c r="O40" s="176"/>
      <c r="P40" s="205"/>
      <c r="Q40" s="189"/>
      <c r="R40" s="197"/>
      <c r="S40" s="176"/>
      <c r="T40" s="205"/>
      <c r="U40" s="176"/>
      <c r="V40" s="205"/>
      <c r="W40" s="176"/>
      <c r="X40" s="205"/>
      <c r="Y40" s="176"/>
      <c r="Z40" s="205"/>
      <c r="AA40" s="189"/>
      <c r="AB40" s="197"/>
      <c r="AC40" s="176"/>
      <c r="AD40" s="205"/>
      <c r="AE40" s="176"/>
      <c r="AF40" s="205"/>
      <c r="AG40" s="176"/>
      <c r="AH40" s="205"/>
      <c r="AI40" s="176"/>
      <c r="AJ40" s="205"/>
      <c r="AK40" s="189"/>
      <c r="AL40" s="197"/>
      <c r="AM40" s="176"/>
      <c r="AN40" s="205"/>
      <c r="AO40" s="176"/>
      <c r="AP40" s="205"/>
      <c r="AQ40" s="176"/>
      <c r="AR40" s="205"/>
      <c r="AS40" s="176"/>
      <c r="AT40" s="205"/>
      <c r="AU40" s="189"/>
      <c r="AV40" s="197"/>
      <c r="AW40" s="176"/>
      <c r="AX40" s="170"/>
      <c r="AY40" s="167"/>
    </row>
    <row r="41" spans="2:51" ht="15" customHeight="1">
      <c r="C41" s="378"/>
      <c r="D41" s="378"/>
      <c r="E41" s="166"/>
      <c r="F41" s="178"/>
      <c r="G41" s="188"/>
      <c r="H41" s="196"/>
      <c r="I41" s="188"/>
      <c r="J41" s="204"/>
      <c r="K41" s="178"/>
      <c r="L41" s="204"/>
      <c r="M41" s="178"/>
      <c r="N41" s="204"/>
      <c r="O41" s="178"/>
      <c r="P41" s="204"/>
      <c r="Q41" s="188"/>
      <c r="R41" s="196"/>
      <c r="S41" s="178"/>
      <c r="T41" s="204"/>
      <c r="U41" s="178"/>
      <c r="V41" s="204"/>
      <c r="W41" s="178"/>
      <c r="X41" s="204"/>
      <c r="Y41" s="178"/>
      <c r="Z41" s="204"/>
      <c r="AA41" s="188"/>
      <c r="AB41" s="196"/>
      <c r="AC41" s="178"/>
      <c r="AD41" s="204"/>
      <c r="AE41" s="178"/>
      <c r="AF41" s="204"/>
      <c r="AG41" s="178"/>
      <c r="AH41" s="204"/>
      <c r="AI41" s="178"/>
      <c r="AJ41" s="204"/>
      <c r="AK41" s="188"/>
      <c r="AL41" s="196"/>
      <c r="AM41" s="178"/>
      <c r="AN41" s="204"/>
      <c r="AO41" s="178"/>
      <c r="AP41" s="204"/>
      <c r="AQ41" s="178"/>
      <c r="AR41" s="204"/>
      <c r="AS41" s="178"/>
      <c r="AT41" s="204"/>
      <c r="AU41" s="188"/>
      <c r="AV41" s="196"/>
      <c r="AW41" s="178"/>
      <c r="AX41" s="170"/>
      <c r="AY41" s="167"/>
    </row>
    <row r="42" spans="2:51" ht="15" customHeight="1">
      <c r="B42" s="160">
        <f>B40+$A$8</f>
        <v>340</v>
      </c>
      <c r="C42" s="378" t="str">
        <f>CONCATENATE(B42,"°")</f>
        <v>340°</v>
      </c>
      <c r="D42" s="378"/>
      <c r="E42" s="166"/>
      <c r="F42" s="179"/>
      <c r="G42" s="185"/>
      <c r="H42" s="193"/>
      <c r="I42" s="185"/>
      <c r="J42" s="201"/>
      <c r="K42" s="179"/>
      <c r="L42" s="201"/>
      <c r="M42" s="179"/>
      <c r="N42" s="201"/>
      <c r="O42" s="179"/>
      <c r="P42" s="201"/>
      <c r="Q42" s="185"/>
      <c r="R42" s="193"/>
      <c r="S42" s="179"/>
      <c r="T42" s="201"/>
      <c r="U42" s="179"/>
      <c r="V42" s="201"/>
      <c r="W42" s="179"/>
      <c r="X42" s="201"/>
      <c r="Y42" s="179"/>
      <c r="Z42" s="201"/>
      <c r="AA42" s="185"/>
      <c r="AB42" s="193"/>
      <c r="AC42" s="179"/>
      <c r="AD42" s="201"/>
      <c r="AE42" s="179"/>
      <c r="AF42" s="201"/>
      <c r="AG42" s="179"/>
      <c r="AH42" s="201"/>
      <c r="AI42" s="179"/>
      <c r="AJ42" s="201"/>
      <c r="AK42" s="185"/>
      <c r="AL42" s="193"/>
      <c r="AM42" s="179"/>
      <c r="AN42" s="201"/>
      <c r="AO42" s="179"/>
      <c r="AP42" s="201"/>
      <c r="AQ42" s="179"/>
      <c r="AR42" s="201"/>
      <c r="AS42" s="179"/>
      <c r="AT42" s="201"/>
      <c r="AU42" s="185"/>
      <c r="AV42" s="193"/>
      <c r="AW42" s="179"/>
      <c r="AX42" s="170"/>
      <c r="AY42" s="167"/>
    </row>
    <row r="43" spans="2:51" ht="15" customHeight="1">
      <c r="C43" s="378"/>
      <c r="D43" s="378"/>
      <c r="E43" s="166"/>
      <c r="F43" s="176"/>
      <c r="G43" s="189"/>
      <c r="H43" s="197"/>
      <c r="I43" s="189"/>
      <c r="J43" s="205"/>
      <c r="K43" s="176"/>
      <c r="L43" s="205"/>
      <c r="M43" s="176"/>
      <c r="N43" s="205"/>
      <c r="O43" s="176"/>
      <c r="P43" s="205"/>
      <c r="Q43" s="189"/>
      <c r="R43" s="197"/>
      <c r="S43" s="176"/>
      <c r="T43" s="205"/>
      <c r="U43" s="176"/>
      <c r="V43" s="205"/>
      <c r="W43" s="176"/>
      <c r="X43" s="205"/>
      <c r="Y43" s="176"/>
      <c r="Z43" s="205"/>
      <c r="AA43" s="189"/>
      <c r="AB43" s="197"/>
      <c r="AC43" s="176"/>
      <c r="AD43" s="205"/>
      <c r="AE43" s="176"/>
      <c r="AF43" s="205"/>
      <c r="AG43" s="176"/>
      <c r="AH43" s="205"/>
      <c r="AI43" s="176"/>
      <c r="AJ43" s="205"/>
      <c r="AK43" s="189"/>
      <c r="AL43" s="197"/>
      <c r="AM43" s="176"/>
      <c r="AN43" s="205"/>
      <c r="AO43" s="176"/>
      <c r="AP43" s="205"/>
      <c r="AQ43" s="176"/>
      <c r="AR43" s="205"/>
      <c r="AS43" s="176"/>
      <c r="AT43" s="205"/>
      <c r="AU43" s="189"/>
      <c r="AV43" s="197"/>
      <c r="AW43" s="176"/>
      <c r="AX43" s="170"/>
      <c r="AY43" s="167"/>
    </row>
    <row r="44" spans="2:51" ht="15" customHeight="1">
      <c r="B44" s="160">
        <v>0</v>
      </c>
      <c r="C44" s="378" t="str">
        <f>CONCATENATE(B44,"°")</f>
        <v>0°</v>
      </c>
      <c r="D44" s="378"/>
      <c r="E44" s="166"/>
      <c r="F44" s="180"/>
      <c r="G44" s="187"/>
      <c r="H44" s="195"/>
      <c r="I44" s="187"/>
      <c r="J44" s="208"/>
      <c r="K44" s="180"/>
      <c r="L44" s="208"/>
      <c r="M44" s="180"/>
      <c r="N44" s="208"/>
      <c r="O44" s="180"/>
      <c r="P44" s="208"/>
      <c r="Q44" s="187"/>
      <c r="R44" s="195"/>
      <c r="S44" s="180"/>
      <c r="T44" s="208"/>
      <c r="U44" s="180"/>
      <c r="V44" s="208"/>
      <c r="W44" s="180"/>
      <c r="X44" s="208"/>
      <c r="Y44" s="180"/>
      <c r="Z44" s="208"/>
      <c r="AA44" s="187"/>
      <c r="AB44" s="195"/>
      <c r="AC44" s="180"/>
      <c r="AD44" s="208"/>
      <c r="AE44" s="180"/>
      <c r="AF44" s="208"/>
      <c r="AG44" s="180"/>
      <c r="AH44" s="208"/>
      <c r="AI44" s="180"/>
      <c r="AJ44" s="208"/>
      <c r="AK44" s="187"/>
      <c r="AL44" s="195"/>
      <c r="AM44" s="180"/>
      <c r="AN44" s="208"/>
      <c r="AO44" s="180"/>
      <c r="AP44" s="208"/>
      <c r="AQ44" s="180"/>
      <c r="AR44" s="208"/>
      <c r="AS44" s="180"/>
      <c r="AT44" s="208"/>
      <c r="AU44" s="187"/>
      <c r="AV44" s="195"/>
      <c r="AW44" s="180"/>
      <c r="AX44" s="170"/>
      <c r="AY44" s="167"/>
    </row>
    <row r="45" spans="2:51" ht="11.25" customHeight="1">
      <c r="C45" s="378"/>
      <c r="D45" s="378"/>
      <c r="E45" s="166"/>
      <c r="F45" s="183"/>
      <c r="G45" s="184"/>
      <c r="H45" s="192"/>
      <c r="I45" s="183"/>
      <c r="J45" s="183"/>
      <c r="K45" s="183"/>
      <c r="L45" s="183"/>
      <c r="M45" s="183"/>
      <c r="N45" s="183"/>
      <c r="O45" s="183"/>
      <c r="P45" s="183"/>
      <c r="Q45" s="184"/>
      <c r="R45" s="192"/>
      <c r="S45" s="183"/>
      <c r="T45" s="183"/>
      <c r="U45" s="183"/>
      <c r="V45" s="183"/>
      <c r="W45" s="183"/>
      <c r="X45" s="183"/>
      <c r="Y45" s="183"/>
      <c r="Z45" s="183"/>
      <c r="AA45" s="184"/>
      <c r="AB45" s="192"/>
      <c r="AC45" s="183"/>
      <c r="AD45" s="183"/>
      <c r="AE45" s="183"/>
      <c r="AF45" s="183"/>
      <c r="AG45" s="183"/>
      <c r="AH45" s="183"/>
      <c r="AI45" s="183"/>
      <c r="AJ45" s="183"/>
      <c r="AK45" s="184"/>
      <c r="AL45" s="192"/>
      <c r="AM45" s="183"/>
      <c r="AN45" s="183"/>
      <c r="AO45" s="183"/>
      <c r="AP45" s="183"/>
      <c r="AQ45" s="183"/>
      <c r="AR45" s="183"/>
      <c r="AS45" s="183"/>
      <c r="AT45" s="183"/>
      <c r="AU45" s="184"/>
      <c r="AV45" s="192"/>
      <c r="AW45" s="183"/>
      <c r="AX45" s="170"/>
      <c r="AY45" s="167"/>
    </row>
    <row r="46" spans="2:51" ht="11.25" customHeight="1">
      <c r="B46" s="160">
        <f>B44+$A$8</f>
        <v>20</v>
      </c>
      <c r="C46" s="378" t="str">
        <f>CONCATENATE(B46,"°")</f>
        <v>20°</v>
      </c>
      <c r="D46" s="378"/>
      <c r="E46" s="166"/>
      <c r="F46" s="173"/>
      <c r="G46" s="174"/>
      <c r="H46" s="175"/>
      <c r="I46" s="173"/>
      <c r="J46" s="173"/>
      <c r="K46" s="173"/>
      <c r="L46" s="173"/>
      <c r="M46" s="173"/>
      <c r="N46" s="173"/>
      <c r="O46" s="173"/>
      <c r="P46" s="173"/>
      <c r="Q46" s="173"/>
      <c r="R46" s="172"/>
      <c r="S46" s="171"/>
      <c r="T46" s="173"/>
      <c r="U46" s="173"/>
      <c r="V46" s="173"/>
      <c r="W46" s="173"/>
      <c r="X46" s="173"/>
      <c r="Y46" s="173"/>
      <c r="Z46" s="173"/>
      <c r="AA46" s="173"/>
      <c r="AB46" s="175"/>
      <c r="AC46" s="173"/>
      <c r="AD46" s="173"/>
      <c r="AE46" s="173"/>
      <c r="AF46" s="173"/>
      <c r="AG46" s="173"/>
      <c r="AH46" s="173"/>
      <c r="AI46" s="173"/>
      <c r="AJ46" s="173"/>
      <c r="AK46" s="173"/>
      <c r="AL46" s="175"/>
      <c r="AM46" s="173"/>
      <c r="AN46" s="173"/>
      <c r="AO46" s="173"/>
      <c r="AP46" s="173"/>
      <c r="AQ46" s="173"/>
      <c r="AR46" s="173"/>
      <c r="AS46" s="173"/>
      <c r="AT46" s="173"/>
      <c r="AU46" s="173"/>
      <c r="AV46" s="175"/>
      <c r="AW46" s="173"/>
      <c r="AX46" s="170"/>
      <c r="AY46" s="167"/>
    </row>
    <row r="47" spans="2:51" ht="11.25" customHeight="1">
      <c r="C47" s="378"/>
      <c r="D47" s="378"/>
      <c r="E47" s="166"/>
      <c r="F47" s="166"/>
      <c r="G47" s="166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Z47" s="167"/>
      <c r="AA47" s="167"/>
      <c r="AB47" s="167"/>
      <c r="AC47" s="167"/>
      <c r="AD47" s="167"/>
      <c r="AE47" s="167"/>
      <c r="AF47" s="167"/>
      <c r="AG47" s="167"/>
      <c r="AH47" s="167"/>
      <c r="AI47" s="167"/>
      <c r="AJ47" s="167"/>
      <c r="AK47" s="167"/>
      <c r="AL47" s="167"/>
      <c r="AM47" s="167"/>
      <c r="AN47" s="167"/>
      <c r="AO47" s="167"/>
      <c r="AP47" s="167"/>
      <c r="AQ47" s="167"/>
      <c r="AR47" s="167"/>
      <c r="AS47" s="167"/>
      <c r="AT47" s="167"/>
      <c r="AU47" s="167"/>
      <c r="AV47" s="167"/>
      <c r="AW47" s="167"/>
      <c r="AX47" s="167"/>
      <c r="AY47" s="167"/>
    </row>
    <row r="48" spans="2:51" ht="11.25" customHeight="1">
      <c r="B48" s="160">
        <f>B46+$A$8</f>
        <v>40</v>
      </c>
      <c r="C48" s="376" t="str">
        <f>CONCATENATE(B48,"°")</f>
        <v>40°</v>
      </c>
      <c r="D48" s="377"/>
      <c r="E48" s="166"/>
      <c r="F48" s="166"/>
      <c r="G48" s="166"/>
    </row>
    <row r="49" spans="2:7" ht="11.25" customHeight="1">
      <c r="C49" s="376"/>
      <c r="D49" s="377"/>
      <c r="E49" s="166"/>
      <c r="F49" s="166"/>
      <c r="G49" s="166"/>
    </row>
    <row r="50" spans="2:7" ht="11.25" customHeight="1">
      <c r="B50" s="160">
        <f>B48+$A$8</f>
        <v>60</v>
      </c>
      <c r="C50" s="376" t="str">
        <f>CONCATENATE(B50,"°")</f>
        <v>60°</v>
      </c>
      <c r="D50" s="377"/>
      <c r="E50" s="166"/>
      <c r="F50" s="166"/>
      <c r="G50" s="166"/>
    </row>
    <row r="51" spans="2:7" ht="11.25" customHeight="1">
      <c r="C51" s="376"/>
      <c r="D51" s="377"/>
      <c r="E51" s="166"/>
      <c r="F51" s="166"/>
      <c r="G51" s="166"/>
    </row>
    <row r="52" spans="2:7" ht="11.25" customHeight="1">
      <c r="B52" s="160">
        <f>B50+$A$8</f>
        <v>80</v>
      </c>
      <c r="C52" s="376" t="str">
        <f>CONCATENATE(B52,"°")</f>
        <v>80°</v>
      </c>
      <c r="D52" s="377"/>
      <c r="E52" s="166"/>
      <c r="F52" s="166"/>
      <c r="G52" s="166"/>
    </row>
    <row r="53" spans="2:7" ht="11.25" customHeight="1">
      <c r="C53" s="376"/>
      <c r="D53" s="377"/>
      <c r="E53" s="166"/>
      <c r="F53" s="166"/>
      <c r="G53" s="166"/>
    </row>
    <row r="54" spans="2:7" ht="11.25" customHeight="1">
      <c r="B54" s="160">
        <f>B52+$A$8</f>
        <v>100</v>
      </c>
      <c r="C54" s="376" t="str">
        <f>CONCATENATE(B54,"°")</f>
        <v>100°</v>
      </c>
      <c r="D54" s="377"/>
      <c r="E54" s="166"/>
      <c r="F54" s="166"/>
      <c r="G54" s="166"/>
    </row>
    <row r="55" spans="2:7" ht="11.25" customHeight="1">
      <c r="C55" s="376"/>
      <c r="D55" s="377"/>
      <c r="E55" s="166"/>
      <c r="F55" s="166"/>
      <c r="G55" s="166"/>
    </row>
    <row r="56" spans="2:7" ht="11.25" customHeight="1">
      <c r="B56" s="160">
        <f>B54+$A$8</f>
        <v>120</v>
      </c>
      <c r="C56" s="376" t="str">
        <f>CONCATENATE(B56,"°")</f>
        <v>120°</v>
      </c>
      <c r="D56" s="377"/>
      <c r="E56" s="166"/>
      <c r="F56" s="166"/>
      <c r="G56" s="166"/>
    </row>
    <row r="57" spans="2:7" ht="11.25" customHeight="1">
      <c r="C57" s="376"/>
      <c r="D57" s="377"/>
      <c r="E57" s="166"/>
      <c r="F57" s="166"/>
      <c r="G57" s="166"/>
    </row>
    <row r="58" spans="2:7" ht="11.25" customHeight="1">
      <c r="B58" s="160">
        <f>B56+$A$8</f>
        <v>140</v>
      </c>
      <c r="C58" s="376" t="str">
        <f>CONCATENATE(B58,"°")</f>
        <v>140°</v>
      </c>
      <c r="D58" s="377"/>
      <c r="E58" s="166"/>
      <c r="F58" s="166"/>
      <c r="G58" s="166"/>
    </row>
    <row r="59" spans="2:7" ht="11.25" customHeight="1">
      <c r="C59" s="376"/>
      <c r="D59" s="377"/>
      <c r="E59" s="166"/>
      <c r="F59" s="166"/>
      <c r="G59" s="166"/>
    </row>
    <row r="60" spans="2:7" ht="11.25" customHeight="1">
      <c r="B60" s="160">
        <f>B58+$A$8</f>
        <v>160</v>
      </c>
      <c r="C60" s="376" t="str">
        <f>CONCATENATE(B60,"°")</f>
        <v>160°</v>
      </c>
      <c r="D60" s="377"/>
      <c r="E60" s="166"/>
      <c r="F60" s="166"/>
      <c r="G60" s="166"/>
    </row>
    <row r="61" spans="2:7" ht="11.25" customHeight="1">
      <c r="C61" s="376"/>
      <c r="D61" s="377"/>
      <c r="E61" s="166"/>
      <c r="F61" s="166"/>
      <c r="G61" s="166"/>
    </row>
    <row r="62" spans="2:7" ht="11.25" customHeight="1">
      <c r="B62" s="160">
        <f>B60+$A$8</f>
        <v>180</v>
      </c>
      <c r="C62" s="376" t="str">
        <f>CONCATENATE(B62,"°")</f>
        <v>180°</v>
      </c>
      <c r="D62" s="377"/>
      <c r="E62" s="166"/>
      <c r="F62" s="166"/>
      <c r="G62" s="166"/>
    </row>
    <row r="63" spans="2:7" ht="11.25" customHeight="1">
      <c r="C63" s="376"/>
      <c r="D63" s="377"/>
      <c r="E63" s="166"/>
      <c r="F63" s="166"/>
      <c r="G63" s="166"/>
    </row>
    <row r="64" spans="2:7" ht="11.25" customHeight="1">
      <c r="B64" s="160">
        <f>B62+$A$8</f>
        <v>200</v>
      </c>
      <c r="C64" s="376" t="str">
        <f>CONCATENATE(B64,"°")</f>
        <v>200°</v>
      </c>
      <c r="D64" s="377"/>
      <c r="E64" s="166"/>
      <c r="F64" s="166"/>
      <c r="G64" s="166"/>
    </row>
    <row r="65" spans="1:31" ht="11.25" customHeight="1">
      <c r="C65" s="376"/>
      <c r="D65" s="377"/>
      <c r="E65" s="166"/>
      <c r="F65" s="166"/>
      <c r="G65" s="166"/>
    </row>
    <row r="68" spans="1:31">
      <c r="A68" s="368" t="s">
        <v>520</v>
      </c>
      <c r="B68" s="368"/>
      <c r="C68" s="368"/>
      <c r="D68" s="368"/>
      <c r="E68" s="368"/>
      <c r="F68" s="368"/>
      <c r="G68" s="368"/>
      <c r="H68" s="368"/>
      <c r="I68" s="368"/>
      <c r="J68" s="368"/>
      <c r="K68" s="368"/>
      <c r="L68" s="368"/>
      <c r="M68" s="368"/>
      <c r="N68" s="368"/>
      <c r="O68" s="368"/>
      <c r="P68" s="368"/>
      <c r="Q68" s="368"/>
      <c r="R68" s="368"/>
      <c r="S68" s="368"/>
      <c r="T68" s="368"/>
      <c r="U68" s="368"/>
      <c r="V68" s="368"/>
      <c r="W68" s="368"/>
      <c r="X68" s="368"/>
      <c r="Y68" s="368"/>
      <c r="Z68" s="368"/>
      <c r="AA68" s="368"/>
      <c r="AB68" s="368"/>
      <c r="AC68" s="368"/>
      <c r="AD68" s="368"/>
      <c r="AE68" s="368"/>
    </row>
    <row r="69" spans="1:31">
      <c r="A69" s="368"/>
      <c r="B69" s="368"/>
      <c r="C69" s="368"/>
      <c r="D69" s="368"/>
      <c r="E69" s="368"/>
      <c r="F69" s="368"/>
      <c r="G69" s="368"/>
      <c r="H69" s="368"/>
      <c r="I69" s="368"/>
      <c r="J69" s="368"/>
      <c r="K69" s="368"/>
      <c r="L69" s="368"/>
      <c r="M69" s="368"/>
      <c r="N69" s="368"/>
      <c r="O69" s="368"/>
      <c r="P69" s="368"/>
      <c r="Q69" s="368"/>
      <c r="R69" s="368"/>
      <c r="S69" s="368"/>
      <c r="T69" s="368"/>
      <c r="U69" s="368"/>
      <c r="V69" s="368"/>
      <c r="W69" s="368"/>
      <c r="X69" s="368"/>
      <c r="Y69" s="368"/>
      <c r="Z69" s="368"/>
      <c r="AA69" s="368"/>
      <c r="AB69" s="368"/>
      <c r="AC69" s="368"/>
      <c r="AD69" s="368"/>
      <c r="AE69" s="368"/>
    </row>
    <row r="71" spans="1:31">
      <c r="B71" s="160" t="s">
        <v>519</v>
      </c>
    </row>
    <row r="72" spans="1:31">
      <c r="C72" s="164" t="s">
        <v>518</v>
      </c>
      <c r="D72" s="164"/>
      <c r="E72" s="164"/>
      <c r="F72" s="164"/>
      <c r="G72" s="164"/>
      <c r="H72" s="164"/>
      <c r="I72" s="164"/>
      <c r="J72" s="164"/>
    </row>
    <row r="73" spans="1:31">
      <c r="D73" s="160" t="s">
        <v>517</v>
      </c>
    </row>
    <row r="74" spans="1:31">
      <c r="D74" s="160" t="s">
        <v>516</v>
      </c>
    </row>
    <row r="75" spans="1:31">
      <c r="D75" s="160" t="s">
        <v>515</v>
      </c>
    </row>
    <row r="76" spans="1:31">
      <c r="D76" s="165" t="s">
        <v>514</v>
      </c>
      <c r="E76" s="165"/>
      <c r="F76" s="165"/>
      <c r="G76" s="165"/>
      <c r="H76" s="146"/>
      <c r="I76" s="146"/>
      <c r="J76" s="146"/>
    </row>
    <row r="78" spans="1:31">
      <c r="C78" s="164" t="s">
        <v>513</v>
      </c>
      <c r="D78" s="164"/>
      <c r="E78" s="164"/>
      <c r="F78" s="164"/>
      <c r="G78" s="164"/>
      <c r="H78" s="164"/>
      <c r="I78" s="164"/>
      <c r="J78" s="164"/>
    </row>
    <row r="79" spans="1:31">
      <c r="D79" s="160" t="s">
        <v>512</v>
      </c>
    </row>
    <row r="81" spans="3:10">
      <c r="C81" s="164" t="s">
        <v>511</v>
      </c>
      <c r="D81" s="164"/>
      <c r="E81" s="164"/>
      <c r="F81" s="164"/>
      <c r="G81" s="164"/>
      <c r="H81" s="164"/>
      <c r="I81" s="164"/>
      <c r="J81" s="164"/>
    </row>
    <row r="82" spans="3:10">
      <c r="D82" s="160" t="s">
        <v>510</v>
      </c>
    </row>
    <row r="84" spans="3:10">
      <c r="C84" s="160" t="s">
        <v>509</v>
      </c>
    </row>
    <row r="85" spans="3:10">
      <c r="D85" s="160" t="s">
        <v>508</v>
      </c>
    </row>
    <row r="86" spans="3:10">
      <c r="D86" s="160" t="s">
        <v>507</v>
      </c>
      <c r="I86" s="160" t="s">
        <v>506</v>
      </c>
    </row>
    <row r="87" spans="3:10">
      <c r="I87" s="160" t="s">
        <v>505</v>
      </c>
    </row>
    <row r="89" spans="3:10" ht="15" customHeight="1"/>
    <row r="90" spans="3:10" ht="15" customHeight="1"/>
  </sheetData>
  <mergeCells count="78">
    <mergeCell ref="AS6:AT6"/>
    <mergeCell ref="C8:D9"/>
    <mergeCell ref="L7:M8"/>
    <mergeCell ref="N7:O8"/>
    <mergeCell ref="P7:Q8"/>
    <mergeCell ref="R7:S8"/>
    <mergeCell ref="T7:U8"/>
    <mergeCell ref="V7:W8"/>
    <mergeCell ref="Y6:Z6"/>
    <mergeCell ref="AC6:AD6"/>
    <mergeCell ref="AE6:AF6"/>
    <mergeCell ref="AG6:AH6"/>
    <mergeCell ref="Q5:R6"/>
    <mergeCell ref="AO6:AP6"/>
    <mergeCell ref="AL7:AM8"/>
    <mergeCell ref="AN7:AO8"/>
    <mergeCell ref="AP7:AQ8"/>
    <mergeCell ref="A68:AE69"/>
    <mergeCell ref="C30:D31"/>
    <mergeCell ref="C32:D33"/>
    <mergeCell ref="H7:I8"/>
    <mergeCell ref="J7:K8"/>
    <mergeCell ref="AQ6:AR6"/>
    <mergeCell ref="AK5:AL6"/>
    <mergeCell ref="I6:J6"/>
    <mergeCell ref="K6:L6"/>
    <mergeCell ref="M6:N6"/>
    <mergeCell ref="O6:P6"/>
    <mergeCell ref="S6:T6"/>
    <mergeCell ref="U6:V6"/>
    <mergeCell ref="W6:X6"/>
    <mergeCell ref="X7:Y8"/>
    <mergeCell ref="AD7:AE8"/>
    <mergeCell ref="AF7:AG8"/>
    <mergeCell ref="C34:D35"/>
    <mergeCell ref="C36:D37"/>
    <mergeCell ref="C38:D39"/>
    <mergeCell ref="C40:D41"/>
    <mergeCell ref="AA5:AB6"/>
    <mergeCell ref="W5:X5"/>
    <mergeCell ref="C20:D21"/>
    <mergeCell ref="C22:D23"/>
    <mergeCell ref="C24:D25"/>
    <mergeCell ref="C26:D27"/>
    <mergeCell ref="C28:D29"/>
    <mergeCell ref="C10:D11"/>
    <mergeCell ref="C12:D13"/>
    <mergeCell ref="C14:D15"/>
    <mergeCell ref="C16:D17"/>
    <mergeCell ref="C18:D19"/>
    <mergeCell ref="C64:D65"/>
    <mergeCell ref="C42:D43"/>
    <mergeCell ref="C44:D45"/>
    <mergeCell ref="C46:D47"/>
    <mergeCell ref="C48:D49"/>
    <mergeCell ref="C50:D51"/>
    <mergeCell ref="C52:D53"/>
    <mergeCell ref="C54:D55"/>
    <mergeCell ref="C56:D57"/>
    <mergeCell ref="C58:D59"/>
    <mergeCell ref="C60:D61"/>
    <mergeCell ref="C62:D63"/>
    <mergeCell ref="C1:AX2"/>
    <mergeCell ref="AU5:AV6"/>
    <mergeCell ref="AT7:AU8"/>
    <mergeCell ref="AV7:AW8"/>
    <mergeCell ref="G5:H6"/>
    <mergeCell ref="Z7:AA8"/>
    <mergeCell ref="AB7:AC8"/>
    <mergeCell ref="AW6:AX6"/>
    <mergeCell ref="E6:F6"/>
    <mergeCell ref="F7:G8"/>
    <mergeCell ref="AE5:AF5"/>
    <mergeCell ref="AH7:AI8"/>
    <mergeCell ref="AJ7:AK8"/>
    <mergeCell ref="AR7:AS8"/>
    <mergeCell ref="AI6:AJ6"/>
    <mergeCell ref="AM6:AN6"/>
  </mergeCells>
  <printOptions horizontalCentered="1" verticalCentered="1"/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DA1AA-64EC-4165-B829-79C4C722418C}">
  <dimension ref="B2:AA38"/>
  <sheetViews>
    <sheetView topLeftCell="B10" zoomScaleNormal="100" workbookViewId="0">
      <selection activeCell="U21" sqref="U21"/>
    </sheetView>
  </sheetViews>
  <sheetFormatPr defaultColWidth="9.140625" defaultRowHeight="15"/>
  <cols>
    <col min="11" max="13" width="11.7109375" customWidth="1"/>
    <col min="14" max="17" width="9.42578125" customWidth="1"/>
  </cols>
  <sheetData>
    <row r="2" spans="2:27">
      <c r="C2" s="140" t="s">
        <v>448</v>
      </c>
      <c r="D2" s="140" t="s">
        <v>449</v>
      </c>
      <c r="F2" s="144" t="s">
        <v>495</v>
      </c>
      <c r="G2" s="144">
        <v>1013</v>
      </c>
      <c r="H2" s="144" t="s">
        <v>496</v>
      </c>
      <c r="K2" s="140" t="s">
        <v>448</v>
      </c>
      <c r="L2" s="140" t="s">
        <v>449</v>
      </c>
      <c r="N2" s="144" t="s">
        <v>495</v>
      </c>
      <c r="O2" s="144">
        <f>G2</f>
        <v>1013</v>
      </c>
      <c r="P2" s="144" t="s">
        <v>496</v>
      </c>
      <c r="U2" s="110" t="s">
        <v>450</v>
      </c>
      <c r="V2" s="110">
        <v>1</v>
      </c>
      <c r="W2" s="110">
        <v>2</v>
      </c>
      <c r="X2" s="110">
        <v>3</v>
      </c>
      <c r="Y2" s="110">
        <v>4</v>
      </c>
      <c r="Z2" s="110">
        <v>5</v>
      </c>
      <c r="AA2" s="110">
        <v>6</v>
      </c>
    </row>
    <row r="3" spans="2:27">
      <c r="C3" s="141" t="s">
        <v>503</v>
      </c>
      <c r="D3" s="140">
        <v>1.5</v>
      </c>
      <c r="K3" s="142" t="str">
        <f>C3</f>
        <v>10:45</v>
      </c>
      <c r="L3" s="143">
        <f>D3</f>
        <v>1.5</v>
      </c>
      <c r="Q3" s="146" t="s">
        <v>452</v>
      </c>
      <c r="U3" s="110" t="s">
        <v>451</v>
      </c>
      <c r="V3" s="110">
        <v>1</v>
      </c>
      <c r="W3" s="110">
        <v>2</v>
      </c>
      <c r="X3" s="110">
        <v>3</v>
      </c>
      <c r="Y3" s="110">
        <v>3</v>
      </c>
      <c r="Z3" s="110">
        <v>2</v>
      </c>
      <c r="AA3" s="110">
        <v>1</v>
      </c>
    </row>
    <row r="4" spans="2:27">
      <c r="C4" s="141" t="s">
        <v>504</v>
      </c>
      <c r="D4" s="140">
        <v>6.6</v>
      </c>
      <c r="F4" t="s">
        <v>174</v>
      </c>
      <c r="G4">
        <f>1013-G2</f>
        <v>0</v>
      </c>
      <c r="H4" t="s">
        <v>498</v>
      </c>
      <c r="K4" s="142" t="str">
        <f>C4</f>
        <v>16:40</v>
      </c>
      <c r="L4" s="143">
        <f>D4</f>
        <v>6.6</v>
      </c>
      <c r="N4" s="144" t="s">
        <v>90</v>
      </c>
      <c r="O4" s="145" t="s">
        <v>501</v>
      </c>
      <c r="U4" s="110" t="s">
        <v>453</v>
      </c>
      <c r="V4" s="110">
        <f>V3</f>
        <v>1</v>
      </c>
      <c r="W4" s="110">
        <f>V4+W3</f>
        <v>3</v>
      </c>
      <c r="X4" s="110">
        <f>W4+X3</f>
        <v>6</v>
      </c>
      <c r="Y4" s="110">
        <f>X4+Y3</f>
        <v>9</v>
      </c>
      <c r="Z4" s="110">
        <f>Y4+Z3</f>
        <v>11</v>
      </c>
      <c r="AA4" s="110">
        <f>Z4+AA3</f>
        <v>12</v>
      </c>
    </row>
    <row r="6" spans="2:27">
      <c r="D6" s="147" t="s">
        <v>450</v>
      </c>
      <c r="E6" s="117" cm="1">
        <f t="array" ref="E6">(heureConvert2Decimal(C4)-heureConvert2Decimal(C3))/6</f>
        <v>0.98611111111111127</v>
      </c>
      <c r="F6" t="s">
        <v>454</v>
      </c>
      <c r="G6" s="117">
        <f>E6*60</f>
        <v>59.166666666666679</v>
      </c>
      <c r="H6" t="s">
        <v>23</v>
      </c>
      <c r="K6" s="397" t="s">
        <v>456</v>
      </c>
      <c r="L6" s="397"/>
      <c r="M6" s="397"/>
      <c r="N6" s="399" t="str">
        <f>CONCATENATE("(",D4," - ",D3,")")</f>
        <v>(6.6 - 1.5)</v>
      </c>
      <c r="O6" s="399"/>
      <c r="P6" s="399"/>
      <c r="Q6" s="399"/>
      <c r="R6" s="148">
        <f>D4-D3</f>
        <v>5.0999999999999996</v>
      </c>
      <c r="S6" s="149" t="s">
        <v>457</v>
      </c>
    </row>
    <row r="7" spans="2:27">
      <c r="D7" s="147" t="s">
        <v>455</v>
      </c>
      <c r="E7" s="117">
        <f>D4-D3</f>
        <v>5.0999999999999996</v>
      </c>
      <c r="F7" t="s">
        <v>61</v>
      </c>
      <c r="K7" s="397" t="s">
        <v>458</v>
      </c>
      <c r="L7" s="397"/>
      <c r="M7" s="397"/>
      <c r="N7" s="399" t="str">
        <f>CONCATENATE("ma / 12")</f>
        <v>ma / 12</v>
      </c>
      <c r="O7" s="399"/>
      <c r="P7" s="399"/>
      <c r="Q7" s="399"/>
      <c r="R7" s="148">
        <f>E8</f>
        <v>0.42499999999999999</v>
      </c>
      <c r="S7" s="149" t="s">
        <v>457</v>
      </c>
    </row>
    <row r="8" spans="2:27">
      <c r="D8" s="147" t="s">
        <v>451</v>
      </c>
      <c r="E8" s="117">
        <f>E7/12</f>
        <v>0.42499999999999999</v>
      </c>
      <c r="K8" s="397" t="s">
        <v>459</v>
      </c>
      <c r="L8" s="397"/>
      <c r="M8" s="397"/>
      <c r="N8" s="399" t="str">
        <f>CONCATENATE("(",C4," - ", C3,")/6")</f>
        <v>(16:40 - 10:45)/6</v>
      </c>
      <c r="O8" s="399"/>
      <c r="P8" s="399"/>
      <c r="Q8" s="399"/>
      <c r="R8" s="148">
        <f>INT(G6)</f>
        <v>59</v>
      </c>
      <c r="S8" s="149" t="s">
        <v>460</v>
      </c>
    </row>
    <row r="9" spans="2:27">
      <c r="K9" s="397" t="s">
        <v>461</v>
      </c>
      <c r="L9" s="397"/>
      <c r="M9" s="397"/>
      <c r="N9" s="399" t="str">
        <f>CONCATENATE(C11," - ", C3)</f>
        <v>13:30 - 10:45</v>
      </c>
      <c r="O9" s="399"/>
      <c r="P9" s="399"/>
      <c r="Q9" s="399"/>
      <c r="R9" s="148">
        <f>E12</f>
        <v>2.75</v>
      </c>
      <c r="S9" s="149" t="s">
        <v>454</v>
      </c>
    </row>
    <row r="10" spans="2:27">
      <c r="K10" s="397" t="s">
        <v>462</v>
      </c>
      <c r="L10" s="397"/>
      <c r="M10" s="397"/>
      <c r="N10" s="398" t="s">
        <v>463</v>
      </c>
      <c r="O10" s="399"/>
      <c r="P10" s="399"/>
      <c r="Q10" s="399"/>
      <c r="R10" s="148">
        <f>E13</f>
        <v>2.7887323943661966</v>
      </c>
      <c r="S10" s="149" t="s">
        <v>450</v>
      </c>
    </row>
    <row r="11" spans="2:27">
      <c r="B11" s="144" t="s">
        <v>90</v>
      </c>
      <c r="C11" s="145" t="s">
        <v>502</v>
      </c>
      <c r="K11" s="397" t="s">
        <v>465</v>
      </c>
      <c r="L11" s="397"/>
      <c r="M11" s="397"/>
      <c r="N11" s="399"/>
      <c r="O11" s="399"/>
      <c r="P11" s="399"/>
      <c r="Q11" s="399"/>
      <c r="R11" s="148">
        <f>H14</f>
        <v>3</v>
      </c>
      <c r="S11" s="149" t="s">
        <v>466</v>
      </c>
    </row>
    <row r="12" spans="2:27" ht="15.75" thickBot="1">
      <c r="C12" s="147" t="s">
        <v>464</v>
      </c>
      <c r="D12" s="147"/>
      <c r="E12" s="117" cm="1">
        <f t="array" ref="E12">heureConvert2Decimal(C11)-heureConvert2Decimal(C3)</f>
        <v>2.75</v>
      </c>
      <c r="K12" s="397" t="s">
        <v>468</v>
      </c>
      <c r="L12" s="397"/>
      <c r="M12" s="397"/>
      <c r="N12" s="399"/>
      <c r="O12" s="399"/>
      <c r="P12" s="399"/>
      <c r="Q12" s="399"/>
      <c r="R12" s="148">
        <f>1+INT(R10)</f>
        <v>3</v>
      </c>
      <c r="S12" s="149" t="s">
        <v>469</v>
      </c>
    </row>
    <row r="13" spans="2:27" ht="16.5" thickTop="1" thickBot="1">
      <c r="C13" s="147" t="s">
        <v>467</v>
      </c>
      <c r="D13" s="147"/>
      <c r="E13" s="117">
        <f>E12/E6</f>
        <v>2.7887323943661966</v>
      </c>
      <c r="F13" s="150">
        <f>INT(E13)</f>
        <v>2</v>
      </c>
      <c r="G13" s="150">
        <f>E13-F13</f>
        <v>0.78873239436619658</v>
      </c>
      <c r="K13" s="400" t="s">
        <v>471</v>
      </c>
      <c r="L13" s="400"/>
      <c r="M13" s="400"/>
      <c r="N13" s="391"/>
      <c r="O13" s="391"/>
      <c r="P13" s="391"/>
      <c r="Q13" s="391"/>
      <c r="R13" s="151">
        <f>H15</f>
        <v>3</v>
      </c>
      <c r="S13" s="152" t="s">
        <v>466</v>
      </c>
    </row>
    <row r="14" spans="2:27" ht="15.75" thickTop="1">
      <c r="C14" s="147"/>
      <c r="D14" s="147"/>
      <c r="F14" s="147" t="s">
        <v>470</v>
      </c>
      <c r="G14" s="147"/>
      <c r="H14" s="117">
        <f>_xlfn.IFNA(I14,0)</f>
        <v>3</v>
      </c>
      <c r="I14" s="117">
        <f>HLOOKUP(F13,V2:AA4,3)</f>
        <v>3</v>
      </c>
      <c r="K14" s="388" t="s">
        <v>473</v>
      </c>
      <c r="L14" s="388"/>
      <c r="M14" s="388"/>
      <c r="N14" s="390" t="s">
        <v>474</v>
      </c>
      <c r="O14" s="391"/>
      <c r="P14" s="391"/>
      <c r="Q14" s="391"/>
      <c r="R14" s="392">
        <f>R13*G13</f>
        <v>2.3661971830985897</v>
      </c>
      <c r="S14" s="394" t="s">
        <v>466</v>
      </c>
    </row>
    <row r="15" spans="2:27">
      <c r="C15" s="147"/>
      <c r="D15" s="147"/>
      <c r="F15" s="147" t="s">
        <v>472</v>
      </c>
      <c r="H15" s="117">
        <f>I15</f>
        <v>3</v>
      </c>
      <c r="I15" s="117">
        <f>HLOOKUP(F13+1,V2:AA4,2)</f>
        <v>3</v>
      </c>
      <c r="K15" s="389"/>
      <c r="L15" s="389"/>
      <c r="M15" s="389"/>
      <c r="N15" s="396" t="str">
        <f>CONCATENATE(TEXT(G13,"#0,###")," * ",R13)</f>
        <v>0,1 * 3</v>
      </c>
      <c r="O15" s="396"/>
      <c r="P15" s="396"/>
      <c r="Q15" s="396"/>
      <c r="R15" s="393"/>
      <c r="S15" s="395"/>
    </row>
    <row r="16" spans="2:27">
      <c r="C16" s="147" t="s">
        <v>475</v>
      </c>
      <c r="D16" s="147"/>
      <c r="E16" s="117">
        <f>H14+H15*G13</f>
        <v>5.3661971830985902</v>
      </c>
      <c r="K16" s="397" t="s">
        <v>477</v>
      </c>
      <c r="L16" s="397"/>
      <c r="M16" s="397"/>
      <c r="N16" s="398" t="s">
        <v>478</v>
      </c>
      <c r="O16" s="399"/>
      <c r="P16" s="399"/>
      <c r="Q16" s="399"/>
      <c r="R16" s="148">
        <f>R14+R11</f>
        <v>5.3661971830985902</v>
      </c>
      <c r="S16" s="149" t="s">
        <v>466</v>
      </c>
    </row>
    <row r="17" spans="2:19">
      <c r="C17" s="153" t="s">
        <v>476</v>
      </c>
      <c r="E17">
        <f>E16*E8</f>
        <v>2.2806338028169009</v>
      </c>
      <c r="K17" s="397" t="s">
        <v>476</v>
      </c>
      <c r="L17" s="397"/>
      <c r="M17" s="397"/>
      <c r="N17" s="398" t="s">
        <v>479</v>
      </c>
      <c r="O17" s="399"/>
      <c r="P17" s="399"/>
      <c r="Q17" s="399"/>
      <c r="R17" s="148">
        <f>R16*R7</f>
        <v>2.2806338028169009</v>
      </c>
      <c r="S17" s="149" t="s">
        <v>61</v>
      </c>
    </row>
    <row r="18" spans="2:19">
      <c r="C18" s="154" t="s">
        <v>178</v>
      </c>
      <c r="D18" s="146"/>
      <c r="E18" s="146">
        <f>D3+E17</f>
        <v>3.7806338028169009</v>
      </c>
      <c r="K18" s="401" t="s">
        <v>499</v>
      </c>
      <c r="L18" s="401"/>
      <c r="M18" s="401"/>
      <c r="N18" s="402" t="s">
        <v>480</v>
      </c>
      <c r="O18" s="403"/>
      <c r="P18" s="403"/>
      <c r="Q18" s="403"/>
      <c r="R18" s="161" t="str">
        <f>TEXT(D3+R17,"00,00")</f>
        <v>0,004</v>
      </c>
      <c r="S18" s="162" t="s">
        <v>61</v>
      </c>
    </row>
    <row r="19" spans="2:19">
      <c r="K19" s="397" t="s">
        <v>497</v>
      </c>
      <c r="L19" s="397"/>
      <c r="M19" s="397"/>
      <c r="N19" s="398" t="str">
        <f>CONCATENATE("Pression: ",O2,"   -&gt; correction: ")</f>
        <v xml:space="preserve">Pression: 1013   -&gt; correction: </v>
      </c>
      <c r="O19" s="399"/>
      <c r="P19" s="399"/>
      <c r="Q19" s="399"/>
      <c r="R19" s="148">
        <f>G4/100</f>
        <v>0</v>
      </c>
      <c r="S19" s="149" t="s">
        <v>61</v>
      </c>
    </row>
    <row r="20" spans="2:19">
      <c r="K20" s="383" t="s">
        <v>500</v>
      </c>
      <c r="L20" s="383"/>
      <c r="M20" s="383"/>
      <c r="N20" s="384"/>
      <c r="O20" s="385"/>
      <c r="P20" s="385"/>
      <c r="Q20" s="385"/>
      <c r="R20" s="155">
        <f>E18+G4/100</f>
        <v>3.7806338028169009</v>
      </c>
      <c r="S20" s="156" t="s">
        <v>61</v>
      </c>
    </row>
    <row r="23" spans="2:19">
      <c r="B23" s="144" t="s">
        <v>454</v>
      </c>
      <c r="C23" s="157">
        <v>2.9</v>
      </c>
      <c r="K23" s="140" t="s">
        <v>448</v>
      </c>
      <c r="L23" s="140" t="s">
        <v>449</v>
      </c>
    </row>
    <row r="24" spans="2:19" ht="15.75" thickBot="1">
      <c r="C24" s="147" t="s">
        <v>476</v>
      </c>
      <c r="D24" s="147"/>
      <c r="E24" s="117">
        <f>C23-D3</f>
        <v>1.4</v>
      </c>
      <c r="K24" s="141" t="str">
        <f>C3</f>
        <v>10:45</v>
      </c>
      <c r="L24" s="143">
        <f>D3</f>
        <v>1.5</v>
      </c>
      <c r="N24" s="144" t="s">
        <v>454</v>
      </c>
      <c r="O24" s="158">
        <f>C23</f>
        <v>2.9</v>
      </c>
      <c r="P24" t="s">
        <v>61</v>
      </c>
      <c r="Q24" s="146" t="s">
        <v>481</v>
      </c>
    </row>
    <row r="25" spans="2:19" ht="16.5" thickTop="1" thickBot="1">
      <c r="C25" s="147" t="s">
        <v>475</v>
      </c>
      <c r="D25" s="147"/>
      <c r="E25" s="117">
        <f>E24/E8</f>
        <v>3.2941176470588234</v>
      </c>
      <c r="F25" s="150">
        <f>INT(E25)</f>
        <v>3</v>
      </c>
      <c r="G25" s="150"/>
      <c r="K25" s="159" t="str">
        <f>C4</f>
        <v>16:40</v>
      </c>
      <c r="L25" s="143">
        <f>D4</f>
        <v>6.6</v>
      </c>
    </row>
    <row r="26" spans="2:19" ht="15.75" thickTop="1">
      <c r="C26" s="147"/>
      <c r="D26" s="147"/>
      <c r="F26" s="147" t="s">
        <v>482</v>
      </c>
      <c r="H26" s="117">
        <f>_xlfn.IFNA(I26,0)</f>
        <v>2</v>
      </c>
      <c r="I26" s="117">
        <f>MATCH(F25,V4:AA4,1)</f>
        <v>2</v>
      </c>
    </row>
    <row r="27" spans="2:19">
      <c r="F27" s="147" t="s">
        <v>470</v>
      </c>
      <c r="G27" s="147"/>
      <c r="H27" s="117">
        <f>_xlfn.IFNA(I27,0)</f>
        <v>2</v>
      </c>
      <c r="I27" s="117" cm="1">
        <f t="array" ref="I27">INDEX(V2:AA2,1,I26)</f>
        <v>2</v>
      </c>
      <c r="K27" s="397" t="s">
        <v>456</v>
      </c>
      <c r="L27" s="397"/>
      <c r="M27" s="397"/>
      <c r="N27" s="399" t="str">
        <f>CONCATENATE("(",D4," - ",D3,")")</f>
        <v>(6.6 - 1.5)</v>
      </c>
      <c r="O27" s="399"/>
      <c r="P27" s="399"/>
      <c r="Q27" s="399"/>
      <c r="R27" s="148">
        <f>E7</f>
        <v>5.0999999999999996</v>
      </c>
      <c r="S27" s="149" t="s">
        <v>457</v>
      </c>
    </row>
    <row r="28" spans="2:19">
      <c r="F28" s="147" t="s">
        <v>483</v>
      </c>
      <c r="G28" s="147"/>
      <c r="H28" s="117">
        <f>_xlfn.IFNA(I28,0)</f>
        <v>3</v>
      </c>
      <c r="I28" s="117" cm="1">
        <f t="array" ref="I28">INDEX(V4:AA4,1,I26)</f>
        <v>3</v>
      </c>
      <c r="K28" s="397" t="s">
        <v>458</v>
      </c>
      <c r="L28" s="397"/>
      <c r="M28" s="397"/>
      <c r="N28" s="399" t="str">
        <f>CONCATENATE("ma / 12")</f>
        <v>ma / 12</v>
      </c>
      <c r="O28" s="399"/>
      <c r="P28" s="399"/>
      <c r="Q28" s="399"/>
      <c r="R28" s="148">
        <f>E8</f>
        <v>0.42499999999999999</v>
      </c>
      <c r="S28" s="149" t="s">
        <v>457</v>
      </c>
    </row>
    <row r="29" spans="2:19">
      <c r="F29" s="147" t="s">
        <v>472</v>
      </c>
      <c r="G29" s="147"/>
      <c r="H29" s="117">
        <f>_xlfn.IFNA(I29,0)</f>
        <v>3</v>
      </c>
      <c r="I29" s="117" cm="1">
        <f t="array" ref="I29">INDEX(V3:AA3,1,1+H26)</f>
        <v>3</v>
      </c>
      <c r="K29" s="397" t="s">
        <v>459</v>
      </c>
      <c r="L29" s="397"/>
      <c r="M29" s="397"/>
      <c r="N29" s="399" t="str">
        <f>CONCATENATE("(",C4," - ", C3,")/6")</f>
        <v>(16:40 - 10:45)/6</v>
      </c>
      <c r="O29" s="399"/>
      <c r="P29" s="399"/>
      <c r="Q29" s="399"/>
      <c r="R29" s="148">
        <f>G6</f>
        <v>59.166666666666679</v>
      </c>
      <c r="S29" s="149" t="s">
        <v>460</v>
      </c>
    </row>
    <row r="30" spans="2:19">
      <c r="C30" s="147" t="s">
        <v>467</v>
      </c>
      <c r="D30" s="147"/>
      <c r="E30" s="117">
        <f>H27+(E25-H28)/H29</f>
        <v>2.0980392156862746</v>
      </c>
      <c r="K30" s="397" t="s">
        <v>484</v>
      </c>
      <c r="L30" s="397"/>
      <c r="M30" s="397"/>
      <c r="N30" s="399" t="str">
        <f>CONCATENATE(C23," - ",D3)</f>
        <v>2.9 - 1.5</v>
      </c>
      <c r="O30" s="399"/>
      <c r="P30" s="399"/>
      <c r="Q30" s="399"/>
      <c r="R30" s="148">
        <f>E24</f>
        <v>1.4</v>
      </c>
      <c r="S30" s="149" t="s">
        <v>61</v>
      </c>
    </row>
    <row r="31" spans="2:19">
      <c r="C31" s="153" t="s">
        <v>485</v>
      </c>
      <c r="E31">
        <f>E30*E6</f>
        <v>2.0688997821350767</v>
      </c>
      <c r="K31" s="397" t="s">
        <v>486</v>
      </c>
      <c r="L31" s="397"/>
      <c r="M31" s="397"/>
      <c r="N31" s="398" t="str">
        <f>CONCATENATE("V / Dz = ",TEXT(E24,"00,00")," / ",TEXT(E8,"00,00"))</f>
        <v>V / Dz = 0,001 / 0,000</v>
      </c>
      <c r="O31" s="399"/>
      <c r="P31" s="399"/>
      <c r="Q31" s="399"/>
      <c r="R31" s="148">
        <f>E25</f>
        <v>3.2941176470588234</v>
      </c>
      <c r="S31" s="149"/>
    </row>
    <row r="32" spans="2:19">
      <c r="C32" s="154" t="s">
        <v>178</v>
      </c>
      <c r="D32" s="146"/>
      <c r="E32" s="146" t="str" cm="1">
        <f t="array" ref="E32">heureDecimal2Txt(heureConvert2Decimal(C3)+E31,0)</f>
        <v>12:49:08.03</v>
      </c>
      <c r="K32" s="397" t="s">
        <v>487</v>
      </c>
      <c r="L32" s="397"/>
      <c r="M32" s="397"/>
      <c r="N32" s="399"/>
      <c r="O32" s="399"/>
      <c r="P32" s="399"/>
      <c r="Q32" s="399"/>
      <c r="R32" s="148">
        <f>H27</f>
        <v>2</v>
      </c>
      <c r="S32" s="149" t="s">
        <v>450</v>
      </c>
    </row>
    <row r="33" spans="11:19">
      <c r="K33" s="397" t="s">
        <v>488</v>
      </c>
      <c r="L33" s="397"/>
      <c r="M33" s="397"/>
      <c r="N33" s="399" t="s">
        <v>489</v>
      </c>
      <c r="O33" s="399"/>
      <c r="P33" s="399"/>
      <c r="Q33" s="399"/>
      <c r="R33" s="148">
        <f>R31-H28</f>
        <v>0.29411764705882337</v>
      </c>
      <c r="S33" s="149" t="s">
        <v>469</v>
      </c>
    </row>
    <row r="34" spans="11:19">
      <c r="K34" s="400" t="s">
        <v>471</v>
      </c>
      <c r="L34" s="400"/>
      <c r="M34" s="400"/>
      <c r="N34" s="391"/>
      <c r="O34" s="391"/>
      <c r="P34" s="391"/>
      <c r="Q34" s="391"/>
      <c r="R34" s="151">
        <f>H29</f>
        <v>3</v>
      </c>
      <c r="S34" s="152" t="s">
        <v>466</v>
      </c>
    </row>
    <row r="35" spans="11:19">
      <c r="K35" s="388" t="s">
        <v>490</v>
      </c>
      <c r="L35" s="388"/>
      <c r="M35" s="388"/>
      <c r="N35" s="390" t="s">
        <v>491</v>
      </c>
      <c r="O35" s="391"/>
      <c r="P35" s="391"/>
      <c r="Q35" s="391"/>
      <c r="R35" s="392">
        <f>R33/R34</f>
        <v>9.8039215686274453E-2</v>
      </c>
      <c r="S35" s="394" t="s">
        <v>450</v>
      </c>
    </row>
    <row r="36" spans="11:19">
      <c r="K36" s="389"/>
      <c r="L36" s="389"/>
      <c r="M36" s="389"/>
      <c r="N36" s="396" t="str">
        <f>CONCATENATE(TEXT(R33,"#0,###")," / ",R34)</f>
        <v>0, / 3</v>
      </c>
      <c r="O36" s="396"/>
      <c r="P36" s="396"/>
      <c r="Q36" s="396"/>
      <c r="R36" s="393"/>
      <c r="S36" s="395"/>
    </row>
    <row r="37" spans="11:19">
      <c r="K37" s="397" t="s">
        <v>492</v>
      </c>
      <c r="L37" s="397"/>
      <c r="M37" s="397"/>
      <c r="N37" s="398" t="s">
        <v>478</v>
      </c>
      <c r="O37" s="399"/>
      <c r="P37" s="399"/>
      <c r="Q37" s="399"/>
      <c r="R37" s="148">
        <f>R35+R32</f>
        <v>2.0980392156862746</v>
      </c>
      <c r="S37" s="149" t="s">
        <v>466</v>
      </c>
    </row>
    <row r="38" spans="11:19">
      <c r="K38" s="383" t="s">
        <v>493</v>
      </c>
      <c r="L38" s="383"/>
      <c r="M38" s="383"/>
      <c r="N38" s="384" t="s">
        <v>494</v>
      </c>
      <c r="O38" s="385"/>
      <c r="P38" s="385"/>
      <c r="Q38" s="385"/>
      <c r="R38" s="386" t="str">
        <f>E32</f>
        <v>12:49:08.03</v>
      </c>
      <c r="S38" s="387"/>
    </row>
  </sheetData>
  <mergeCells count="57">
    <mergeCell ref="K6:M6"/>
    <mergeCell ref="N6:Q6"/>
    <mergeCell ref="K7:M7"/>
    <mergeCell ref="N7:Q7"/>
    <mergeCell ref="K8:M8"/>
    <mergeCell ref="N8:Q8"/>
    <mergeCell ref="K9:M9"/>
    <mergeCell ref="N9:Q9"/>
    <mergeCell ref="K10:M10"/>
    <mergeCell ref="N10:Q10"/>
    <mergeCell ref="K11:M11"/>
    <mergeCell ref="N11:Q11"/>
    <mergeCell ref="K17:M17"/>
    <mergeCell ref="N17:Q17"/>
    <mergeCell ref="K12:M12"/>
    <mergeCell ref="N12:Q12"/>
    <mergeCell ref="K13:M13"/>
    <mergeCell ref="N13:Q13"/>
    <mergeCell ref="K14:M15"/>
    <mergeCell ref="N14:Q14"/>
    <mergeCell ref="R14:R15"/>
    <mergeCell ref="S14:S15"/>
    <mergeCell ref="N15:Q15"/>
    <mergeCell ref="K16:M16"/>
    <mergeCell ref="N16:Q16"/>
    <mergeCell ref="K18:M18"/>
    <mergeCell ref="N18:Q18"/>
    <mergeCell ref="K27:M27"/>
    <mergeCell ref="N27:Q27"/>
    <mergeCell ref="K28:M28"/>
    <mergeCell ref="N28:Q28"/>
    <mergeCell ref="K19:M19"/>
    <mergeCell ref="N19:Q19"/>
    <mergeCell ref="K20:M20"/>
    <mergeCell ref="N20:Q20"/>
    <mergeCell ref="K29:M29"/>
    <mergeCell ref="N29:Q29"/>
    <mergeCell ref="K30:M30"/>
    <mergeCell ref="N30:Q30"/>
    <mergeCell ref="K31:M31"/>
    <mergeCell ref="N31:Q31"/>
    <mergeCell ref="K32:M32"/>
    <mergeCell ref="N32:Q32"/>
    <mergeCell ref="K33:M33"/>
    <mergeCell ref="N33:Q33"/>
    <mergeCell ref="K34:M34"/>
    <mergeCell ref="N34:Q34"/>
    <mergeCell ref="K38:M38"/>
    <mergeCell ref="N38:Q38"/>
    <mergeCell ref="R38:S38"/>
    <mergeCell ref="K35:M36"/>
    <mergeCell ref="N35:Q35"/>
    <mergeCell ref="R35:R36"/>
    <mergeCell ref="S35:S36"/>
    <mergeCell ref="N36:Q36"/>
    <mergeCell ref="K37:M37"/>
    <mergeCell ref="N37:Q3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opLeftCell="I62" zoomScaleNormal="100" workbookViewId="0">
      <selection activeCell="R77" sqref="R77"/>
    </sheetView>
  </sheetViews>
  <sheetFormatPr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7" width="10.140625" customWidth="1"/>
    <col min="8" max="8" width="13.85546875" customWidth="1"/>
    <col min="9" max="9" width="10.140625" customWidth="1"/>
    <col min="10" max="10" width="12.140625" customWidth="1"/>
    <col min="11" max="15" width="10.140625" customWidth="1"/>
    <col min="16" max="17" width="10.140625" style="71" customWidth="1"/>
    <col min="18" max="20" width="10.42578125" customWidth="1"/>
    <col min="21" max="26" width="2" customWidth="1"/>
    <col min="27" max="27" width="2" style="78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70" customFormat="1" ht="17.25" customHeight="1">
      <c r="C1" s="457" t="s">
        <v>75</v>
      </c>
      <c r="D1" s="457"/>
      <c r="E1" s="457"/>
      <c r="F1" s="457"/>
      <c r="G1" s="458" t="s">
        <v>76</v>
      </c>
      <c r="H1" s="458"/>
      <c r="I1" s="458"/>
      <c r="J1" s="458"/>
      <c r="K1" s="458"/>
      <c r="L1" s="458"/>
      <c r="M1" s="458"/>
      <c r="N1" s="458"/>
      <c r="O1" s="458"/>
      <c r="P1" s="458"/>
      <c r="Q1" s="458"/>
      <c r="R1" s="458"/>
      <c r="S1" s="458"/>
      <c r="T1" s="458"/>
      <c r="U1" s="458"/>
      <c r="V1" s="458"/>
      <c r="W1" s="458"/>
      <c r="X1" s="458"/>
      <c r="Y1" s="458"/>
      <c r="AB1" s="404" t="s">
        <v>151</v>
      </c>
      <c r="AC1" s="404"/>
      <c r="AD1" s="404"/>
      <c r="AM1" s="72"/>
    </row>
    <row r="2" spans="2:48" s="70" customFormat="1" ht="17.25" customHeight="1">
      <c r="C2" s="457"/>
      <c r="D2" s="457"/>
      <c r="E2" s="457"/>
      <c r="F2" s="457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AB2" s="73" t="s">
        <v>81</v>
      </c>
      <c r="AC2"/>
      <c r="AD2"/>
      <c r="AM2" s="72"/>
    </row>
    <row r="3" spans="2:48" s="70" customFormat="1" ht="17.25" customHeight="1">
      <c r="C3" s="457"/>
      <c r="D3" s="457"/>
      <c r="E3" s="457"/>
      <c r="F3" s="457"/>
      <c r="G3" s="459" t="s">
        <v>78</v>
      </c>
      <c r="H3" s="459"/>
      <c r="I3" s="459"/>
      <c r="J3" s="461" t="s">
        <v>77</v>
      </c>
      <c r="K3" s="461"/>
      <c r="L3" s="461"/>
      <c r="P3" s="469" t="s">
        <v>204</v>
      </c>
      <c r="Q3" s="470"/>
      <c r="R3" s="470"/>
      <c r="S3" s="470"/>
      <c r="T3" s="470"/>
      <c r="AB3" s="74" t="s">
        <v>66</v>
      </c>
      <c r="AC3"/>
      <c r="AD3"/>
      <c r="AM3" s="72"/>
    </row>
    <row r="4" spans="2:48" s="70" customFormat="1" ht="17.25" customHeight="1">
      <c r="C4" s="457"/>
      <c r="D4" s="457"/>
      <c r="E4" s="457"/>
      <c r="F4" s="457"/>
      <c r="G4" s="460"/>
      <c r="H4" s="460"/>
      <c r="I4" s="460"/>
      <c r="J4" s="462"/>
      <c r="K4" s="462"/>
      <c r="L4" s="462"/>
      <c r="P4" s="469" t="s">
        <v>206</v>
      </c>
      <c r="Q4" s="470"/>
      <c r="R4" s="470"/>
      <c r="S4" s="470"/>
      <c r="T4" s="470"/>
      <c r="AB4" s="74" t="s">
        <v>67</v>
      </c>
      <c r="AC4"/>
      <c r="AD4"/>
      <c r="AM4" s="72"/>
    </row>
    <row r="5" spans="2:48" s="70" customFormat="1" ht="17.25" customHeight="1" thickBot="1">
      <c r="C5" s="75"/>
      <c r="D5" s="75"/>
      <c r="E5" s="75"/>
      <c r="F5" s="75"/>
      <c r="G5" s="75"/>
      <c r="P5" s="471" t="s">
        <v>207</v>
      </c>
      <c r="Q5" s="472"/>
      <c r="R5" s="472"/>
      <c r="S5" s="472"/>
      <c r="T5" s="472"/>
      <c r="AB5"/>
      <c r="AC5"/>
      <c r="AD5"/>
      <c r="AM5" s="72"/>
    </row>
    <row r="6" spans="2:48" s="70" customFormat="1" ht="17.25" customHeight="1" thickBot="1">
      <c r="B6" s="76" t="s">
        <v>152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B6"/>
      <c r="AC6"/>
      <c r="AD6"/>
      <c r="AM6" s="72"/>
    </row>
    <row r="7" spans="2:48">
      <c r="AC7" t="s">
        <v>86</v>
      </c>
      <c r="AD7" s="79">
        <f ca="1">TODAY()</f>
        <v>45831</v>
      </c>
      <c r="AI7" s="80">
        <f ca="1">AD7</f>
        <v>45831</v>
      </c>
      <c r="AQ7" t="s">
        <v>89</v>
      </c>
      <c r="AR7" t="s">
        <v>27</v>
      </c>
      <c r="AS7" t="s">
        <v>90</v>
      </c>
      <c r="AT7" t="s">
        <v>23</v>
      </c>
      <c r="AU7" t="s">
        <v>90</v>
      </c>
    </row>
    <row r="8" spans="2:48">
      <c r="B8" t="s">
        <v>193</v>
      </c>
      <c r="C8" t="b">
        <f>D8</f>
        <v>1</v>
      </c>
      <c r="D8" t="b">
        <f>TRUE</f>
        <v>1</v>
      </c>
      <c r="F8" s="440" t="s">
        <v>29</v>
      </c>
      <c r="G8" s="440"/>
      <c r="H8" s="440"/>
      <c r="I8" s="440"/>
      <c r="J8" s="440"/>
      <c r="K8" s="440"/>
      <c r="L8" s="440"/>
      <c r="M8" s="440"/>
      <c r="P8"/>
      <c r="R8" s="71"/>
      <c r="AA8"/>
      <c r="AB8" s="78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440" t="s">
        <v>65</v>
      </c>
      <c r="G9" s="440"/>
      <c r="H9" s="440"/>
      <c r="I9" s="440"/>
      <c r="J9" s="440" t="s">
        <v>68</v>
      </c>
      <c r="K9" s="440"/>
      <c r="L9" s="440"/>
      <c r="M9" s="440"/>
      <c r="P9"/>
      <c r="R9" s="71"/>
      <c r="AA9"/>
      <c r="AB9" s="78"/>
      <c r="AE9" t="str">
        <f>CONCATENATE(D31,"-",D30)</f>
        <v>Pas-St Quay -Port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440" t="s">
        <v>66</v>
      </c>
      <c r="G10" s="440"/>
      <c r="H10" s="440" t="s">
        <v>67</v>
      </c>
      <c r="I10" s="440"/>
      <c r="J10" s="440" t="s">
        <v>66</v>
      </c>
      <c r="K10" s="440"/>
      <c r="L10" s="440" t="s">
        <v>67</v>
      </c>
      <c r="M10" s="440"/>
      <c r="P10"/>
      <c r="Q10"/>
      <c r="AA10"/>
      <c r="AB10" s="78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449" t="s">
        <v>62</v>
      </c>
      <c r="C11" s="449"/>
      <c r="D11" s="437" t="s">
        <v>64</v>
      </c>
      <c r="E11" s="439"/>
      <c r="F11" s="81" t="s">
        <v>69</v>
      </c>
      <c r="G11" s="84" t="s">
        <v>192</v>
      </c>
      <c r="H11" s="81" t="s">
        <v>69</v>
      </c>
      <c r="I11" s="84" t="s">
        <v>192</v>
      </c>
      <c r="J11" s="81" t="s">
        <v>69</v>
      </c>
      <c r="K11" s="84" t="s">
        <v>192</v>
      </c>
      <c r="L11" s="81" t="s">
        <v>69</v>
      </c>
      <c r="M11" s="84" t="s">
        <v>192</v>
      </c>
      <c r="P11"/>
      <c r="Q11"/>
      <c r="AA11"/>
      <c r="AB11" s="78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436" t="s">
        <v>63</v>
      </c>
      <c r="C12" s="436"/>
      <c r="D12" s="430" t="s">
        <v>54</v>
      </c>
      <c r="E12" s="431"/>
      <c r="F12" s="85">
        <v>0.23</v>
      </c>
      <c r="G12" s="86" t="s">
        <v>71</v>
      </c>
      <c r="H12" s="85">
        <v>-2.1</v>
      </c>
      <c r="I12" s="87" t="s">
        <v>70</v>
      </c>
      <c r="J12" s="85">
        <v>0.13</v>
      </c>
      <c r="K12" s="86" t="s">
        <v>71</v>
      </c>
      <c r="L12" s="85">
        <v>-0.78</v>
      </c>
      <c r="M12" s="87" t="s">
        <v>73</v>
      </c>
      <c r="P12"/>
      <c r="Q12"/>
      <c r="AA12"/>
      <c r="AB12" s="78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436"/>
      <c r="C13" s="436"/>
      <c r="D13" s="430" t="s">
        <v>54</v>
      </c>
      <c r="E13" s="431"/>
      <c r="F13" s="85">
        <v>0.23</v>
      </c>
      <c r="G13" s="86" t="s">
        <v>71</v>
      </c>
      <c r="H13" s="85">
        <v>-2.1</v>
      </c>
      <c r="I13" s="87" t="s">
        <v>91</v>
      </c>
      <c r="J13" s="85">
        <v>0.13</v>
      </c>
      <c r="K13" s="86" t="s">
        <v>71</v>
      </c>
      <c r="L13" s="85">
        <v>-0.78</v>
      </c>
      <c r="M13" s="87" t="s">
        <v>73</v>
      </c>
      <c r="P13"/>
      <c r="Q13"/>
      <c r="AA13"/>
      <c r="AB13" s="78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447"/>
      <c r="C14" s="447"/>
      <c r="D14" s="463" t="s">
        <v>54</v>
      </c>
      <c r="E14" s="464"/>
      <c r="F14" s="88">
        <v>0.23</v>
      </c>
      <c r="G14" s="89" t="s">
        <v>71</v>
      </c>
      <c r="H14" s="88">
        <v>-2.1</v>
      </c>
      <c r="I14" s="90" t="s">
        <v>70</v>
      </c>
      <c r="J14" s="88">
        <v>0.13</v>
      </c>
      <c r="K14" s="89" t="s">
        <v>71</v>
      </c>
      <c r="L14" s="88">
        <v>-0.78</v>
      </c>
      <c r="M14" s="90" t="s">
        <v>73</v>
      </c>
      <c r="P14"/>
      <c r="Q14"/>
      <c r="AA14"/>
      <c r="AB14" s="78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450" t="s">
        <v>79</v>
      </c>
      <c r="C15" s="451"/>
      <c r="D15" s="465" t="s">
        <v>179</v>
      </c>
      <c r="E15" s="466"/>
      <c r="F15" s="91">
        <v>-0.25</v>
      </c>
      <c r="G15" s="92">
        <v>0</v>
      </c>
      <c r="H15" s="91">
        <v>0</v>
      </c>
      <c r="I15" s="92">
        <v>-0.05</v>
      </c>
      <c r="J15" s="91">
        <v>-0.15</v>
      </c>
      <c r="K15" s="92">
        <v>0</v>
      </c>
      <c r="L15" s="91">
        <v>-0.1</v>
      </c>
      <c r="M15" s="93">
        <v>0</v>
      </c>
      <c r="P15"/>
      <c r="Q15"/>
      <c r="AA15"/>
      <c r="AB15" s="78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452"/>
      <c r="C16" s="436"/>
      <c r="D16" s="430" t="s">
        <v>180</v>
      </c>
      <c r="E16" s="431"/>
      <c r="F16" s="94">
        <v>-0.85</v>
      </c>
      <c r="G16" s="95">
        <v>-0.1</v>
      </c>
      <c r="H16" s="94">
        <v>-0.05</v>
      </c>
      <c r="I16" s="95">
        <v>-0.2</v>
      </c>
      <c r="J16" s="94">
        <v>-0.6</v>
      </c>
      <c r="K16" s="95">
        <v>0</v>
      </c>
      <c r="L16" s="94">
        <v>-0.15</v>
      </c>
      <c r="M16" s="96">
        <v>-0.2</v>
      </c>
      <c r="P16"/>
      <c r="Q16"/>
      <c r="AA16"/>
      <c r="AB16" s="78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452"/>
      <c r="C17" s="436"/>
      <c r="D17" s="428" t="s">
        <v>181</v>
      </c>
      <c r="E17" s="429"/>
      <c r="F17" s="94">
        <v>-0.25</v>
      </c>
      <c r="G17" s="95">
        <v>0</v>
      </c>
      <c r="H17" s="94">
        <v>-0.05</v>
      </c>
      <c r="I17" s="95">
        <v>-0.15</v>
      </c>
      <c r="J17" s="94">
        <v>-0.2</v>
      </c>
      <c r="K17" s="95">
        <v>0</v>
      </c>
      <c r="L17" s="94">
        <v>-0.05</v>
      </c>
      <c r="M17" s="96">
        <v>-0.1</v>
      </c>
      <c r="P17"/>
      <c r="Q17"/>
      <c r="AA17"/>
      <c r="AB17" s="78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452"/>
      <c r="C18" s="436"/>
      <c r="D18" s="428" t="s">
        <v>182</v>
      </c>
      <c r="E18" s="429"/>
      <c r="F18" s="94">
        <v>-0.75</v>
      </c>
      <c r="G18" s="95">
        <v>-0.05</v>
      </c>
      <c r="H18" s="94">
        <v>0.1</v>
      </c>
      <c r="I18" s="95">
        <v>-0.25</v>
      </c>
      <c r="J18" s="94">
        <v>-0.45</v>
      </c>
      <c r="K18" s="95">
        <v>-0.05</v>
      </c>
      <c r="L18" s="94">
        <v>-0.1</v>
      </c>
      <c r="M18" s="96">
        <v>-0.25</v>
      </c>
      <c r="P18" s="114"/>
      <c r="Q18"/>
      <c r="AA18"/>
      <c r="AB18" s="78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452"/>
      <c r="C19" s="436"/>
      <c r="D19" s="428" t="s">
        <v>183</v>
      </c>
      <c r="E19" s="429"/>
      <c r="F19" s="94">
        <v>0.7</v>
      </c>
      <c r="G19" s="95">
        <v>0.05</v>
      </c>
      <c r="H19" s="94">
        <v>0.1</v>
      </c>
      <c r="I19" s="95">
        <v>0.1</v>
      </c>
      <c r="J19" s="94">
        <v>0.45</v>
      </c>
      <c r="K19" s="95">
        <v>0</v>
      </c>
      <c r="L19" s="94">
        <v>0.25</v>
      </c>
      <c r="M19" s="96">
        <v>0.05</v>
      </c>
      <c r="P19"/>
      <c r="Q19"/>
      <c r="AA19"/>
      <c r="AB19" s="78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452"/>
      <c r="C20" s="436"/>
      <c r="D20" s="428" t="s">
        <v>184</v>
      </c>
      <c r="E20" s="429"/>
      <c r="F20" s="94">
        <v>-1.45</v>
      </c>
      <c r="G20" s="95">
        <v>-0.25</v>
      </c>
      <c r="H20" s="94">
        <v>-0.05</v>
      </c>
      <c r="I20" s="95">
        <v>-0.45</v>
      </c>
      <c r="J20" s="94">
        <v>-0.95</v>
      </c>
      <c r="K20" s="95">
        <v>-0.2</v>
      </c>
      <c r="L20" s="94">
        <v>-0.3</v>
      </c>
      <c r="M20" s="96">
        <v>-0.4</v>
      </c>
      <c r="P20" s="115"/>
      <c r="Q20"/>
      <c r="AA20"/>
      <c r="AB20" s="78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452"/>
      <c r="C21" s="436"/>
      <c r="D21" s="428" t="s">
        <v>185</v>
      </c>
      <c r="E21" s="429"/>
      <c r="F21" s="94">
        <v>-0.05</v>
      </c>
      <c r="G21" s="95">
        <v>-0.05</v>
      </c>
      <c r="H21" s="94">
        <v>0</v>
      </c>
      <c r="I21" s="95">
        <v>-0.35</v>
      </c>
      <c r="J21" s="94">
        <v>-0.65</v>
      </c>
      <c r="K21" s="95">
        <v>-0.1</v>
      </c>
      <c r="L21" s="94">
        <v>-0.25</v>
      </c>
      <c r="M21" s="96">
        <v>-0.3</v>
      </c>
      <c r="P21"/>
      <c r="Q21"/>
      <c r="AA21"/>
      <c r="AB21" s="78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452"/>
      <c r="C22" s="436"/>
      <c r="D22" s="430" t="s">
        <v>186</v>
      </c>
      <c r="E22" s="431"/>
      <c r="F22" s="94">
        <v>-1.5</v>
      </c>
      <c r="G22" s="95">
        <v>-0.25</v>
      </c>
      <c r="H22" s="94">
        <v>0</v>
      </c>
      <c r="I22" s="95">
        <v>-0.45</v>
      </c>
      <c r="J22" s="94">
        <v>-0.95</v>
      </c>
      <c r="K22" s="95">
        <v>-0.2</v>
      </c>
      <c r="L22" s="94">
        <v>-0.3</v>
      </c>
      <c r="M22" s="96">
        <v>-0.4</v>
      </c>
      <c r="P22" s="115"/>
      <c r="Q22"/>
      <c r="AA22"/>
      <c r="AB22" s="78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452"/>
      <c r="C23" s="436"/>
      <c r="D23" s="430" t="s">
        <v>187</v>
      </c>
      <c r="E23" s="431"/>
      <c r="F23" s="87">
        <v>0.5</v>
      </c>
      <c r="G23" s="95" t="s">
        <v>189</v>
      </c>
      <c r="H23" s="85">
        <v>0.14000000000000001</v>
      </c>
      <c r="I23" s="87" t="s">
        <v>188</v>
      </c>
      <c r="J23" s="85">
        <v>0.32</v>
      </c>
      <c r="K23" s="86" t="s">
        <v>189</v>
      </c>
      <c r="L23" s="85">
        <v>0.1</v>
      </c>
      <c r="M23" s="97" t="s">
        <v>190</v>
      </c>
      <c r="P23"/>
      <c r="Q23"/>
      <c r="AA23"/>
      <c r="AB23" s="78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453"/>
      <c r="C24" s="454"/>
      <c r="D24" s="432" t="s">
        <v>79</v>
      </c>
      <c r="E24" s="433"/>
      <c r="F24" s="98">
        <v>0</v>
      </c>
      <c r="G24" s="99">
        <v>0</v>
      </c>
      <c r="H24" s="98">
        <v>0</v>
      </c>
      <c r="I24" s="99">
        <v>0</v>
      </c>
      <c r="J24" s="98">
        <v>0</v>
      </c>
      <c r="K24" s="99">
        <v>0</v>
      </c>
      <c r="L24" s="98">
        <v>0</v>
      </c>
      <c r="M24" s="100">
        <v>0</v>
      </c>
      <c r="P24"/>
      <c r="Q24"/>
      <c r="AA24"/>
      <c r="AB24" s="78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448" t="s">
        <v>80</v>
      </c>
      <c r="C25" s="448"/>
      <c r="D25" s="434" t="s">
        <v>54</v>
      </c>
      <c r="E25" s="435"/>
      <c r="F25" s="101">
        <v>0.1</v>
      </c>
      <c r="G25" s="102" t="s">
        <v>71</v>
      </c>
      <c r="H25" s="101">
        <v>-2.1</v>
      </c>
      <c r="I25" s="103" t="s">
        <v>70</v>
      </c>
      <c r="J25" s="101">
        <v>0.13</v>
      </c>
      <c r="K25" s="102" t="s">
        <v>71</v>
      </c>
      <c r="L25" s="101">
        <v>-0.78</v>
      </c>
      <c r="M25" s="103" t="s">
        <v>73</v>
      </c>
      <c r="P25"/>
      <c r="Q25"/>
      <c r="AA25"/>
      <c r="AB25" s="78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436"/>
      <c r="C26" s="436"/>
      <c r="D26" s="430" t="s">
        <v>54</v>
      </c>
      <c r="E26" s="431"/>
      <c r="F26" s="85">
        <v>0.23</v>
      </c>
      <c r="G26" s="86" t="s">
        <v>71</v>
      </c>
      <c r="H26" s="85">
        <v>-2.1</v>
      </c>
      <c r="I26" s="87" t="s">
        <v>70</v>
      </c>
      <c r="J26" s="85">
        <v>0.13</v>
      </c>
      <c r="K26" s="86" t="s">
        <v>71</v>
      </c>
      <c r="L26" s="85">
        <v>-0.78</v>
      </c>
      <c r="M26" s="87" t="s">
        <v>73</v>
      </c>
      <c r="P26"/>
      <c r="Q26"/>
      <c r="AA26"/>
      <c r="AB26" s="78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436"/>
      <c r="C27" s="436"/>
      <c r="D27" s="430" t="s">
        <v>54</v>
      </c>
      <c r="E27" s="431"/>
      <c r="F27" s="85">
        <v>0.23</v>
      </c>
      <c r="G27" s="86" t="s">
        <v>71</v>
      </c>
      <c r="H27" s="85">
        <v>-2.1</v>
      </c>
      <c r="I27" s="87" t="s">
        <v>70</v>
      </c>
      <c r="J27" s="85">
        <v>0.13</v>
      </c>
      <c r="K27" s="86" t="s">
        <v>71</v>
      </c>
      <c r="L27" s="85">
        <v>-0.78</v>
      </c>
      <c r="M27" s="87" t="s">
        <v>73</v>
      </c>
      <c r="P27"/>
      <c r="Q27"/>
      <c r="AA27"/>
      <c r="AB27" s="78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436" t="s">
        <v>199</v>
      </c>
      <c r="C28" s="436"/>
      <c r="D28" s="436" t="s">
        <v>199</v>
      </c>
      <c r="E28" s="436"/>
      <c r="F28" s="85">
        <v>0</v>
      </c>
      <c r="G28" s="86" t="s">
        <v>153</v>
      </c>
      <c r="H28" s="85">
        <v>0</v>
      </c>
      <c r="I28" s="86" t="s">
        <v>153</v>
      </c>
      <c r="J28" s="85">
        <v>0</v>
      </c>
      <c r="K28" s="86" t="s">
        <v>153</v>
      </c>
      <c r="L28" s="85">
        <v>0</v>
      </c>
      <c r="M28" s="86" t="s">
        <v>153</v>
      </c>
      <c r="P28"/>
      <c r="Q28"/>
      <c r="AA28"/>
      <c r="AB28" s="78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83" t="s">
        <v>64</v>
      </c>
      <c r="D30" s="104" t="s">
        <v>191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155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83" t="s">
        <v>62</v>
      </c>
      <c r="D31" s="104" t="s">
        <v>202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154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76" t="s">
        <v>156</v>
      </c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K34" t="s">
        <v>200</v>
      </c>
      <c r="AL34">
        <v>5.39</v>
      </c>
    </row>
    <row r="35" spans="2:54">
      <c r="H35" s="441" t="s">
        <v>97</v>
      </c>
      <c r="I35" s="441"/>
      <c r="J35" s="441"/>
      <c r="K35" s="441"/>
      <c r="L35" s="441"/>
      <c r="M35" s="442"/>
      <c r="N35" s="442"/>
      <c r="O35" s="442"/>
      <c r="P35"/>
      <c r="Q35"/>
      <c r="AK35" t="s">
        <v>201</v>
      </c>
      <c r="AL35">
        <v>7.31</v>
      </c>
    </row>
    <row r="36" spans="2:54">
      <c r="C36" s="449" t="s">
        <v>74</v>
      </c>
      <c r="D36" s="449"/>
      <c r="E36" s="449"/>
      <c r="F36" s="449"/>
      <c r="G36" s="449"/>
      <c r="H36" s="443" t="s">
        <v>82</v>
      </c>
      <c r="I36" s="445" t="s">
        <v>195</v>
      </c>
      <c r="J36" s="425" t="s">
        <v>174</v>
      </c>
      <c r="K36" s="425"/>
      <c r="L36" s="426"/>
      <c r="M36" s="385" t="s">
        <v>175</v>
      </c>
      <c r="N36" s="385"/>
      <c r="O36" s="385"/>
      <c r="P36" s="385"/>
      <c r="Q36" s="385"/>
    </row>
    <row r="37" spans="2:54">
      <c r="C37" s="82" t="s">
        <v>81</v>
      </c>
      <c r="D37" s="82" t="s">
        <v>0</v>
      </c>
      <c r="E37" s="82" t="s">
        <v>6</v>
      </c>
      <c r="F37" s="82" t="s">
        <v>59</v>
      </c>
      <c r="G37" s="82" t="s">
        <v>94</v>
      </c>
      <c r="H37" s="444"/>
      <c r="I37" s="446"/>
      <c r="J37" s="107" t="s">
        <v>60</v>
      </c>
      <c r="K37" s="455" t="s">
        <v>6</v>
      </c>
      <c r="L37" s="456"/>
      <c r="M37" s="106" t="s">
        <v>170</v>
      </c>
      <c r="N37" s="385" t="s">
        <v>171</v>
      </c>
      <c r="O37" s="385"/>
      <c r="P37" s="385" t="s">
        <v>177</v>
      </c>
      <c r="Q37" s="385"/>
      <c r="AB37" t="s">
        <v>83</v>
      </c>
      <c r="AC37" t="s">
        <v>0</v>
      </c>
      <c r="AD37" t="s">
        <v>158</v>
      </c>
      <c r="AE37" t="s">
        <v>159</v>
      </c>
      <c r="AF37" t="s">
        <v>157</v>
      </c>
      <c r="AG37" t="s">
        <v>84</v>
      </c>
      <c r="AH37" t="s">
        <v>85</v>
      </c>
      <c r="AI37" t="s">
        <v>87</v>
      </c>
      <c r="AJ37" t="s">
        <v>88</v>
      </c>
      <c r="AK37" t="s">
        <v>92</v>
      </c>
      <c r="AL37" t="s">
        <v>169</v>
      </c>
      <c r="AM37" t="s">
        <v>59</v>
      </c>
      <c r="AN37" t="s">
        <v>72</v>
      </c>
      <c r="AO37" t="s">
        <v>167</v>
      </c>
      <c r="AP37" t="s">
        <v>168</v>
      </c>
      <c r="AQ37" t="s">
        <v>172</v>
      </c>
      <c r="AR37" t="s">
        <v>173</v>
      </c>
      <c r="AS37" s="108" t="s">
        <v>160</v>
      </c>
      <c r="AT37" s="108" t="s">
        <v>161</v>
      </c>
      <c r="AU37" s="399" t="s">
        <v>162</v>
      </c>
      <c r="AV37" s="399"/>
      <c r="AW37" s="399"/>
      <c r="AX37" s="399"/>
      <c r="AY37" s="399"/>
      <c r="AZ37" s="399"/>
      <c r="BA37" s="399"/>
      <c r="BB37" s="399"/>
    </row>
    <row r="38" spans="2:54">
      <c r="B38">
        <v>1</v>
      </c>
      <c r="C38" s="109" t="str">
        <f>IF(G38&gt;G39,"PM","BM")</f>
        <v>BM</v>
      </c>
      <c r="D38" s="134" t="s">
        <v>266</v>
      </c>
      <c r="E38" s="132" t="s">
        <v>267</v>
      </c>
      <c r="F38" s="132"/>
      <c r="G38" s="135">
        <v>4.07</v>
      </c>
      <c r="H38" s="105" t="str">
        <f t="shared" ref="H38:H64" si="8">IF(AL38,"Y","N")</f>
        <v>Y</v>
      </c>
      <c r="I38" s="105" t="str">
        <f t="shared" ref="I38:I64" si="9">IF(AN38,"Y","N")</f>
        <v>N</v>
      </c>
      <c r="J38" s="110">
        <f t="shared" ref="J38:J63" si="10">IF(AL38,AO38,NA())</f>
        <v>0</v>
      </c>
      <c r="K38" s="425" t="str">
        <f t="array" ref="K38">IF(AL38,heureDecimal2Txt(AP38),NA())</f>
        <v>00:00:00.00(00.0000)</v>
      </c>
      <c r="L38" s="426"/>
      <c r="M38" s="106">
        <f t="shared" ref="M38:M64" si="11">G38+J38</f>
        <v>4.07</v>
      </c>
      <c r="N38" s="385" t="str">
        <f t="array" ref="N38">IF(AL38,dateEpoch2Txt(AR38),NA())</f>
        <v>2024/09/11 04:01</v>
      </c>
      <c r="O38" s="385"/>
      <c r="P38" s="386">
        <f t="shared" ref="P38:P64" si="12">IF(AL38,AR38/3600, NA())</f>
        <v>479452.01666666666</v>
      </c>
      <c r="Q38" s="387"/>
      <c r="AB38" t="b">
        <f t="shared" ref="AB38:AB63" si="13">(C38=$AB$3)</f>
        <v>0</v>
      </c>
      <c r="AC38">
        <f>IF(ISBLANK(D38),0,dateConvert2Decimal(D38))</f>
        <v>1726012800</v>
      </c>
      <c r="AD38" cm="1">
        <f t="array" ref="AD38">IF(ISBLANK(E38),0,heureConvert2Decimal(E38))*3600</f>
        <v>14460</v>
      </c>
      <c r="AE38">
        <f t="shared" ref="AE38:AE63" si="14">AC38+AD38</f>
        <v>1726027260</v>
      </c>
      <c r="AF38" s="111" t="b">
        <f t="shared" ref="AF38:AF63" si="15">IF(AB38, IF(ISNUMBER(F38), TRUE, FALSE), IF(AF39,AF39,AF37))</f>
        <v>1</v>
      </c>
      <c r="AG38" s="111" t="b">
        <f t="shared" ref="AG38:AG63" si="16">ISNUMBER(G38)</f>
        <v>1</v>
      </c>
      <c r="AH38" s="111" t="b">
        <f t="shared" ref="AH38:AH63" si="17">AC38&gt;0</f>
        <v>1</v>
      </c>
      <c r="AI38" s="111" t="b">
        <f t="shared" ref="AI38:AI63" si="18">AD38&gt;0</f>
        <v>1</v>
      </c>
      <c r="AJ38" s="111" t="b">
        <f t="shared" ref="AJ38:AJ63" si="19">IF(AG38,IF(G38&gt;0,TRUE,FALSE),FALSE)</f>
        <v>1</v>
      </c>
      <c r="AK38">
        <f>IF(AND(AI38,AH38),6,0)</f>
        <v>6</v>
      </c>
      <c r="AL38" s="111" t="b">
        <f t="shared" ref="AL38:AL63" si="20">AND(AJ38,AI38,AH38,AF38,(AK38&gt;$AL$34),(AK38&lt;$AL$35))</f>
        <v>1</v>
      </c>
      <c r="AM38">
        <f t="shared" ref="AM38:AM64" si="21">IF(AL38,IF(AND(AL38,AB38),F38,F39),-1)</f>
        <v>39</v>
      </c>
      <c r="AN38" t="b">
        <f t="shared" ref="AN38:AN64" si="22">AND(AL38,AM38&gt;70)</f>
        <v>0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4.07</v>
      </c>
      <c r="AR38">
        <f t="shared" ref="AR38:AR64" si="26">AE38+AP38*3600</f>
        <v>1726027260</v>
      </c>
      <c r="AS38" s="408" t="b">
        <f>ISNUMBER($AD$30)</f>
        <v>0</v>
      </c>
      <c r="AT38" s="408" t="e">
        <f>$AE$30</f>
        <v>#N/A</v>
      </c>
      <c r="AU38" s="399" t="s">
        <v>163</v>
      </c>
      <c r="AV38" s="399"/>
      <c r="AW38" s="399" t="s">
        <v>164</v>
      </c>
      <c r="AX38" s="399"/>
      <c r="AY38" s="399" t="s">
        <v>165</v>
      </c>
      <c r="AZ38" s="399"/>
      <c r="BA38" s="399" t="s">
        <v>166</v>
      </c>
      <c r="BB38" s="399"/>
    </row>
    <row r="39" spans="2:54">
      <c r="B39">
        <v>2</v>
      </c>
      <c r="C39" s="109" t="str">
        <f t="shared" ref="C39:C64" si="27">IF(C38=$AB$3,$AB$4,$AB$3)</f>
        <v>PM</v>
      </c>
      <c r="D39" s="136" t="s">
        <v>266</v>
      </c>
      <c r="E39" s="133" t="s">
        <v>268</v>
      </c>
      <c r="F39" s="133">
        <v>39</v>
      </c>
      <c r="G39" s="137">
        <v>8.3699999999999992</v>
      </c>
      <c r="H39" s="105" t="str">
        <f t="shared" si="8"/>
        <v>Y</v>
      </c>
      <c r="I39" s="105" t="str">
        <f t="shared" si="9"/>
        <v>N</v>
      </c>
      <c r="J39" s="110">
        <f t="shared" si="10"/>
        <v>0</v>
      </c>
      <c r="K39" s="425" t="str">
        <f t="array" ref="K39">IF(AL39,heureDecimal2Txt(AP39),NA())</f>
        <v>00:00:00.00(00.0000)</v>
      </c>
      <c r="L39" s="426"/>
      <c r="M39" s="106">
        <f t="shared" si="11"/>
        <v>8.3699999999999992</v>
      </c>
      <c r="N39" s="385" t="str">
        <f t="array" ref="N39">IF(AL39,dateEpoch2Txt(AR39),NA())</f>
        <v>2024/09/11 09:49</v>
      </c>
      <c r="O39" s="385"/>
      <c r="P39" s="386">
        <f t="shared" si="12"/>
        <v>479457.81666666665</v>
      </c>
      <c r="Q39" s="387"/>
      <c r="AB39" t="b">
        <f t="shared" si="13"/>
        <v>1</v>
      </c>
      <c r="AC39">
        <f>IF(ISBLANK(D39),0,dateConvert2Decimal(D39))</f>
        <v>1726012800</v>
      </c>
      <c r="AD39">
        <f t="array" ref="AD39">IF(ISBLANK(E39),0,heureConvert2Decimal(E39))*3600</f>
        <v>35340</v>
      </c>
      <c r="AE39">
        <f t="shared" si="14"/>
        <v>1726048140</v>
      </c>
      <c r="AF39" s="111" t="b">
        <f t="shared" si="15"/>
        <v>1</v>
      </c>
      <c r="AG39" s="111" t="b">
        <f t="shared" si="16"/>
        <v>1</v>
      </c>
      <c r="AH39" s="111" t="b">
        <f t="shared" si="17"/>
        <v>1</v>
      </c>
      <c r="AI39" s="111" t="b">
        <f t="shared" si="18"/>
        <v>1</v>
      </c>
      <c r="AJ39" s="111" t="b">
        <f t="shared" si="19"/>
        <v>1</v>
      </c>
      <c r="AK39">
        <f t="shared" ref="AK39:AK63" si="28">IF(AND(AI39,AH39),(AE39-AE38)/3600,0)</f>
        <v>5.8</v>
      </c>
      <c r="AL39" s="111" t="b">
        <f t="shared" si="20"/>
        <v>1</v>
      </c>
      <c r="AM39">
        <f t="shared" si="21"/>
        <v>39</v>
      </c>
      <c r="AN39" t="b">
        <f t="shared" si="22"/>
        <v>0</v>
      </c>
      <c r="AO39">
        <f t="shared" si="23"/>
        <v>0</v>
      </c>
      <c r="AP39">
        <f t="shared" si="24"/>
        <v>0</v>
      </c>
      <c r="AQ39">
        <f t="shared" si="25"/>
        <v>8.3699999999999992</v>
      </c>
      <c r="AR39">
        <f t="shared" si="26"/>
        <v>1726048140</v>
      </c>
      <c r="AS39" s="408"/>
      <c r="AT39" s="408"/>
      <c r="AU39" s="108">
        <v>3</v>
      </c>
      <c r="AV39" s="108">
        <v>4</v>
      </c>
      <c r="AW39" s="108">
        <v>5</v>
      </c>
      <c r="AX39" s="108">
        <v>6</v>
      </c>
      <c r="AY39" s="108">
        <v>7</v>
      </c>
      <c r="AZ39" s="108">
        <v>8</v>
      </c>
      <c r="BA39" s="108">
        <v>9</v>
      </c>
      <c r="BB39" s="108">
        <v>10</v>
      </c>
    </row>
    <row r="40" spans="2:54">
      <c r="B40">
        <v>3</v>
      </c>
      <c r="C40" s="109" t="str">
        <f t="shared" si="27"/>
        <v>BM</v>
      </c>
      <c r="D40" s="134" t="s">
        <v>266</v>
      </c>
      <c r="E40" s="132" t="s">
        <v>269</v>
      </c>
      <c r="F40" s="132"/>
      <c r="G40" s="135">
        <v>4.3899999999999997</v>
      </c>
      <c r="H40" s="105" t="str">
        <f t="shared" si="8"/>
        <v>Y</v>
      </c>
      <c r="I40" s="105" t="str">
        <f t="shared" si="9"/>
        <v>N</v>
      </c>
      <c r="J40" s="110">
        <f t="shared" si="10"/>
        <v>0</v>
      </c>
      <c r="K40" s="425" t="str">
        <f t="array" ref="K40">IF(AL40,heureDecimal2Txt(AP40),NA())</f>
        <v>00:00:00.00(00.0000)</v>
      </c>
      <c r="L40" s="426"/>
      <c r="M40" s="106">
        <f t="shared" si="11"/>
        <v>4.3899999999999997</v>
      </c>
      <c r="N40" s="385" t="str">
        <f t="array" ref="N40">IF(AL40,dateEpoch2Txt(AR40),NA())</f>
        <v>2024/09/11 16:30</v>
      </c>
      <c r="O40" s="385"/>
      <c r="P40" s="386">
        <f t="shared" si="12"/>
        <v>479464.5</v>
      </c>
      <c r="Q40" s="387"/>
      <c r="AB40" t="b">
        <f t="shared" si="13"/>
        <v>0</v>
      </c>
      <c r="AC40">
        <f>IF(ISBLANK(D40),0,dateConvert2Decimal(D40))</f>
        <v>1726012800</v>
      </c>
      <c r="AD40">
        <f t="array" ref="AD40">IF(ISBLANK(E40),0,heureConvert2Decimal(E40))*3600</f>
        <v>59400</v>
      </c>
      <c r="AE40">
        <f t="shared" si="14"/>
        <v>1726072200</v>
      </c>
      <c r="AF40" s="111" t="b">
        <f t="shared" si="15"/>
        <v>1</v>
      </c>
      <c r="AG40" s="111" t="b">
        <f t="shared" si="16"/>
        <v>1</v>
      </c>
      <c r="AH40" s="111" t="b">
        <f t="shared" si="17"/>
        <v>1</v>
      </c>
      <c r="AI40" s="111" t="b">
        <f t="shared" si="18"/>
        <v>1</v>
      </c>
      <c r="AJ40" s="111" t="b">
        <f t="shared" si="19"/>
        <v>1</v>
      </c>
      <c r="AK40">
        <f t="shared" si="28"/>
        <v>6.6833333333333336</v>
      </c>
      <c r="AL40" s="111" t="b">
        <f t="shared" si="20"/>
        <v>1</v>
      </c>
      <c r="AM40">
        <f t="shared" si="21"/>
        <v>33</v>
      </c>
      <c r="AN40" t="b">
        <f t="shared" si="22"/>
        <v>0</v>
      </c>
      <c r="AO40">
        <f t="shared" si="23"/>
        <v>0</v>
      </c>
      <c r="AP40">
        <f t="shared" si="24"/>
        <v>0</v>
      </c>
      <c r="AQ40">
        <f t="shared" si="25"/>
        <v>4.3899999999999997</v>
      </c>
      <c r="AR40">
        <f t="shared" si="26"/>
        <v>1726072200</v>
      </c>
      <c r="AS40" s="408"/>
      <c r="AT40" s="408"/>
      <c r="AU40" s="408" t="e">
        <f t="shared" ref="AU40:BB40" si="29">VLOOKUP($AT$38,$AG$12:$AP$28,AU39, FALSE)</f>
        <v>#N/A</v>
      </c>
      <c r="AV40" s="408" t="e">
        <f t="shared" si="29"/>
        <v>#N/A</v>
      </c>
      <c r="AW40" s="408" t="e">
        <f t="shared" si="29"/>
        <v>#N/A</v>
      </c>
      <c r="AX40" s="408" t="e">
        <f t="shared" si="29"/>
        <v>#N/A</v>
      </c>
      <c r="AY40" s="408" t="e">
        <f t="shared" si="29"/>
        <v>#N/A</v>
      </c>
      <c r="AZ40" s="408" t="e">
        <f t="shared" si="29"/>
        <v>#N/A</v>
      </c>
      <c r="BA40" s="408" t="e">
        <f t="shared" si="29"/>
        <v>#N/A</v>
      </c>
      <c r="BB40" s="408" t="e">
        <f t="shared" si="29"/>
        <v>#N/A</v>
      </c>
    </row>
    <row r="41" spans="2:54">
      <c r="B41">
        <v>4</v>
      </c>
      <c r="C41" s="109" t="str">
        <f t="shared" si="27"/>
        <v>PM</v>
      </c>
      <c r="D41" s="136" t="s">
        <v>266</v>
      </c>
      <c r="E41" s="133" t="s">
        <v>270</v>
      </c>
      <c r="F41" s="133">
        <v>33</v>
      </c>
      <c r="G41" s="137">
        <v>7.95</v>
      </c>
      <c r="H41" s="105" t="str">
        <f t="shared" si="8"/>
        <v>Y</v>
      </c>
      <c r="I41" s="105" t="str">
        <f t="shared" si="9"/>
        <v>N</v>
      </c>
      <c r="J41" s="110">
        <f t="shared" si="10"/>
        <v>0</v>
      </c>
      <c r="K41" s="425" t="str">
        <f t="array" ref="K41">IF(AL41,heureDecimal2Txt(AP41),NA())</f>
        <v>00:00:00.00(00.0000)</v>
      </c>
      <c r="L41" s="426"/>
      <c r="M41" s="106">
        <f t="shared" si="11"/>
        <v>7.95</v>
      </c>
      <c r="N41" s="385" t="str">
        <f t="array" ref="N41">IF(AL41,dateEpoch2Txt(AR41),NA())</f>
        <v>2024/09/11 22:16</v>
      </c>
      <c r="O41" s="385"/>
      <c r="P41" s="386">
        <f t="shared" si="12"/>
        <v>479470.26666666666</v>
      </c>
      <c r="Q41" s="387"/>
      <c r="AB41" t="b">
        <f t="shared" si="13"/>
        <v>1</v>
      </c>
      <c r="AC41">
        <f t="array" ref="AC41">IF(ISBLANK(D41),0,dateConvert2Decimal(D41))</f>
        <v>1726012800</v>
      </c>
      <c r="AD41">
        <f t="array" ref="AD41">IF(ISBLANK(E41),0,heureConvert2Decimal(E41))*3600</f>
        <v>80160</v>
      </c>
      <c r="AE41">
        <f t="shared" si="14"/>
        <v>1726092960</v>
      </c>
      <c r="AF41" s="111" t="b">
        <f t="shared" si="15"/>
        <v>1</v>
      </c>
      <c r="AG41" s="111" t="b">
        <f t="shared" si="16"/>
        <v>1</v>
      </c>
      <c r="AH41" s="111" t="b">
        <f t="shared" si="17"/>
        <v>1</v>
      </c>
      <c r="AI41" s="111" t="b">
        <f t="shared" si="18"/>
        <v>1</v>
      </c>
      <c r="AJ41" s="111" t="b">
        <f t="shared" si="19"/>
        <v>1</v>
      </c>
      <c r="AK41">
        <f t="shared" si="28"/>
        <v>5.7666666666666666</v>
      </c>
      <c r="AL41" s="111" t="b">
        <f t="shared" si="20"/>
        <v>1</v>
      </c>
      <c r="AM41">
        <f t="shared" si="21"/>
        <v>33</v>
      </c>
      <c r="AN41" t="b">
        <f t="shared" si="22"/>
        <v>0</v>
      </c>
      <c r="AO41">
        <f t="shared" si="23"/>
        <v>0</v>
      </c>
      <c r="AP41">
        <f t="shared" si="24"/>
        <v>0</v>
      </c>
      <c r="AQ41">
        <f t="shared" si="25"/>
        <v>7.95</v>
      </c>
      <c r="AR41">
        <f t="shared" si="26"/>
        <v>1726092960</v>
      </c>
      <c r="AS41" s="408"/>
      <c r="AT41" s="408"/>
      <c r="AU41" s="408"/>
      <c r="AV41" s="408"/>
      <c r="AW41" s="408"/>
      <c r="AX41" s="408"/>
      <c r="AY41" s="408"/>
      <c r="AZ41" s="408"/>
      <c r="BA41" s="408"/>
      <c r="BB41" s="408"/>
    </row>
    <row r="42" spans="2:54">
      <c r="B42">
        <v>5</v>
      </c>
      <c r="C42" s="109" t="str">
        <f t="shared" si="27"/>
        <v>BM</v>
      </c>
      <c r="D42" s="134" t="s">
        <v>271</v>
      </c>
      <c r="E42" s="132" t="s">
        <v>272</v>
      </c>
      <c r="F42" s="132"/>
      <c r="G42" s="135">
        <v>4.68</v>
      </c>
      <c r="H42" s="105" t="str">
        <f t="shared" si="8"/>
        <v>Y</v>
      </c>
      <c r="I42" s="105" t="str">
        <f t="shared" si="9"/>
        <v>N</v>
      </c>
      <c r="J42" s="110">
        <f t="shared" si="10"/>
        <v>0</v>
      </c>
      <c r="K42" s="425" t="str">
        <f t="array" ref="K42">IF(AL42,heureDecimal2Txt(AP42),NA())</f>
        <v>00:00:00.00(00.0000)</v>
      </c>
      <c r="L42" s="426"/>
      <c r="M42" s="106">
        <f t="shared" si="11"/>
        <v>4.68</v>
      </c>
      <c r="N42" s="385" t="str">
        <f t="array" ref="N42">IF(AL42,dateEpoch2Txt(AR42),NA())</f>
        <v>2024/09/12 04:49</v>
      </c>
      <c r="O42" s="385"/>
      <c r="P42" s="386">
        <f t="shared" si="12"/>
        <v>479476.81666666665</v>
      </c>
      <c r="Q42" s="387"/>
      <c r="AB42" t="b">
        <f t="shared" si="13"/>
        <v>0</v>
      </c>
      <c r="AC42">
        <f t="array" ref="AC42">IF(ISBLANK(D42),0,dateConvert2Decimal(D42))</f>
        <v>1726099200</v>
      </c>
      <c r="AD42">
        <f t="array" ref="AD42">IF(ISBLANK(E42),0,heureConvert2Decimal(E42))*3600</f>
        <v>17340</v>
      </c>
      <c r="AE42">
        <f t="shared" si="14"/>
        <v>1726116540</v>
      </c>
      <c r="AF42" s="111" t="b">
        <f t="shared" si="15"/>
        <v>1</v>
      </c>
      <c r="AG42" s="111" t="b">
        <f t="shared" si="16"/>
        <v>1</v>
      </c>
      <c r="AH42" s="111" t="b">
        <f t="shared" si="17"/>
        <v>1</v>
      </c>
      <c r="AI42" s="111" t="b">
        <f t="shared" si="18"/>
        <v>1</v>
      </c>
      <c r="AJ42" s="111" t="b">
        <f t="shared" si="19"/>
        <v>1</v>
      </c>
      <c r="AK42">
        <f t="shared" si="28"/>
        <v>6.55</v>
      </c>
      <c r="AL42" s="111" t="b">
        <f t="shared" si="20"/>
        <v>1</v>
      </c>
      <c r="AM42">
        <f t="shared" si="21"/>
        <v>29</v>
      </c>
      <c r="AN42" t="b">
        <f t="shared" si="22"/>
        <v>0</v>
      </c>
      <c r="AO42">
        <f t="shared" si="23"/>
        <v>0</v>
      </c>
      <c r="AP42">
        <f t="shared" si="24"/>
        <v>0</v>
      </c>
      <c r="AQ42">
        <f t="shared" si="25"/>
        <v>4.68</v>
      </c>
      <c r="AR42">
        <f t="shared" si="26"/>
        <v>1726116540</v>
      </c>
      <c r="AS42" s="408"/>
      <c r="AT42" s="408"/>
      <c r="AU42" s="408"/>
      <c r="AV42" s="408"/>
      <c r="AW42" s="408"/>
      <c r="AX42" s="408"/>
      <c r="AY42" s="408"/>
      <c r="AZ42" s="408"/>
      <c r="BA42" s="408"/>
      <c r="BB42" s="408"/>
    </row>
    <row r="43" spans="2:54">
      <c r="C43" s="109" t="str">
        <f t="shared" si="27"/>
        <v>PM</v>
      </c>
      <c r="D43" s="136" t="s">
        <v>271</v>
      </c>
      <c r="E43" s="133" t="s">
        <v>273</v>
      </c>
      <c r="F43" s="133">
        <v>29</v>
      </c>
      <c r="G43" s="137">
        <v>7.79</v>
      </c>
      <c r="H43" s="105" t="str">
        <f t="shared" si="8"/>
        <v>Y</v>
      </c>
      <c r="I43" s="105" t="str">
        <f t="shared" si="9"/>
        <v>N</v>
      </c>
      <c r="J43" s="110">
        <f t="shared" si="10"/>
        <v>0</v>
      </c>
      <c r="K43" s="425" t="str">
        <f t="array" ref="K43">IF(AL43,heureDecimal2Txt(AP43),NA())</f>
        <v>00:00:00.00(00.0000)</v>
      </c>
      <c r="L43" s="426"/>
      <c r="M43" s="106">
        <f t="shared" si="11"/>
        <v>7.79</v>
      </c>
      <c r="N43" s="385" t="str">
        <f t="array" ref="N43">IF(AL43,dateEpoch2Txt(AR43),NA())</f>
        <v>2024/09/12 10:47</v>
      </c>
      <c r="O43" s="385"/>
      <c r="P43" s="386">
        <f t="shared" si="12"/>
        <v>479482.78333333333</v>
      </c>
      <c r="Q43" s="387"/>
      <c r="AB43" t="b">
        <f t="shared" si="13"/>
        <v>1</v>
      </c>
      <c r="AC43">
        <f t="array" ref="AC43">IF(ISBLANK(D43),0,dateConvert2Decimal(D43))</f>
        <v>1726099200</v>
      </c>
      <c r="AD43">
        <f t="array" ref="AD43">IF(ISBLANK(E43),0,heureConvert2Decimal(E43))*3600</f>
        <v>38820</v>
      </c>
      <c r="AE43">
        <f t="shared" si="14"/>
        <v>1726138020</v>
      </c>
      <c r="AF43" s="111" t="b">
        <f t="shared" si="15"/>
        <v>1</v>
      </c>
      <c r="AG43" s="111" t="b">
        <f t="shared" si="16"/>
        <v>1</v>
      </c>
      <c r="AH43" s="111" t="b">
        <f t="shared" si="17"/>
        <v>1</v>
      </c>
      <c r="AI43" s="111" t="b">
        <f t="shared" si="18"/>
        <v>1</v>
      </c>
      <c r="AJ43" s="111" t="b">
        <f t="shared" si="19"/>
        <v>1</v>
      </c>
      <c r="AK43">
        <f t="shared" si="28"/>
        <v>5.9666666666666668</v>
      </c>
      <c r="AL43" s="111" t="b">
        <f t="shared" si="20"/>
        <v>1</v>
      </c>
      <c r="AM43">
        <f t="shared" si="21"/>
        <v>29</v>
      </c>
      <c r="AN43" t="b">
        <f t="shared" si="22"/>
        <v>0</v>
      </c>
      <c r="AO43">
        <f t="shared" si="23"/>
        <v>0</v>
      </c>
      <c r="AP43">
        <f t="shared" si="24"/>
        <v>0</v>
      </c>
      <c r="AQ43">
        <f t="shared" si="25"/>
        <v>7.79</v>
      </c>
      <c r="AR43">
        <f t="shared" si="26"/>
        <v>1726138020</v>
      </c>
      <c r="AS43" s="408"/>
      <c r="AT43" s="408"/>
      <c r="AU43" s="408"/>
      <c r="AV43" s="408"/>
      <c r="AW43" s="408"/>
      <c r="AX43" s="408"/>
      <c r="AY43" s="408"/>
      <c r="AZ43" s="408"/>
      <c r="BA43" s="408"/>
      <c r="BB43" s="408"/>
    </row>
    <row r="44" spans="2:54">
      <c r="C44" s="109" t="str">
        <f t="shared" si="27"/>
        <v>BM</v>
      </c>
      <c r="D44" s="134" t="s">
        <v>271</v>
      </c>
      <c r="E44" s="132" t="s">
        <v>274</v>
      </c>
      <c r="F44" s="132"/>
      <c r="G44" s="135">
        <v>4.8600000000000003</v>
      </c>
      <c r="H44" s="105" t="str">
        <f t="shared" si="8"/>
        <v>Y</v>
      </c>
      <c r="I44" s="105" t="str">
        <f t="shared" si="9"/>
        <v>N</v>
      </c>
      <c r="J44" s="110">
        <f t="shared" si="10"/>
        <v>0</v>
      </c>
      <c r="K44" s="425" t="str">
        <f t="array" ref="K44">IF(AL44,heureDecimal2Txt(AP44),NA())</f>
        <v>00:00:00.00(00.0000)</v>
      </c>
      <c r="L44" s="426"/>
      <c r="M44" s="106">
        <f t="shared" si="11"/>
        <v>4.8600000000000003</v>
      </c>
      <c r="N44" s="385" t="str">
        <f t="array" ref="N44">IF(AL44,dateEpoch2Txt(AR44),NA())</f>
        <v>2024/09/12 17:43</v>
      </c>
      <c r="O44" s="385"/>
      <c r="P44" s="386">
        <f t="shared" si="12"/>
        <v>479489.71666666667</v>
      </c>
      <c r="Q44" s="387"/>
      <c r="AB44" t="b">
        <f t="shared" si="13"/>
        <v>0</v>
      </c>
      <c r="AC44">
        <f t="array" ref="AC44">IF(ISBLANK(D44),0,dateConvert2Decimal(D44))</f>
        <v>1726099200</v>
      </c>
      <c r="AD44">
        <f t="array" ref="AD44">IF(ISBLANK(E44),0,heureConvert2Decimal(E44))*3600</f>
        <v>63779.999999999993</v>
      </c>
      <c r="AE44">
        <f t="shared" si="14"/>
        <v>1726162980</v>
      </c>
      <c r="AF44" s="111" t="b">
        <f t="shared" si="15"/>
        <v>1</v>
      </c>
      <c r="AG44" s="111" t="b">
        <f t="shared" si="16"/>
        <v>1</v>
      </c>
      <c r="AH44" s="111" t="b">
        <f t="shared" si="17"/>
        <v>1</v>
      </c>
      <c r="AI44" s="111" t="b">
        <f t="shared" si="18"/>
        <v>1</v>
      </c>
      <c r="AJ44" s="111" t="b">
        <f t="shared" si="19"/>
        <v>1</v>
      </c>
      <c r="AK44">
        <f t="shared" si="28"/>
        <v>6.9333333333333336</v>
      </c>
      <c r="AL44" s="111" t="b">
        <f t="shared" si="20"/>
        <v>1</v>
      </c>
      <c r="AM44">
        <f t="shared" si="21"/>
        <v>28</v>
      </c>
      <c r="AN44" t="b">
        <f t="shared" si="22"/>
        <v>0</v>
      </c>
      <c r="AO44">
        <f t="shared" si="23"/>
        <v>0</v>
      </c>
      <c r="AP44">
        <f t="shared" si="24"/>
        <v>0</v>
      </c>
      <c r="AQ44">
        <f t="shared" si="25"/>
        <v>4.8600000000000003</v>
      </c>
      <c r="AR44">
        <f t="shared" si="26"/>
        <v>1726162980</v>
      </c>
      <c r="AS44" s="408"/>
      <c r="AT44" s="408"/>
      <c r="AU44" s="408"/>
      <c r="AV44" s="408"/>
      <c r="AW44" s="408"/>
      <c r="AX44" s="408"/>
      <c r="AY44" s="408"/>
      <c r="AZ44" s="408"/>
      <c r="BA44" s="408"/>
      <c r="BB44" s="408"/>
    </row>
    <row r="45" spans="2:54">
      <c r="C45" s="109" t="str">
        <f t="shared" si="27"/>
        <v>PM</v>
      </c>
      <c r="D45" s="136" t="s">
        <v>271</v>
      </c>
      <c r="E45" s="133" t="s">
        <v>275</v>
      </c>
      <c r="F45" s="133">
        <v>28</v>
      </c>
      <c r="G45" s="137">
        <v>7.45</v>
      </c>
      <c r="H45" s="105" t="str">
        <f t="shared" si="8"/>
        <v>Y</v>
      </c>
      <c r="I45" s="105" t="str">
        <f t="shared" si="9"/>
        <v>N</v>
      </c>
      <c r="J45" s="110">
        <f t="shared" si="10"/>
        <v>0</v>
      </c>
      <c r="K45" s="425" t="str">
        <f t="array" ref="K45">IF(AL45,heureDecimal2Txt(AP45),NA())</f>
        <v>00:00:00.00(00.0000)</v>
      </c>
      <c r="L45" s="426"/>
      <c r="M45" s="106">
        <f t="shared" si="11"/>
        <v>7.45</v>
      </c>
      <c r="N45" s="385" t="str">
        <f t="array" ref="N45">IF(AL45,dateEpoch2Txt(AR45),NA())</f>
        <v>2024/09/12 23:48</v>
      </c>
      <c r="O45" s="385"/>
      <c r="P45" s="386">
        <f t="shared" si="12"/>
        <v>479495.8</v>
      </c>
      <c r="Q45" s="387"/>
      <c r="AB45" t="b">
        <f t="shared" si="13"/>
        <v>1</v>
      </c>
      <c r="AC45">
        <f t="array" ref="AC45">IF(ISBLANK(D45),0,dateConvert2Decimal(D45))</f>
        <v>1726099200</v>
      </c>
      <c r="AD45">
        <f t="array" ref="AD45">IF(ISBLANK(E45),0,heureConvert2Decimal(E45))*3600</f>
        <v>85680</v>
      </c>
      <c r="AE45">
        <f t="shared" si="14"/>
        <v>1726184880</v>
      </c>
      <c r="AF45" s="111" t="b">
        <f t="shared" si="15"/>
        <v>1</v>
      </c>
      <c r="AG45" s="111" t="b">
        <f t="shared" si="16"/>
        <v>1</v>
      </c>
      <c r="AH45" s="111" t="b">
        <f t="shared" si="17"/>
        <v>1</v>
      </c>
      <c r="AI45" s="111" t="b">
        <f t="shared" si="18"/>
        <v>1</v>
      </c>
      <c r="AJ45" s="111" t="b">
        <f t="shared" si="19"/>
        <v>1</v>
      </c>
      <c r="AK45">
        <f t="shared" si="28"/>
        <v>6.083333333333333</v>
      </c>
      <c r="AL45" s="111" t="b">
        <f t="shared" si="20"/>
        <v>1</v>
      </c>
      <c r="AM45">
        <f t="shared" si="21"/>
        <v>28</v>
      </c>
      <c r="AN45" t="b">
        <f t="shared" si="22"/>
        <v>0</v>
      </c>
      <c r="AO45">
        <f t="shared" si="23"/>
        <v>0</v>
      </c>
      <c r="AP45">
        <f t="shared" si="24"/>
        <v>0</v>
      </c>
      <c r="AQ45">
        <f t="shared" si="25"/>
        <v>7.45</v>
      </c>
      <c r="AR45">
        <f t="shared" si="26"/>
        <v>1726184880</v>
      </c>
      <c r="AS45" s="408"/>
      <c r="AT45" s="408"/>
      <c r="AU45" s="408"/>
      <c r="AV45" s="408"/>
      <c r="AW45" s="408"/>
      <c r="AX45" s="408"/>
      <c r="AY45" s="408"/>
      <c r="AZ45" s="408"/>
      <c r="BA45" s="408"/>
      <c r="BB45" s="408"/>
    </row>
    <row r="46" spans="2:54">
      <c r="C46" s="109" t="str">
        <f t="shared" si="27"/>
        <v>BM</v>
      </c>
      <c r="D46" s="134" t="s">
        <v>276</v>
      </c>
      <c r="E46" s="132" t="s">
        <v>277</v>
      </c>
      <c r="F46" s="132"/>
      <c r="G46" s="135">
        <v>5.08</v>
      </c>
      <c r="H46" s="105" t="str">
        <f t="shared" si="8"/>
        <v>Y</v>
      </c>
      <c r="I46" s="105" t="str">
        <f t="shared" si="9"/>
        <v>N</v>
      </c>
      <c r="J46" s="110">
        <f t="shared" si="10"/>
        <v>0</v>
      </c>
      <c r="K46" s="425" t="str">
        <f t="array" ref="K46">IF(AL46,heureDecimal2Txt(AP46),NA())</f>
        <v>00:00:00.00(00.0000)</v>
      </c>
      <c r="L46" s="426"/>
      <c r="M46" s="106">
        <f t="shared" si="11"/>
        <v>5.08</v>
      </c>
      <c r="N46" s="385" t="str">
        <f t="array" ref="N46">IF(AL46,dateEpoch2Txt(AR46),NA())</f>
        <v>2024/09/13 06:24</v>
      </c>
      <c r="O46" s="385"/>
      <c r="P46" s="386">
        <f t="shared" si="12"/>
        <v>479502.4</v>
      </c>
      <c r="Q46" s="387"/>
      <c r="AB46" t="b">
        <f t="shared" si="13"/>
        <v>0</v>
      </c>
      <c r="AC46">
        <f t="array" ref="AC46">IF(ISBLANK(D46),0,dateConvert2Decimal(D46))</f>
        <v>1726185600</v>
      </c>
      <c r="AD46">
        <f t="array" ref="AD46">IF(ISBLANK(E46),0,heureConvert2Decimal(E46))*3600</f>
        <v>23040</v>
      </c>
      <c r="AE46">
        <f t="shared" si="14"/>
        <v>1726208640</v>
      </c>
      <c r="AF46" s="111" t="b">
        <f t="shared" si="15"/>
        <v>1</v>
      </c>
      <c r="AG46" s="111" t="b">
        <f t="shared" si="16"/>
        <v>1</v>
      </c>
      <c r="AH46" s="111" t="b">
        <f t="shared" si="17"/>
        <v>1</v>
      </c>
      <c r="AI46" s="111" t="b">
        <f t="shared" si="18"/>
        <v>1</v>
      </c>
      <c r="AJ46" s="111" t="b">
        <f t="shared" si="19"/>
        <v>1</v>
      </c>
      <c r="AK46">
        <f t="shared" si="28"/>
        <v>6.6</v>
      </c>
      <c r="AL46" s="111" t="b">
        <f t="shared" si="20"/>
        <v>1</v>
      </c>
      <c r="AM46">
        <f t="shared" si="21"/>
        <v>31</v>
      </c>
      <c r="AN46" t="b">
        <f t="shared" si="22"/>
        <v>0</v>
      </c>
      <c r="AO46">
        <f t="shared" si="23"/>
        <v>0</v>
      </c>
      <c r="AP46">
        <f t="shared" si="24"/>
        <v>0</v>
      </c>
      <c r="AQ46">
        <f t="shared" si="25"/>
        <v>5.08</v>
      </c>
      <c r="AR46">
        <f t="shared" si="26"/>
        <v>1726208640</v>
      </c>
      <c r="AS46" s="408"/>
      <c r="AT46" s="408"/>
      <c r="AU46" s="408"/>
      <c r="AV46" s="408"/>
      <c r="AW46" s="408"/>
      <c r="AX46" s="408"/>
      <c r="AY46" s="408"/>
      <c r="AZ46" s="408"/>
      <c r="BA46" s="408"/>
      <c r="BB46" s="408"/>
    </row>
    <row r="47" spans="2:54">
      <c r="B47">
        <v>10</v>
      </c>
      <c r="C47" s="109" t="str">
        <f t="shared" si="27"/>
        <v>PM</v>
      </c>
      <c r="D47" s="136" t="s">
        <v>276</v>
      </c>
      <c r="E47" s="133" t="s">
        <v>278</v>
      </c>
      <c r="F47" s="133">
        <v>31</v>
      </c>
      <c r="G47" s="137">
        <v>7.59</v>
      </c>
      <c r="H47" s="105" t="str">
        <f t="shared" si="8"/>
        <v>Y</v>
      </c>
      <c r="I47" s="105" t="str">
        <f t="shared" si="9"/>
        <v>N</v>
      </c>
      <c r="J47" s="110">
        <f t="shared" si="10"/>
        <v>0</v>
      </c>
      <c r="K47" s="425" t="str">
        <f t="array" ref="K47">IF(AL47,heureDecimal2Txt(AP47),NA())</f>
        <v>00:00:00.00(00.0000)</v>
      </c>
      <c r="L47" s="426"/>
      <c r="M47" s="106">
        <f t="shared" si="11"/>
        <v>7.59</v>
      </c>
      <c r="N47" s="385" t="str">
        <f t="array" ref="N47">IF(AL47,dateEpoch2Txt(AR47),NA())</f>
        <v>2024/09/13 12:55</v>
      </c>
      <c r="O47" s="385"/>
      <c r="P47" s="386">
        <f t="shared" si="12"/>
        <v>479508.91666666669</v>
      </c>
      <c r="Q47" s="387"/>
      <c r="AB47" t="b">
        <f t="shared" si="13"/>
        <v>1</v>
      </c>
      <c r="AC47">
        <f t="array" ref="AC47">IF(ISBLANK(D47),0,dateConvert2Decimal(D47))</f>
        <v>1726185600</v>
      </c>
      <c r="AD47">
        <f t="array" ref="AD47">IF(ISBLANK(E47),0,heureConvert2Decimal(E47))*3600</f>
        <v>46500</v>
      </c>
      <c r="AE47">
        <f t="shared" si="14"/>
        <v>1726232100</v>
      </c>
      <c r="AF47" s="111" t="b">
        <f t="shared" si="15"/>
        <v>1</v>
      </c>
      <c r="AG47" s="111" t="b">
        <f t="shared" si="16"/>
        <v>1</v>
      </c>
      <c r="AH47" s="111" t="b">
        <f t="shared" si="17"/>
        <v>1</v>
      </c>
      <c r="AI47" s="111" t="b">
        <f t="shared" si="18"/>
        <v>1</v>
      </c>
      <c r="AJ47" s="111" t="b">
        <f t="shared" si="19"/>
        <v>1</v>
      </c>
      <c r="AK47">
        <f t="shared" si="28"/>
        <v>6.5166666666666666</v>
      </c>
      <c r="AL47" s="111" t="b">
        <f t="shared" si="20"/>
        <v>1</v>
      </c>
      <c r="AM47">
        <f t="shared" si="21"/>
        <v>31</v>
      </c>
      <c r="AN47" t="b">
        <f t="shared" si="22"/>
        <v>0</v>
      </c>
      <c r="AO47">
        <f t="shared" si="23"/>
        <v>0</v>
      </c>
      <c r="AP47">
        <f t="shared" si="24"/>
        <v>0</v>
      </c>
      <c r="AQ47">
        <f t="shared" si="25"/>
        <v>7.59</v>
      </c>
      <c r="AR47">
        <f t="shared" si="26"/>
        <v>1726232100</v>
      </c>
      <c r="AS47" s="408"/>
      <c r="AT47" s="408"/>
      <c r="AU47" s="408"/>
      <c r="AV47" s="408"/>
      <c r="AW47" s="408"/>
      <c r="AX47" s="408"/>
      <c r="AY47" s="408"/>
      <c r="AZ47" s="408"/>
      <c r="BA47" s="408"/>
      <c r="BB47" s="408"/>
    </row>
    <row r="48" spans="2:54">
      <c r="C48" s="109" t="str">
        <f t="shared" si="27"/>
        <v>BM</v>
      </c>
      <c r="D48" s="134" t="s">
        <v>276</v>
      </c>
      <c r="E48" s="132" t="s">
        <v>279</v>
      </c>
      <c r="F48" s="132"/>
      <c r="G48" s="135">
        <v>4.7300000000000004</v>
      </c>
      <c r="H48" s="105" t="str">
        <f t="shared" si="8"/>
        <v>Y</v>
      </c>
      <c r="I48" s="105" t="str">
        <f t="shared" si="9"/>
        <v>N</v>
      </c>
      <c r="J48" s="110">
        <f t="shared" si="10"/>
        <v>0</v>
      </c>
      <c r="K48" s="425" t="str">
        <f t="array" ref="K48">IF(AL48,heureDecimal2Txt(AP48),NA())</f>
        <v>00:00:00.00(00.0000)</v>
      </c>
      <c r="L48" s="426"/>
      <c r="M48" s="106">
        <f t="shared" si="11"/>
        <v>4.7300000000000004</v>
      </c>
      <c r="N48" s="385" t="str">
        <f t="array" ref="N48">IF(AL48,dateEpoch2Txt(AR48),NA())</f>
        <v>2024/09/13 19:44</v>
      </c>
      <c r="O48" s="385"/>
      <c r="P48" s="386">
        <f t="shared" si="12"/>
        <v>479515.73333333334</v>
      </c>
      <c r="Q48" s="387"/>
      <c r="AB48" t="b">
        <f t="shared" si="13"/>
        <v>0</v>
      </c>
      <c r="AC48">
        <f t="array" ref="AC48">IF(ISBLANK(D48),0,dateConvert2Decimal(D48))</f>
        <v>1726185600</v>
      </c>
      <c r="AD48">
        <f t="array" ref="AD48">IF(ISBLANK(E48),0,heureConvert2Decimal(E48))*3600</f>
        <v>71040</v>
      </c>
      <c r="AE48">
        <f t="shared" si="14"/>
        <v>1726256640</v>
      </c>
      <c r="AF48" s="111" t="b">
        <f t="shared" si="15"/>
        <v>1</v>
      </c>
      <c r="AG48" s="111" t="b">
        <f t="shared" si="16"/>
        <v>1</v>
      </c>
      <c r="AH48" s="111" t="b">
        <f t="shared" si="17"/>
        <v>1</v>
      </c>
      <c r="AI48" s="111" t="b">
        <f t="shared" si="18"/>
        <v>1</v>
      </c>
      <c r="AJ48" s="111" t="b">
        <f t="shared" si="19"/>
        <v>1</v>
      </c>
      <c r="AK48">
        <f t="shared" si="28"/>
        <v>6.8166666666666664</v>
      </c>
      <c r="AL48" s="111" t="b">
        <f t="shared" si="20"/>
        <v>1</v>
      </c>
      <c r="AM48">
        <f t="shared" si="21"/>
        <v>37</v>
      </c>
      <c r="AN48" t="b">
        <f t="shared" si="22"/>
        <v>0</v>
      </c>
      <c r="AO48">
        <f t="shared" si="23"/>
        <v>0</v>
      </c>
      <c r="AP48">
        <f t="shared" si="24"/>
        <v>0</v>
      </c>
      <c r="AQ48">
        <f t="shared" si="25"/>
        <v>4.7300000000000004</v>
      </c>
      <c r="AR48">
        <f t="shared" si="26"/>
        <v>1726256640</v>
      </c>
      <c r="AS48" s="408"/>
      <c r="AT48" s="408"/>
      <c r="AU48" s="408"/>
      <c r="AV48" s="408"/>
      <c r="AW48" s="408"/>
      <c r="AX48" s="408"/>
      <c r="AY48" s="408"/>
      <c r="AZ48" s="408"/>
      <c r="BA48" s="408"/>
      <c r="BB48" s="408"/>
    </row>
    <row r="49" spans="2:54">
      <c r="C49" s="109" t="str">
        <f t="shared" si="27"/>
        <v>PM</v>
      </c>
      <c r="D49" s="136" t="s">
        <v>280</v>
      </c>
      <c r="E49" s="133" t="s">
        <v>281</v>
      </c>
      <c r="F49" s="133">
        <v>37</v>
      </c>
      <c r="G49" s="137">
        <v>7.73</v>
      </c>
      <c r="H49" s="105" t="str">
        <f t="shared" si="8"/>
        <v>Y</v>
      </c>
      <c r="I49" s="105" t="str">
        <f t="shared" si="9"/>
        <v>N</v>
      </c>
      <c r="J49" s="110">
        <f t="shared" si="10"/>
        <v>0</v>
      </c>
      <c r="K49" s="425" t="str">
        <f t="array" ref="K49">IF(AL49,heureDecimal2Txt(AP49),NA())</f>
        <v>00:00:00.00(00.0000)</v>
      </c>
      <c r="L49" s="426"/>
      <c r="M49" s="106">
        <f t="shared" si="11"/>
        <v>7.73</v>
      </c>
      <c r="N49" s="385" t="str">
        <f t="array" ref="N49">IF(AL49,dateEpoch2Txt(AR49),NA())</f>
        <v>2024/09/14 02:04</v>
      </c>
      <c r="O49" s="385"/>
      <c r="P49" s="386">
        <f t="shared" si="12"/>
        <v>479522.06666666665</v>
      </c>
      <c r="Q49" s="387"/>
      <c r="AB49" t="b">
        <f t="shared" si="13"/>
        <v>1</v>
      </c>
      <c r="AC49">
        <f t="array" ref="AC49">IF(ISBLANK(D49),0,dateConvert2Decimal(D49))</f>
        <v>1726272000</v>
      </c>
      <c r="AD49">
        <f t="array" ref="AD49">IF(ISBLANK(E49),0,heureConvert2Decimal(E49))*3600</f>
        <v>7440.0000000000009</v>
      </c>
      <c r="AE49">
        <f t="shared" si="14"/>
        <v>1726279440</v>
      </c>
      <c r="AF49" s="111" t="b">
        <f t="shared" si="15"/>
        <v>1</v>
      </c>
      <c r="AG49" s="111" t="b">
        <f t="shared" si="16"/>
        <v>1</v>
      </c>
      <c r="AH49" s="111" t="b">
        <f t="shared" si="17"/>
        <v>1</v>
      </c>
      <c r="AI49" s="111" t="b">
        <f t="shared" si="18"/>
        <v>1</v>
      </c>
      <c r="AJ49" s="111" t="b">
        <f t="shared" si="19"/>
        <v>1</v>
      </c>
      <c r="AK49">
        <f t="shared" si="28"/>
        <v>6.333333333333333</v>
      </c>
      <c r="AL49" s="111" t="b">
        <f t="shared" si="20"/>
        <v>1</v>
      </c>
      <c r="AM49">
        <f t="shared" si="21"/>
        <v>37</v>
      </c>
      <c r="AN49" t="b">
        <f t="shared" si="22"/>
        <v>0</v>
      </c>
      <c r="AO49">
        <f t="shared" si="23"/>
        <v>0</v>
      </c>
      <c r="AP49">
        <f t="shared" si="24"/>
        <v>0</v>
      </c>
      <c r="AQ49">
        <f t="shared" si="25"/>
        <v>7.73</v>
      </c>
      <c r="AR49">
        <f t="shared" si="26"/>
        <v>1726279440</v>
      </c>
      <c r="AS49" s="408"/>
      <c r="AT49" s="408"/>
      <c r="AU49" s="408"/>
      <c r="AV49" s="408"/>
      <c r="AW49" s="408"/>
      <c r="AX49" s="408"/>
      <c r="AY49" s="408"/>
      <c r="AZ49" s="408"/>
      <c r="BA49" s="408"/>
      <c r="BB49" s="408"/>
    </row>
    <row r="50" spans="2:54">
      <c r="C50" s="109" t="str">
        <f t="shared" si="27"/>
        <v>BM</v>
      </c>
      <c r="D50" s="134" t="s">
        <v>280</v>
      </c>
      <c r="E50" s="132" t="s">
        <v>282</v>
      </c>
      <c r="F50" s="132"/>
      <c r="G50" s="135">
        <v>4.68</v>
      </c>
      <c r="H50" s="105" t="str">
        <f t="shared" si="8"/>
        <v>Y</v>
      </c>
      <c r="I50" s="105" t="str">
        <f t="shared" si="9"/>
        <v>N</v>
      </c>
      <c r="J50" s="110">
        <f t="shared" si="10"/>
        <v>0</v>
      </c>
      <c r="K50" s="425" t="str">
        <f t="array" ref="K50">IF(AL50,heureDecimal2Txt(AP50),NA())</f>
        <v>00:00:00.00(00.0000)</v>
      </c>
      <c r="L50" s="426"/>
      <c r="M50" s="106">
        <f t="shared" si="11"/>
        <v>4.68</v>
      </c>
      <c r="N50" s="385" t="str">
        <f>IF(AL50,dateEpoch2Txt(AR50),NA())</f>
        <v>2024/09/14 08:29</v>
      </c>
      <c r="O50" s="385"/>
      <c r="P50" s="386">
        <f t="shared" si="12"/>
        <v>479528.48333333334</v>
      </c>
      <c r="Q50" s="387"/>
      <c r="AB50" t="b">
        <f t="shared" si="13"/>
        <v>0</v>
      </c>
      <c r="AC50">
        <f t="array" ref="AC50">IF(ISBLANK(D50),0,dateConvert2Decimal(D50))</f>
        <v>1726272000</v>
      </c>
      <c r="AD50">
        <f t="array" ref="AD50">IF(ISBLANK(E50),0,heureConvert2Decimal(E50))*3600</f>
        <v>30539.999999999996</v>
      </c>
      <c r="AE50">
        <f t="shared" si="14"/>
        <v>1726302540</v>
      </c>
      <c r="AF50" s="111" t="b">
        <f t="shared" si="15"/>
        <v>1</v>
      </c>
      <c r="AG50" s="111" t="b">
        <f t="shared" si="16"/>
        <v>1</v>
      </c>
      <c r="AH50" s="111" t="b">
        <f t="shared" si="17"/>
        <v>1</v>
      </c>
      <c r="AI50" s="111" t="b">
        <f t="shared" si="18"/>
        <v>1</v>
      </c>
      <c r="AJ50" s="111" t="b">
        <f t="shared" si="19"/>
        <v>1</v>
      </c>
      <c r="AK50">
        <f t="shared" si="28"/>
        <v>6.416666666666667</v>
      </c>
      <c r="AL50" s="111" t="b">
        <f t="shared" si="20"/>
        <v>1</v>
      </c>
      <c r="AM50">
        <f t="shared" si="21"/>
        <v>45</v>
      </c>
      <c r="AN50" t="b">
        <f t="shared" si="22"/>
        <v>0</v>
      </c>
      <c r="AO50">
        <f t="shared" si="23"/>
        <v>0</v>
      </c>
      <c r="AP50">
        <f t="shared" si="24"/>
        <v>0</v>
      </c>
      <c r="AQ50">
        <f t="shared" si="25"/>
        <v>4.68</v>
      </c>
      <c r="AR50">
        <f t="shared" si="26"/>
        <v>1726302540</v>
      </c>
      <c r="AS50" s="408"/>
      <c r="AT50" s="408"/>
      <c r="AU50" s="408"/>
      <c r="AV50" s="408"/>
      <c r="AW50" s="408"/>
      <c r="AX50" s="408"/>
      <c r="AY50" s="408"/>
      <c r="AZ50" s="408"/>
      <c r="BA50" s="408"/>
      <c r="BB50" s="408"/>
    </row>
    <row r="51" spans="2:54">
      <c r="C51" s="109" t="str">
        <f t="shared" si="27"/>
        <v>PM</v>
      </c>
      <c r="D51" s="136" t="s">
        <v>280</v>
      </c>
      <c r="E51" s="133" t="s">
        <v>283</v>
      </c>
      <c r="F51" s="133">
        <v>45</v>
      </c>
      <c r="G51" s="137">
        <v>8.24</v>
      </c>
      <c r="H51" s="105" t="str">
        <f t="shared" si="8"/>
        <v>Y</v>
      </c>
      <c r="I51" s="105" t="str">
        <f t="shared" si="9"/>
        <v>N</v>
      </c>
      <c r="J51" s="110">
        <f t="shared" si="10"/>
        <v>0</v>
      </c>
      <c r="K51" s="425" t="str">
        <f t="array" ref="K51">IF(AL51,heureDecimal2Txt(AP51),NA())</f>
        <v>00:00:00.00(00.0000)</v>
      </c>
      <c r="L51" s="426"/>
      <c r="M51" s="106">
        <f t="shared" si="11"/>
        <v>8.24</v>
      </c>
      <c r="N51" s="385" t="str">
        <f t="array" ref="N51">IF(AL51,dateEpoch2Txt(AR51),NA())</f>
        <v>2024/09/14 14:43</v>
      </c>
      <c r="O51" s="385"/>
      <c r="P51" s="386">
        <f t="shared" si="12"/>
        <v>479534.71666666667</v>
      </c>
      <c r="Q51" s="387"/>
      <c r="AB51" t="b">
        <f t="shared" si="13"/>
        <v>1</v>
      </c>
      <c r="AC51">
        <f t="array" ref="AC51">IF(ISBLANK(D51),0,dateConvert2Decimal(D51))</f>
        <v>1726272000</v>
      </c>
      <c r="AD51">
        <f t="array" ref="AD51">IF(ISBLANK(E51),0,heureConvert2Decimal(E51))*3600</f>
        <v>52980</v>
      </c>
      <c r="AE51">
        <f t="shared" si="14"/>
        <v>1726324980</v>
      </c>
      <c r="AF51" s="111" t="b">
        <f t="shared" si="15"/>
        <v>1</v>
      </c>
      <c r="AG51" s="111" t="b">
        <f t="shared" si="16"/>
        <v>1</v>
      </c>
      <c r="AH51" s="111" t="b">
        <f t="shared" si="17"/>
        <v>1</v>
      </c>
      <c r="AI51" s="111" t="b">
        <f t="shared" si="18"/>
        <v>1</v>
      </c>
      <c r="AJ51" s="111" t="b">
        <f t="shared" si="19"/>
        <v>1</v>
      </c>
      <c r="AK51">
        <f t="shared" si="28"/>
        <v>6.2333333333333334</v>
      </c>
      <c r="AL51" s="111" t="b">
        <f t="shared" si="20"/>
        <v>1</v>
      </c>
      <c r="AM51">
        <f t="shared" si="21"/>
        <v>45</v>
      </c>
      <c r="AN51" t="b">
        <f t="shared" si="22"/>
        <v>0</v>
      </c>
      <c r="AO51">
        <f t="shared" si="23"/>
        <v>0</v>
      </c>
      <c r="AP51">
        <f t="shared" si="24"/>
        <v>0</v>
      </c>
      <c r="AQ51">
        <f t="shared" si="25"/>
        <v>8.24</v>
      </c>
      <c r="AR51">
        <f t="shared" si="26"/>
        <v>1726324980</v>
      </c>
      <c r="AS51" s="408"/>
      <c r="AT51" s="408"/>
      <c r="AU51" s="408"/>
      <c r="AV51" s="408"/>
      <c r="AW51" s="408"/>
      <c r="AX51" s="408"/>
      <c r="AY51" s="408"/>
      <c r="AZ51" s="408"/>
      <c r="BA51" s="408"/>
      <c r="BB51" s="408"/>
    </row>
    <row r="52" spans="2:54">
      <c r="B52">
        <v>15</v>
      </c>
      <c r="C52" s="109" t="str">
        <f t="shared" si="27"/>
        <v>BM</v>
      </c>
      <c r="D52" s="134" t="s">
        <v>280</v>
      </c>
      <c r="E52" s="132" t="s">
        <v>284</v>
      </c>
      <c r="F52" s="132"/>
      <c r="G52" s="135">
        <v>3.9</v>
      </c>
      <c r="H52" s="105" t="str">
        <f t="shared" si="8"/>
        <v>Y</v>
      </c>
      <c r="I52" s="105" t="str">
        <f t="shared" si="9"/>
        <v>N</v>
      </c>
      <c r="J52" s="110">
        <f t="shared" si="10"/>
        <v>0</v>
      </c>
      <c r="K52" s="425" t="str">
        <f t="array" ref="K52">IF(AL52,heureDecimal2Txt(AP52),NA())</f>
        <v>00:00:00.00(00.0000)</v>
      </c>
      <c r="L52" s="426"/>
      <c r="M52" s="106">
        <f t="shared" si="11"/>
        <v>3.9</v>
      </c>
      <c r="N52" s="385" t="str">
        <f t="array" ref="N52">IF(AL52,dateEpoch2Txt(AR52),NA())</f>
        <v>2024/09/14 21:15</v>
      </c>
      <c r="O52" s="385"/>
      <c r="P52" s="386">
        <f t="shared" si="12"/>
        <v>479541.25</v>
      </c>
      <c r="Q52" s="387"/>
      <c r="AB52" t="b">
        <f t="shared" si="13"/>
        <v>0</v>
      </c>
      <c r="AC52">
        <f t="array" ref="AC52">IF(ISBLANK(D52),0,dateConvert2Decimal(D52))</f>
        <v>1726272000</v>
      </c>
      <c r="AD52">
        <f t="array" ref="AD52">IF(ISBLANK(E52),0,heureConvert2Decimal(E52))*3600</f>
        <v>76500</v>
      </c>
      <c r="AE52">
        <f t="shared" si="14"/>
        <v>1726348500</v>
      </c>
      <c r="AF52" s="111" t="b">
        <f t="shared" si="15"/>
        <v>1</v>
      </c>
      <c r="AG52" s="111" t="b">
        <f t="shared" si="16"/>
        <v>1</v>
      </c>
      <c r="AH52" s="111" t="b">
        <f t="shared" si="17"/>
        <v>1</v>
      </c>
      <c r="AI52" s="111" t="b">
        <f t="shared" si="18"/>
        <v>1</v>
      </c>
      <c r="AJ52" s="111" t="b">
        <f t="shared" si="19"/>
        <v>1</v>
      </c>
      <c r="AK52">
        <f t="shared" si="28"/>
        <v>6.5333333333333332</v>
      </c>
      <c r="AL52" s="111" t="b">
        <f t="shared" si="20"/>
        <v>1</v>
      </c>
      <c r="AM52">
        <f t="shared" si="21"/>
        <v>54</v>
      </c>
      <c r="AN52" t="b">
        <f t="shared" si="22"/>
        <v>0</v>
      </c>
      <c r="AO52">
        <f t="shared" si="23"/>
        <v>0</v>
      </c>
      <c r="AP52">
        <f t="shared" si="24"/>
        <v>0</v>
      </c>
      <c r="AQ52">
        <f t="shared" si="25"/>
        <v>3.9</v>
      </c>
      <c r="AR52">
        <f t="shared" si="26"/>
        <v>1726348500</v>
      </c>
      <c r="AS52" s="408"/>
      <c r="AT52" s="408"/>
      <c r="AU52" s="408"/>
      <c r="AV52" s="408"/>
      <c r="AW52" s="408"/>
      <c r="AX52" s="408"/>
      <c r="AY52" s="408"/>
      <c r="AZ52" s="408"/>
      <c r="BA52" s="408"/>
      <c r="BB52" s="408"/>
    </row>
    <row r="53" spans="2:54">
      <c r="C53" s="109" t="str">
        <f t="shared" si="27"/>
        <v>PM</v>
      </c>
      <c r="D53" s="136" t="s">
        <v>285</v>
      </c>
      <c r="E53" s="133" t="s">
        <v>286</v>
      </c>
      <c r="F53" s="133">
        <v>54</v>
      </c>
      <c r="G53" s="137">
        <v>8.6199999999999992</v>
      </c>
      <c r="H53" s="105" t="str">
        <f t="shared" si="8"/>
        <v>Y</v>
      </c>
      <c r="I53" s="105" t="str">
        <f t="shared" si="9"/>
        <v>N</v>
      </c>
      <c r="J53" s="110">
        <f t="shared" si="10"/>
        <v>0</v>
      </c>
      <c r="K53" s="425" t="str">
        <f t="array" ref="K53">IF(AL53,heureDecimal2Txt(AP53),NA())</f>
        <v>00:00:00.00(00.0000)</v>
      </c>
      <c r="L53" s="426"/>
      <c r="M53" s="106">
        <f t="shared" si="11"/>
        <v>8.6199999999999992</v>
      </c>
      <c r="N53" s="385" t="str">
        <f t="array" ref="N53">IF(AL53,dateEpoch2Txt(AR53),NA())</f>
        <v>2024/09/15 03:23</v>
      </c>
      <c r="O53" s="385"/>
      <c r="P53" s="386">
        <f t="shared" si="12"/>
        <v>479547.38333333336</v>
      </c>
      <c r="Q53" s="387"/>
      <c r="AB53" t="b">
        <f t="shared" si="13"/>
        <v>1</v>
      </c>
      <c r="AC53">
        <f t="array" ref="AC53">IF(ISBLANK(D53),0,dateConvert2Decimal(D53))</f>
        <v>1726358400</v>
      </c>
      <c r="AD53">
        <f t="array" ref="AD53">IF(ISBLANK(E53),0,heureConvert2Decimal(E53))*3600</f>
        <v>12180</v>
      </c>
      <c r="AE53">
        <f t="shared" si="14"/>
        <v>1726370580</v>
      </c>
      <c r="AF53" s="111" t="b">
        <f t="shared" si="15"/>
        <v>1</v>
      </c>
      <c r="AG53" s="111" t="b">
        <f t="shared" si="16"/>
        <v>1</v>
      </c>
      <c r="AH53" s="111" t="b">
        <f t="shared" si="17"/>
        <v>1</v>
      </c>
      <c r="AI53" s="111" t="b">
        <f t="shared" si="18"/>
        <v>1</v>
      </c>
      <c r="AJ53" s="111" t="b">
        <f t="shared" si="19"/>
        <v>1</v>
      </c>
      <c r="AK53">
        <f t="shared" si="28"/>
        <v>6.1333333333333337</v>
      </c>
      <c r="AL53" s="111" t="b">
        <f t="shared" si="20"/>
        <v>1</v>
      </c>
      <c r="AM53">
        <f t="shared" si="21"/>
        <v>54</v>
      </c>
      <c r="AN53" t="b">
        <f t="shared" si="22"/>
        <v>0</v>
      </c>
      <c r="AO53">
        <f t="shared" si="23"/>
        <v>0</v>
      </c>
      <c r="AP53">
        <f t="shared" si="24"/>
        <v>0</v>
      </c>
      <c r="AQ53">
        <f t="shared" si="25"/>
        <v>8.6199999999999992</v>
      </c>
      <c r="AR53">
        <f t="shared" si="26"/>
        <v>1726370580</v>
      </c>
      <c r="AS53" s="408"/>
      <c r="AT53" s="408"/>
      <c r="AU53" s="408"/>
      <c r="AV53" s="408"/>
      <c r="AW53" s="408"/>
      <c r="AX53" s="408"/>
      <c r="AY53" s="408"/>
      <c r="AZ53" s="408"/>
      <c r="BA53" s="408"/>
      <c r="BB53" s="408"/>
    </row>
    <row r="54" spans="2:54">
      <c r="C54" s="109" t="str">
        <f t="shared" si="27"/>
        <v>BM</v>
      </c>
      <c r="D54" s="134" t="s">
        <v>285</v>
      </c>
      <c r="E54" s="132" t="s">
        <v>287</v>
      </c>
      <c r="F54" s="132"/>
      <c r="G54" s="135">
        <v>3.74</v>
      </c>
      <c r="H54" s="105" t="str">
        <f t="shared" si="8"/>
        <v>Y</v>
      </c>
      <c r="I54" s="105" t="str">
        <f t="shared" si="9"/>
        <v>N</v>
      </c>
      <c r="J54" s="110">
        <f t="shared" si="10"/>
        <v>0</v>
      </c>
      <c r="K54" s="425" t="str">
        <f t="array" ref="K54">IF(AL54,heureDecimal2Txt(AP54),NA())</f>
        <v>00:00:00.00(00.0000)</v>
      </c>
      <c r="L54" s="426"/>
      <c r="M54" s="106">
        <f t="shared" si="11"/>
        <v>3.74</v>
      </c>
      <c r="N54" s="385" t="str">
        <f t="array" ref="N54">IF(AL54,dateEpoch2Txt(AR54),NA())</f>
        <v>2024/09/15 09:48</v>
      </c>
      <c r="O54" s="385"/>
      <c r="P54" s="386">
        <f t="shared" si="12"/>
        <v>479553.8</v>
      </c>
      <c r="Q54" s="387"/>
      <c r="AB54" t="b">
        <f t="shared" si="13"/>
        <v>0</v>
      </c>
      <c r="AC54">
        <f t="array" ref="AC54">IF(ISBLANK(D54),0,dateConvert2Decimal(D54))</f>
        <v>1726358400</v>
      </c>
      <c r="AD54">
        <f t="array" ref="AD54">IF(ISBLANK(E54),0,heureConvert2Decimal(E54))*3600</f>
        <v>35280</v>
      </c>
      <c r="AE54">
        <f t="shared" si="14"/>
        <v>1726393680</v>
      </c>
      <c r="AF54" s="111" t="b">
        <f t="shared" si="15"/>
        <v>1</v>
      </c>
      <c r="AG54" s="111" t="b">
        <f t="shared" si="16"/>
        <v>1</v>
      </c>
      <c r="AH54" s="111" t="b">
        <f t="shared" si="17"/>
        <v>1</v>
      </c>
      <c r="AI54" s="111" t="b">
        <f t="shared" si="18"/>
        <v>1</v>
      </c>
      <c r="AJ54" s="111" t="b">
        <f t="shared" si="19"/>
        <v>1</v>
      </c>
      <c r="AK54">
        <f t="shared" si="28"/>
        <v>6.416666666666667</v>
      </c>
      <c r="AL54" s="111" t="b">
        <f t="shared" si="20"/>
        <v>1</v>
      </c>
      <c r="AM54">
        <f t="shared" si="21"/>
        <v>64</v>
      </c>
      <c r="AN54" t="b">
        <f t="shared" si="22"/>
        <v>0</v>
      </c>
      <c r="AO54">
        <f t="shared" si="23"/>
        <v>0</v>
      </c>
      <c r="AP54">
        <f t="shared" si="24"/>
        <v>0</v>
      </c>
      <c r="AQ54">
        <f t="shared" si="25"/>
        <v>3.74</v>
      </c>
      <c r="AR54">
        <f t="shared" si="26"/>
        <v>1726393680</v>
      </c>
      <c r="AS54" s="408"/>
      <c r="AT54" s="408"/>
      <c r="AU54" s="408"/>
      <c r="AV54" s="408"/>
      <c r="AW54" s="408"/>
      <c r="AX54" s="408"/>
      <c r="AY54" s="408"/>
      <c r="AZ54" s="408"/>
      <c r="BA54" s="408"/>
      <c r="BB54" s="408"/>
    </row>
    <row r="55" spans="2:54">
      <c r="C55" s="109" t="str">
        <f t="shared" si="27"/>
        <v>PM</v>
      </c>
      <c r="D55" s="136" t="s">
        <v>285</v>
      </c>
      <c r="E55" s="133" t="s">
        <v>288</v>
      </c>
      <c r="F55" s="133">
        <v>64</v>
      </c>
      <c r="G55" s="137">
        <v>9.2200000000000006</v>
      </c>
      <c r="H55" s="105" t="str">
        <f t="shared" si="8"/>
        <v>Y</v>
      </c>
      <c r="I55" s="105" t="str">
        <f t="shared" si="9"/>
        <v>N</v>
      </c>
      <c r="J55" s="110">
        <f t="shared" si="10"/>
        <v>0</v>
      </c>
      <c r="K55" s="425" t="str">
        <f t="array" ref="K55">IF(AL55,heureDecimal2Txt(AP55),NA())</f>
        <v>00:00:00.00(00.0000)</v>
      </c>
      <c r="L55" s="426"/>
      <c r="M55" s="106">
        <f t="shared" si="11"/>
        <v>9.2200000000000006</v>
      </c>
      <c r="N55" s="385" t="str">
        <f t="array" ref="N55">IF(AL55,dateEpoch2Txt(AR55),NA())</f>
        <v>2024/09/15 15:49</v>
      </c>
      <c r="O55" s="385"/>
      <c r="P55" s="386">
        <f t="shared" si="12"/>
        <v>479559.81666666665</v>
      </c>
      <c r="Q55" s="387"/>
      <c r="AB55" t="b">
        <f t="shared" si="13"/>
        <v>1</v>
      </c>
      <c r="AC55">
        <f t="array" ref="AC55">IF(ISBLANK(D55),0,dateConvert2Decimal(D55))</f>
        <v>1726358400</v>
      </c>
      <c r="AD55">
        <f t="array" ref="AD55">IF(ISBLANK(E55),0,heureConvert2Decimal(E55))*3600</f>
        <v>56940</v>
      </c>
      <c r="AE55">
        <f t="shared" si="14"/>
        <v>1726415340</v>
      </c>
      <c r="AF55" s="111" t="b">
        <f t="shared" si="15"/>
        <v>1</v>
      </c>
      <c r="AG55" s="111" t="b">
        <f t="shared" si="16"/>
        <v>1</v>
      </c>
      <c r="AH55" s="111" t="b">
        <f t="shared" si="17"/>
        <v>1</v>
      </c>
      <c r="AI55" s="111" t="b">
        <f t="shared" si="18"/>
        <v>1</v>
      </c>
      <c r="AJ55" s="111" t="b">
        <f t="shared" si="19"/>
        <v>1</v>
      </c>
      <c r="AK55">
        <f t="shared" si="28"/>
        <v>6.0166666666666666</v>
      </c>
      <c r="AL55" s="111" t="b">
        <f t="shared" si="20"/>
        <v>1</v>
      </c>
      <c r="AM55">
        <f t="shared" si="21"/>
        <v>64</v>
      </c>
      <c r="AN55" t="b">
        <f t="shared" si="22"/>
        <v>0</v>
      </c>
      <c r="AO55">
        <f t="shared" si="23"/>
        <v>0</v>
      </c>
      <c r="AP55">
        <f t="shared" si="24"/>
        <v>0</v>
      </c>
      <c r="AQ55">
        <f t="shared" si="25"/>
        <v>9.2200000000000006</v>
      </c>
      <c r="AR55">
        <f t="shared" si="26"/>
        <v>1726415340</v>
      </c>
      <c r="AS55" s="408"/>
      <c r="AT55" s="408"/>
      <c r="AU55" s="408"/>
      <c r="AV55" s="408"/>
      <c r="AW55" s="408"/>
      <c r="AX55" s="408"/>
      <c r="AY55" s="408"/>
      <c r="AZ55" s="408"/>
      <c r="BA55" s="408"/>
      <c r="BB55" s="408"/>
    </row>
    <row r="56" spans="2:54">
      <c r="C56" s="109" t="str">
        <f t="shared" si="27"/>
        <v>BM</v>
      </c>
      <c r="D56" s="134" t="s">
        <v>285</v>
      </c>
      <c r="E56" s="132" t="s">
        <v>289</v>
      </c>
      <c r="F56" s="132"/>
      <c r="G56" s="135">
        <v>2.86</v>
      </c>
      <c r="H56" s="105" t="str">
        <f t="shared" si="8"/>
        <v>Y</v>
      </c>
      <c r="I56" s="105" t="str">
        <f t="shared" si="9"/>
        <v>Y</v>
      </c>
      <c r="J56" s="110">
        <f t="shared" si="10"/>
        <v>0</v>
      </c>
      <c r="K56" s="425" t="str">
        <f t="array" ref="K56">IF(AL56,heureDecimal2Txt(AP56),NA())</f>
        <v>00:00:00.00(00.0000)</v>
      </c>
      <c r="L56" s="426"/>
      <c r="M56" s="106">
        <f t="shared" si="11"/>
        <v>2.86</v>
      </c>
      <c r="N56" s="385" t="str">
        <f t="array" ref="N56">IF(AL56,dateEpoch2Txt(AR56),NA())</f>
        <v>2024/09/15 22:19</v>
      </c>
      <c r="O56" s="385"/>
      <c r="P56" s="386">
        <f t="shared" si="12"/>
        <v>479566.31666666665</v>
      </c>
      <c r="Q56" s="387"/>
      <c r="AB56" t="b">
        <f t="shared" si="13"/>
        <v>0</v>
      </c>
      <c r="AC56">
        <f t="array" ref="AC56">IF(ISBLANK(D56),0,dateConvert2Decimal(D56))</f>
        <v>1726358400</v>
      </c>
      <c r="AD56">
        <f t="array" ref="AD56">IF(ISBLANK(E56),0,heureConvert2Decimal(E56))*3600</f>
        <v>80340</v>
      </c>
      <c r="AE56">
        <f t="shared" si="14"/>
        <v>1726438740</v>
      </c>
      <c r="AF56" s="111" t="b">
        <f t="shared" si="15"/>
        <v>1</v>
      </c>
      <c r="AG56" s="111" t="b">
        <f t="shared" si="16"/>
        <v>1</v>
      </c>
      <c r="AH56" s="111" t="b">
        <f t="shared" si="17"/>
        <v>1</v>
      </c>
      <c r="AI56" s="111" t="b">
        <f t="shared" si="18"/>
        <v>1</v>
      </c>
      <c r="AJ56" s="111" t="b">
        <f t="shared" si="19"/>
        <v>1</v>
      </c>
      <c r="AK56">
        <f t="shared" si="28"/>
        <v>6.5</v>
      </c>
      <c r="AL56" s="111" t="b">
        <f t="shared" si="20"/>
        <v>1</v>
      </c>
      <c r="AM56">
        <f t="shared" si="21"/>
        <v>74</v>
      </c>
      <c r="AN56" t="b">
        <f t="shared" si="22"/>
        <v>1</v>
      </c>
      <c r="AO56">
        <f t="shared" si="23"/>
        <v>0</v>
      </c>
      <c r="AP56">
        <f t="shared" si="24"/>
        <v>0</v>
      </c>
      <c r="AQ56">
        <f t="shared" si="25"/>
        <v>2.86</v>
      </c>
      <c r="AR56">
        <f t="shared" si="26"/>
        <v>1726438740</v>
      </c>
      <c r="AS56" s="408"/>
      <c r="AT56" s="408"/>
      <c r="AU56" s="408"/>
      <c r="AV56" s="408"/>
      <c r="AW56" s="408"/>
      <c r="AX56" s="408"/>
      <c r="AY56" s="408"/>
      <c r="AZ56" s="408"/>
      <c r="BA56" s="408"/>
      <c r="BB56" s="408"/>
    </row>
    <row r="57" spans="2:54">
      <c r="B57">
        <v>20</v>
      </c>
      <c r="C57" s="109" t="str">
        <f t="shared" si="27"/>
        <v>PM</v>
      </c>
      <c r="D57" s="136" t="s">
        <v>290</v>
      </c>
      <c r="E57" s="133" t="s">
        <v>291</v>
      </c>
      <c r="F57" s="133">
        <v>74</v>
      </c>
      <c r="G57" s="137">
        <v>9.6199999999999992</v>
      </c>
      <c r="H57" s="105" t="str">
        <f t="shared" si="8"/>
        <v>Y</v>
      </c>
      <c r="I57" s="105" t="str">
        <f t="shared" si="9"/>
        <v>Y</v>
      </c>
      <c r="J57" s="110">
        <f t="shared" si="10"/>
        <v>0</v>
      </c>
      <c r="K57" s="425" t="str">
        <f t="array" ref="K57">IF(AL57,heureDecimal2Txt(AP57),NA())</f>
        <v>00:00:00.00(00.0000)</v>
      </c>
      <c r="L57" s="426"/>
      <c r="M57" s="106">
        <f t="shared" si="11"/>
        <v>9.6199999999999992</v>
      </c>
      <c r="N57" s="385" t="str">
        <f t="array" ref="N57">IF(AL57,dateEpoch2Txt(AR57),NA())</f>
        <v>2024/09/16 04:21</v>
      </c>
      <c r="O57" s="385"/>
      <c r="P57" s="386">
        <f t="shared" si="12"/>
        <v>479572.35</v>
      </c>
      <c r="Q57" s="387"/>
      <c r="AB57" t="b">
        <f t="shared" si="13"/>
        <v>1</v>
      </c>
      <c r="AC57">
        <f t="array" ref="AC57">IF(ISBLANK(D57),0,dateConvert2Decimal(D57))</f>
        <v>1726444800</v>
      </c>
      <c r="AD57">
        <f t="array" ref="AD57">IF(ISBLANK(E57),0,heureConvert2Decimal(E57))*3600</f>
        <v>15659.999999999998</v>
      </c>
      <c r="AE57">
        <f t="shared" si="14"/>
        <v>1726460460</v>
      </c>
      <c r="AF57" s="111" t="b">
        <f t="shared" si="15"/>
        <v>1</v>
      </c>
      <c r="AG57" s="111" t="b">
        <f t="shared" si="16"/>
        <v>1</v>
      </c>
      <c r="AH57" s="111" t="b">
        <f t="shared" si="17"/>
        <v>1</v>
      </c>
      <c r="AI57" s="111" t="b">
        <f t="shared" si="18"/>
        <v>1</v>
      </c>
      <c r="AJ57" s="111" t="b">
        <f t="shared" si="19"/>
        <v>1</v>
      </c>
      <c r="AK57">
        <f t="shared" si="28"/>
        <v>6.0333333333333332</v>
      </c>
      <c r="AL57" s="111" t="b">
        <f t="shared" si="20"/>
        <v>1</v>
      </c>
      <c r="AM57">
        <f t="shared" si="21"/>
        <v>74</v>
      </c>
      <c r="AN57" t="b">
        <f t="shared" si="22"/>
        <v>1</v>
      </c>
      <c r="AO57">
        <f t="shared" si="23"/>
        <v>0</v>
      </c>
      <c r="AP57">
        <f t="shared" si="24"/>
        <v>0</v>
      </c>
      <c r="AQ57">
        <f t="shared" si="25"/>
        <v>9.6199999999999992</v>
      </c>
      <c r="AR57">
        <f t="shared" si="26"/>
        <v>1726460460</v>
      </c>
      <c r="AS57" s="408"/>
      <c r="AT57" s="408"/>
      <c r="AU57" s="408"/>
      <c r="AV57" s="408"/>
      <c r="AW57" s="408"/>
      <c r="AX57" s="408"/>
      <c r="AY57" s="408"/>
      <c r="AZ57" s="408"/>
      <c r="BA57" s="408"/>
      <c r="BB57" s="408"/>
    </row>
    <row r="58" spans="2:54">
      <c r="C58" s="109" t="str">
        <f t="shared" si="27"/>
        <v>BM</v>
      </c>
      <c r="D58" s="134" t="s">
        <v>290</v>
      </c>
      <c r="E58" s="132" t="s">
        <v>292</v>
      </c>
      <c r="F58" s="132"/>
      <c r="G58" s="135">
        <v>2.72</v>
      </c>
      <c r="H58" s="105" t="str">
        <f t="shared" si="8"/>
        <v>Y</v>
      </c>
      <c r="I58" s="105" t="str">
        <f t="shared" si="9"/>
        <v>Y</v>
      </c>
      <c r="J58" s="110">
        <f t="shared" si="10"/>
        <v>0</v>
      </c>
      <c r="K58" s="425" t="str">
        <f t="array" ref="K58">IF(AL58,heureDecimal2Txt(AP58),NA())</f>
        <v>00:00:00.00(00.0000)</v>
      </c>
      <c r="L58" s="426"/>
      <c r="M58" s="106">
        <f t="shared" si="11"/>
        <v>2.72</v>
      </c>
      <c r="N58" s="385" t="str">
        <f t="array" ref="N58">IF(AL58,dateEpoch2Txt(AR58),NA())</f>
        <v>2024/09/16 10:46</v>
      </c>
      <c r="O58" s="385"/>
      <c r="P58" s="386">
        <f t="shared" si="12"/>
        <v>479578.76666666666</v>
      </c>
      <c r="Q58" s="387"/>
      <c r="AB58" t="b">
        <f t="shared" si="13"/>
        <v>0</v>
      </c>
      <c r="AC58">
        <f t="array" ref="AC58">IF(ISBLANK(D58),0,dateConvert2Decimal(D58))</f>
        <v>1726444800</v>
      </c>
      <c r="AD58">
        <f t="array" ref="AD58">IF(ISBLANK(E58),0,heureConvert2Decimal(E58))*3600</f>
        <v>38760</v>
      </c>
      <c r="AE58">
        <f t="shared" si="14"/>
        <v>1726483560</v>
      </c>
      <c r="AF58" s="111" t="b">
        <f t="shared" si="15"/>
        <v>1</v>
      </c>
      <c r="AG58" s="111" t="b">
        <f t="shared" si="16"/>
        <v>1</v>
      </c>
      <c r="AH58" s="111" t="b">
        <f t="shared" si="17"/>
        <v>1</v>
      </c>
      <c r="AI58" s="111" t="b">
        <f t="shared" si="18"/>
        <v>1</v>
      </c>
      <c r="AJ58" s="111" t="b">
        <f t="shared" si="19"/>
        <v>1</v>
      </c>
      <c r="AK58">
        <f t="shared" si="28"/>
        <v>6.416666666666667</v>
      </c>
      <c r="AL58" s="111" t="b">
        <f t="shared" si="20"/>
        <v>1</v>
      </c>
      <c r="AM58">
        <f t="shared" si="21"/>
        <v>83</v>
      </c>
      <c r="AN58" t="b">
        <f t="shared" si="22"/>
        <v>1</v>
      </c>
      <c r="AO58">
        <f t="shared" si="23"/>
        <v>0</v>
      </c>
      <c r="AP58">
        <f t="shared" si="24"/>
        <v>0</v>
      </c>
      <c r="AQ58">
        <f t="shared" si="25"/>
        <v>2.72</v>
      </c>
      <c r="AR58">
        <f t="shared" si="26"/>
        <v>1726483560</v>
      </c>
      <c r="AS58" s="408"/>
      <c r="AT58" s="408"/>
      <c r="AU58" s="408"/>
      <c r="AV58" s="408"/>
      <c r="AW58" s="408"/>
      <c r="AX58" s="408"/>
      <c r="AY58" s="408"/>
      <c r="AZ58" s="408"/>
      <c r="BA58" s="408"/>
      <c r="BB58" s="408"/>
    </row>
    <row r="59" spans="2:54">
      <c r="C59" s="109" t="str">
        <f t="shared" si="27"/>
        <v>PM</v>
      </c>
      <c r="D59" s="136" t="s">
        <v>290</v>
      </c>
      <c r="E59" s="133" t="s">
        <v>293</v>
      </c>
      <c r="F59" s="133">
        <v>83</v>
      </c>
      <c r="G59" s="137">
        <v>10.210000000000001</v>
      </c>
      <c r="H59" s="105" t="str">
        <f t="shared" si="8"/>
        <v>Y</v>
      </c>
      <c r="I59" s="105" t="str">
        <f t="shared" si="9"/>
        <v>Y</v>
      </c>
      <c r="J59" s="110">
        <f t="shared" si="10"/>
        <v>0</v>
      </c>
      <c r="K59" s="425" t="str">
        <f t="array" ref="K59">IF(AL59,heureDecimal2Txt(AP59),NA())</f>
        <v>00:00:00.00(00.0000)</v>
      </c>
      <c r="L59" s="426"/>
      <c r="M59" s="106">
        <f t="shared" si="11"/>
        <v>10.210000000000001</v>
      </c>
      <c r="N59" s="385" t="str">
        <f t="array" ref="N59">IF(AL59,dateEpoch2Txt(AR59),NA())</f>
        <v>2024/09/16 16:43</v>
      </c>
      <c r="O59" s="385"/>
      <c r="P59" s="386">
        <f t="shared" si="12"/>
        <v>479584.71666666667</v>
      </c>
      <c r="Q59" s="387"/>
      <c r="AB59" t="b">
        <f t="shared" si="13"/>
        <v>1</v>
      </c>
      <c r="AC59">
        <f t="array" ref="AC59">IF(ISBLANK(D59),0,dateConvert2Decimal(D59))</f>
        <v>1726444800</v>
      </c>
      <c r="AD59">
        <f t="array" ref="AD59">IF(ISBLANK(E59),0,heureConvert2Decimal(E59))*3600</f>
        <v>60179.999999999993</v>
      </c>
      <c r="AE59">
        <f t="shared" si="14"/>
        <v>1726504980</v>
      </c>
      <c r="AF59" s="111" t="b">
        <f t="shared" si="15"/>
        <v>1</v>
      </c>
      <c r="AG59" s="111" t="b">
        <f t="shared" si="16"/>
        <v>1</v>
      </c>
      <c r="AH59" s="111" t="b">
        <f t="shared" si="17"/>
        <v>1</v>
      </c>
      <c r="AI59" s="111" t="b">
        <f t="shared" si="18"/>
        <v>1</v>
      </c>
      <c r="AJ59" s="111" t="b">
        <f t="shared" si="19"/>
        <v>1</v>
      </c>
      <c r="AK59">
        <f t="shared" si="28"/>
        <v>5.95</v>
      </c>
      <c r="AL59" s="111" t="b">
        <f t="shared" si="20"/>
        <v>1</v>
      </c>
      <c r="AM59">
        <f t="shared" si="21"/>
        <v>83</v>
      </c>
      <c r="AN59" t="b">
        <f t="shared" si="22"/>
        <v>1</v>
      </c>
      <c r="AO59">
        <f t="shared" si="23"/>
        <v>0</v>
      </c>
      <c r="AP59">
        <f t="shared" si="24"/>
        <v>0</v>
      </c>
      <c r="AQ59">
        <f t="shared" si="25"/>
        <v>10.210000000000001</v>
      </c>
      <c r="AR59">
        <f t="shared" si="26"/>
        <v>1726504980</v>
      </c>
      <c r="AS59" s="408"/>
      <c r="AT59" s="408"/>
      <c r="AU59" s="408"/>
      <c r="AV59" s="408"/>
      <c r="AW59" s="408"/>
      <c r="AX59" s="408"/>
      <c r="AY59" s="408"/>
      <c r="AZ59" s="408"/>
      <c r="BA59" s="408"/>
      <c r="BB59" s="408"/>
    </row>
    <row r="60" spans="2:54">
      <c r="C60" s="109" t="str">
        <f t="shared" si="27"/>
        <v>BM</v>
      </c>
      <c r="D60" s="134" t="s">
        <v>290</v>
      </c>
      <c r="E60" s="132" t="s">
        <v>294</v>
      </c>
      <c r="F60" s="132"/>
      <c r="G60" s="135">
        <v>1.91</v>
      </c>
      <c r="H60" s="105" t="str">
        <f t="shared" si="8"/>
        <v>Y</v>
      </c>
      <c r="I60" s="105" t="str">
        <f t="shared" si="9"/>
        <v>Y</v>
      </c>
      <c r="J60" s="110">
        <f t="shared" si="10"/>
        <v>0</v>
      </c>
      <c r="K60" s="425" t="str">
        <f t="array" ref="K60">IF(AL60,heureDecimal2Txt(AP60),NA())</f>
        <v>00:00:00.00(00.0000)</v>
      </c>
      <c r="L60" s="426"/>
      <c r="M60" s="106">
        <f t="shared" si="11"/>
        <v>1.91</v>
      </c>
      <c r="N60" s="385" t="str">
        <f t="array" ref="N60">IF(AL60,dateEpoch2Txt(AR60),NA())</f>
        <v>2024/09/16 23:13</v>
      </c>
      <c r="O60" s="385"/>
      <c r="P60" s="386">
        <f t="shared" si="12"/>
        <v>479591.21666666667</v>
      </c>
      <c r="Q60" s="387"/>
      <c r="AB60" t="b">
        <f t="shared" si="13"/>
        <v>0</v>
      </c>
      <c r="AC60">
        <f t="array" ref="AC60">IF(ISBLANK(D60),0,dateConvert2Decimal(D60))</f>
        <v>1726444800</v>
      </c>
      <c r="AD60">
        <f t="array" ref="AD60">IF(ISBLANK(E60),0,heureConvert2Decimal(E60))*3600</f>
        <v>83580</v>
      </c>
      <c r="AE60">
        <f t="shared" si="14"/>
        <v>1726528380</v>
      </c>
      <c r="AF60" s="111" t="b">
        <f t="shared" si="15"/>
        <v>1</v>
      </c>
      <c r="AG60" s="111" t="b">
        <f t="shared" si="16"/>
        <v>1</v>
      </c>
      <c r="AH60" s="111" t="b">
        <f t="shared" si="17"/>
        <v>1</v>
      </c>
      <c r="AI60" s="111" t="b">
        <f t="shared" si="18"/>
        <v>1</v>
      </c>
      <c r="AJ60" s="111" t="b">
        <f t="shared" si="19"/>
        <v>1</v>
      </c>
      <c r="AK60">
        <f t="shared" si="28"/>
        <v>6.5</v>
      </c>
      <c r="AL60" s="111" t="b">
        <f t="shared" si="20"/>
        <v>1</v>
      </c>
      <c r="AM60">
        <f t="shared" si="21"/>
        <v>91</v>
      </c>
      <c r="AN60" t="b">
        <f t="shared" si="22"/>
        <v>1</v>
      </c>
      <c r="AO60">
        <f t="shared" si="23"/>
        <v>0</v>
      </c>
      <c r="AP60">
        <f t="shared" si="24"/>
        <v>0</v>
      </c>
      <c r="AQ60">
        <f t="shared" si="25"/>
        <v>1.91</v>
      </c>
      <c r="AR60">
        <f t="shared" si="26"/>
        <v>1726528380</v>
      </c>
      <c r="AS60" s="408"/>
      <c r="AT60" s="408"/>
      <c r="AU60" s="408"/>
      <c r="AV60" s="408"/>
      <c r="AW60" s="408"/>
      <c r="AX60" s="408"/>
      <c r="AY60" s="408"/>
      <c r="AZ60" s="408"/>
      <c r="BA60" s="408"/>
      <c r="BB60" s="408"/>
    </row>
    <row r="61" spans="2:54">
      <c r="C61" s="109" t="str">
        <f t="shared" si="27"/>
        <v>PM</v>
      </c>
      <c r="D61" s="136" t="s">
        <v>295</v>
      </c>
      <c r="E61" s="133" t="s">
        <v>296</v>
      </c>
      <c r="F61" s="133">
        <v>91</v>
      </c>
      <c r="G61" s="137">
        <v>10.51</v>
      </c>
      <c r="H61" s="105" t="str">
        <f t="shared" si="8"/>
        <v>Y</v>
      </c>
      <c r="I61" s="105" t="str">
        <f t="shared" si="9"/>
        <v>Y</v>
      </c>
      <c r="J61" s="110">
        <f t="shared" si="10"/>
        <v>0</v>
      </c>
      <c r="K61" s="425" t="str">
        <f t="array" ref="K61">IF(AL61,heureDecimal2Txt(AP61),NA())</f>
        <v>00:00:00.00(00.0000)</v>
      </c>
      <c r="L61" s="426"/>
      <c r="M61" s="106">
        <f t="shared" si="11"/>
        <v>10.51</v>
      </c>
      <c r="N61" s="385" t="str">
        <f t="array" ref="N61">IF(AL61,dateEpoch2Txt(AR61),NA())</f>
        <v>2024/09/17 05:13</v>
      </c>
      <c r="O61" s="385"/>
      <c r="P61" s="386">
        <f t="shared" si="12"/>
        <v>479597.21666666667</v>
      </c>
      <c r="Q61" s="387"/>
      <c r="AB61" t="b">
        <f t="shared" si="13"/>
        <v>1</v>
      </c>
      <c r="AC61">
        <f t="array" ref="AC61">IF(ISBLANK(D61),0,dateConvert2Decimal(D61))</f>
        <v>1726531200</v>
      </c>
      <c r="AD61">
        <f t="array" ref="AD61">IF(ISBLANK(E61),0,heureConvert2Decimal(E61))*3600</f>
        <v>18780</v>
      </c>
      <c r="AE61">
        <f t="shared" si="14"/>
        <v>1726549980</v>
      </c>
      <c r="AF61" s="111" t="b">
        <f t="shared" si="15"/>
        <v>1</v>
      </c>
      <c r="AG61" s="111" t="b">
        <f t="shared" si="16"/>
        <v>1</v>
      </c>
      <c r="AH61" s="111" t="b">
        <f t="shared" si="17"/>
        <v>1</v>
      </c>
      <c r="AI61" s="111" t="b">
        <f t="shared" si="18"/>
        <v>1</v>
      </c>
      <c r="AJ61" s="111" t="b">
        <f t="shared" si="19"/>
        <v>1</v>
      </c>
      <c r="AK61">
        <f t="shared" si="28"/>
        <v>6</v>
      </c>
      <c r="AL61" s="111" t="b">
        <f t="shared" si="20"/>
        <v>1</v>
      </c>
      <c r="AM61">
        <f t="shared" si="21"/>
        <v>91</v>
      </c>
      <c r="AN61" t="b">
        <f t="shared" si="22"/>
        <v>1</v>
      </c>
      <c r="AO61">
        <f t="shared" si="23"/>
        <v>0</v>
      </c>
      <c r="AP61">
        <f t="shared" si="24"/>
        <v>0</v>
      </c>
      <c r="AQ61">
        <f t="shared" si="25"/>
        <v>10.51</v>
      </c>
      <c r="AR61">
        <f t="shared" si="26"/>
        <v>1726549980</v>
      </c>
      <c r="AS61" s="408"/>
      <c r="AT61" s="408"/>
      <c r="AU61" s="408"/>
      <c r="AV61" s="408"/>
      <c r="AW61" s="408"/>
      <c r="AX61" s="408"/>
      <c r="AY61" s="408"/>
      <c r="AZ61" s="408"/>
      <c r="BA61" s="408"/>
      <c r="BB61" s="408"/>
    </row>
    <row r="62" spans="2:54">
      <c r="B62">
        <v>25</v>
      </c>
      <c r="C62" s="109" t="str">
        <f t="shared" si="27"/>
        <v>BM</v>
      </c>
      <c r="D62" s="134" t="s">
        <v>295</v>
      </c>
      <c r="E62" s="132" t="s">
        <v>297</v>
      </c>
      <c r="F62" s="132"/>
      <c r="G62" s="135">
        <v>1.84</v>
      </c>
      <c r="H62" s="105" t="str">
        <f t="shared" si="8"/>
        <v>Y</v>
      </c>
      <c r="I62" s="105" t="str">
        <f t="shared" si="9"/>
        <v>Y</v>
      </c>
      <c r="J62" s="110">
        <f t="shared" si="10"/>
        <v>0</v>
      </c>
      <c r="K62" s="425" t="str">
        <f t="array" ref="K62">IF(AL62,heureDecimal2Txt(AP62),NA())</f>
        <v>00:00:00.00(00.0000)</v>
      </c>
      <c r="L62" s="426"/>
      <c r="M62" s="106">
        <f t="shared" si="11"/>
        <v>1.84</v>
      </c>
      <c r="N62" s="385" t="str">
        <f t="array" ref="N62">IF(AL62,dateEpoch2Txt(AR62),NA())</f>
        <v>2024/09/17 11:38</v>
      </c>
      <c r="O62" s="385"/>
      <c r="P62" s="386">
        <f t="shared" si="12"/>
        <v>479603.63333333336</v>
      </c>
      <c r="Q62" s="387"/>
      <c r="AB62" t="b">
        <f t="shared" si="13"/>
        <v>0</v>
      </c>
      <c r="AC62">
        <f t="array" ref="AC62">IF(ISBLANK(D62),0,dateConvert2Decimal(D62))</f>
        <v>1726531200</v>
      </c>
      <c r="AD62">
        <f t="array" ref="AD62">IF(ISBLANK(E62),0,heureConvert2Decimal(E62))*3600</f>
        <v>41880</v>
      </c>
      <c r="AE62">
        <f t="shared" si="14"/>
        <v>1726573080</v>
      </c>
      <c r="AF62" s="111" t="b">
        <f t="shared" si="15"/>
        <v>1</v>
      </c>
      <c r="AG62" s="111" t="b">
        <f t="shared" si="16"/>
        <v>1</v>
      </c>
      <c r="AH62" s="111" t="b">
        <f t="shared" si="17"/>
        <v>1</v>
      </c>
      <c r="AI62" s="111" t="b">
        <f t="shared" si="18"/>
        <v>1</v>
      </c>
      <c r="AJ62" s="111" t="b">
        <f t="shared" si="19"/>
        <v>1</v>
      </c>
      <c r="AK62">
        <f t="shared" si="28"/>
        <v>6.416666666666667</v>
      </c>
      <c r="AL62" s="111" t="b">
        <f t="shared" si="20"/>
        <v>1</v>
      </c>
      <c r="AM62">
        <f t="shared" si="21"/>
        <v>99</v>
      </c>
      <c r="AN62" t="b">
        <f t="shared" si="22"/>
        <v>1</v>
      </c>
      <c r="AO62">
        <f t="shared" si="23"/>
        <v>0</v>
      </c>
      <c r="AP62">
        <f t="shared" si="24"/>
        <v>0</v>
      </c>
      <c r="AQ62">
        <f t="shared" si="25"/>
        <v>1.84</v>
      </c>
      <c r="AR62">
        <f t="shared" si="26"/>
        <v>1726573080</v>
      </c>
      <c r="AS62" s="408"/>
      <c r="AT62" s="408"/>
      <c r="AU62" s="408"/>
      <c r="AV62" s="408"/>
      <c r="AW62" s="408"/>
      <c r="AX62" s="408"/>
      <c r="AY62" s="408"/>
      <c r="AZ62" s="408"/>
      <c r="BA62" s="408"/>
      <c r="BB62" s="408"/>
    </row>
    <row r="63" spans="2:54">
      <c r="C63" s="109" t="str">
        <f t="shared" si="27"/>
        <v>PM</v>
      </c>
      <c r="D63" s="136" t="s">
        <v>295</v>
      </c>
      <c r="E63" s="133" t="s">
        <v>298</v>
      </c>
      <c r="F63" s="133">
        <v>99</v>
      </c>
      <c r="G63" s="137">
        <v>11.05</v>
      </c>
      <c r="H63" s="105" t="str">
        <f t="shared" si="8"/>
        <v>Y</v>
      </c>
      <c r="I63" s="105" t="str">
        <f t="shared" si="9"/>
        <v>Y</v>
      </c>
      <c r="J63" s="110">
        <f t="shared" si="10"/>
        <v>0</v>
      </c>
      <c r="K63" s="425" t="str">
        <f t="array" ref="K63">IF(AL63,heureDecimal2Txt(AP63),NA())</f>
        <v>00:00:00.00(00.0000)</v>
      </c>
      <c r="L63" s="426"/>
      <c r="M63" s="106">
        <f t="shared" si="11"/>
        <v>11.05</v>
      </c>
      <c r="N63" s="385" t="str">
        <f t="array" ref="N63">IF(AL63,dateEpoch2Txt(AR63),NA())</f>
        <v>2024/09/17 17:32</v>
      </c>
      <c r="O63" s="385"/>
      <c r="P63" s="386">
        <f t="shared" si="12"/>
        <v>479609.53333333333</v>
      </c>
      <c r="Q63" s="387"/>
      <c r="AB63" t="b">
        <f t="shared" si="13"/>
        <v>1</v>
      </c>
      <c r="AC63">
        <f t="array" ref="AC63">IF(ISBLANK(D63),0,dateConvert2Decimal(D63))</f>
        <v>1726531200</v>
      </c>
      <c r="AD63">
        <f t="array" ref="AD63">IF(ISBLANK(E63),0,heureConvert2Decimal(E63))*3600</f>
        <v>63120.000000000007</v>
      </c>
      <c r="AE63">
        <f t="shared" si="14"/>
        <v>1726594320</v>
      </c>
      <c r="AF63" s="111" t="b">
        <f t="shared" si="15"/>
        <v>1</v>
      </c>
      <c r="AG63" s="111" t="b">
        <f t="shared" si="16"/>
        <v>1</v>
      </c>
      <c r="AH63" s="111" t="b">
        <f t="shared" si="17"/>
        <v>1</v>
      </c>
      <c r="AI63" s="111" t="b">
        <f t="shared" si="18"/>
        <v>1</v>
      </c>
      <c r="AJ63" s="111" t="b">
        <f t="shared" si="19"/>
        <v>1</v>
      </c>
      <c r="AK63">
        <f t="shared" si="28"/>
        <v>5.9</v>
      </c>
      <c r="AL63" s="111" t="b">
        <f t="shared" si="20"/>
        <v>1</v>
      </c>
      <c r="AM63">
        <f t="shared" si="21"/>
        <v>99</v>
      </c>
      <c r="AN63" t="b">
        <f t="shared" si="22"/>
        <v>1</v>
      </c>
      <c r="AO63">
        <f t="shared" si="23"/>
        <v>0</v>
      </c>
      <c r="AP63">
        <f t="shared" si="24"/>
        <v>0</v>
      </c>
      <c r="AQ63">
        <f t="shared" si="25"/>
        <v>11.05</v>
      </c>
      <c r="AR63">
        <f t="shared" si="26"/>
        <v>1726594320</v>
      </c>
      <c r="AS63" s="408"/>
      <c r="AT63" s="408"/>
      <c r="AU63" s="408"/>
      <c r="AV63" s="408"/>
      <c r="AW63" s="408"/>
      <c r="AX63" s="408"/>
      <c r="AY63" s="408"/>
      <c r="AZ63" s="408"/>
      <c r="BA63" s="408"/>
      <c r="BB63" s="408"/>
    </row>
    <row r="64" spans="2:54">
      <c r="B64">
        <v>26</v>
      </c>
      <c r="C64" s="109" t="str">
        <f t="shared" si="27"/>
        <v>BM</v>
      </c>
      <c r="D64" s="134" t="s">
        <v>299</v>
      </c>
      <c r="E64" s="132" t="s">
        <v>300</v>
      </c>
      <c r="F64" s="132"/>
      <c r="G64" s="135">
        <v>1.17</v>
      </c>
      <c r="H64" s="105" t="str">
        <f t="shared" si="8"/>
        <v>Y</v>
      </c>
      <c r="I64" s="105" t="str">
        <f t="shared" si="9"/>
        <v>N</v>
      </c>
      <c r="J64" s="110">
        <f>IF(AL64,AO64,NA())</f>
        <v>0</v>
      </c>
      <c r="K64" s="425" t="str">
        <f t="array" ref="K64">IF(AL64,heureDecimal2Txt(AP64),NA())</f>
        <v>00:00:00.00(00.0000)</v>
      </c>
      <c r="L64" s="426"/>
      <c r="M64" s="106">
        <f t="shared" si="11"/>
        <v>1.17</v>
      </c>
      <c r="N64" s="385" t="str">
        <f t="array" ref="N64">IF(AL64,dateEpoch2Txt(AR64),NA())</f>
        <v>2024/09/18 00:04</v>
      </c>
      <c r="O64" s="385"/>
      <c r="P64" s="386">
        <f t="shared" si="12"/>
        <v>479616.06666666665</v>
      </c>
      <c r="Q64" s="387"/>
      <c r="AB64" t="b">
        <f t="shared" ref="AB64" si="30">(C64=$AB$3)</f>
        <v>0</v>
      </c>
      <c r="AC64">
        <f t="array" ref="AC64">IF(ISBLANK(D64),0,dateConvert2Decimal(D64))</f>
        <v>1726617600</v>
      </c>
      <c r="AD64">
        <f t="array" ref="AD64">IF(ISBLANK(E64),0,heureConvert2Decimal(E64))*3600</f>
        <v>240</v>
      </c>
      <c r="AE64">
        <f t="shared" ref="AE64" si="31">AC64+AD64</f>
        <v>1726617840</v>
      </c>
      <c r="AF64" s="111" t="b">
        <f t="shared" ref="AF64" si="32">IF(AB64, IF(ISNUMBER(F64), TRUE, FALSE), IF(AF65,AF65,AF63))</f>
        <v>1</v>
      </c>
      <c r="AG64" s="111" t="b">
        <f t="shared" ref="AG64" si="33">ISNUMBER(G64)</f>
        <v>1</v>
      </c>
      <c r="AH64" s="111" t="b">
        <f t="shared" ref="AH64" si="34">AC64&gt;0</f>
        <v>1</v>
      </c>
      <c r="AI64" s="111" t="b">
        <f t="shared" ref="AI64" si="35">AD64&gt;0</f>
        <v>1</v>
      </c>
      <c r="AJ64" s="111" t="b">
        <f t="shared" ref="AJ64" si="36">IF(AG64,IF(G64&gt;0,TRUE,FALSE),FALSE)</f>
        <v>1</v>
      </c>
      <c r="AK64">
        <f t="shared" ref="AK64" si="37">IF(AND(AI64,AH64),(AE64-AE63)/3600,0)</f>
        <v>6.5333333333333332</v>
      </c>
      <c r="AL64" s="111" t="b">
        <f t="shared" ref="AL64" si="38">AND(AJ64,AI64,AH64,AF64,(AK64&gt;$AL$34),(AK64&lt;$AL$35))</f>
        <v>1</v>
      </c>
      <c r="AM64">
        <f t="shared" si="21"/>
        <v>0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1.17</v>
      </c>
      <c r="AR64">
        <f t="shared" si="26"/>
        <v>1726617840</v>
      </c>
      <c r="AS64" s="408"/>
      <c r="AT64" s="408"/>
      <c r="AU64" s="408"/>
      <c r="AV64" s="408"/>
      <c r="AW64" s="408"/>
      <c r="AX64" s="408"/>
      <c r="AY64" s="408"/>
      <c r="AZ64" s="408"/>
      <c r="BA64" s="408"/>
      <c r="BB64" s="408"/>
    </row>
    <row r="65" spans="1:33">
      <c r="P65"/>
      <c r="Q65"/>
      <c r="Y65" s="473"/>
      <c r="Z65" s="473"/>
      <c r="AA65" s="473"/>
    </row>
    <row r="66" spans="1:33" ht="15.75" thickBot="1">
      <c r="P66"/>
      <c r="Q66"/>
      <c r="Y66" s="473"/>
      <c r="Z66" s="473"/>
      <c r="AA66" s="473"/>
    </row>
    <row r="67" spans="1:33" ht="15.75" customHeight="1" thickBot="1">
      <c r="B67" s="474" t="s">
        <v>176</v>
      </c>
      <c r="C67" s="475"/>
      <c r="D67" s="475"/>
      <c r="E67" s="475"/>
      <c r="F67" s="475"/>
      <c r="G67" s="475"/>
      <c r="H67" s="475"/>
      <c r="I67" s="475"/>
      <c r="J67" s="475"/>
      <c r="K67" s="475"/>
      <c r="L67" s="475"/>
      <c r="M67" s="475"/>
      <c r="N67" s="475"/>
      <c r="O67" s="475"/>
      <c r="P67" s="475"/>
      <c r="Q67" s="475"/>
      <c r="R67" s="475"/>
      <c r="S67" s="475"/>
      <c r="T67" s="475"/>
      <c r="U67" s="475"/>
      <c r="V67" s="475"/>
      <c r="W67" s="475"/>
      <c r="X67" s="475"/>
      <c r="Y67" s="475"/>
      <c r="Z67" s="475"/>
    </row>
    <row r="68" spans="1:33">
      <c r="C68" s="437" t="s">
        <v>95</v>
      </c>
      <c r="D68" s="438"/>
      <c r="E68" s="438"/>
      <c r="F68" s="439"/>
    </row>
    <row r="69" spans="1:33">
      <c r="B69" s="404" t="s">
        <v>93</v>
      </c>
      <c r="C69" s="404"/>
      <c r="D69">
        <v>7.45</v>
      </c>
      <c r="E69" t="s">
        <v>61</v>
      </c>
    </row>
    <row r="70" spans="1:33">
      <c r="B70" s="404" t="s">
        <v>96</v>
      </c>
      <c r="C70" s="404"/>
      <c r="D70" s="112" t="s">
        <v>194</v>
      </c>
      <c r="E70">
        <f t="array" ref="E70">heureConvert2Decimal(D70)</f>
        <v>13.433333333333334</v>
      </c>
    </row>
    <row r="72" spans="1:33" ht="15" customHeight="1">
      <c r="A72" s="427" t="s">
        <v>209</v>
      </c>
      <c r="B72" s="427"/>
      <c r="C72" s="427"/>
      <c r="D72" s="414" t="str">
        <f>CONCATENATE("Heure passage a la hauteur:",D69,"m")</f>
        <v>Heure passage a la hauteur:7.45m</v>
      </c>
      <c r="E72" s="414"/>
      <c r="F72" s="414"/>
      <c r="G72" s="414"/>
      <c r="J72" s="414" t="str">
        <f>CONCATENATE("Hauteur a l'heure:",D70)</f>
        <v>Hauteur a l'heure:13:26:00</v>
      </c>
      <c r="K72" s="414"/>
      <c r="L72" s="414"/>
      <c r="M72" s="414"/>
      <c r="N72" s="414"/>
      <c r="O72" s="414"/>
      <c r="S72" t="s">
        <v>434</v>
      </c>
      <c r="AE72" t="s">
        <v>438</v>
      </c>
      <c r="AF72" s="79">
        <v>25569</v>
      </c>
      <c r="AG72" s="80">
        <f>AF72</f>
        <v>25569</v>
      </c>
    </row>
    <row r="73" spans="1:33" ht="15" customHeight="1">
      <c r="A73" s="416" t="s">
        <v>219</v>
      </c>
      <c r="B73" s="417"/>
      <c r="C73" s="113">
        <v>38</v>
      </c>
      <c r="D73" s="414"/>
      <c r="E73" s="414"/>
      <c r="F73" s="414"/>
      <c r="G73" s="414"/>
      <c r="J73" s="415"/>
      <c r="K73" s="415"/>
      <c r="L73" s="415"/>
      <c r="M73" s="415"/>
      <c r="N73" s="415"/>
      <c r="O73" s="415"/>
    </row>
    <row r="74" spans="1:33" ht="15" customHeight="1">
      <c r="A74" s="416" t="s">
        <v>220</v>
      </c>
      <c r="B74" s="417"/>
      <c r="C74" s="113">
        <v>64</v>
      </c>
      <c r="D74" s="420" t="s">
        <v>6</v>
      </c>
      <c r="E74" s="420"/>
      <c r="F74" s="421" t="s">
        <v>205</v>
      </c>
      <c r="G74" s="421"/>
      <c r="H74" s="117" t="s">
        <v>225</v>
      </c>
      <c r="J74" s="420" t="s">
        <v>6</v>
      </c>
      <c r="K74" s="420"/>
      <c r="L74" s="421" t="s">
        <v>178</v>
      </c>
      <c r="M74" s="421"/>
      <c r="N74" s="421" t="s">
        <v>218</v>
      </c>
      <c r="O74" s="421"/>
      <c r="P74" s="118" t="s">
        <v>225</v>
      </c>
      <c r="R74" t="s">
        <v>60</v>
      </c>
      <c r="S74" t="s">
        <v>67</v>
      </c>
      <c r="T74" t="s">
        <v>435</v>
      </c>
      <c r="AB74" t="s">
        <v>6</v>
      </c>
      <c r="AC74" t="s">
        <v>439</v>
      </c>
      <c r="AD74" t="s">
        <v>436</v>
      </c>
      <c r="AE74" t="s">
        <v>437</v>
      </c>
      <c r="AF74" t="s">
        <v>440</v>
      </c>
      <c r="AG74" t="s">
        <v>441</v>
      </c>
    </row>
    <row r="75" spans="1:33" ht="15" customHeight="1">
      <c r="A75" s="416" t="s">
        <v>221</v>
      </c>
      <c r="B75" s="417"/>
      <c r="C75" s="113" t="s">
        <v>90</v>
      </c>
      <c r="D75" s="418" t="s">
        <v>313</v>
      </c>
      <c r="E75" s="419"/>
      <c r="F75" s="399">
        <v>7.449999999986769</v>
      </c>
      <c r="G75" s="399"/>
      <c r="H75" s="118">
        <v>45546.337187500001</v>
      </c>
      <c r="J75" s="412" t="s">
        <v>255</v>
      </c>
      <c r="K75" s="412"/>
      <c r="L75" s="413">
        <v>6.1343516209274034</v>
      </c>
      <c r="M75" s="413"/>
      <c r="N75" s="412" t="s">
        <v>255</v>
      </c>
      <c r="O75" s="412"/>
      <c r="P75" s="119">
        <v>45546.55972222222</v>
      </c>
      <c r="R75">
        <f>S75+(T75/2)*(1-COS(PI()*(AF75/AG75)))</f>
        <v>7.4986089392316781</v>
      </c>
      <c r="S75">
        <f>G38</f>
        <v>4.07</v>
      </c>
      <c r="T75">
        <f>G39-G38</f>
        <v>4.2999999999999989</v>
      </c>
      <c r="AB75" s="123">
        <f>H75</f>
        <v>45546.337187500001</v>
      </c>
      <c r="AC75" s="80">
        <f>(AB75-AG72)*24</f>
        <v>479456.09250000003</v>
      </c>
      <c r="AD75">
        <f>P38</f>
        <v>479452.01666666666</v>
      </c>
      <c r="AE75">
        <f>P39</f>
        <v>479457.81666666665</v>
      </c>
      <c r="AF75" s="80">
        <f>AC75-AD75</f>
        <v>4.0758333333651535</v>
      </c>
      <c r="AG75">
        <f>AE75-AD75</f>
        <v>5.7999999999883585</v>
      </c>
    </row>
    <row r="76" spans="1:33">
      <c r="A76" s="416" t="s">
        <v>222</v>
      </c>
      <c r="B76" s="417"/>
      <c r="C76" s="113" t="s">
        <v>104</v>
      </c>
      <c r="D76" s="418" t="s">
        <v>314</v>
      </c>
      <c r="E76" s="419"/>
      <c r="F76" s="399">
        <v>7.4499999999880382</v>
      </c>
      <c r="G76" s="399"/>
      <c r="H76" s="118">
        <v>45546.496608796297</v>
      </c>
      <c r="J76" s="412" t="s">
        <v>256</v>
      </c>
      <c r="K76" s="412"/>
      <c r="L76" s="413">
        <v>6.8426802884505404</v>
      </c>
      <c r="M76" s="413"/>
      <c r="N76" s="412" t="s">
        <v>256</v>
      </c>
      <c r="O76" s="412"/>
      <c r="P76" s="119">
        <v>45547.55972222222</v>
      </c>
    </row>
    <row r="77" spans="1:33" ht="15" customHeight="1">
      <c r="A77" s="416" t="s">
        <v>223</v>
      </c>
      <c r="B77" s="417"/>
      <c r="C77" s="113" t="s">
        <v>203</v>
      </c>
      <c r="D77" s="418" t="s">
        <v>315</v>
      </c>
      <c r="E77" s="419"/>
      <c r="F77" s="399">
        <v>7.4499999999830084</v>
      </c>
      <c r="G77" s="399"/>
      <c r="H77" s="118">
        <v>45546.87400462963</v>
      </c>
      <c r="J77" s="412" t="s">
        <v>257</v>
      </c>
      <c r="K77" s="412"/>
      <c r="L77" s="413">
        <v>7.4816136919321075</v>
      </c>
      <c r="M77" s="413"/>
      <c r="N77" s="412" t="s">
        <v>257</v>
      </c>
      <c r="O77" s="412"/>
      <c r="P77" s="119">
        <v>45548.55972222222</v>
      </c>
    </row>
    <row r="78" spans="1:33">
      <c r="A78" s="410" t="s">
        <v>210</v>
      </c>
      <c r="B78" s="411"/>
      <c r="C78" s="116" t="s">
        <v>211</v>
      </c>
      <c r="D78" s="418" t="s">
        <v>316</v>
      </c>
      <c r="E78" s="419"/>
      <c r="F78" s="399">
        <v>7.4500000000003332</v>
      </c>
      <c r="G78" s="399"/>
      <c r="H78" s="118">
        <v>45546.992256944446</v>
      </c>
      <c r="J78" s="412" t="s">
        <v>258</v>
      </c>
      <c r="K78" s="412"/>
      <c r="L78" s="413">
        <v>7.803725490200967</v>
      </c>
      <c r="M78" s="413"/>
      <c r="N78" s="412" t="s">
        <v>258</v>
      </c>
      <c r="O78" s="412"/>
      <c r="P78" s="119">
        <v>45549.55972222222</v>
      </c>
    </row>
    <row r="79" spans="1:33" ht="15" customHeight="1">
      <c r="A79" s="410" t="s">
        <v>212</v>
      </c>
      <c r="B79" s="411"/>
      <c r="C79" s="116" t="s">
        <v>213</v>
      </c>
      <c r="D79" s="418" t="s">
        <v>317</v>
      </c>
      <c r="E79" s="419"/>
      <c r="F79" s="399">
        <v>7.4499999999872042</v>
      </c>
      <c r="G79" s="399"/>
      <c r="H79" s="118">
        <v>45547.401412037034</v>
      </c>
      <c r="J79" s="412" t="s">
        <v>259</v>
      </c>
      <c r="K79" s="412"/>
      <c r="L79" s="413">
        <v>7.3338781163838034</v>
      </c>
      <c r="M79" s="413"/>
      <c r="N79" s="412" t="s">
        <v>259</v>
      </c>
      <c r="O79" s="412"/>
      <c r="P79" s="119">
        <v>45550.55972222222</v>
      </c>
    </row>
    <row r="80" spans="1:33">
      <c r="A80" s="416" t="s">
        <v>224</v>
      </c>
      <c r="B80" s="417"/>
      <c r="C80" s="113" t="s">
        <v>40</v>
      </c>
      <c r="D80" s="418" t="s">
        <v>318</v>
      </c>
      <c r="E80" s="419"/>
      <c r="F80" s="399">
        <v>7.4500000000078357</v>
      </c>
      <c r="G80" s="399"/>
      <c r="H80" s="118">
        <v>45547.506898148145</v>
      </c>
      <c r="J80" s="412" t="s">
        <v>260</v>
      </c>
      <c r="K80" s="412"/>
      <c r="L80" s="413">
        <v>5.8827941176738436</v>
      </c>
      <c r="M80" s="413"/>
      <c r="N80" s="412" t="s">
        <v>260</v>
      </c>
      <c r="O80" s="412"/>
      <c r="P80" s="119">
        <v>45551.55972222222</v>
      </c>
    </row>
    <row r="81" spans="1:17" ht="15" customHeight="1">
      <c r="A81" s="416" t="s">
        <v>217</v>
      </c>
      <c r="B81" s="417"/>
      <c r="C81" s="113" t="s">
        <v>3</v>
      </c>
      <c r="D81" s="418" t="s">
        <v>319</v>
      </c>
      <c r="E81" s="419"/>
      <c r="F81" s="399">
        <v>7.45</v>
      </c>
      <c r="G81" s="399"/>
      <c r="H81" s="118">
        <v>45547.991666666669</v>
      </c>
      <c r="J81" s="412" t="s">
        <v>261</v>
      </c>
      <c r="K81" s="412"/>
      <c r="L81" s="413">
        <v>3.8823305084730362</v>
      </c>
      <c r="M81" s="413"/>
      <c r="N81" s="412" t="s">
        <v>261</v>
      </c>
      <c r="O81" s="412"/>
      <c r="P81" s="119">
        <v>45552.55972222222</v>
      </c>
    </row>
    <row r="82" spans="1:17">
      <c r="A82" s="416" t="s">
        <v>216</v>
      </c>
      <c r="B82" s="417"/>
      <c r="C82" s="113" t="s">
        <v>208</v>
      </c>
      <c r="D82" s="418" t="s">
        <v>319</v>
      </c>
      <c r="E82" s="419"/>
      <c r="F82" s="399">
        <v>7.45</v>
      </c>
      <c r="G82" s="399"/>
      <c r="H82" s="118">
        <v>45547.991666666669</v>
      </c>
    </row>
    <row r="83" spans="1:17" ht="15" customHeight="1">
      <c r="A83" s="416" t="s">
        <v>214</v>
      </c>
      <c r="B83" s="417"/>
      <c r="C83" s="113">
        <v>75</v>
      </c>
      <c r="D83" s="418" t="s">
        <v>320</v>
      </c>
      <c r="E83" s="419"/>
      <c r="F83" s="399">
        <v>7.4499999999953994</v>
      </c>
      <c r="G83" s="399"/>
      <c r="H83" s="118">
        <v>45548.507905092592</v>
      </c>
    </row>
    <row r="84" spans="1:17">
      <c r="A84" s="416" t="s">
        <v>215</v>
      </c>
      <c r="B84" s="417"/>
      <c r="C84" s="113">
        <v>105</v>
      </c>
      <c r="D84" s="418" t="s">
        <v>321</v>
      </c>
      <c r="E84" s="419"/>
      <c r="F84" s="399">
        <v>7.4500000000021345</v>
      </c>
      <c r="G84" s="399"/>
      <c r="H84" s="118">
        <v>45548.566006944442</v>
      </c>
      <c r="P84"/>
    </row>
    <row r="85" spans="1:17" ht="15" customHeight="1">
      <c r="A85" s="416" t="s">
        <v>226</v>
      </c>
      <c r="B85" s="417"/>
      <c r="C85" s="113" t="s">
        <v>90</v>
      </c>
      <c r="D85" s="418" t="s">
        <v>322</v>
      </c>
      <c r="E85" s="419"/>
      <c r="F85" s="399">
        <v>7.4500000000133273</v>
      </c>
      <c r="G85" s="399"/>
      <c r="H85" s="118">
        <v>45549.039490740739</v>
      </c>
      <c r="J85" s="414" t="str">
        <f>"Hauteur a l'heure:"</f>
        <v>Hauteur a l'heure:</v>
      </c>
      <c r="K85" s="414"/>
      <c r="L85" s="414"/>
      <c r="M85" s="414"/>
      <c r="N85" s="414"/>
      <c r="O85" s="414"/>
    </row>
    <row r="86" spans="1:17">
      <c r="A86" s="410" t="s">
        <v>224</v>
      </c>
      <c r="B86" s="411"/>
      <c r="C86" s="116" t="s">
        <v>227</v>
      </c>
      <c r="D86" s="418" t="s">
        <v>323</v>
      </c>
      <c r="E86" s="419"/>
      <c r="F86" s="399">
        <v>7.4499999999960016</v>
      </c>
      <c r="G86" s="399"/>
      <c r="H86" s="118">
        <v>45549.132939814815</v>
      </c>
      <c r="J86" s="415"/>
      <c r="K86" s="415"/>
      <c r="L86" s="415"/>
      <c r="M86" s="415"/>
      <c r="N86" s="415"/>
      <c r="O86" s="415"/>
    </row>
    <row r="87" spans="1:17" ht="15" customHeight="1">
      <c r="A87" s="410" t="s">
        <v>229</v>
      </c>
      <c r="B87" s="411"/>
      <c r="C87" s="116" t="s">
        <v>228</v>
      </c>
      <c r="D87" s="418" t="s">
        <v>324</v>
      </c>
      <c r="E87" s="419"/>
      <c r="F87" s="399">
        <v>7.4500000000159989</v>
      </c>
      <c r="G87" s="399"/>
      <c r="H87" s="118">
        <v>45549.533912037034</v>
      </c>
      <c r="J87" s="420" t="s">
        <v>6</v>
      </c>
      <c r="K87" s="420"/>
      <c r="L87" s="421" t="s">
        <v>178</v>
      </c>
      <c r="M87" s="421"/>
      <c r="N87" s="421" t="s">
        <v>218</v>
      </c>
      <c r="O87" s="421"/>
      <c r="P87" s="118" t="s">
        <v>236</v>
      </c>
      <c r="Q87" s="71" t="s">
        <v>235</v>
      </c>
    </row>
    <row r="88" spans="1:17">
      <c r="A88" s="410" t="s">
        <v>216</v>
      </c>
      <c r="B88" s="411"/>
      <c r="C88" s="116" t="s">
        <v>1</v>
      </c>
      <c r="D88" s="418" t="s">
        <v>325</v>
      </c>
      <c r="E88" s="419"/>
      <c r="F88" s="399">
        <v>7.4500000000040094</v>
      </c>
      <c r="G88" s="399"/>
      <c r="H88" s="118">
        <v>45549.685428240744</v>
      </c>
      <c r="J88" s="122" t="s">
        <v>414</v>
      </c>
      <c r="K88" s="122" t="s">
        <v>237</v>
      </c>
      <c r="L88" s="413">
        <v>5.5930194804978139</v>
      </c>
      <c r="M88" s="413"/>
      <c r="N88" s="399" t="str" cm="1">
        <f t="array" ref="N88">dateEpoch2Txt(Q88*3600)</f>
        <v>2024/09/14 06:08</v>
      </c>
      <c r="O88" s="399"/>
      <c r="P88" s="119">
        <v>45549.255555555559</v>
      </c>
      <c r="Q88" s="71" cm="1">
        <f t="array" ref="Q88">(dateConvert2Decimal(J88)/3600)+heureConvert2Decimal(K88)</f>
        <v>479526.13333333336</v>
      </c>
    </row>
    <row r="89" spans="1:17" ht="15" customHeight="1">
      <c r="A89" s="410" t="s">
        <v>214</v>
      </c>
      <c r="B89" s="411"/>
      <c r="C89" s="116">
        <v>75</v>
      </c>
      <c r="D89" s="418" t="s">
        <v>326</v>
      </c>
      <c r="E89" s="419"/>
      <c r="F89" s="399">
        <v>7.4499999999857325</v>
      </c>
      <c r="G89" s="399"/>
      <c r="H89" s="118">
        <v>45550.056331018517</v>
      </c>
      <c r="J89" s="122" t="s">
        <v>414</v>
      </c>
      <c r="K89" s="122" t="s">
        <v>238</v>
      </c>
      <c r="L89" s="413">
        <v>5.0675216450086378</v>
      </c>
      <c r="M89" s="413"/>
      <c r="N89" s="399" t="str" cm="1">
        <f t="array" ref="N89">dateEpoch2Txt(Q89*3600)</f>
        <v>2024/09/14 07:08</v>
      </c>
      <c r="O89" s="399"/>
      <c r="P89" s="119">
        <v>45549.297222222223</v>
      </c>
      <c r="Q89" s="71" cm="1">
        <f t="array" ref="Q89">(dateConvert2Decimal(J89)/3600)+heureConvert2Decimal(K89)</f>
        <v>479527.13333333336</v>
      </c>
    </row>
    <row r="90" spans="1:17">
      <c r="A90" s="410" t="s">
        <v>215</v>
      </c>
      <c r="B90" s="411"/>
      <c r="C90" s="116">
        <v>81</v>
      </c>
      <c r="D90" s="418" t="s">
        <v>327</v>
      </c>
      <c r="E90" s="419"/>
      <c r="F90" s="399">
        <v>7.450000000009978</v>
      </c>
      <c r="G90" s="399"/>
      <c r="H90" s="118">
        <v>45550.227349537039</v>
      </c>
      <c r="J90" s="122" t="s">
        <v>414</v>
      </c>
      <c r="K90" s="122" t="s">
        <v>239</v>
      </c>
      <c r="L90" s="413">
        <v>4.763181818176033</v>
      </c>
      <c r="M90" s="413"/>
      <c r="N90" s="399" t="str" cm="1">
        <f t="array" ref="N90">dateEpoch2Txt(Q90*3600)</f>
        <v>2024/09/14 08:08</v>
      </c>
      <c r="O90" s="399"/>
      <c r="P90" s="119">
        <v>45549.338888888888</v>
      </c>
      <c r="Q90" s="71" cm="1">
        <f t="array" ref="Q90">(dateConvert2Decimal(J90)/3600)+heureConvert2Decimal(K90)</f>
        <v>479528.13333333336</v>
      </c>
    </row>
    <row r="91" spans="1:17" ht="15" customHeight="1">
      <c r="A91" s="410" t="s">
        <v>226</v>
      </c>
      <c r="B91" s="411"/>
      <c r="C91" s="116" t="s">
        <v>203</v>
      </c>
      <c r="D91" s="418" t="s">
        <v>328</v>
      </c>
      <c r="E91" s="419"/>
      <c r="F91" s="399">
        <v>7.4499999999852964</v>
      </c>
      <c r="G91" s="399"/>
      <c r="H91" s="118">
        <v>45550.563263888886</v>
      </c>
      <c r="J91" s="122" t="s">
        <v>414</v>
      </c>
      <c r="K91" s="122" t="s">
        <v>240</v>
      </c>
      <c r="L91" s="413">
        <v>4.8656149732685652</v>
      </c>
      <c r="M91" s="413"/>
      <c r="N91" s="399" t="str" cm="1">
        <f t="array" ref="N91">dateEpoch2Txt(Q91*3600)</f>
        <v>2024/09/14 09:08</v>
      </c>
      <c r="O91" s="399"/>
      <c r="P91" s="119">
        <v>45549.380555555559</v>
      </c>
      <c r="Q91" s="71" cm="1">
        <f t="array" ref="Q91">(dateConvert2Decimal(J91)/3600)+heureConvert2Decimal(K91)</f>
        <v>479529.13333333336</v>
      </c>
    </row>
    <row r="92" spans="1:17">
      <c r="D92" s="418" t="s">
        <v>329</v>
      </c>
      <c r="E92" s="419"/>
      <c r="F92" s="399">
        <v>7.4500000000231035</v>
      </c>
      <c r="G92" s="399"/>
      <c r="H92" s="118">
        <v>45550.754421296297</v>
      </c>
      <c r="J92" s="122" t="s">
        <v>414</v>
      </c>
      <c r="K92" s="122" t="s">
        <v>241</v>
      </c>
      <c r="L92" s="413">
        <v>5.3256862745225142</v>
      </c>
      <c r="M92" s="413"/>
      <c r="N92" s="399" t="str" cm="1">
        <f t="array" ref="N92">dateEpoch2Txt(Q92*3600)</f>
        <v>2024/09/14 10:08</v>
      </c>
      <c r="O92" s="399"/>
      <c r="P92" s="119">
        <v>45549.422222222223</v>
      </c>
      <c r="Q92" s="71" cm="1">
        <f t="array" ref="Q92">(dateConvert2Decimal(J92)/3600)+heureConvert2Decimal(K92)</f>
        <v>479530.13333333336</v>
      </c>
    </row>
    <row r="93" spans="1:17">
      <c r="D93" s="418" t="s">
        <v>330</v>
      </c>
      <c r="E93" s="419"/>
      <c r="F93" s="399">
        <v>7.4499999999561997</v>
      </c>
      <c r="G93" s="399"/>
      <c r="H93" s="118">
        <v>45551.085555555554</v>
      </c>
      <c r="J93" s="122" t="s">
        <v>414</v>
      </c>
      <c r="K93" s="122" t="s">
        <v>242</v>
      </c>
      <c r="L93" s="413">
        <v>6.0602139037618485</v>
      </c>
      <c r="M93" s="413"/>
      <c r="N93" s="399" t="str" cm="1">
        <f t="array" ref="N93">dateEpoch2Txt(Q93*3600)</f>
        <v>2024/09/14 11:08</v>
      </c>
      <c r="O93" s="399"/>
      <c r="P93" s="119">
        <v>45549.463888888888</v>
      </c>
      <c r="Q93" s="71" cm="1">
        <f t="array" ref="Q93">(dateConvert2Decimal(J93)/3600)+heureConvert2Decimal(K93)</f>
        <v>479531.13333333336</v>
      </c>
    </row>
    <row r="94" spans="1:17">
      <c r="D94" s="418" t="s">
        <v>331</v>
      </c>
      <c r="E94" s="419"/>
      <c r="F94" s="399">
        <v>7.450000000008119</v>
      </c>
      <c r="G94" s="399"/>
      <c r="H94" s="118">
        <v>45551.281863425924</v>
      </c>
      <c r="J94" s="122" t="s">
        <v>414</v>
      </c>
      <c r="K94" s="122" t="s">
        <v>243</v>
      </c>
      <c r="L94" s="413">
        <v>6.916898395739925</v>
      </c>
      <c r="M94" s="413"/>
      <c r="N94" s="399" t="str" cm="1">
        <f t="array" ref="N94">dateEpoch2Txt(Q94*3600)</f>
        <v>2024/09/14 12:08</v>
      </c>
      <c r="O94" s="399"/>
      <c r="P94" s="119">
        <v>45549.505555555559</v>
      </c>
      <c r="Q94" s="71" cm="1">
        <f t="array" ref="Q94">(dateConvert2Decimal(J94)/3600)+heureConvert2Decimal(K94)</f>
        <v>479532.13333333336</v>
      </c>
    </row>
    <row r="95" spans="1:17">
      <c r="D95" s="418" t="s">
        <v>332</v>
      </c>
      <c r="E95" s="419"/>
      <c r="F95" s="399">
        <v>7.4499999999674964</v>
      </c>
      <c r="G95" s="399"/>
      <c r="H95" s="118">
        <v>45551.594305555554</v>
      </c>
      <c r="M95" s="79"/>
      <c r="P95"/>
      <c r="Q95"/>
    </row>
    <row r="96" spans="1:17">
      <c r="D96" s="418" t="s">
        <v>333</v>
      </c>
      <c r="E96" s="419"/>
      <c r="F96" s="399">
        <v>7.4500000000390445</v>
      </c>
      <c r="G96" s="399"/>
      <c r="H96" s="118">
        <v>45551.801701388889</v>
      </c>
      <c r="M96" s="79"/>
      <c r="P96"/>
      <c r="Q96"/>
    </row>
    <row r="97" spans="4:17">
      <c r="D97" s="418" t="s">
        <v>334</v>
      </c>
      <c r="E97" s="419"/>
      <c r="F97" s="399">
        <v>7.4500000000110598</v>
      </c>
      <c r="G97" s="399"/>
      <c r="H97" s="118">
        <v>45552.116388888891</v>
      </c>
      <c r="M97" s="79"/>
      <c r="P97"/>
      <c r="Q97"/>
    </row>
    <row r="98" spans="4:17">
      <c r="D98" s="418" t="s">
        <v>335</v>
      </c>
      <c r="E98" s="419"/>
      <c r="F98" s="399">
        <v>7.4500000000335413</v>
      </c>
      <c r="G98" s="399"/>
      <c r="H98" s="118">
        <v>45552.324826388889</v>
      </c>
      <c r="J98" s="108"/>
      <c r="K98" s="108" t="s">
        <v>54</v>
      </c>
      <c r="L98" s="108" t="s">
        <v>198</v>
      </c>
      <c r="M98" s="477" t="s">
        <v>234</v>
      </c>
      <c r="N98" s="478"/>
      <c r="O98" s="413" t="s">
        <v>90</v>
      </c>
      <c r="P98" s="413"/>
      <c r="Q98" s="69" t="s">
        <v>178</v>
      </c>
    </row>
    <row r="99" spans="4:17">
      <c r="D99" s="418" t="s">
        <v>336</v>
      </c>
      <c r="E99" s="419"/>
      <c r="F99" s="399">
        <v>7.4500000000003697</v>
      </c>
      <c r="G99" s="399"/>
      <c r="H99" s="118">
        <v>45552.625520833331</v>
      </c>
      <c r="J99" s="422" t="s">
        <v>231</v>
      </c>
      <c r="K99" s="423" t="s">
        <v>197</v>
      </c>
      <c r="L99" s="424">
        <f>heureConvert2Decimal($K$99)</f>
        <v>2.5</v>
      </c>
      <c r="M99" s="467" t="s">
        <v>338</v>
      </c>
      <c r="N99" s="468"/>
      <c r="O99" s="476" t="s">
        <v>339</v>
      </c>
      <c r="P99" s="476"/>
      <c r="Q99" s="121">
        <v>6.6648275862013158</v>
      </c>
    </row>
    <row r="100" spans="4:17">
      <c r="D100" s="418" t="s">
        <v>337</v>
      </c>
      <c r="E100" s="419"/>
      <c r="F100" s="399">
        <v>7.450000000048111</v>
      </c>
      <c r="G100" s="399"/>
      <c r="H100" s="118">
        <v>45552.842048611114</v>
      </c>
      <c r="J100" s="409"/>
      <c r="K100" s="407"/>
      <c r="L100" s="408"/>
      <c r="M100" s="467" t="s">
        <v>340</v>
      </c>
      <c r="N100" s="468"/>
      <c r="O100" s="476" t="s">
        <v>341</v>
      </c>
      <c r="P100" s="476"/>
      <c r="Q100" s="121">
        <v>6.5249710982643379</v>
      </c>
    </row>
    <row r="101" spans="4:17">
      <c r="D101" s="418" t="s">
        <v>337</v>
      </c>
      <c r="E101" s="419"/>
      <c r="F101" s="399">
        <v>7.450000000048111</v>
      </c>
      <c r="G101" s="399"/>
      <c r="H101" s="118">
        <v>45552.842048611114</v>
      </c>
      <c r="J101" s="409"/>
      <c r="K101" s="407"/>
      <c r="L101" s="408"/>
      <c r="M101" s="467" t="s">
        <v>342</v>
      </c>
      <c r="N101" s="468"/>
      <c r="O101" s="476" t="s">
        <v>343</v>
      </c>
      <c r="P101" s="476"/>
      <c r="Q101" s="121">
        <v>6.6128910614550565</v>
      </c>
    </row>
    <row r="102" spans="4:17">
      <c r="D102" s="418" t="s">
        <v>337</v>
      </c>
      <c r="E102" s="419"/>
      <c r="F102" s="399">
        <v>7.450000000048111</v>
      </c>
      <c r="G102" s="399"/>
      <c r="H102" s="118">
        <v>45552.842048611114</v>
      </c>
      <c r="J102" s="409"/>
      <c r="K102" s="407"/>
      <c r="L102" s="408"/>
      <c r="M102" s="467" t="s">
        <v>319</v>
      </c>
      <c r="N102" s="468"/>
      <c r="O102" s="476" t="s">
        <v>344</v>
      </c>
      <c r="P102" s="476"/>
      <c r="Q102" s="121">
        <v>6.500924657529155</v>
      </c>
    </row>
    <row r="103" spans="4:17">
      <c r="D103" s="418" t="s">
        <v>337</v>
      </c>
      <c r="E103" s="419"/>
      <c r="F103" s="399">
        <v>7.450000000048111</v>
      </c>
      <c r="G103" s="399"/>
      <c r="H103" s="118">
        <v>45552.842048611114</v>
      </c>
      <c r="J103" s="409"/>
      <c r="K103" s="407"/>
      <c r="L103" s="408"/>
      <c r="M103" s="467" t="s">
        <v>345</v>
      </c>
      <c r="N103" s="468"/>
      <c r="O103" s="476" t="s">
        <v>346</v>
      </c>
      <c r="P103" s="476"/>
      <c r="Q103" s="121">
        <v>6.7731265984646125</v>
      </c>
    </row>
    <row r="104" spans="4:17">
      <c r="D104" s="418" t="s">
        <v>337</v>
      </c>
      <c r="E104" s="419"/>
      <c r="F104" s="399">
        <v>7.450000000048111</v>
      </c>
      <c r="G104" s="399"/>
      <c r="H104" s="118">
        <v>45552.842048611114</v>
      </c>
      <c r="J104" s="409"/>
      <c r="K104" s="407"/>
      <c r="L104" s="408"/>
      <c r="M104" s="467" t="s">
        <v>347</v>
      </c>
      <c r="N104" s="468"/>
      <c r="O104" s="476" t="s">
        <v>253</v>
      </c>
      <c r="P104" s="476"/>
      <c r="Q104" s="121">
        <v>6.7036842105208745</v>
      </c>
    </row>
    <row r="105" spans="4:17">
      <c r="D105" s="418" t="s">
        <v>337</v>
      </c>
      <c r="E105" s="419"/>
      <c r="F105" s="399">
        <v>7.450000000048111</v>
      </c>
      <c r="G105" s="399"/>
      <c r="H105" s="118">
        <v>45552.842048611114</v>
      </c>
      <c r="J105" s="409"/>
      <c r="K105" s="407"/>
      <c r="L105" s="408"/>
      <c r="M105" s="467" t="s">
        <v>348</v>
      </c>
      <c r="N105" s="468"/>
      <c r="O105" s="476" t="s">
        <v>349</v>
      </c>
      <c r="P105" s="476"/>
      <c r="Q105" s="121">
        <v>6.9882887700548091</v>
      </c>
    </row>
    <row r="106" spans="4:17">
      <c r="J106" s="409"/>
      <c r="K106" s="407"/>
      <c r="L106" s="408"/>
      <c r="M106" s="467" t="s">
        <v>350</v>
      </c>
      <c r="N106" s="468"/>
      <c r="O106" s="476" t="s">
        <v>351</v>
      </c>
      <c r="P106" s="476"/>
      <c r="Q106" s="121">
        <v>6.9141304347953891</v>
      </c>
    </row>
    <row r="107" spans="4:17">
      <c r="J107" s="409"/>
      <c r="K107" s="407"/>
      <c r="L107" s="408"/>
      <c r="M107" s="467" t="s">
        <v>352</v>
      </c>
      <c r="N107" s="468"/>
      <c r="O107" s="476" t="s">
        <v>353</v>
      </c>
      <c r="P107" s="476"/>
      <c r="Q107" s="121">
        <v>7.1744875346238368</v>
      </c>
    </row>
    <row r="108" spans="4:17">
      <c r="J108" s="409"/>
      <c r="K108" s="407"/>
      <c r="L108" s="408"/>
      <c r="M108" s="467" t="s">
        <v>354</v>
      </c>
      <c r="N108" s="468"/>
      <c r="O108" s="476" t="s">
        <v>254</v>
      </c>
      <c r="P108" s="476"/>
      <c r="Q108" s="121">
        <v>7.1083425414310586</v>
      </c>
    </row>
    <row r="109" spans="4:17">
      <c r="J109" s="409"/>
      <c r="K109" s="407"/>
      <c r="L109" s="408"/>
      <c r="M109" s="467" t="s">
        <v>355</v>
      </c>
      <c r="N109" s="468"/>
      <c r="O109" s="476" t="s">
        <v>356</v>
      </c>
      <c r="P109" s="476"/>
      <c r="Q109" s="121">
        <v>7.361911764715118</v>
      </c>
    </row>
    <row r="110" spans="4:17">
      <c r="J110" s="409"/>
      <c r="K110" s="407"/>
      <c r="L110" s="408"/>
      <c r="M110" s="467" t="s">
        <v>357</v>
      </c>
      <c r="N110" s="468"/>
      <c r="O110" s="476" t="s">
        <v>358</v>
      </c>
      <c r="P110" s="476"/>
      <c r="Q110" s="121">
        <v>7.2850000000000001</v>
      </c>
    </row>
    <row r="111" spans="4:17">
      <c r="J111" s="409"/>
      <c r="K111" s="407"/>
      <c r="L111" s="408"/>
      <c r="M111" s="467" t="s">
        <v>359</v>
      </c>
      <c r="N111" s="468"/>
      <c r="O111" s="476" t="s">
        <v>360</v>
      </c>
      <c r="P111" s="476"/>
      <c r="Q111" s="121">
        <v>7.4986864406433149</v>
      </c>
    </row>
    <row r="112" spans="4:17">
      <c r="J112" s="409"/>
      <c r="K112" s="407"/>
      <c r="L112" s="408"/>
      <c r="M112" s="467" t="s">
        <v>230</v>
      </c>
      <c r="N112" s="468"/>
      <c r="O112" s="476" t="s">
        <v>230</v>
      </c>
      <c r="P112" s="476"/>
      <c r="Q112" s="121">
        <v>0</v>
      </c>
    </row>
    <row r="113" spans="10:17">
      <c r="J113" s="406" t="s">
        <v>196</v>
      </c>
      <c r="K113" s="407" t="s">
        <v>252</v>
      </c>
      <c r="L113" s="408">
        <f>heureConvert2Decimal($K$99)</f>
        <v>2.5</v>
      </c>
      <c r="M113" s="412" t="s">
        <v>338</v>
      </c>
      <c r="N113" s="412"/>
      <c r="O113" s="479" t="s">
        <v>361</v>
      </c>
      <c r="P113" s="479"/>
      <c r="Q113" s="120">
        <v>7.1318329177109216</v>
      </c>
    </row>
    <row r="114" spans="10:17">
      <c r="J114" s="406"/>
      <c r="K114" s="407"/>
      <c r="L114" s="408"/>
      <c r="M114" s="412" t="s">
        <v>340</v>
      </c>
      <c r="N114" s="412"/>
      <c r="O114" s="479" t="s">
        <v>362</v>
      </c>
      <c r="P114" s="479"/>
      <c r="Q114" s="120">
        <v>6.8953625954165201</v>
      </c>
    </row>
    <row r="115" spans="10:17">
      <c r="J115" s="406"/>
      <c r="K115" s="407"/>
      <c r="L115" s="408"/>
      <c r="M115" s="412" t="s">
        <v>342</v>
      </c>
      <c r="N115" s="412"/>
      <c r="O115" s="479" t="s">
        <v>363</v>
      </c>
      <c r="P115" s="479"/>
      <c r="Q115" s="120">
        <v>6.9377644230804707</v>
      </c>
    </row>
    <row r="116" spans="10:17">
      <c r="J116" s="406"/>
      <c r="K116" s="407"/>
      <c r="L116" s="408"/>
      <c r="M116" s="412" t="s">
        <v>319</v>
      </c>
      <c r="N116" s="412"/>
      <c r="O116" s="479" t="s">
        <v>364</v>
      </c>
      <c r="P116" s="479"/>
      <c r="Q116" s="120">
        <v>6.6959090909162162</v>
      </c>
    </row>
    <row r="117" spans="10:17">
      <c r="J117" s="406"/>
      <c r="K117" s="407"/>
      <c r="L117" s="408"/>
      <c r="M117" s="412" t="s">
        <v>345</v>
      </c>
      <c r="N117" s="412"/>
      <c r="O117" s="479" t="s">
        <v>365</v>
      </c>
      <c r="P117" s="479"/>
      <c r="Q117" s="120">
        <v>6.7316503667445833</v>
      </c>
    </row>
    <row r="118" spans="10:17">
      <c r="J118" s="406"/>
      <c r="K118" s="407"/>
      <c r="L118" s="408"/>
      <c r="M118" s="412" t="s">
        <v>347</v>
      </c>
      <c r="N118" s="412"/>
      <c r="O118" s="479" t="s">
        <v>366</v>
      </c>
      <c r="P118" s="479"/>
      <c r="Q118" s="120">
        <v>6.7100324675378573</v>
      </c>
    </row>
    <row r="119" spans="10:17">
      <c r="J119" s="406"/>
      <c r="K119" s="407"/>
      <c r="L119" s="408"/>
      <c r="M119" s="412" t="s">
        <v>348</v>
      </c>
      <c r="N119" s="412"/>
      <c r="O119" s="479" t="s">
        <v>367</v>
      </c>
      <c r="P119" s="479"/>
      <c r="Q119" s="120">
        <v>6.8339285714256128</v>
      </c>
    </row>
    <row r="120" spans="10:17">
      <c r="J120" s="406"/>
      <c r="K120" s="407"/>
      <c r="L120" s="408"/>
      <c r="M120" s="412" t="s">
        <v>350</v>
      </c>
      <c r="N120" s="412"/>
      <c r="O120" s="479" t="s">
        <v>368</v>
      </c>
      <c r="P120" s="479"/>
      <c r="Q120" s="120">
        <v>6.988051948034701</v>
      </c>
    </row>
    <row r="121" spans="10:17">
      <c r="J121" s="406"/>
      <c r="K121" s="407"/>
      <c r="L121" s="408"/>
      <c r="M121" s="412" t="s">
        <v>352</v>
      </c>
      <c r="N121" s="412"/>
      <c r="O121" s="479" t="s">
        <v>369</v>
      </c>
      <c r="P121" s="479"/>
      <c r="Q121" s="120">
        <v>7.1407692307692301</v>
      </c>
    </row>
    <row r="122" spans="10:17">
      <c r="J122" s="406"/>
      <c r="K122" s="407"/>
      <c r="L122" s="408"/>
      <c r="M122" s="412" t="s">
        <v>354</v>
      </c>
      <c r="N122" s="412"/>
      <c r="O122" s="479" t="s">
        <v>370</v>
      </c>
      <c r="P122" s="479"/>
      <c r="Q122" s="120">
        <v>7.3125324675446608</v>
      </c>
    </row>
    <row r="123" spans="10:17">
      <c r="J123" s="406"/>
      <c r="K123" s="407"/>
      <c r="L123" s="408"/>
      <c r="M123" s="412" t="s">
        <v>355</v>
      </c>
      <c r="N123" s="412"/>
      <c r="O123" s="479" t="s">
        <v>371</v>
      </c>
      <c r="P123" s="479"/>
      <c r="Q123" s="120">
        <v>7.4965384615384618</v>
      </c>
    </row>
    <row r="124" spans="10:17">
      <c r="J124" s="406"/>
      <c r="K124" s="407"/>
      <c r="L124" s="408"/>
      <c r="M124" s="412" t="s">
        <v>357</v>
      </c>
      <c r="N124" s="412"/>
      <c r="O124" s="479" t="s">
        <v>372</v>
      </c>
      <c r="P124" s="479"/>
      <c r="Q124" s="120">
        <v>7.6106168831322041</v>
      </c>
    </row>
    <row r="125" spans="10:17">
      <c r="J125" s="406"/>
      <c r="K125" s="407"/>
      <c r="L125" s="408"/>
      <c r="M125" s="412" t="s">
        <v>359</v>
      </c>
      <c r="N125" s="412"/>
      <c r="O125" s="479" t="s">
        <v>373</v>
      </c>
      <c r="P125" s="479"/>
      <c r="Q125" s="120">
        <v>7.8490816326463255</v>
      </c>
    </row>
    <row r="126" spans="10:17">
      <c r="J126" s="406"/>
      <c r="K126" s="407"/>
      <c r="L126" s="408"/>
      <c r="M126" s="412" t="s">
        <v>230</v>
      </c>
      <c r="N126" s="412"/>
      <c r="O126" s="479" t="s">
        <v>230</v>
      </c>
      <c r="P126" s="479"/>
      <c r="Q126" s="120">
        <v>0</v>
      </c>
    </row>
    <row r="127" spans="10:17">
      <c r="J127" s="409" t="s">
        <v>232</v>
      </c>
      <c r="K127" s="407" t="s">
        <v>197</v>
      </c>
      <c r="L127" s="408">
        <f>heureConvert2Decimal($K$99)</f>
        <v>2.5</v>
      </c>
      <c r="M127" s="412" t="s">
        <v>374</v>
      </c>
      <c r="N127" s="412"/>
      <c r="O127" s="476" t="s">
        <v>375</v>
      </c>
      <c r="P127" s="476"/>
      <c r="Q127" s="121">
        <v>5.6281670822890781</v>
      </c>
    </row>
    <row r="128" spans="10:17">
      <c r="J128" s="409"/>
      <c r="K128" s="407"/>
      <c r="L128" s="408"/>
      <c r="M128" s="412" t="s">
        <v>376</v>
      </c>
      <c r="N128" s="412"/>
      <c r="O128" s="476" t="s">
        <v>377</v>
      </c>
      <c r="P128" s="476"/>
      <c r="Q128" s="121">
        <v>5.7346374045834798</v>
      </c>
    </row>
    <row r="129" spans="10:17">
      <c r="J129" s="409"/>
      <c r="K129" s="407"/>
      <c r="L129" s="408"/>
      <c r="M129" s="412" t="s">
        <v>378</v>
      </c>
      <c r="N129" s="412"/>
      <c r="O129" s="476" t="s">
        <v>379</v>
      </c>
      <c r="P129" s="476"/>
      <c r="Q129" s="121">
        <v>5.7122355769195288</v>
      </c>
    </row>
    <row r="130" spans="10:17">
      <c r="J130" s="409"/>
      <c r="K130" s="407"/>
      <c r="L130" s="408"/>
      <c r="M130" s="412" t="s">
        <v>380</v>
      </c>
      <c r="N130" s="412"/>
      <c r="O130" s="476" t="s">
        <v>381</v>
      </c>
      <c r="P130" s="476"/>
      <c r="Q130" s="121">
        <v>5.8340909090837831</v>
      </c>
    </row>
    <row r="131" spans="10:17">
      <c r="J131" s="409"/>
      <c r="K131" s="407"/>
      <c r="L131" s="408"/>
      <c r="M131" s="412" t="s">
        <v>382</v>
      </c>
      <c r="N131" s="412"/>
      <c r="O131" s="476" t="s">
        <v>383</v>
      </c>
      <c r="P131" s="476"/>
      <c r="Q131" s="121">
        <v>5.5883496332554161</v>
      </c>
    </row>
    <row r="132" spans="10:17">
      <c r="J132" s="409"/>
      <c r="K132" s="407"/>
      <c r="L132" s="408"/>
      <c r="M132" s="412" t="s">
        <v>384</v>
      </c>
      <c r="N132" s="412"/>
      <c r="O132" s="476" t="s">
        <v>385</v>
      </c>
      <c r="P132" s="476"/>
      <c r="Q132" s="121">
        <v>5.6999675324621428</v>
      </c>
    </row>
    <row r="133" spans="10:17">
      <c r="J133" s="409"/>
      <c r="K133" s="407"/>
      <c r="L133" s="408"/>
      <c r="M133" s="412" t="s">
        <v>386</v>
      </c>
      <c r="N133" s="412"/>
      <c r="O133" s="476" t="s">
        <v>387</v>
      </c>
      <c r="P133" s="476"/>
      <c r="Q133" s="121">
        <v>5.3060714285743886</v>
      </c>
    </row>
    <row r="134" spans="10:17">
      <c r="J134" s="409"/>
      <c r="K134" s="407"/>
      <c r="L134" s="408"/>
      <c r="M134" s="412" t="s">
        <v>388</v>
      </c>
      <c r="N134" s="412"/>
      <c r="O134" s="476" t="s">
        <v>389</v>
      </c>
      <c r="P134" s="476"/>
      <c r="Q134" s="121">
        <v>5.3719480519652993</v>
      </c>
    </row>
    <row r="135" spans="10:17">
      <c r="J135" s="409"/>
      <c r="K135" s="407"/>
      <c r="L135" s="408"/>
      <c r="M135" s="412" t="s">
        <v>390</v>
      </c>
      <c r="N135" s="412"/>
      <c r="O135" s="476" t="s">
        <v>391</v>
      </c>
      <c r="P135" s="476"/>
      <c r="Q135" s="121">
        <v>4.9392307692307691</v>
      </c>
    </row>
    <row r="136" spans="10:17">
      <c r="J136" s="409"/>
      <c r="K136" s="407"/>
      <c r="L136" s="408"/>
      <c r="M136" s="412" t="s">
        <v>392</v>
      </c>
      <c r="N136" s="412"/>
      <c r="O136" s="476" t="s">
        <v>393</v>
      </c>
      <c r="P136" s="476"/>
      <c r="Q136" s="121">
        <v>5.0274675324553408</v>
      </c>
    </row>
    <row r="137" spans="10:17">
      <c r="J137" s="409"/>
      <c r="K137" s="407"/>
      <c r="L137" s="408"/>
      <c r="M137" s="412" t="s">
        <v>394</v>
      </c>
      <c r="N137" s="412"/>
      <c r="O137" s="476" t="s">
        <v>395</v>
      </c>
      <c r="P137" s="476"/>
      <c r="Q137" s="121">
        <v>4.6234615384615383</v>
      </c>
    </row>
    <row r="138" spans="10:17">
      <c r="J138" s="409"/>
      <c r="K138" s="407"/>
      <c r="L138" s="408"/>
      <c r="M138" s="412" t="s">
        <v>396</v>
      </c>
      <c r="N138" s="412"/>
      <c r="O138" s="476" t="s">
        <v>397</v>
      </c>
      <c r="P138" s="476"/>
      <c r="Q138" s="121">
        <v>4.7393831168677965</v>
      </c>
    </row>
    <row r="139" spans="10:17">
      <c r="J139" s="409"/>
      <c r="K139" s="407"/>
      <c r="L139" s="408"/>
      <c r="M139" s="412" t="s">
        <v>398</v>
      </c>
      <c r="N139" s="412"/>
      <c r="O139" s="476" t="s">
        <v>399</v>
      </c>
      <c r="P139" s="476"/>
      <c r="Q139" s="121">
        <v>4.370918367353676</v>
      </c>
    </row>
    <row r="140" spans="10:17">
      <c r="J140" s="409"/>
      <c r="K140" s="407"/>
      <c r="L140" s="408"/>
      <c r="M140" s="412" t="s">
        <v>230</v>
      </c>
      <c r="N140" s="412"/>
      <c r="O140" s="476" t="s">
        <v>230</v>
      </c>
      <c r="P140" s="476"/>
      <c r="Q140" s="121">
        <v>0</v>
      </c>
    </row>
    <row r="141" spans="10:17">
      <c r="J141" s="406" t="s">
        <v>233</v>
      </c>
      <c r="K141" s="407" t="s">
        <v>197</v>
      </c>
      <c r="L141" s="408">
        <f>heureConvert2Decimal($K$99)</f>
        <v>2.5</v>
      </c>
      <c r="M141" s="412" t="s">
        <v>400</v>
      </c>
      <c r="N141" s="412"/>
      <c r="O141" s="479" t="s">
        <v>401</v>
      </c>
      <c r="P141" s="479"/>
      <c r="Q141" s="120">
        <v>5.7751724137986837</v>
      </c>
    </row>
    <row r="142" spans="10:17">
      <c r="J142" s="406"/>
      <c r="K142" s="407"/>
      <c r="L142" s="408"/>
      <c r="M142" s="412" t="s">
        <v>374</v>
      </c>
      <c r="N142" s="412"/>
      <c r="O142" s="479" t="s">
        <v>402</v>
      </c>
      <c r="P142" s="479"/>
      <c r="Q142" s="120">
        <v>5.815028901735662</v>
      </c>
    </row>
    <row r="143" spans="10:17">
      <c r="J143" s="406"/>
      <c r="K143" s="407"/>
      <c r="L143" s="408"/>
      <c r="M143" s="412" t="s">
        <v>376</v>
      </c>
      <c r="N143" s="412"/>
      <c r="O143" s="479" t="s">
        <v>403</v>
      </c>
      <c r="P143" s="479"/>
      <c r="Q143" s="120">
        <v>5.8571089385449433</v>
      </c>
    </row>
    <row r="144" spans="10:17">
      <c r="J144" s="406"/>
      <c r="K144" s="407"/>
      <c r="L144" s="408"/>
      <c r="M144" s="412" t="s">
        <v>378</v>
      </c>
      <c r="N144" s="412"/>
      <c r="O144" s="479" t="s">
        <v>404</v>
      </c>
      <c r="P144" s="479"/>
      <c r="Q144" s="120">
        <v>5.8090753424708454</v>
      </c>
    </row>
    <row r="145" spans="1:17">
      <c r="J145" s="406"/>
      <c r="K145" s="407"/>
      <c r="L145" s="408"/>
      <c r="M145" s="412" t="s">
        <v>380</v>
      </c>
      <c r="N145" s="412"/>
      <c r="O145" s="479" t="s">
        <v>405</v>
      </c>
      <c r="P145" s="479"/>
      <c r="Q145" s="120">
        <v>5.8968734015353865</v>
      </c>
    </row>
    <row r="146" spans="1:17">
      <c r="J146" s="406"/>
      <c r="K146" s="407"/>
      <c r="L146" s="408"/>
      <c r="M146" s="412" t="s">
        <v>382</v>
      </c>
      <c r="N146" s="412"/>
      <c r="O146" s="479" t="s">
        <v>406</v>
      </c>
      <c r="P146" s="479"/>
      <c r="Q146" s="120">
        <v>5.7563157894791264</v>
      </c>
    </row>
    <row r="147" spans="1:17">
      <c r="J147" s="406"/>
      <c r="K147" s="407"/>
      <c r="L147" s="408"/>
      <c r="M147" s="412" t="s">
        <v>384</v>
      </c>
      <c r="N147" s="412"/>
      <c r="O147" s="479" t="s">
        <v>407</v>
      </c>
      <c r="P147" s="479"/>
      <c r="Q147" s="120">
        <v>5.9317112299451908</v>
      </c>
    </row>
    <row r="148" spans="1:17">
      <c r="J148" s="406"/>
      <c r="K148" s="407"/>
      <c r="L148" s="408"/>
      <c r="M148" s="412" t="s">
        <v>386</v>
      </c>
      <c r="N148" s="412"/>
      <c r="O148" s="479" t="s">
        <v>408</v>
      </c>
      <c r="P148" s="479"/>
      <c r="Q148" s="120">
        <v>5.6058695652046096</v>
      </c>
    </row>
    <row r="149" spans="1:17">
      <c r="J149" s="406"/>
      <c r="K149" s="407"/>
      <c r="L149" s="408"/>
      <c r="M149" s="412" t="s">
        <v>388</v>
      </c>
      <c r="N149" s="412"/>
      <c r="O149" s="479" t="s">
        <v>409</v>
      </c>
      <c r="P149" s="479"/>
      <c r="Q149" s="120">
        <v>5.7855124653761649</v>
      </c>
    </row>
    <row r="150" spans="1:17">
      <c r="J150" s="406"/>
      <c r="K150" s="407"/>
      <c r="L150" s="408"/>
      <c r="M150" s="412" t="s">
        <v>390</v>
      </c>
      <c r="N150" s="412"/>
      <c r="O150" s="479" t="s">
        <v>410</v>
      </c>
      <c r="P150" s="479"/>
      <c r="Q150" s="120">
        <v>5.3716574585689401</v>
      </c>
    </row>
    <row r="151" spans="1:17">
      <c r="J151" s="406"/>
      <c r="K151" s="407"/>
      <c r="L151" s="408"/>
      <c r="M151" s="412" t="s">
        <v>392</v>
      </c>
      <c r="N151" s="412"/>
      <c r="O151" s="479" t="s">
        <v>411</v>
      </c>
      <c r="P151" s="479"/>
      <c r="Q151" s="120">
        <v>5.5680882352848817</v>
      </c>
    </row>
    <row r="152" spans="1:17">
      <c r="J152" s="406"/>
      <c r="K152" s="407"/>
      <c r="L152" s="408"/>
      <c r="M152" s="412" t="s">
        <v>394</v>
      </c>
      <c r="N152" s="412"/>
      <c r="O152" s="479" t="s">
        <v>412</v>
      </c>
      <c r="P152" s="479"/>
      <c r="Q152" s="120">
        <v>5.1349999999999998</v>
      </c>
    </row>
    <row r="153" spans="1:17">
      <c r="J153" s="406"/>
      <c r="K153" s="407"/>
      <c r="L153" s="408"/>
      <c r="M153" s="412" t="s">
        <v>396</v>
      </c>
      <c r="N153" s="412"/>
      <c r="O153" s="479" t="s">
        <v>413</v>
      </c>
      <c r="P153" s="479"/>
      <c r="Q153" s="120">
        <v>5.3913135593566848</v>
      </c>
    </row>
    <row r="154" spans="1:17">
      <c r="J154" s="406"/>
      <c r="K154" s="407"/>
      <c r="L154" s="408"/>
      <c r="M154" s="412" t="s">
        <v>230</v>
      </c>
      <c r="N154" s="412"/>
      <c r="O154" s="479" t="s">
        <v>230</v>
      </c>
      <c r="P154" s="479"/>
      <c r="Q154" s="120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125"/>
      <c r="B159" s="125"/>
      <c r="C159" s="125"/>
      <c r="D159" s="125"/>
      <c r="E159" s="125"/>
      <c r="F159" s="125"/>
      <c r="G159" s="125"/>
      <c r="P159"/>
      <c r="Q159"/>
    </row>
    <row r="160" spans="1:17">
      <c r="A160" s="125"/>
      <c r="B160" s="125"/>
      <c r="C160" s="125"/>
      <c r="D160" s="125"/>
      <c r="E160" s="125"/>
      <c r="F160" s="125"/>
      <c r="G160" s="125"/>
      <c r="P160"/>
      <c r="Q160"/>
    </row>
    <row r="161" spans="1:158">
      <c r="A161" s="125" t="s">
        <v>246</v>
      </c>
      <c r="B161" s="125"/>
      <c r="C161" s="125"/>
      <c r="D161" s="125"/>
      <c r="E161" s="125"/>
      <c r="F161" s="125"/>
      <c r="G161" s="125"/>
      <c r="P161"/>
      <c r="Q161"/>
    </row>
    <row r="162" spans="1:158" s="126" customFormat="1" ht="11.25">
      <c r="B162" s="127" t="s">
        <v>245</v>
      </c>
      <c r="C162" s="126">
        <v>45546.167361111111</v>
      </c>
      <c r="D162" s="126">
        <v>45546.207638888889</v>
      </c>
      <c r="E162" s="126">
        <v>45546.247916666667</v>
      </c>
      <c r="F162" s="126">
        <v>45546.288194444445</v>
      </c>
      <c r="G162" s="126">
        <v>45546.328472222223</v>
      </c>
      <c r="H162" s="126">
        <v>45546.368750000001</v>
      </c>
      <c r="I162" s="126">
        <v>45546.40902777778</v>
      </c>
      <c r="J162" s="126">
        <v>45546.455439814818</v>
      </c>
      <c r="K162" s="126">
        <v>45546.501851851855</v>
      </c>
      <c r="L162" s="126">
        <v>45546.548263888886</v>
      </c>
      <c r="M162" s="126">
        <v>45546.594675925924</v>
      </c>
      <c r="N162" s="126">
        <v>45546.641087962962</v>
      </c>
      <c r="O162" s="126">
        <v>45546.6875</v>
      </c>
      <c r="P162" s="126">
        <v>45546.727546296293</v>
      </c>
      <c r="Q162" s="126">
        <v>45546.767592592594</v>
      </c>
      <c r="R162" s="126">
        <v>45546.807638888888</v>
      </c>
      <c r="S162" s="126">
        <v>45546.847685185188</v>
      </c>
      <c r="T162" s="126">
        <v>45546.887731481482</v>
      </c>
      <c r="U162" s="126">
        <v>45546.927777777775</v>
      </c>
      <c r="V162" s="126">
        <v>45546.973263888889</v>
      </c>
      <c r="W162" s="126">
        <v>45547.018750000003</v>
      </c>
      <c r="X162" s="126">
        <v>45547.064236111109</v>
      </c>
      <c r="Y162" s="126">
        <v>45547.109722222223</v>
      </c>
      <c r="Z162" s="126">
        <v>45547.15520833333</v>
      </c>
      <c r="AA162" s="129">
        <v>45547.200694444444</v>
      </c>
      <c r="AB162" s="126">
        <v>45547.242129629631</v>
      </c>
      <c r="AC162" s="126">
        <v>45547.283564814818</v>
      </c>
      <c r="AD162" s="126">
        <v>45547.324999999997</v>
      </c>
      <c r="AE162" s="126">
        <v>45547.366435185184</v>
      </c>
      <c r="AF162" s="126">
        <v>45547.407870370371</v>
      </c>
      <c r="AG162" s="126">
        <v>45547.449305555558</v>
      </c>
      <c r="AH162" s="126">
        <v>45547.497453703705</v>
      </c>
      <c r="AI162" s="126">
        <v>45547.545601851853</v>
      </c>
      <c r="AJ162" s="126">
        <v>45547.59375</v>
      </c>
      <c r="AK162" s="126">
        <v>45547.641898148147</v>
      </c>
      <c r="AL162" s="126">
        <v>45547.690046296295</v>
      </c>
      <c r="AM162" s="126">
        <v>45547.738194444442</v>
      </c>
      <c r="AN162" s="126">
        <v>45547.780439814815</v>
      </c>
      <c r="AO162" s="126">
        <v>45547.822685185187</v>
      </c>
      <c r="AP162" s="126">
        <v>45547.864930555559</v>
      </c>
      <c r="AQ162" s="126">
        <v>45547.907175925924</v>
      </c>
      <c r="AR162" s="126">
        <v>45547.949421296296</v>
      </c>
      <c r="AS162" s="126">
        <v>45547.991666666669</v>
      </c>
      <c r="AT162" s="126">
        <v>45548.037499999999</v>
      </c>
      <c r="AU162" s="126">
        <v>45548.083333333336</v>
      </c>
      <c r="AV162" s="126">
        <v>45548.129166666666</v>
      </c>
      <c r="AW162" s="126">
        <v>45548.175000000003</v>
      </c>
      <c r="AX162" s="126">
        <v>45548.220833333333</v>
      </c>
      <c r="AY162" s="126">
        <v>45548.26666666667</v>
      </c>
      <c r="AZ162" s="126">
        <v>45548.311921296299</v>
      </c>
      <c r="BA162" s="126">
        <v>45548.357175925928</v>
      </c>
      <c r="BB162" s="126">
        <v>45548.402430555558</v>
      </c>
      <c r="BC162" s="126">
        <v>45548.447685185187</v>
      </c>
      <c r="BD162" s="126">
        <v>45548.492939814816</v>
      </c>
      <c r="BE162" s="126">
        <v>45548.538194444445</v>
      </c>
      <c r="BF162" s="126">
        <v>45548.585532407407</v>
      </c>
      <c r="BG162" s="126">
        <v>45548.632870370369</v>
      </c>
      <c r="BH162" s="126">
        <v>45548.680208333331</v>
      </c>
      <c r="BI162" s="126">
        <v>45548.727546296293</v>
      </c>
      <c r="BJ162" s="126">
        <v>45548.774884259263</v>
      </c>
      <c r="BK162" s="126">
        <v>45548.822222222225</v>
      </c>
      <c r="BL162" s="126">
        <v>45548.866203703707</v>
      </c>
      <c r="BM162" s="126">
        <v>45548.910185185188</v>
      </c>
      <c r="BN162" s="126">
        <v>45548.95416666667</v>
      </c>
      <c r="BO162" s="126">
        <v>45548.998148148145</v>
      </c>
      <c r="BP162" s="126">
        <v>45549.042129629626</v>
      </c>
      <c r="BQ162" s="126">
        <v>45549.086111111108</v>
      </c>
      <c r="BR162" s="126">
        <v>45549.130671296298</v>
      </c>
      <c r="BS162" s="126">
        <v>45549.17523148148</v>
      </c>
      <c r="BT162" s="126">
        <v>45549.21979166667</v>
      </c>
      <c r="BU162" s="126">
        <v>45549.264351851853</v>
      </c>
      <c r="BV162" s="126">
        <v>45549.308912037035</v>
      </c>
      <c r="BW162" s="126">
        <v>45549.353472222225</v>
      </c>
      <c r="BX162" s="126">
        <v>45549.39675925926</v>
      </c>
      <c r="BY162" s="126">
        <v>45549.440046296295</v>
      </c>
      <c r="BZ162" s="126">
        <v>45549.48333333333</v>
      </c>
      <c r="CA162" s="126">
        <v>45549.526620370372</v>
      </c>
      <c r="CB162" s="126">
        <v>45549.569907407407</v>
      </c>
      <c r="CC162" s="126">
        <v>45549.613194444442</v>
      </c>
      <c r="CD162" s="126">
        <v>45549.658564814818</v>
      </c>
      <c r="CE162" s="126">
        <v>45549.703935185185</v>
      </c>
      <c r="CF162" s="126">
        <v>45549.749305555553</v>
      </c>
      <c r="CG162" s="126">
        <v>45549.794675925928</v>
      </c>
      <c r="CH162" s="126">
        <v>45549.840046296296</v>
      </c>
      <c r="CI162" s="126">
        <v>45549.885416666664</v>
      </c>
      <c r="CJ162" s="126">
        <v>45549.92800925926</v>
      </c>
      <c r="CK162" s="126">
        <v>45549.970601851855</v>
      </c>
      <c r="CL162" s="126">
        <v>45550.013194444444</v>
      </c>
      <c r="CM162" s="126">
        <v>45550.055787037039</v>
      </c>
      <c r="CN162" s="126">
        <v>45550.098379629628</v>
      </c>
      <c r="CO162" s="126">
        <v>45550.140972222223</v>
      </c>
      <c r="CP162" s="126">
        <v>45550.185532407406</v>
      </c>
      <c r="CQ162" s="126">
        <v>45550.230092592596</v>
      </c>
      <c r="CR162" s="126">
        <v>45550.274652777778</v>
      </c>
      <c r="CS162" s="126">
        <v>45550.319212962961</v>
      </c>
      <c r="CT162" s="126">
        <v>45550.36377314815</v>
      </c>
      <c r="CU162" s="126">
        <v>45550.408333333333</v>
      </c>
      <c r="CV162" s="126">
        <v>45550.450115740743</v>
      </c>
      <c r="CW162" s="126">
        <v>45550.491898148146</v>
      </c>
      <c r="CX162" s="126">
        <v>45550.533680555556</v>
      </c>
      <c r="CY162" s="126">
        <v>45550.575462962966</v>
      </c>
      <c r="CZ162" s="126">
        <v>45550.617245370369</v>
      </c>
      <c r="DA162" s="126">
        <v>45550.65902777778</v>
      </c>
      <c r="DB162" s="126">
        <v>45550.70416666667</v>
      </c>
      <c r="DC162" s="126">
        <v>45550.749305555553</v>
      </c>
      <c r="DD162" s="126">
        <v>45550.794444444444</v>
      </c>
      <c r="DE162" s="126">
        <v>45550.839583333334</v>
      </c>
      <c r="DF162" s="126">
        <v>45550.884722222225</v>
      </c>
      <c r="DG162" s="126">
        <v>45550.929861111108</v>
      </c>
      <c r="DH162" s="126">
        <v>45550.971759259257</v>
      </c>
      <c r="DI162" s="126">
        <v>45551.013657407406</v>
      </c>
      <c r="DJ162" s="126">
        <v>45551.055555555555</v>
      </c>
      <c r="DK162" s="126">
        <v>45551.097453703704</v>
      </c>
      <c r="DL162" s="126">
        <v>45551.139351851853</v>
      </c>
      <c r="DM162" s="126">
        <v>45551.181250000001</v>
      </c>
      <c r="DN162" s="126">
        <v>45551.225810185184</v>
      </c>
      <c r="DO162" s="126">
        <v>45551.270370370374</v>
      </c>
      <c r="DP162" s="126">
        <v>45551.314930555556</v>
      </c>
      <c r="DQ162" s="126">
        <v>45551.359490740739</v>
      </c>
      <c r="DR162" s="126">
        <v>45551.404050925928</v>
      </c>
      <c r="DS162" s="126">
        <v>45551.448611111111</v>
      </c>
      <c r="DT162" s="126">
        <v>45551.489930555559</v>
      </c>
      <c r="DU162" s="126">
        <v>45551.53125</v>
      </c>
      <c r="DV162" s="126">
        <v>45551.572569444441</v>
      </c>
      <c r="DW162" s="126">
        <v>45551.613888888889</v>
      </c>
      <c r="DX162" s="126">
        <v>45551.65520833333</v>
      </c>
      <c r="DY162" s="126">
        <v>45551.696527777778</v>
      </c>
      <c r="DZ162" s="126">
        <v>45551.741666666669</v>
      </c>
      <c r="EA162" s="126">
        <v>45551.786805555559</v>
      </c>
      <c r="EB162" s="126">
        <v>45551.831944444442</v>
      </c>
      <c r="EC162" s="126">
        <v>45551.877083333333</v>
      </c>
      <c r="ED162" s="126">
        <v>45551.922222222223</v>
      </c>
      <c r="EE162" s="126">
        <v>45551.967361111114</v>
      </c>
      <c r="EF162" s="126">
        <v>45552.009027777778</v>
      </c>
      <c r="EG162" s="126">
        <v>45552.050694444442</v>
      </c>
      <c r="EH162" s="126">
        <v>45552.092361111114</v>
      </c>
      <c r="EI162" s="126">
        <v>45552.134027777778</v>
      </c>
      <c r="EJ162" s="126">
        <v>45552.175694444442</v>
      </c>
      <c r="EK162" s="126">
        <v>45552.217361111114</v>
      </c>
      <c r="EL162" s="126">
        <v>45552.261921296296</v>
      </c>
      <c r="EM162" s="126">
        <v>45552.306481481479</v>
      </c>
      <c r="EN162" s="126">
        <v>45552.351041666669</v>
      </c>
      <c r="EO162" s="126">
        <v>45552.395601851851</v>
      </c>
      <c r="EP162" s="126">
        <v>45552.440162037034</v>
      </c>
      <c r="EQ162" s="126">
        <v>45552.484722222223</v>
      </c>
      <c r="ER162" s="126">
        <v>45552.525694444441</v>
      </c>
      <c r="ES162" s="126">
        <v>45552.566666666666</v>
      </c>
      <c r="ET162" s="126">
        <v>45552.607638888891</v>
      </c>
      <c r="EU162" s="126">
        <v>45552.648611111108</v>
      </c>
      <c r="EV162" s="126">
        <v>45552.689583333333</v>
      </c>
      <c r="EW162" s="126">
        <v>45552.730555555558</v>
      </c>
      <c r="EX162" s="126">
        <v>45552.775925925926</v>
      </c>
      <c r="EY162" s="126">
        <v>45552.821296296293</v>
      </c>
      <c r="EZ162" s="126">
        <v>45552.866666666669</v>
      </c>
      <c r="FA162" s="126">
        <v>45552.912037037036</v>
      </c>
      <c r="FB162" s="126">
        <v>45552.957407407404</v>
      </c>
    </row>
    <row r="163" spans="1:158" s="130" customFormat="1" ht="11.25">
      <c r="B163" s="130" t="s">
        <v>244</v>
      </c>
      <c r="C163" s="130">
        <v>479452.01666666666</v>
      </c>
      <c r="D163" s="130">
        <v>479452.98333333334</v>
      </c>
      <c r="E163" s="130">
        <v>479453.95</v>
      </c>
      <c r="F163" s="130">
        <v>479454.91666666663</v>
      </c>
      <c r="G163" s="130">
        <v>479455.8833333333</v>
      </c>
      <c r="H163" s="130">
        <v>479456.85</v>
      </c>
      <c r="I163" s="130">
        <v>479457.81666666665</v>
      </c>
      <c r="J163" s="130">
        <v>479458.93055555556</v>
      </c>
      <c r="K163" s="130">
        <v>479460.04444444441</v>
      </c>
      <c r="L163" s="130">
        <v>479461.15833333333</v>
      </c>
      <c r="M163" s="130">
        <v>479462.27222222224</v>
      </c>
      <c r="N163" s="130">
        <v>479463.38611111109</v>
      </c>
      <c r="O163" s="130">
        <v>479464.5</v>
      </c>
      <c r="P163" s="130">
        <v>479465.4611111111</v>
      </c>
      <c r="Q163" s="130">
        <v>479466.4222222222</v>
      </c>
      <c r="R163" s="130">
        <v>479467.3833333333</v>
      </c>
      <c r="S163" s="130">
        <v>479468.34444444446</v>
      </c>
      <c r="T163" s="130">
        <v>479469.30555555556</v>
      </c>
      <c r="U163" s="130">
        <v>479470.26666666666</v>
      </c>
      <c r="V163" s="130">
        <v>479471.35833333334</v>
      </c>
      <c r="W163" s="130">
        <v>479472.45</v>
      </c>
      <c r="X163" s="130">
        <v>479473.54166666663</v>
      </c>
      <c r="Y163" s="130">
        <v>479474.6333333333</v>
      </c>
      <c r="Z163" s="130">
        <v>479475.72499999998</v>
      </c>
      <c r="AA163" s="131">
        <v>479476.81666666665</v>
      </c>
      <c r="AB163" s="130">
        <v>479477.81111111108</v>
      </c>
      <c r="AC163" s="130">
        <v>479478.80555555556</v>
      </c>
      <c r="AD163" s="130">
        <v>479479.8</v>
      </c>
      <c r="AE163" s="130">
        <v>479480.79444444441</v>
      </c>
      <c r="AF163" s="130">
        <v>479481.7888888889</v>
      </c>
      <c r="AG163" s="130">
        <v>479482.78333333333</v>
      </c>
      <c r="AH163" s="130">
        <v>479483.93888888886</v>
      </c>
      <c r="AI163" s="130">
        <v>479485.09444444446</v>
      </c>
      <c r="AJ163" s="130">
        <v>479486.25</v>
      </c>
      <c r="AK163" s="130">
        <v>479487.40555555554</v>
      </c>
      <c r="AL163" s="130">
        <v>479488.56111111114</v>
      </c>
      <c r="AM163" s="130">
        <v>479489.71666666667</v>
      </c>
      <c r="AN163" s="130">
        <v>479490.73055555555</v>
      </c>
      <c r="AO163" s="130">
        <v>479491.74444444443</v>
      </c>
      <c r="AP163" s="130">
        <v>479492.7583333333</v>
      </c>
      <c r="AQ163" s="130">
        <v>479493.77222222224</v>
      </c>
      <c r="AR163" s="130">
        <v>479494.78611111111</v>
      </c>
      <c r="AS163" s="130">
        <v>479495.8</v>
      </c>
      <c r="AT163" s="130">
        <v>479496.9</v>
      </c>
      <c r="AU163" s="130">
        <v>479498</v>
      </c>
      <c r="AV163" s="130">
        <v>479499.1</v>
      </c>
      <c r="AW163" s="130">
        <v>479500.2</v>
      </c>
      <c r="AX163" s="130">
        <v>479501.30000000005</v>
      </c>
      <c r="AY163" s="130">
        <v>479502.4</v>
      </c>
      <c r="AZ163" s="130">
        <v>479503.48611111112</v>
      </c>
      <c r="BA163" s="130">
        <v>479504.57222222222</v>
      </c>
      <c r="BB163" s="130">
        <v>479505.65833333333</v>
      </c>
      <c r="BC163" s="130">
        <v>479506.74444444448</v>
      </c>
      <c r="BD163" s="130">
        <v>479507.83055555559</v>
      </c>
      <c r="BE163" s="130">
        <v>479508.91666666669</v>
      </c>
      <c r="BF163" s="130">
        <v>479510.05277777778</v>
      </c>
      <c r="BG163" s="130">
        <v>479511.18888888892</v>
      </c>
      <c r="BH163" s="130">
        <v>479512.32500000001</v>
      </c>
      <c r="BI163" s="130">
        <v>479513.4611111111</v>
      </c>
      <c r="BJ163" s="130">
        <v>479514.59722222225</v>
      </c>
      <c r="BK163" s="130">
        <v>479515.73333333334</v>
      </c>
      <c r="BL163" s="130">
        <v>479516.7888888889</v>
      </c>
      <c r="BM163" s="130">
        <v>479517.84444444446</v>
      </c>
      <c r="BN163" s="130">
        <v>479518.9</v>
      </c>
      <c r="BO163" s="130">
        <v>479519.95555555553</v>
      </c>
      <c r="BP163" s="130">
        <v>479521.01111111109</v>
      </c>
      <c r="BQ163" s="130">
        <v>479522.06666666665</v>
      </c>
      <c r="BR163" s="130">
        <v>479523.13611111109</v>
      </c>
      <c r="BS163" s="130">
        <v>479524.20555555553</v>
      </c>
      <c r="BT163" s="130">
        <v>479525.27500000002</v>
      </c>
      <c r="BU163" s="130">
        <v>479526.34444444446</v>
      </c>
      <c r="BV163" s="130">
        <v>479527.4138888889</v>
      </c>
      <c r="BW163" s="130">
        <v>479528.48333333334</v>
      </c>
      <c r="BX163" s="130">
        <v>479529.52222222224</v>
      </c>
      <c r="BY163" s="130">
        <v>479530.56111111114</v>
      </c>
      <c r="BZ163" s="130">
        <v>479531.6</v>
      </c>
      <c r="CA163" s="130">
        <v>479532.63888888888</v>
      </c>
      <c r="CB163" s="130">
        <v>479533.67777777778</v>
      </c>
      <c r="CC163" s="130">
        <v>479534.71666666667</v>
      </c>
      <c r="CD163" s="130">
        <v>479535.80555555556</v>
      </c>
      <c r="CE163" s="130">
        <v>479536.89444444445</v>
      </c>
      <c r="CF163" s="130">
        <v>479537.98333333334</v>
      </c>
      <c r="CG163" s="130">
        <v>479539.07222222222</v>
      </c>
      <c r="CH163" s="130">
        <v>479540.16111111111</v>
      </c>
      <c r="CI163" s="130">
        <v>479541.25</v>
      </c>
      <c r="CJ163" s="130">
        <v>479542.27222222224</v>
      </c>
      <c r="CK163" s="130">
        <v>479543.29444444447</v>
      </c>
      <c r="CL163" s="130">
        <v>479544.31666666665</v>
      </c>
      <c r="CM163" s="130">
        <v>479545.33888888889</v>
      </c>
      <c r="CN163" s="130">
        <v>479546.36111111112</v>
      </c>
      <c r="CO163" s="130">
        <v>479547.38333333336</v>
      </c>
      <c r="CP163" s="130">
        <v>479548.4527777778</v>
      </c>
      <c r="CQ163" s="130">
        <v>479549.52222222224</v>
      </c>
      <c r="CR163" s="130">
        <v>479550.59166666667</v>
      </c>
      <c r="CS163" s="130">
        <v>479551.66111111111</v>
      </c>
      <c r="CT163" s="130">
        <v>479552.73055555555</v>
      </c>
      <c r="CU163" s="130">
        <v>479553.8</v>
      </c>
      <c r="CV163" s="130">
        <v>479554.80277777778</v>
      </c>
      <c r="CW163" s="130">
        <v>479555.80555555556</v>
      </c>
      <c r="CX163" s="130">
        <v>479556.80833333335</v>
      </c>
      <c r="CY163" s="130">
        <v>479557.81111111108</v>
      </c>
      <c r="CZ163" s="130">
        <v>479558.81388888886</v>
      </c>
      <c r="DA163" s="130">
        <v>479559.81666666665</v>
      </c>
      <c r="DB163" s="130">
        <v>479560.89999999997</v>
      </c>
      <c r="DC163" s="130">
        <v>479561.98333333334</v>
      </c>
      <c r="DD163" s="130">
        <v>479563.06666666665</v>
      </c>
      <c r="DE163" s="130">
        <v>479564.14999999997</v>
      </c>
      <c r="DF163" s="130">
        <v>479565.23333333334</v>
      </c>
      <c r="DG163" s="130">
        <v>479566.31666666665</v>
      </c>
      <c r="DH163" s="130">
        <v>479567.32222222222</v>
      </c>
      <c r="DI163" s="130">
        <v>479568.32777777774</v>
      </c>
      <c r="DJ163" s="130">
        <v>479569.33333333331</v>
      </c>
      <c r="DK163" s="130">
        <v>479570.33888888889</v>
      </c>
      <c r="DL163" s="130">
        <v>479571.3444444444</v>
      </c>
      <c r="DM163" s="130">
        <v>479572.35</v>
      </c>
      <c r="DN163" s="130">
        <v>479573.41944444441</v>
      </c>
      <c r="DO163" s="130">
        <v>479574.48888888885</v>
      </c>
      <c r="DP163" s="130">
        <v>479575.55833333335</v>
      </c>
      <c r="DQ163" s="130">
        <v>479576.62777777779</v>
      </c>
      <c r="DR163" s="130">
        <v>479577.69722222222</v>
      </c>
      <c r="DS163" s="130">
        <v>479578.76666666666</v>
      </c>
      <c r="DT163" s="130">
        <v>479579.7583333333</v>
      </c>
      <c r="DU163" s="130">
        <v>479580.75</v>
      </c>
      <c r="DV163" s="130">
        <v>479581.7416666667</v>
      </c>
      <c r="DW163" s="130">
        <v>479582.73333333334</v>
      </c>
      <c r="DX163" s="130">
        <v>479583.72499999998</v>
      </c>
      <c r="DY163" s="130">
        <v>479584.71666666667</v>
      </c>
      <c r="DZ163" s="130">
        <v>479585.8</v>
      </c>
      <c r="EA163" s="130">
        <v>479586.88333333336</v>
      </c>
      <c r="EB163" s="130">
        <v>479587.96666666667</v>
      </c>
      <c r="EC163" s="130">
        <v>479589.05</v>
      </c>
      <c r="ED163" s="130">
        <v>479590.13333333336</v>
      </c>
      <c r="EE163" s="130">
        <v>479591.21666666667</v>
      </c>
      <c r="EF163" s="130">
        <v>479592.21666666667</v>
      </c>
      <c r="EG163" s="130">
        <v>479593.21666666667</v>
      </c>
      <c r="EH163" s="130">
        <v>479594.21666666667</v>
      </c>
      <c r="EI163" s="130">
        <v>479595.21666666667</v>
      </c>
      <c r="EJ163" s="130">
        <v>479596.21666666667</v>
      </c>
      <c r="EK163" s="130">
        <v>479597.21666666667</v>
      </c>
      <c r="EL163" s="130">
        <v>479598.28611111111</v>
      </c>
      <c r="EM163" s="130">
        <v>479599.35555555555</v>
      </c>
      <c r="EN163" s="130">
        <v>479600.42500000005</v>
      </c>
      <c r="EO163" s="130">
        <v>479601.49444444448</v>
      </c>
      <c r="EP163" s="130">
        <v>479602.56388888892</v>
      </c>
      <c r="EQ163" s="130">
        <v>479603.63333333336</v>
      </c>
      <c r="ER163" s="130">
        <v>479604.6166666667</v>
      </c>
      <c r="ES163" s="130">
        <v>479605.60000000003</v>
      </c>
      <c r="ET163" s="130">
        <v>479606.58333333337</v>
      </c>
      <c r="EU163" s="130">
        <v>479607.56666666665</v>
      </c>
      <c r="EV163" s="130">
        <v>479608.55</v>
      </c>
      <c r="EW163" s="130">
        <v>479609.53333333333</v>
      </c>
      <c r="EX163" s="130">
        <v>479610.62222222221</v>
      </c>
      <c r="EY163" s="130">
        <v>479611.7111111111</v>
      </c>
      <c r="EZ163" s="130">
        <v>479612.8</v>
      </c>
      <c r="FA163" s="130">
        <v>479613.88888888888</v>
      </c>
      <c r="FB163" s="130">
        <v>479614.97777777776</v>
      </c>
    </row>
    <row r="164" spans="1:158" s="130" customFormat="1" ht="11.25">
      <c r="B164" s="130" t="s">
        <v>60</v>
      </c>
      <c r="C164" s="130">
        <v>4.07</v>
      </c>
      <c r="D164" s="130">
        <v>4.4283333333405261</v>
      </c>
      <c r="E164" s="130">
        <v>5.145000000021577</v>
      </c>
      <c r="F164" s="130">
        <v>6.2199999999676345</v>
      </c>
      <c r="G164" s="130">
        <v>7.2949999999784225</v>
      </c>
      <c r="H164" s="130">
        <v>8.0116666666594725</v>
      </c>
      <c r="I164" s="130">
        <v>8.3699999999999992</v>
      </c>
      <c r="J164" s="130">
        <v>8.0383333333217788</v>
      </c>
      <c r="K164" s="130">
        <v>7.3750000000115543</v>
      </c>
      <c r="L164" s="130">
        <v>6.38</v>
      </c>
      <c r="M164" s="130">
        <v>5.3849999999884455</v>
      </c>
      <c r="N164" s="130">
        <v>4.721666666678221</v>
      </c>
      <c r="O164" s="130">
        <v>4.3899999999999997</v>
      </c>
      <c r="P164" s="130">
        <v>4.6866666666636716</v>
      </c>
      <c r="Q164" s="130">
        <v>5.2799999999880214</v>
      </c>
      <c r="R164" s="130">
        <v>6.1699999999730499</v>
      </c>
      <c r="S164" s="130">
        <v>7.0600000000119776</v>
      </c>
      <c r="T164" s="130">
        <v>7.6533333333363274</v>
      </c>
      <c r="U164" s="130">
        <v>7.95</v>
      </c>
      <c r="V164" s="130">
        <v>7.677499999995157</v>
      </c>
      <c r="W164" s="130">
        <v>7.1324999999854706</v>
      </c>
      <c r="X164" s="130">
        <v>6.3150000000217945</v>
      </c>
      <c r="Y164" s="130">
        <v>5.4975000000145293</v>
      </c>
      <c r="Z164" s="130">
        <v>4.9525000000048429</v>
      </c>
      <c r="AA164" s="131">
        <v>4.68</v>
      </c>
      <c r="AB164" s="130">
        <v>4.9391666666616096</v>
      </c>
      <c r="AC164" s="130">
        <v>5.4575000000151697</v>
      </c>
      <c r="AD164" s="130">
        <v>6.2350000000000003</v>
      </c>
      <c r="AE164" s="130">
        <v>7.0124999999848301</v>
      </c>
      <c r="AF164" s="130">
        <v>7.5308333333383901</v>
      </c>
      <c r="AG164" s="130">
        <v>7.79</v>
      </c>
      <c r="AH164" s="130">
        <v>7.5458333333374332</v>
      </c>
      <c r="AI164" s="130">
        <v>7.0574999999877006</v>
      </c>
      <c r="AJ164" s="130">
        <v>6.3250000000000002</v>
      </c>
      <c r="AK164" s="130">
        <v>5.5925000000122997</v>
      </c>
      <c r="AL164" s="130">
        <v>5.1041666666625671</v>
      </c>
      <c r="AM164" s="130">
        <v>4.8600000000000003</v>
      </c>
      <c r="AN164" s="130">
        <v>5.0758333333312686</v>
      </c>
      <c r="AO164" s="130">
        <v>5.5074999999917393</v>
      </c>
      <c r="AP164" s="130">
        <v>6.1549999999814133</v>
      </c>
      <c r="AQ164" s="130">
        <v>6.8025000000082612</v>
      </c>
      <c r="AR164" s="130">
        <v>7.2341666666687319</v>
      </c>
      <c r="AS164" s="130">
        <v>7.45</v>
      </c>
      <c r="AT164" s="130">
        <v>7.2524999999895492</v>
      </c>
      <c r="AU164" s="130">
        <v>6.8574999999999999</v>
      </c>
      <c r="AV164" s="130">
        <v>6.265000000015676</v>
      </c>
      <c r="AW164" s="130">
        <v>5.6725000000000003</v>
      </c>
      <c r="AX164" s="130">
        <v>5.2774999999947747</v>
      </c>
      <c r="AY164" s="130">
        <v>5.08</v>
      </c>
      <c r="AZ164" s="130">
        <v>5.2891666666647987</v>
      </c>
      <c r="BA164" s="130">
        <v>5.7074999999925264</v>
      </c>
      <c r="BB164" s="130">
        <v>6.334999999983185</v>
      </c>
      <c r="BC164" s="130">
        <v>6.9625000000074726</v>
      </c>
      <c r="BD164" s="130">
        <v>7.3808333333352012</v>
      </c>
      <c r="BE164" s="130">
        <v>7.59</v>
      </c>
      <c r="BF164" s="130">
        <v>7.3516666666707371</v>
      </c>
      <c r="BG164" s="130">
        <v>6.8749999999877893</v>
      </c>
      <c r="BH164" s="130">
        <v>6.16</v>
      </c>
      <c r="BI164" s="130">
        <v>5.445000000012211</v>
      </c>
      <c r="BJ164" s="130">
        <v>4.9683333333292632</v>
      </c>
      <c r="BK164" s="130">
        <v>4.7300000000000004</v>
      </c>
      <c r="BL164" s="130">
        <v>4.9800000000045959</v>
      </c>
      <c r="BM164" s="130">
        <v>5.4800000000137867</v>
      </c>
      <c r="BN164" s="130">
        <v>6.230000000020679</v>
      </c>
      <c r="BO164" s="130">
        <v>6.9799999999862141</v>
      </c>
      <c r="BP164" s="130">
        <v>7.479999999995405</v>
      </c>
      <c r="BQ164" s="130">
        <v>7.73</v>
      </c>
      <c r="BR164" s="130">
        <v>7.4758333333356397</v>
      </c>
      <c r="BS164" s="130">
        <v>6.9675000000092231</v>
      </c>
      <c r="BT164" s="130">
        <v>6.2049999999792496</v>
      </c>
      <c r="BU164" s="130">
        <v>5.4424999999907779</v>
      </c>
      <c r="BV164" s="130">
        <v>4.9341666666643613</v>
      </c>
      <c r="BW164" s="130">
        <v>4.68</v>
      </c>
      <c r="BX164" s="130">
        <v>4.976666666672207</v>
      </c>
      <c r="BY164" s="130">
        <v>5.5700000000166217</v>
      </c>
      <c r="BZ164" s="130">
        <v>6.459999999975067</v>
      </c>
      <c r="CA164" s="130">
        <v>7.3499999999833783</v>
      </c>
      <c r="CB164" s="130">
        <v>7.9433333333277929</v>
      </c>
      <c r="CC164" s="130">
        <v>8.24</v>
      </c>
      <c r="CD164" s="130">
        <v>7.8783333333333339</v>
      </c>
      <c r="CE164" s="130">
        <v>7.1550000000000002</v>
      </c>
      <c r="CF164" s="130">
        <v>6.07</v>
      </c>
      <c r="CG164" s="130">
        <v>4.9850000000000003</v>
      </c>
      <c r="CH164" s="130">
        <v>4.2616666666666676</v>
      </c>
      <c r="CI164" s="130">
        <v>3.9</v>
      </c>
      <c r="CJ164" s="130">
        <v>4.293333333340799</v>
      </c>
      <c r="CK164" s="130">
        <v>5.0800000000223973</v>
      </c>
      <c r="CL164" s="130">
        <v>6.2599999999664035</v>
      </c>
      <c r="CM164" s="130">
        <v>7.4399999999776023</v>
      </c>
      <c r="CN164" s="130">
        <v>8.2266666666592005</v>
      </c>
      <c r="CO164" s="130">
        <v>8.6199999999999992</v>
      </c>
      <c r="CP164" s="130">
        <v>8.2133333333333329</v>
      </c>
      <c r="CQ164" s="130">
        <v>7.3999999999999995</v>
      </c>
      <c r="CR164" s="130">
        <v>6.18</v>
      </c>
      <c r="CS164" s="130">
        <v>4.96</v>
      </c>
      <c r="CT164" s="130">
        <v>4.1466666666666674</v>
      </c>
      <c r="CU164" s="130">
        <v>3.74</v>
      </c>
      <c r="CV164" s="130">
        <v>4.1966666666755028</v>
      </c>
      <c r="CW164" s="130">
        <v>5.1100000000265089</v>
      </c>
      <c r="CX164" s="130">
        <v>6.4800000000397624</v>
      </c>
      <c r="CY164" s="130">
        <v>7.8499999999734928</v>
      </c>
      <c r="CZ164" s="130">
        <v>8.763333333324498</v>
      </c>
      <c r="DA164" s="130">
        <v>9.2200000000000006</v>
      </c>
      <c r="DB164" s="130">
        <v>8.6900000000094924</v>
      </c>
      <c r="DC164" s="130">
        <v>7.6299999999715231</v>
      </c>
      <c r="DD164" s="130">
        <v>6.04</v>
      </c>
      <c r="DE164" s="130">
        <v>4.4500000000284761</v>
      </c>
      <c r="DF164" s="130">
        <v>3.3899999999905073</v>
      </c>
      <c r="DG164" s="130">
        <v>2.86</v>
      </c>
      <c r="DH164" s="130">
        <v>3.4233333333550724</v>
      </c>
      <c r="DI164" s="130">
        <v>4.5499999999782608</v>
      </c>
      <c r="DJ164" s="130">
        <v>6.24</v>
      </c>
      <c r="DK164" s="130">
        <v>7.9300000000217388</v>
      </c>
      <c r="DL164" s="130">
        <v>9.0566666666449276</v>
      </c>
      <c r="DM164" s="130">
        <v>9.6199999999999992</v>
      </c>
      <c r="DN164" s="130">
        <v>9.0450000000052153</v>
      </c>
      <c r="DO164" s="130">
        <v>7.8950000000208638</v>
      </c>
      <c r="DP164" s="130">
        <v>6.1699999999530561</v>
      </c>
      <c r="DQ164" s="130">
        <v>4.444999999979137</v>
      </c>
      <c r="DR164" s="130">
        <v>3.2949999999947854</v>
      </c>
      <c r="DS164" s="130">
        <v>2.72</v>
      </c>
      <c r="DT164" s="130">
        <v>3.3441666666483485</v>
      </c>
      <c r="DU164" s="130">
        <v>4.5925000000000002</v>
      </c>
      <c r="DV164" s="130">
        <v>6.465000000054955</v>
      </c>
      <c r="DW164" s="130">
        <v>8.3375000000000004</v>
      </c>
      <c r="DX164" s="130">
        <v>9.5858333332966978</v>
      </c>
      <c r="DY164" s="130">
        <v>10.210000000000001</v>
      </c>
      <c r="DZ164" s="130">
        <v>9.518333333345721</v>
      </c>
      <c r="EA164" s="130">
        <v>8.1349999999628366</v>
      </c>
      <c r="EB164" s="130">
        <v>6.0600000000000005</v>
      </c>
      <c r="EC164" s="130">
        <v>3.985000000037163</v>
      </c>
      <c r="ED164" s="130">
        <v>2.6016666666542791</v>
      </c>
      <c r="EE164" s="130">
        <v>1.91</v>
      </c>
      <c r="EF164" s="130">
        <v>2.6266666666666665</v>
      </c>
      <c r="EG164" s="130">
        <v>4.0599999999999996</v>
      </c>
      <c r="EH164" s="130">
        <v>6.21</v>
      </c>
      <c r="EI164" s="130">
        <v>8.36</v>
      </c>
      <c r="EJ164" s="130">
        <v>9.793333333333333</v>
      </c>
      <c r="EK164" s="130">
        <v>10.51</v>
      </c>
      <c r="EL164" s="130">
        <v>9.7875000000065544</v>
      </c>
      <c r="EM164" s="130">
        <v>8.3425000000262166</v>
      </c>
      <c r="EN164" s="130">
        <v>6.1749999999410141</v>
      </c>
      <c r="EO164" s="130">
        <v>4.0074999999737848</v>
      </c>
      <c r="EP164" s="130">
        <v>2.5624999999934461</v>
      </c>
      <c r="EQ164" s="130">
        <v>1.84</v>
      </c>
      <c r="ER164" s="130">
        <v>2.6075000000151438</v>
      </c>
      <c r="ES164" s="130">
        <v>4.1425000000454313</v>
      </c>
      <c r="ET164" s="130">
        <v>6.4450000000681475</v>
      </c>
      <c r="EU164" s="130">
        <v>8.7474999999545684</v>
      </c>
      <c r="EV164" s="130">
        <v>10.282499999984857</v>
      </c>
      <c r="EW164" s="130">
        <v>11.05</v>
      </c>
      <c r="EX164" s="130">
        <v>10.226666666666667</v>
      </c>
      <c r="EY164" s="130">
        <v>8.58</v>
      </c>
      <c r="EZ164" s="130">
        <v>6.11</v>
      </c>
      <c r="FA164" s="130">
        <v>3.6400000000000006</v>
      </c>
      <c r="FB164" s="130">
        <v>1.9933333333333336</v>
      </c>
    </row>
    <row r="165" spans="1:158" s="125" customFormat="1" ht="11.25">
      <c r="AA165" s="128"/>
    </row>
    <row r="166" spans="1:158">
      <c r="A166" s="405" t="s">
        <v>250</v>
      </c>
      <c r="B166" t="s">
        <v>248</v>
      </c>
      <c r="C166" s="80">
        <f>C162</f>
        <v>45546.167361111111</v>
      </c>
      <c r="P166"/>
      <c r="Q166"/>
    </row>
    <row r="167" spans="1:158">
      <c r="A167" s="405"/>
      <c r="B167" t="s">
        <v>249</v>
      </c>
      <c r="C167" s="80">
        <f>MAX(162:162)</f>
        <v>45552.957407407404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247</v>
      </c>
      <c r="B171">
        <f>Maree!$D$69</f>
        <v>7.45</v>
      </c>
      <c r="P171"/>
      <c r="Q171"/>
    </row>
    <row r="172" spans="1:158">
      <c r="A172" s="123"/>
      <c r="B172" t="s">
        <v>251</v>
      </c>
      <c r="C172">
        <v>75</v>
      </c>
      <c r="D172">
        <f>C172+1</f>
        <v>76</v>
      </c>
      <c r="E172">
        <f t="shared" ref="E172:AG172" si="39">D172+1</f>
        <v>77</v>
      </c>
      <c r="F172">
        <f t="shared" si="39"/>
        <v>78</v>
      </c>
      <c r="G172">
        <f t="shared" si="39"/>
        <v>79</v>
      </c>
      <c r="H172">
        <f t="shared" si="39"/>
        <v>80</v>
      </c>
      <c r="I172">
        <f t="shared" si="39"/>
        <v>81</v>
      </c>
      <c r="J172">
        <f t="shared" si="39"/>
        <v>82</v>
      </c>
      <c r="K172">
        <f t="shared" si="39"/>
        <v>83</v>
      </c>
      <c r="L172">
        <f t="shared" si="39"/>
        <v>84</v>
      </c>
      <c r="M172">
        <f t="shared" si="39"/>
        <v>85</v>
      </c>
      <c r="N172">
        <f t="shared" si="39"/>
        <v>86</v>
      </c>
      <c r="O172">
        <f t="shared" si="39"/>
        <v>87</v>
      </c>
      <c r="P172">
        <f t="shared" si="39"/>
        <v>88</v>
      </c>
      <c r="Q172">
        <f t="shared" si="39"/>
        <v>89</v>
      </c>
      <c r="R172">
        <f t="shared" si="39"/>
        <v>90</v>
      </c>
      <c r="S172">
        <f t="shared" si="39"/>
        <v>91</v>
      </c>
      <c r="T172">
        <f t="shared" si="39"/>
        <v>92</v>
      </c>
      <c r="U172">
        <f t="shared" si="39"/>
        <v>93</v>
      </c>
      <c r="V172">
        <f t="shared" si="39"/>
        <v>94</v>
      </c>
      <c r="W172">
        <f t="shared" si="39"/>
        <v>95</v>
      </c>
      <c r="X172">
        <f t="shared" si="39"/>
        <v>96</v>
      </c>
      <c r="Y172">
        <f t="shared" si="39"/>
        <v>97</v>
      </c>
      <c r="Z172">
        <f t="shared" si="39"/>
        <v>98</v>
      </c>
      <c r="AA172">
        <f t="shared" si="39"/>
        <v>99</v>
      </c>
      <c r="AB172">
        <f t="shared" si="39"/>
        <v>100</v>
      </c>
      <c r="AC172">
        <f t="shared" si="39"/>
        <v>101</v>
      </c>
      <c r="AD172">
        <f t="shared" si="39"/>
        <v>102</v>
      </c>
      <c r="AE172">
        <f t="shared" si="39"/>
        <v>103</v>
      </c>
      <c r="AF172">
        <f t="shared" si="39"/>
        <v>104</v>
      </c>
      <c r="AG172">
        <f t="shared" si="39"/>
        <v>105</v>
      </c>
    </row>
    <row r="173" spans="1:158">
      <c r="B173" s="124" t="s">
        <v>245</v>
      </c>
      <c r="C173" s="123" cm="1">
        <f t="array" aca="1" ref="C173" ca="1">INDIRECT(ADDRESS(C172,8))</f>
        <v>45546.337187500001</v>
      </c>
      <c r="D173" s="123" cm="1">
        <f t="array" aca="1" ref="D173" ca="1">INDIRECT(ADDRESS(D172,8))</f>
        <v>45546.496608796297</v>
      </c>
      <c r="E173" s="123" cm="1">
        <f t="array" aca="1" ref="E173" ca="1">INDIRECT(ADDRESS(E172,8))</f>
        <v>45546.87400462963</v>
      </c>
      <c r="F173" s="123" cm="1">
        <f t="array" aca="1" ref="F173" ca="1">INDIRECT(ADDRESS(F172,8))</f>
        <v>45546.992256944446</v>
      </c>
      <c r="G173" s="123" cm="1">
        <f t="array" aca="1" ref="G173" ca="1">INDIRECT(ADDRESS(G172,8))</f>
        <v>45547.401412037034</v>
      </c>
      <c r="H173" s="123" cm="1">
        <f t="array" aca="1" ref="H173" ca="1">INDIRECT(ADDRESS(H172,8))</f>
        <v>45547.506898148145</v>
      </c>
      <c r="I173" s="123" cm="1">
        <f t="array" aca="1" ref="I173" ca="1">INDIRECT(ADDRESS(I172,8))</f>
        <v>45547.991666666669</v>
      </c>
      <c r="J173" s="123" cm="1">
        <f t="array" aca="1" ref="J173" ca="1">INDIRECT(ADDRESS(J172,8))</f>
        <v>45547.991666666669</v>
      </c>
      <c r="K173" s="123" cm="1">
        <f t="array" aca="1" ref="K173" ca="1">INDIRECT(ADDRESS(K172,8))</f>
        <v>45548.507905092592</v>
      </c>
      <c r="L173" s="123" cm="1">
        <f t="array" aca="1" ref="L173" ca="1">INDIRECT(ADDRESS(L172,8))</f>
        <v>45548.566006944442</v>
      </c>
      <c r="M173" s="123" cm="1">
        <f t="array" aca="1" ref="M173" ca="1">INDIRECT(ADDRESS(M172,8))</f>
        <v>45549.039490740739</v>
      </c>
      <c r="N173" s="123" cm="1">
        <f t="array" aca="1" ref="N173" ca="1">INDIRECT(ADDRESS(N172,8))</f>
        <v>45549.132939814815</v>
      </c>
      <c r="O173" s="123" cm="1">
        <f t="array" aca="1" ref="O173" ca="1">INDIRECT(ADDRESS(O172,8))</f>
        <v>45549.533912037034</v>
      </c>
      <c r="P173" s="123" cm="1">
        <f t="array" aca="1" ref="P173" ca="1">INDIRECT(ADDRESS(P172,8))</f>
        <v>45549.685428240744</v>
      </c>
      <c r="Q173" s="123" cm="1">
        <f t="array" aca="1" ref="Q173" ca="1">INDIRECT(ADDRESS(Q172,8))</f>
        <v>45550.056331018517</v>
      </c>
      <c r="R173" s="123" cm="1">
        <f t="array" aca="1" ref="R173" ca="1">INDIRECT(ADDRESS(R172,8))</f>
        <v>45550.227349537039</v>
      </c>
      <c r="S173" s="123" cm="1">
        <f t="array" aca="1" ref="S173" ca="1">INDIRECT(ADDRESS(S172,8))</f>
        <v>45550.563263888886</v>
      </c>
      <c r="T173" s="123" cm="1">
        <f t="array" aca="1" ref="T173" ca="1">INDIRECT(ADDRESS(T172,8))</f>
        <v>45550.754421296297</v>
      </c>
      <c r="U173" s="123" cm="1">
        <f t="array" aca="1" ref="U173" ca="1">INDIRECT(ADDRESS(U172,8))</f>
        <v>45551.085555555554</v>
      </c>
      <c r="V173" s="123" cm="1">
        <f t="array" aca="1" ref="V173" ca="1">INDIRECT(ADDRESS(V172,8))</f>
        <v>45551.281863425924</v>
      </c>
      <c r="W173" s="123" cm="1">
        <f t="array" aca="1" ref="W173" ca="1">INDIRECT(ADDRESS(W172,8))</f>
        <v>45551.594305555554</v>
      </c>
      <c r="X173" s="123" cm="1">
        <f t="array" aca="1" ref="X173" ca="1">INDIRECT(ADDRESS(X172,8))</f>
        <v>45551.801701388889</v>
      </c>
      <c r="Y173" s="123" cm="1">
        <f t="array" aca="1" ref="Y173" ca="1">INDIRECT(ADDRESS(Y172,8))</f>
        <v>45552.116388888891</v>
      </c>
      <c r="Z173" s="123" cm="1">
        <f t="array" aca="1" ref="Z173" ca="1">INDIRECT(ADDRESS(Z172,8))</f>
        <v>45552.324826388889</v>
      </c>
      <c r="AA173" s="123" cm="1">
        <f t="array" aca="1" ref="AA173" ca="1">INDIRECT(ADDRESS(AA172,8))</f>
        <v>45552.625520833331</v>
      </c>
      <c r="AB173" s="123" cm="1">
        <f t="array" aca="1" ref="AB173" ca="1">INDIRECT(ADDRESS(AB172,8))</f>
        <v>45552.842048611114</v>
      </c>
      <c r="AC173" s="123" cm="1">
        <f t="array" aca="1" ref="AC173" ca="1">INDIRECT(ADDRESS(AC172,8))</f>
        <v>45552.842048611114</v>
      </c>
      <c r="AD173" s="123" cm="1">
        <f t="array" aca="1" ref="AD173" ca="1">INDIRECT(ADDRESS(AD172,8))</f>
        <v>45552.842048611114</v>
      </c>
      <c r="AE173" s="123" cm="1">
        <f t="array" aca="1" ref="AE173" ca="1">INDIRECT(ADDRESS(AE172,8))</f>
        <v>45552.842048611114</v>
      </c>
      <c r="AF173" s="123" cm="1">
        <f t="array" aca="1" ref="AF173" ca="1">INDIRECT(ADDRESS(AF172,8))</f>
        <v>45552.842048611114</v>
      </c>
      <c r="AG173" s="123" cm="1">
        <f t="array" aca="1" ref="AG173" ca="1">INDIRECT(ADDRESS(AG172,8))</f>
        <v>45552.842048611114</v>
      </c>
    </row>
    <row r="174" spans="1:158">
      <c r="B174" t="s">
        <v>60</v>
      </c>
      <c r="C174">
        <f>$B$171</f>
        <v>7.45</v>
      </c>
      <c r="D174">
        <f t="shared" ref="D174:AG174" si="40">$B$171</f>
        <v>7.45</v>
      </c>
      <c r="E174">
        <f t="shared" si="40"/>
        <v>7.45</v>
      </c>
      <c r="F174">
        <f t="shared" si="40"/>
        <v>7.45</v>
      </c>
      <c r="G174">
        <f t="shared" si="40"/>
        <v>7.45</v>
      </c>
      <c r="H174">
        <f t="shared" si="40"/>
        <v>7.45</v>
      </c>
      <c r="I174">
        <f t="shared" si="40"/>
        <v>7.45</v>
      </c>
      <c r="J174">
        <f t="shared" si="40"/>
        <v>7.45</v>
      </c>
      <c r="K174">
        <f t="shared" si="40"/>
        <v>7.45</v>
      </c>
      <c r="L174">
        <f t="shared" si="40"/>
        <v>7.45</v>
      </c>
      <c r="M174">
        <f t="shared" si="40"/>
        <v>7.45</v>
      </c>
      <c r="N174">
        <f t="shared" si="40"/>
        <v>7.45</v>
      </c>
      <c r="O174">
        <f t="shared" si="40"/>
        <v>7.45</v>
      </c>
      <c r="P174">
        <f t="shared" si="40"/>
        <v>7.45</v>
      </c>
      <c r="Q174">
        <f t="shared" si="40"/>
        <v>7.45</v>
      </c>
      <c r="R174">
        <f t="shared" si="40"/>
        <v>7.45</v>
      </c>
      <c r="S174">
        <f t="shared" si="40"/>
        <v>7.45</v>
      </c>
      <c r="T174">
        <f t="shared" si="40"/>
        <v>7.45</v>
      </c>
      <c r="U174">
        <f t="shared" si="40"/>
        <v>7.45</v>
      </c>
      <c r="V174">
        <f t="shared" si="40"/>
        <v>7.45</v>
      </c>
      <c r="W174">
        <f t="shared" si="40"/>
        <v>7.45</v>
      </c>
      <c r="X174">
        <f t="shared" si="40"/>
        <v>7.45</v>
      </c>
      <c r="Y174">
        <f t="shared" si="40"/>
        <v>7.45</v>
      </c>
      <c r="Z174">
        <f t="shared" si="40"/>
        <v>7.45</v>
      </c>
      <c r="AA174">
        <f t="shared" si="40"/>
        <v>7.45</v>
      </c>
      <c r="AB174">
        <f t="shared" si="40"/>
        <v>7.45</v>
      </c>
      <c r="AC174">
        <f t="shared" si="40"/>
        <v>7.45</v>
      </c>
      <c r="AD174">
        <f t="shared" si="40"/>
        <v>7.45</v>
      </c>
      <c r="AE174">
        <f t="shared" si="40"/>
        <v>7.45</v>
      </c>
      <c r="AF174">
        <f t="shared" si="40"/>
        <v>7.45</v>
      </c>
      <c r="AG174">
        <f t="shared" si="40"/>
        <v>7.45</v>
      </c>
    </row>
    <row r="175" spans="1:158">
      <c r="P175"/>
      <c r="Q175"/>
    </row>
    <row r="176" spans="1:158">
      <c r="P176"/>
      <c r="Q176"/>
    </row>
  </sheetData>
  <dataConsolidate/>
  <mergeCells count="404"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D78:E78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F74:G74"/>
    <mergeCell ref="F75:G75"/>
    <mergeCell ref="F76:G76"/>
    <mergeCell ref="F77:G77"/>
    <mergeCell ref="F78:G78"/>
    <mergeCell ref="F79:G79"/>
    <mergeCell ref="F80:G80"/>
    <mergeCell ref="F81:G81"/>
    <mergeCell ref="D79:E79"/>
    <mergeCell ref="D80:E80"/>
    <mergeCell ref="D81:E81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F91:G91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D92:E92"/>
    <mergeCell ref="F92:G92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J80:K80"/>
    <mergeCell ref="L80:M80"/>
    <mergeCell ref="J72:O73"/>
    <mergeCell ref="A76:B76"/>
    <mergeCell ref="A77:B77"/>
    <mergeCell ref="A75:B75"/>
    <mergeCell ref="A74:B74"/>
    <mergeCell ref="A73:B73"/>
    <mergeCell ref="A80:B80"/>
  </mergeCells>
  <conditionalFormatting sqref="H38:H64">
    <cfRule type="cellIs" dxfId="6" priority="10" operator="equal">
      <formula>"Y"</formula>
    </cfRule>
  </conditionalFormatting>
  <conditionalFormatting sqref="AF38:AJ38">
    <cfRule type="cellIs" dxfId="5" priority="8" operator="equal">
      <formula>FALSE</formula>
    </cfRule>
  </conditionalFormatting>
  <conditionalFormatting sqref="AL38:AL63">
    <cfRule type="cellIs" dxfId="4" priority="7" operator="equal">
      <formula>FALSE</formula>
    </cfRule>
  </conditionalFormatting>
  <conditionalFormatting sqref="I38:I64">
    <cfRule type="cellIs" dxfId="3" priority="5" operator="equal">
      <formula>"Y"</formula>
    </cfRule>
  </conditionalFormatting>
  <conditionalFormatting sqref="AF39:AJ63">
    <cfRule type="cellIs" dxfId="2" priority="4" operator="equal">
      <formula>FALSE</formula>
    </cfRule>
  </conditionalFormatting>
  <conditionalFormatting sqref="AL64">
    <cfRule type="cellIs" dxfId="1" priority="2" operator="equal">
      <formula>FALSE</formula>
    </cfRule>
  </conditionalFormatting>
  <conditionalFormatting sqref="AF64:AJ64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9D7A-1AC4-4234-9C9D-55DB9120C28D}">
  <sheetPr codeName="Feuil1"/>
  <dimension ref="A1:D39"/>
  <sheetViews>
    <sheetView workbookViewId="0">
      <selection activeCell="A2" sqref="A2:D28"/>
    </sheetView>
  </sheetViews>
  <sheetFormatPr defaultColWidth="11.42578125" defaultRowHeight="15"/>
  <cols>
    <col min="1" max="4" width="11.140625" bestFit="1" customWidth="1"/>
  </cols>
  <sheetData>
    <row r="1" spans="1:4">
      <c r="A1" t="s">
        <v>262</v>
      </c>
      <c r="B1" t="s">
        <v>263</v>
      </c>
      <c r="C1" t="s">
        <v>264</v>
      </c>
      <c r="D1" t="s">
        <v>265</v>
      </c>
    </row>
    <row r="2" spans="1:4">
      <c r="A2" t="s">
        <v>266</v>
      </c>
      <c r="B2" t="s">
        <v>267</v>
      </c>
      <c r="D2">
        <v>4.07</v>
      </c>
    </row>
    <row r="3" spans="1:4">
      <c r="A3" t="s">
        <v>266</v>
      </c>
      <c r="B3" t="s">
        <v>268</v>
      </c>
      <c r="C3">
        <v>39</v>
      </c>
      <c r="D3">
        <v>8.3699999999999992</v>
      </c>
    </row>
    <row r="4" spans="1:4">
      <c r="A4" t="s">
        <v>266</v>
      </c>
      <c r="B4" t="s">
        <v>269</v>
      </c>
      <c r="D4">
        <v>4.3899999999999997</v>
      </c>
    </row>
    <row r="5" spans="1:4">
      <c r="A5" t="s">
        <v>266</v>
      </c>
      <c r="B5" t="s">
        <v>270</v>
      </c>
      <c r="C5">
        <v>33</v>
      </c>
      <c r="D5">
        <v>7.95</v>
      </c>
    </row>
    <row r="6" spans="1:4">
      <c r="A6" t="s">
        <v>271</v>
      </c>
      <c r="B6" t="s">
        <v>272</v>
      </c>
      <c r="D6">
        <v>4.68</v>
      </c>
    </row>
    <row r="7" spans="1:4">
      <c r="A7" t="s">
        <v>271</v>
      </c>
      <c r="B7" t="s">
        <v>273</v>
      </c>
      <c r="C7">
        <v>29</v>
      </c>
      <c r="D7">
        <v>7.79</v>
      </c>
    </row>
    <row r="8" spans="1:4">
      <c r="A8" t="s">
        <v>271</v>
      </c>
      <c r="B8" t="s">
        <v>274</v>
      </c>
      <c r="D8">
        <v>4.8600000000000003</v>
      </c>
    </row>
    <row r="9" spans="1:4">
      <c r="A9" t="s">
        <v>271</v>
      </c>
      <c r="B9" t="s">
        <v>275</v>
      </c>
      <c r="C9">
        <v>28</v>
      </c>
      <c r="D9">
        <v>7.45</v>
      </c>
    </row>
    <row r="10" spans="1:4">
      <c r="A10" t="s">
        <v>276</v>
      </c>
      <c r="B10" t="s">
        <v>277</v>
      </c>
      <c r="D10">
        <v>5.08</v>
      </c>
    </row>
    <row r="11" spans="1:4">
      <c r="A11" t="s">
        <v>276</v>
      </c>
      <c r="B11" t="s">
        <v>278</v>
      </c>
      <c r="C11">
        <v>31</v>
      </c>
      <c r="D11">
        <v>7.59</v>
      </c>
    </row>
    <row r="12" spans="1:4">
      <c r="A12" t="s">
        <v>276</v>
      </c>
      <c r="B12" t="s">
        <v>279</v>
      </c>
      <c r="D12">
        <v>4.7300000000000004</v>
      </c>
    </row>
    <row r="13" spans="1:4">
      <c r="A13" t="s">
        <v>280</v>
      </c>
      <c r="B13" t="s">
        <v>281</v>
      </c>
      <c r="C13">
        <v>37</v>
      </c>
      <c r="D13">
        <v>7.73</v>
      </c>
    </row>
    <row r="14" spans="1:4">
      <c r="A14" t="s">
        <v>280</v>
      </c>
      <c r="B14" t="s">
        <v>282</v>
      </c>
      <c r="D14">
        <v>4.68</v>
      </c>
    </row>
    <row r="15" spans="1:4">
      <c r="A15" t="s">
        <v>280</v>
      </c>
      <c r="B15" t="s">
        <v>283</v>
      </c>
      <c r="C15">
        <v>45</v>
      </c>
      <c r="D15">
        <v>8.24</v>
      </c>
    </row>
    <row r="16" spans="1:4">
      <c r="A16" t="s">
        <v>280</v>
      </c>
      <c r="B16" t="s">
        <v>284</v>
      </c>
      <c r="D16">
        <v>3.9</v>
      </c>
    </row>
    <row r="17" spans="1:4">
      <c r="A17" t="s">
        <v>285</v>
      </c>
      <c r="B17" t="s">
        <v>286</v>
      </c>
      <c r="C17">
        <v>54</v>
      </c>
      <c r="D17">
        <v>8.6199999999999992</v>
      </c>
    </row>
    <row r="18" spans="1:4">
      <c r="A18" t="s">
        <v>285</v>
      </c>
      <c r="B18" t="s">
        <v>287</v>
      </c>
      <c r="D18">
        <v>3.74</v>
      </c>
    </row>
    <row r="19" spans="1:4">
      <c r="A19" t="s">
        <v>285</v>
      </c>
      <c r="B19" t="s">
        <v>288</v>
      </c>
      <c r="C19">
        <v>64</v>
      </c>
      <c r="D19">
        <v>9.2200000000000006</v>
      </c>
    </row>
    <row r="20" spans="1:4">
      <c r="A20" t="s">
        <v>285</v>
      </c>
      <c r="B20" t="s">
        <v>289</v>
      </c>
      <c r="D20">
        <v>2.86</v>
      </c>
    </row>
    <row r="21" spans="1:4">
      <c r="A21" t="s">
        <v>290</v>
      </c>
      <c r="B21" t="s">
        <v>291</v>
      </c>
      <c r="C21">
        <v>74</v>
      </c>
      <c r="D21">
        <v>9.6199999999999992</v>
      </c>
    </row>
    <row r="22" spans="1:4">
      <c r="A22" t="s">
        <v>290</v>
      </c>
      <c r="B22" t="s">
        <v>292</v>
      </c>
      <c r="D22">
        <v>2.72</v>
      </c>
    </row>
    <row r="23" spans="1:4">
      <c r="A23" t="s">
        <v>290</v>
      </c>
      <c r="B23" t="s">
        <v>293</v>
      </c>
      <c r="C23">
        <v>83</v>
      </c>
      <c r="D23">
        <v>10.210000000000001</v>
      </c>
    </row>
    <row r="24" spans="1:4">
      <c r="A24" t="s">
        <v>290</v>
      </c>
      <c r="B24" t="s">
        <v>294</v>
      </c>
      <c r="D24">
        <v>1.91</v>
      </c>
    </row>
    <row r="25" spans="1:4">
      <c r="A25" t="s">
        <v>295</v>
      </c>
      <c r="B25" t="s">
        <v>296</v>
      </c>
      <c r="C25">
        <v>91</v>
      </c>
      <c r="D25">
        <v>10.51</v>
      </c>
    </row>
    <row r="26" spans="1:4">
      <c r="A26" t="s">
        <v>295</v>
      </c>
      <c r="B26" t="s">
        <v>297</v>
      </c>
      <c r="D26">
        <v>1.84</v>
      </c>
    </row>
    <row r="27" spans="1:4">
      <c r="A27" t="s">
        <v>295</v>
      </c>
      <c r="B27" t="s">
        <v>298</v>
      </c>
      <c r="C27">
        <v>99</v>
      </c>
      <c r="D27">
        <v>11.05</v>
      </c>
    </row>
    <row r="28" spans="1:4">
      <c r="A28" t="s">
        <v>299</v>
      </c>
      <c r="B28" t="s">
        <v>300</v>
      </c>
      <c r="D28">
        <v>1.17</v>
      </c>
    </row>
    <row r="29" spans="1:4">
      <c r="A29" t="s">
        <v>299</v>
      </c>
      <c r="B29" t="s">
        <v>301</v>
      </c>
      <c r="C29">
        <v>105</v>
      </c>
      <c r="D29">
        <v>11.18</v>
      </c>
    </row>
    <row r="30" spans="1:4">
      <c r="A30" t="s">
        <v>299</v>
      </c>
      <c r="B30" t="s">
        <v>302</v>
      </c>
      <c r="D30">
        <v>1.19</v>
      </c>
    </row>
    <row r="31" spans="1:4">
      <c r="A31" t="s">
        <v>299</v>
      </c>
      <c r="B31" t="s">
        <v>303</v>
      </c>
      <c r="C31">
        <v>110</v>
      </c>
      <c r="D31">
        <v>11.64</v>
      </c>
    </row>
    <row r="32" spans="1:4">
      <c r="A32" t="s">
        <v>304</v>
      </c>
      <c r="B32" t="s">
        <v>305</v>
      </c>
      <c r="D32">
        <v>0.7</v>
      </c>
    </row>
    <row r="33" spans="1:4">
      <c r="A33" t="s">
        <v>304</v>
      </c>
      <c r="B33" t="s">
        <v>306</v>
      </c>
      <c r="C33">
        <v>113</v>
      </c>
      <c r="D33">
        <v>11.59</v>
      </c>
    </row>
    <row r="34" spans="1:4">
      <c r="A34" t="s">
        <v>304</v>
      </c>
      <c r="B34" t="s">
        <v>307</v>
      </c>
      <c r="D34">
        <v>0.82</v>
      </c>
    </row>
    <row r="35" spans="1:4">
      <c r="A35" t="s">
        <v>304</v>
      </c>
      <c r="B35" t="s">
        <v>308</v>
      </c>
      <c r="C35">
        <v>115</v>
      </c>
      <c r="D35">
        <v>11.93</v>
      </c>
    </row>
    <row r="36" spans="1:4">
      <c r="A36" t="s">
        <v>309</v>
      </c>
      <c r="B36" t="s">
        <v>310</v>
      </c>
      <c r="D36">
        <v>0.55000000000000004</v>
      </c>
    </row>
    <row r="37" spans="1:4">
      <c r="A37" t="s">
        <v>309</v>
      </c>
      <c r="B37" t="s">
        <v>311</v>
      </c>
      <c r="C37">
        <v>114</v>
      </c>
      <c r="D37">
        <v>11.69</v>
      </c>
    </row>
    <row r="38" spans="1:4">
      <c r="A38" t="s">
        <v>309</v>
      </c>
      <c r="B38" t="s">
        <v>312</v>
      </c>
      <c r="D38">
        <v>0.77</v>
      </c>
    </row>
    <row r="39" spans="1:4">
      <c r="A39" t="s">
        <v>309</v>
      </c>
      <c r="B39" t="s">
        <v>279</v>
      </c>
      <c r="C39">
        <v>112</v>
      </c>
      <c r="D39">
        <v>11.87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5373D-FBA2-4170-B672-407A3095C0C4}">
  <sheetPr codeName="Feuil2"/>
  <dimension ref="A1"/>
  <sheetViews>
    <sheetView workbookViewId="0">
      <selection activeCell="D13" sqref="D13"/>
    </sheetView>
  </sheetViews>
  <sheetFormatPr defaultColWidth="11.42578125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Nav</vt:lpstr>
      <vt:lpstr>GrilleCompas</vt:lpstr>
      <vt:lpstr>MareeExo</vt:lpstr>
      <vt:lpstr>Maree</vt:lpstr>
      <vt:lpstr>maree shom (2)</vt:lpstr>
      <vt:lpstr>Feuil1</vt:lpstr>
      <vt:lpstr>GrilleCompas!Print_Area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2025-06-17T17:39:02Z</cp:lastPrinted>
  <dcterms:created xsi:type="dcterms:W3CDTF">2023-12-16T12:20:09Z</dcterms:created>
  <dcterms:modified xsi:type="dcterms:W3CDTF">2025-06-23T07:01:11Z</dcterms:modified>
</cp:coreProperties>
</file>