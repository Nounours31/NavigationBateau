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503F120D-B673-4190-A32C-266D18DBF49F}" xr6:coauthVersionLast="47" xr6:coauthVersionMax="47" xr10:uidLastSave="{00000000-0000-0000-0000-000000000000}"/>
  <bookViews>
    <workbookView xWindow="-120" yWindow="-120" windowWidth="29040" windowHeight="15840" tabRatio="872" activeTab="2" xr2:uid="{00000000-000D-0000-FFFF-FFFF00000000}"/>
  </bookViews>
  <sheets>
    <sheet name="Nav" sheetId="3" r:id="rId1"/>
    <sheet name="Maree" sheetId="4" r:id="rId2"/>
    <sheet name="Sheet1" sheetId="6" r:id="rId3"/>
  </sheets>
  <functionGroups builtInGroupCount="19"/>
  <definedNames>
    <definedName name="_xlnm._FilterDatabase" localSheetId="1" hidden="1">Maree!$C$30:$D$30</definedName>
    <definedName name="DonnéesExternes_1" localSheetId="1" hidden="1">Maree!#REF!</definedName>
    <definedName name="DonnéesExternes_2" localSheetId="1" hidden="1">Maree!#REF!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74" i="4" l="1"/>
  <c r="AG172" i="4"/>
  <c r="AF172" i="4"/>
  <c r="AE172" i="4"/>
  <c r="AD172" i="4"/>
  <c r="AC172" i="4"/>
  <c r="AB172" i="4"/>
  <c r="AA172" i="4"/>
  <c r="E172" i="4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D172" i="4"/>
  <c r="C166" i="4"/>
  <c r="C167" i="4"/>
  <c r="B171" i="4"/>
  <c r="AG174" i="4" s="1"/>
  <c r="J85" i="4"/>
  <c r="J72" i="4"/>
  <c r="D72" i="4"/>
  <c r="AG64" i="4"/>
  <c r="AJ64" i="4" s="1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46" i="3"/>
  <c r="M147" i="3" s="1"/>
  <c r="J147" i="3" s="1"/>
  <c r="M141" i="3"/>
  <c r="M142" i="3" s="1"/>
  <c r="M136" i="3"/>
  <c r="M137" i="3" s="1"/>
  <c r="F77" i="3"/>
  <c r="AC73" i="3" s="1"/>
  <c r="AF55" i="3"/>
  <c r="AC33" i="3"/>
  <c r="AC32" i="3"/>
  <c r="K16" i="3"/>
  <c r="K15" i="3"/>
  <c r="AC72" i="3" s="1"/>
  <c r="AC173" i="4" a="1"/>
  <c r="U173" i="4" a="1"/>
  <c r="AG173" i="4" a="1"/>
  <c r="Y173" i="4" a="1"/>
  <c r="Q173" i="4" a="1"/>
  <c r="AB173" i="4" a="1"/>
  <c r="T173" i="4" a="1"/>
  <c r="AF173" i="4" a="1"/>
  <c r="X173" i="4" a="1"/>
  <c r="P173" i="4" a="1"/>
  <c r="AE173" i="4" a="1"/>
  <c r="AA173" i="4" a="1"/>
  <c r="W173" i="4" a="1"/>
  <c r="S173" i="4" a="1"/>
  <c r="AD173" i="4" a="1"/>
  <c r="Z173" i="4" a="1"/>
  <c r="V173" i="4" a="1"/>
  <c r="R173" i="4" a="1"/>
  <c r="L173" i="4" a="1"/>
  <c r="H173" i="4" a="1"/>
  <c r="D173" i="4" a="1"/>
  <c r="K173" i="4" a="1"/>
  <c r="O173" i="4" a="1"/>
  <c r="G173" i="4" a="1"/>
  <c r="J173" i="4" a="1"/>
  <c r="N173" i="4" a="1"/>
  <c r="F173" i="4" a="1"/>
  <c r="M173" i="4" a="1"/>
  <c r="I173" i="4" a="1"/>
  <c r="E173" i="4" a="1"/>
  <c r="C173" i="4" a="1"/>
  <c r="Q90" i="4" a="1"/>
  <c r="Q94" i="4" a="1"/>
  <c r="Q89" i="4" a="1"/>
  <c r="Q93" i="4" a="1"/>
  <c r="Q92" i="4" a="1"/>
  <c r="Q91" i="4" a="1"/>
  <c r="Q88" i="4" a="1"/>
  <c r="S124" i="3" a="1"/>
  <c r="E71" i="3" a="1"/>
  <c r="N79" i="3" a="1"/>
  <c r="F124" i="3" a="1"/>
  <c r="AP27" i="4" a="1"/>
  <c r="AN14" i="4" a="1"/>
  <c r="AP28" i="4" a="1"/>
  <c r="AL17" i="4" a="1"/>
  <c r="AD38" i="4" a="1"/>
  <c r="AJ17" i="4" a="1"/>
  <c r="L113" i="4"/>
  <c r="L127" i="4"/>
  <c r="AJ14" i="4" a="1"/>
  <c r="AJ24" i="4" a="1"/>
  <c r="AP25" i="4" a="1"/>
  <c r="AD59" i="4" a="1"/>
  <c r="AC63" i="4" a="1"/>
  <c r="AP16" i="4" a="1"/>
  <c r="AJ12" i="4" a="1"/>
  <c r="AP24" i="4" a="1"/>
  <c r="AL14" i="4" a="1"/>
  <c r="AD44" i="4" a="1"/>
  <c r="AL13" i="4" a="1"/>
  <c r="AN16" i="4" a="1"/>
  <c r="AJ18" i="4" a="1"/>
  <c r="S126" i="3" a="1"/>
  <c r="AN20" i="4" a="1"/>
  <c r="AC40" i="4"/>
  <c r="AB97" i="3" a="1"/>
  <c r="L141" i="4"/>
  <c r="AD57" i="4" a="1"/>
  <c r="AL28" i="4" a="1"/>
  <c r="N75" i="3" a="1"/>
  <c r="AD60" i="4" a="1"/>
  <c r="AN17" i="4" a="1"/>
  <c r="AD41" i="4" a="1"/>
  <c r="S125" i="3" a="1"/>
  <c r="E69" i="3" a="1"/>
  <c r="O98" i="3" a="1"/>
  <c r="J11" i="3" a="1"/>
  <c r="AJ28" i="4" a="1"/>
  <c r="AN12" i="4" a="1"/>
  <c r="AN13" i="4" a="1"/>
  <c r="AN22" i="4" a="1"/>
  <c r="AC62" i="4" a="1"/>
  <c r="AC49" i="4" a="1"/>
  <c r="AP23" i="4" a="1"/>
  <c r="AP19" i="4" a="1"/>
  <c r="AN26" i="4" a="1"/>
  <c r="AN19" i="4" a="1"/>
  <c r="AC57" i="4" a="1"/>
  <c r="AD55" i="4" a="1"/>
  <c r="AC47" i="4" a="1"/>
  <c r="AP17" i="4" a="1"/>
  <c r="AC60" i="4" a="1"/>
  <c r="AL22" i="4" a="1"/>
  <c r="AC55" i="4" a="1"/>
  <c r="AC43" i="4" a="1"/>
  <c r="AJ23" i="4" a="1"/>
  <c r="AL27" i="4" a="1"/>
  <c r="AD40" i="4" a="1"/>
  <c r="F123" i="3" a="1"/>
  <c r="AC59" i="4" a="1"/>
  <c r="AD56" i="4" a="1"/>
  <c r="S123" i="3" a="1"/>
  <c r="AP12" i="4" a="1"/>
  <c r="AD51" i="4" a="1"/>
  <c r="AD53" i="4" a="1"/>
  <c r="S129" i="3" a="1"/>
  <c r="AD50" i="4" a="1"/>
  <c r="AL21" i="4" a="1"/>
  <c r="AD45" i="4" a="1"/>
  <c r="E33" i="3" a="1"/>
  <c r="S132" i="3" a="1"/>
  <c r="S122" i="3" a="1"/>
  <c r="G9" i="3" a="1"/>
  <c r="AL20" i="4" a="1"/>
  <c r="AL23" i="4" a="1"/>
  <c r="AD39" i="4" a="1"/>
  <c r="AD42" i="4" a="1"/>
  <c r="AL24" i="4" a="1"/>
  <c r="AL15" i="4" a="1"/>
  <c r="AN27" i="4" a="1"/>
  <c r="AP22" i="4" a="1"/>
  <c r="AN15" i="4" a="1"/>
  <c r="AN28" i="4" a="1"/>
  <c r="AD47" i="4" a="1"/>
  <c r="AP26" i="4" a="1"/>
  <c r="AD63" i="4" a="1"/>
  <c r="AC53" i="4" a="1"/>
  <c r="AC42" i="4" a="1"/>
  <c r="AC45" i="4" a="1"/>
  <c r="S134" i="3" a="1"/>
  <c r="S131" i="3" a="1"/>
  <c r="E35" i="3" a="1"/>
  <c r="F126" i="3" a="1"/>
  <c r="F128" i="3" a="1"/>
  <c r="AD52" i="4" a="1"/>
  <c r="AP18" i="4" a="1"/>
  <c r="AJ27" i="4" a="1"/>
  <c r="AC51" i="4" a="1"/>
  <c r="AJ16" i="4" a="1"/>
  <c r="AL19" i="4" a="1"/>
  <c r="AJ21" i="4" a="1"/>
  <c r="AL25" i="4" a="1"/>
  <c r="AJ13" i="4" a="1"/>
  <c r="AD49" i="4" a="1"/>
  <c r="AJ20" i="4" a="1"/>
  <c r="AJ19" i="4" a="1"/>
  <c r="AD46" i="4" a="1"/>
  <c r="AJ15" i="4" a="1"/>
  <c r="AN21" i="4" a="1"/>
  <c r="AN18" i="4" a="1"/>
  <c r="AP13" i="4" a="1"/>
  <c r="AC41" i="4" a="1"/>
  <c r="E41" i="3" a="1"/>
  <c r="AC64" i="4" a="1"/>
  <c r="AP15" i="4" a="1"/>
  <c r="AN23" i="4" a="1"/>
  <c r="AP14" i="4" a="1"/>
  <c r="AD48" i="4" a="1"/>
  <c r="S130" i="3" a="1"/>
  <c r="AD58" i="4" a="1"/>
  <c r="AN24" i="4" a="1"/>
  <c r="AD62" i="4" a="1"/>
  <c r="AD61" i="4" a="1"/>
  <c r="E39" i="3" a="1"/>
  <c r="AC61" i="4" a="1"/>
  <c r="AP21" i="4" a="1"/>
  <c r="AL26" i="4" a="1"/>
  <c r="AC48" i="4" a="1"/>
  <c r="S9" i="3" a="1"/>
  <c r="AB96" i="3" a="1"/>
  <c r="S127" i="3" a="1"/>
  <c r="F122" i="3" a="1"/>
  <c r="F127" i="3" a="1"/>
  <c r="AC54" i="4" a="1"/>
  <c r="AD43" i="4" a="1"/>
  <c r="AC38" i="4"/>
  <c r="AC46" i="4" a="1"/>
  <c r="AJ25" i="4" a="1"/>
  <c r="AC58" i="4" a="1"/>
  <c r="AC52" i="4" a="1"/>
  <c r="AN25" i="4" a="1"/>
  <c r="AL18" i="4" a="1"/>
  <c r="AJ22" i="4" a="1"/>
  <c r="AC44" i="4" a="1"/>
  <c r="AC50" i="4" a="1"/>
  <c r="AD64" i="4" a="1"/>
  <c r="AL12" i="4" a="1"/>
  <c r="S133" i="3" a="1"/>
  <c r="AC56" i="4" a="1"/>
  <c r="AJ26" i="4" a="1"/>
  <c r="F125" i="3" a="1"/>
  <c r="AL16" i="4" a="1"/>
  <c r="L99" i="4"/>
  <c r="AC39" i="4"/>
  <c r="S128" i="3" a="1"/>
  <c r="AD54" i="4" a="1"/>
  <c r="AP20" i="4" a="1"/>
  <c r="E70" i="4" a="1"/>
  <c r="S174" i="4" l="1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Z173" i="4"/>
  <c r="AD173" i="4"/>
  <c r="S173" i="4"/>
  <c r="W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E173" i="4"/>
  <c r="I173" i="4"/>
  <c r="M173" i="4"/>
  <c r="F173" i="4"/>
  <c r="N173" i="4"/>
  <c r="J173" i="4"/>
  <c r="G173" i="4"/>
  <c r="O173" i="4"/>
  <c r="K173" i="4"/>
  <c r="D173" i="4"/>
  <c r="H173" i="4"/>
  <c r="L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26" i="3"/>
  <c r="AC43" i="4"/>
  <c r="G9" i="3"/>
  <c r="F125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23" i="3"/>
  <c r="F127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AC64" i="4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AD64" i="4"/>
  <c r="AI64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22" i="3"/>
  <c r="F124" i="3"/>
  <c r="F128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N79" i="3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37" i="3"/>
  <c r="F112" i="3"/>
  <c r="J142" i="3"/>
  <c r="C39" i="4"/>
  <c r="G112" i="3"/>
  <c r="E112" i="3"/>
  <c r="AH40" i="4"/>
  <c r="AH39" i="4"/>
  <c r="AH38" i="4"/>
  <c r="E35" i="3"/>
  <c r="S127" i="3"/>
  <c r="S9" i="3"/>
  <c r="S126" i="3"/>
  <c r="S134" i="3"/>
  <c r="E71" i="3"/>
  <c r="AB97" i="3"/>
  <c r="O97" i="3" s="1"/>
  <c r="S124" i="3"/>
  <c r="S132" i="3"/>
  <c r="S128" i="3"/>
  <c r="E33" i="3"/>
  <c r="S123" i="3"/>
  <c r="AB96" i="3"/>
  <c r="O96" i="3" s="1"/>
  <c r="S130" i="3"/>
  <c r="S131" i="3"/>
  <c r="E39" i="3"/>
  <c r="AE47" i="3" s="1"/>
  <c r="AF47" i="3" s="1"/>
  <c r="AG47" i="3" s="1"/>
  <c r="AD47" i="3" s="1"/>
  <c r="S125" i="3"/>
  <c r="S129" i="3"/>
  <c r="E41" i="3"/>
  <c r="E69" i="3"/>
  <c r="G84" i="3" s="1"/>
  <c r="S122" i="3"/>
  <c r="S133" i="3"/>
  <c r="N92" i="4" a="1"/>
  <c r="N93" i="4" a="1"/>
  <c r="N89" i="4" a="1"/>
  <c r="N94" i="4" a="1"/>
  <c r="N91" i="4" a="1"/>
  <c r="N90" i="4" a="1"/>
  <c r="N88" i="4" a="1"/>
  <c r="N69" i="3" a="1"/>
  <c r="N35" i="3" a="1"/>
  <c r="V125" i="3" a="1"/>
  <c r="N41" i="3" a="1"/>
  <c r="I124" i="3" a="1"/>
  <c r="V131" i="3" a="1"/>
  <c r="V130" i="3" a="1"/>
  <c r="V129" i="3" a="1"/>
  <c r="V9" i="3" a="1"/>
  <c r="V134" i="3" a="1"/>
  <c r="N71" i="3" a="1"/>
  <c r="I125" i="3" a="1"/>
  <c r="N39" i="3" a="1"/>
  <c r="V133" i="3" a="1"/>
  <c r="I122" i="3" a="1"/>
  <c r="V124" i="3" a="1"/>
  <c r="V123" i="3" a="1"/>
  <c r="J9" i="3" a="1"/>
  <c r="I126" i="3" a="1"/>
  <c r="N33" i="3" a="1"/>
  <c r="V128" i="3" a="1"/>
  <c r="I123" i="3" a="1"/>
  <c r="V132" i="3" a="1"/>
  <c r="V126" i="3" a="1"/>
  <c r="V122" i="3" a="1"/>
  <c r="P84" i="3" a="1"/>
  <c r="I128" i="3" a="1"/>
  <c r="I127" i="3" a="1"/>
  <c r="V127" i="3" a="1"/>
  <c r="N88" i="4" l="1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33" i="3"/>
  <c r="V130" i="3"/>
  <c r="N71" i="3"/>
  <c r="I122" i="3"/>
  <c r="I123" i="3"/>
  <c r="N39" i="3"/>
  <c r="V131" i="3"/>
  <c r="V122" i="3"/>
  <c r="V134" i="3"/>
  <c r="I125" i="3"/>
  <c r="J9" i="3"/>
  <c r="V123" i="3"/>
  <c r="N41" i="3"/>
  <c r="V9" i="3"/>
  <c r="V129" i="3"/>
  <c r="V128" i="3"/>
  <c r="V127" i="3"/>
  <c r="I126" i="3"/>
  <c r="N69" i="3"/>
  <c r="V126" i="3"/>
  <c r="N33" i="3"/>
  <c r="V125" i="3"/>
  <c r="V132" i="3"/>
  <c r="N35" i="3"/>
  <c r="V124" i="3"/>
  <c r="I128" i="3"/>
  <c r="I124" i="3"/>
  <c r="I127" i="3"/>
  <c r="H89" i="3"/>
  <c r="AH45" i="4"/>
  <c r="AE54" i="4"/>
  <c r="AK54" i="4" s="1"/>
  <c r="AE55" i="4"/>
  <c r="AH55" i="4"/>
  <c r="AD36" i="3"/>
  <c r="AE36" i="3" s="1"/>
  <c r="AE51" i="4"/>
  <c r="AH51" i="4"/>
  <c r="AH47" i="4"/>
  <c r="AE47" i="4"/>
  <c r="AD61" i="3"/>
  <c r="AD62" i="3" s="1"/>
  <c r="AD64" i="3" s="1"/>
  <c r="U60" i="3" s="1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D48" i="3" s="1"/>
  <c r="AD56" i="3"/>
  <c r="AD58" i="3" s="1"/>
  <c r="AE56" i="4"/>
  <c r="AH58" i="4"/>
  <c r="AE58" i="4"/>
  <c r="AE61" i="4"/>
  <c r="AH61" i="4"/>
  <c r="AE64" i="4"/>
  <c r="AH64" i="4"/>
  <c r="J111" i="3"/>
  <c r="M111" i="3" s="1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V11" i="3" a="1"/>
  <c r="J89" i="3" a="1"/>
  <c r="P86" i="3" a="1"/>
  <c r="AD18" i="4" l="1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64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AD51" i="3"/>
  <c r="H90" i="3"/>
  <c r="AE63" i="3"/>
  <c r="AD63" i="3" s="1"/>
  <c r="Q111" i="3"/>
  <c r="R111" i="3" s="1"/>
  <c r="M112" i="3"/>
  <c r="J113" i="3" s="1"/>
  <c r="M113" i="3" s="1"/>
  <c r="R114" i="3" s="1"/>
  <c r="AD57" i="3"/>
  <c r="AF57" i="3" s="1"/>
  <c r="AG17" i="4"/>
  <c r="C41" i="4"/>
  <c r="AB40" i="4"/>
  <c r="AD38" i="3"/>
  <c r="AD39" i="3" s="1"/>
  <c r="J90" i="3" a="1"/>
  <c r="AE18" i="4" l="1"/>
  <c r="AG18" i="4" s="1"/>
  <c r="H38" i="4"/>
  <c r="U46" i="3"/>
  <c r="AD52" i="3"/>
  <c r="I49" i="3" s="1"/>
  <c r="H39" i="4"/>
  <c r="AD41" i="3"/>
  <c r="AE41" i="3" s="1"/>
  <c r="AD42" i="3" s="1"/>
  <c r="AE42" i="3" s="1"/>
  <c r="I46" i="3"/>
  <c r="AD65" i="3"/>
  <c r="AE66" i="3" s="1"/>
  <c r="AD66" i="3" s="1"/>
  <c r="I60" i="3" s="1"/>
  <c r="J90" i="3"/>
  <c r="AE19" i="4"/>
  <c r="AD20" i="4"/>
  <c r="AB41" i="4"/>
  <c r="AF41" i="4" s="1"/>
  <c r="AF40" i="4" s="1"/>
  <c r="AL40" i="4" s="1"/>
  <c r="C42" i="4"/>
  <c r="E49" i="3" a="1"/>
  <c r="L60" i="3" a="1"/>
  <c r="L49" i="3" a="1"/>
  <c r="L46" i="3" a="1"/>
  <c r="E60" i="3" a="1"/>
  <c r="E46" i="3" a="1"/>
  <c r="AD53" i="3" l="1"/>
  <c r="U49" i="3" s="1"/>
  <c r="E49" i="3"/>
  <c r="L49" i="3"/>
  <c r="AM40" i="4"/>
  <c r="AN40" i="4" s="1"/>
  <c r="I40" i="4" s="1"/>
  <c r="H40" i="4"/>
  <c r="AL41" i="4"/>
  <c r="E60" i="3"/>
  <c r="L60" i="3"/>
  <c r="E46" i="3"/>
  <c r="L46" i="3"/>
  <c r="AB42" i="4"/>
  <c r="C43" i="4"/>
  <c r="AE20" i="4"/>
  <c r="AG20" i="4" s="1"/>
  <c r="AD21" i="4"/>
  <c r="AG19" i="4"/>
  <c r="H41" i="4" l="1"/>
  <c r="AM41" i="4"/>
  <c r="AN41" i="4" s="1"/>
  <c r="I41" i="4" s="1"/>
  <c r="AE21" i="4"/>
  <c r="AD22" i="4"/>
  <c r="AE22" i="4" s="1"/>
  <c r="AG22" i="4" s="1"/>
  <c r="C44" i="4"/>
  <c r="AB43" i="4"/>
  <c r="AF43" i="4" s="1"/>
  <c r="AF9" i="4" l="1"/>
  <c r="AL9" i="4" s="1"/>
  <c r="AQ10" i="4" s="1"/>
  <c r="AF42" i="4"/>
  <c r="AL42" i="4" s="1"/>
  <c r="AL43" i="4"/>
  <c r="C45" i="4"/>
  <c r="AB44" i="4"/>
  <c r="AG21" i="4"/>
  <c r="AD31" i="4"/>
  <c r="AI9" i="4" l="1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AU8" i="4" l="1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AV11" i="4" l="1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2" i="4" a="1"/>
  <c r="K45" i="4" a="1"/>
  <c r="K39" i="4" a="1"/>
  <c r="K44" i="4" a="1"/>
  <c r="K41" i="4" a="1"/>
  <c r="K40" i="4" a="1"/>
  <c r="K38" i="4" a="1"/>
  <c r="K43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R63" i="4"/>
  <c r="AQ48" i="4"/>
  <c r="AR61" i="4"/>
  <c r="AQ43" i="4"/>
  <c r="J43" i="4"/>
  <c r="M43" i="4" s="1"/>
  <c r="AR39" i="4"/>
  <c r="P39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N47" i="4" a="1"/>
  <c r="N45" i="4" a="1"/>
  <c r="K46" i="4" a="1"/>
  <c r="N39" i="4" a="1"/>
  <c r="K47" i="4" a="1"/>
  <c r="N46" i="4" a="1"/>
  <c r="N40" i="4" a="1"/>
  <c r="N44" i="4" a="1"/>
  <c r="N38" i="4" a="1"/>
  <c r="N41" i="4" a="1"/>
  <c r="N42" i="4" a="1"/>
  <c r="N43" i="4" a="1"/>
  <c r="P46" i="4" l="1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6" i="4"/>
  <c r="N42" i="4"/>
  <c r="N47" i="4"/>
  <c r="N45" i="4"/>
  <c r="N43" i="4"/>
  <c r="N40" i="4"/>
  <c r="N38" i="4"/>
  <c r="N41" i="4"/>
  <c r="N44" i="4"/>
  <c r="N39" i="4"/>
  <c r="P47" i="4"/>
  <c r="AB49" i="4"/>
  <c r="AF49" i="4" s="1"/>
  <c r="C50" i="4"/>
  <c r="AF48" i="4" l="1"/>
  <c r="AL48" i="4" s="1"/>
  <c r="AL49" i="4"/>
  <c r="AB50" i="4"/>
  <c r="C51" i="4"/>
  <c r="K48" i="4" a="1"/>
  <c r="N48" i="4" a="1"/>
  <c r="K49" i="4" a="1"/>
  <c r="N49" i="4" a="1"/>
  <c r="K49" i="4" l="1"/>
  <c r="N49" i="4"/>
  <c r="K48" i="4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AF50" i="4" l="1"/>
  <c r="AL50" i="4" s="1"/>
  <c r="AL51" i="4"/>
  <c r="C53" i="4"/>
  <c r="AB52" i="4"/>
  <c r="N50" i="4" a="1"/>
  <c r="N51" i="4" a="1"/>
  <c r="N51" i="4" l="1"/>
  <c r="N50" i="4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1" i="4" a="1"/>
  <c r="K50" i="4" a="1"/>
  <c r="K50" i="4" l="1"/>
  <c r="K51" i="4"/>
  <c r="AF52" i="4"/>
  <c r="AL52" i="4" s="1"/>
  <c r="AL53" i="4"/>
  <c r="AB54" i="4"/>
  <c r="C55" i="4"/>
  <c r="K53" i="4" a="1"/>
  <c r="N52" i="4" a="1"/>
  <c r="K52" i="4" a="1"/>
  <c r="N53" i="4" a="1"/>
  <c r="K52" i="4" l="1"/>
  <c r="N52" i="4"/>
  <c r="K53" i="4"/>
  <c r="N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AF54" i="4" l="1"/>
  <c r="AL54" i="4" s="1"/>
  <c r="AL55" i="4"/>
  <c r="C57" i="4"/>
  <c r="AB56" i="4"/>
  <c r="N54" i="4" a="1"/>
  <c r="N55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5" i="4" a="1"/>
  <c r="K54" i="4" a="1"/>
  <c r="K54" i="4" l="1"/>
  <c r="K55" i="4"/>
  <c r="AF56" i="4"/>
  <c r="AL56" i="4" s="1"/>
  <c r="AL57" i="4"/>
  <c r="AB58" i="4"/>
  <c r="C59" i="4"/>
  <c r="N56" i="4" a="1"/>
  <c r="K57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N57" i="4" a="1"/>
  <c r="K56" i="4" a="1"/>
  <c r="N57" i="4" l="1"/>
  <c r="K56" i="4"/>
  <c r="AF58" i="4"/>
  <c r="AL58" i="4" s="1"/>
  <c r="AL59" i="4"/>
  <c r="C61" i="4"/>
  <c r="AB60" i="4"/>
  <c r="N58" i="4" a="1"/>
  <c r="K59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N59" i="4" a="1"/>
  <c r="K58" i="4" a="1"/>
  <c r="N59" i="4" l="1"/>
  <c r="K58" i="4"/>
  <c r="AF60" i="4"/>
  <c r="AL60" i="4" s="1"/>
  <c r="AL61" i="4"/>
  <c r="AB62" i="4"/>
  <c r="C63" i="4"/>
  <c r="N60" i="4" a="1"/>
  <c r="K60" i="4" a="1"/>
  <c r="K61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4" i="4" s="1"/>
  <c r="AB63" i="4"/>
  <c r="AF63" i="4" s="1"/>
  <c r="N61" i="4" a="1"/>
  <c r="N61" i="4" l="1"/>
  <c r="AF62" i="4"/>
  <c r="AL62" i="4" s="1"/>
  <c r="AL63" i="4"/>
  <c r="AF64" i="4"/>
  <c r="AL64" i="4" s="1"/>
  <c r="N62" i="4" a="1"/>
  <c r="N63" i="4" a="1"/>
  <c r="K64" i="4" a="1"/>
  <c r="N62" i="4" l="1"/>
  <c r="N63" i="4"/>
  <c r="K64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J64" i="4"/>
  <c r="M64" i="4" s="1"/>
  <c r="P64" i="4"/>
  <c r="K62" i="4" a="1"/>
  <c r="N64" i="4" a="1"/>
  <c r="K63" i="4" a="1"/>
  <c r="K62" i="4" l="1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2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3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4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5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6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<sst xmlns="http://schemas.openxmlformats.org/spreadsheetml/2006/main" count="655" uniqueCount="412">
  <si>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</si>
  <si>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</si>
  <si>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</si>
  <si>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</si>
  <si>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</si>
  <si>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</si>
  <si>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</si>
  <si>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</si>
  <si>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</si>
  <si>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</si>
  <si>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</si>
  <si>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</si>
  <si>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</si>
  <si>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</si>
  <si>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</si>
  <si>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</si>
  <si>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</si>
  <si>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</si>
  <si>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</si>
  <si>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</si>
  <si>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</si>
  <si>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</si>
  <si>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LHA</t>
  </si>
  <si>
    <t>Deg</t>
  </si>
  <si>
    <t>Min</t>
  </si>
  <si>
    <t>deg</t>
  </si>
  <si>
    <t>11:59</t>
  </si>
  <si>
    <t>rad</t>
  </si>
  <si>
    <t>Signe</t>
  </si>
  <si>
    <t>Dec</t>
  </si>
  <si>
    <t>Rad</t>
  </si>
  <si>
    <t>Z</t>
  </si>
  <si>
    <t>Corrections</t>
  </si>
  <si>
    <t>Ho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</si>
  <si>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</si>
  <si>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</si>
  <si>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</si>
  <si>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</si>
  <si>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</si>
  <si>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</si>
  <si>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</si>
  <si>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</si>
  <si>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</si>
  <si>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</si>
  <si>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</si>
  <si>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</si>
  <si>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</si>
  <si>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</si>
  <si>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</si>
  <si>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</si>
  <si>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</si>
  <si>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</si>
  <si>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</si>
  <si>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</si>
  <si>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</si>
  <si>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</si>
  <si>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</si>
  <si>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</si>
  <si>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</si>
  <si>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</si>
  <si>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</si>
  <si>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</si>
  <si>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</si>
  <si>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</si>
  <si>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</si>
  <si>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</si>
  <si>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</si>
  <si>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</si>
  <si>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</si>
  <si>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</si>
  <si>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</si>
  <si>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</si>
  <si>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</si>
  <si>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</si>
  <si>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</si>
  <si>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</si>
  <si>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</si>
  <si>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</si>
  <si>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</si>
  <si>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</si>
  <si>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</si>
  <si>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</si>
  <si>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</si>
  <si>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</si>
  <si>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</si>
  <si>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</si>
  <si>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</si>
  <si>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</si>
  <si>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</si>
  <si>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</si>
  <si>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</si>
  <si>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</si>
  <si>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</si>
  <si>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</si>
  <si>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</si>
  <si>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</si>
  <si>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</si>
  <si>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</si>
  <si>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</si>
  <si>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</si>
  <si>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</si>
  <si>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</si>
  <si>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</si>
  <si>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</si>
  <si>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</si>
  <si>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</si>
  <si>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</si>
  <si>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</si>
  <si>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</si>
  <si>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</si>
  <si>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</si>
  <si>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</si>
  <si>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</si>
  <si>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</si>
  <si>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</si>
  <si>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</si>
  <si>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</si>
  <si>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</si>
  <si>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</si>
  <si>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</si>
  <si>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</si>
  <si>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</si>
  <si>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</si>
  <si>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</si>
  <si>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</si>
  <si>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</si>
  <si>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</si>
  <si>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</si>
  <si>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</si>
  <si>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</si>
  <si>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</si>
  <si>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</si>
  <si>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</si>
  <si>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</si>
  <si>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</si>
  <si>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</si>
  <si>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</si>
  <si>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</si>
  <si>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</si>
  <si>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</si>
  <si>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</si>
  <si>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</si>
  <si>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</si>
  <si>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</si>
  <si>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</si>
  <si>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t>Ho-Hc</t>
  </si>
  <si>
    <t>Azimut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</si>
  <si>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</si>
  <si>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</si>
  <si>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</si>
  <si>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</si>
  <si>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</si>
  <si>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</si>
  <si>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</si>
  <si>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</si>
  <si>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</si>
  <si>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</si>
  <si>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</si>
  <si>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</si>
  <si>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</si>
  <si>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</si>
  <si>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</si>
  <si>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</si>
  <si>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</si>
  <si>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</si>
  <si>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</si>
  <si>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r>
      <t xml:space="preserve">Lat </t>
    </r>
    <r>
      <rPr>
        <vertAlign val="subscript"/>
        <sz val="10"/>
        <color theme="1"/>
        <rFont val="Calibri"/>
        <family val="2"/>
        <scheme val="minor"/>
      </rPr>
      <t>Estimee</t>
    </r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</si>
  <si>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</si>
  <si>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</si>
  <si>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</si>
  <si>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</si>
  <si>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</si>
  <si>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</si>
  <si>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</si>
  <si>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</si>
  <si>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</si>
  <si>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</si>
  <si>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</si>
  <si>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</si>
  <si>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</si>
  <si>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</si>
  <si>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</si>
  <si>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</si>
  <si>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</si>
  <si>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</si>
  <si>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</si>
  <si>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</si>
  <si>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</si>
  <si>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</si>
  <si>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</si>
  <si>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</si>
  <si>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</si>
  <si>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</si>
  <si>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</si>
  <si>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</si>
  <si>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</si>
  <si>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</si>
  <si>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</si>
  <si>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</si>
  <si>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</si>
  <si>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</si>
  <si>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</si>
  <si>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</si>
  <si>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</si>
  <si>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</si>
  <si>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</si>
  <si>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</si>
  <si>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</si>
  <si>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</si>
  <si>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</si>
  <si>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</si>
  <si>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</si>
  <si>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</si>
  <si>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</si>
  <si>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</si>
  <si>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</si>
  <si>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2015/03/01</t>
  </si>
  <si>
    <t>03:09</t>
  </si>
  <si>
    <t>08:38</t>
  </si>
  <si>
    <t>15:18</t>
  </si>
  <si>
    <t>20:46</t>
  </si>
  <si>
    <t>2015/03/02</t>
  </si>
  <si>
    <t>03:30</t>
  </si>
  <si>
    <t>09:00</t>
  </si>
  <si>
    <t>15:43</t>
  </si>
  <si>
    <t>21:10</t>
  </si>
  <si>
    <t>2015/03/03</t>
  </si>
  <si>
    <t>03:54</t>
  </si>
  <si>
    <t>09:24</t>
  </si>
  <si>
    <t>16:13</t>
  </si>
  <si>
    <t>21:40</t>
  </si>
  <si>
    <t>2015/03/04</t>
  </si>
  <si>
    <t>04:27</t>
  </si>
  <si>
    <t>09:57</t>
  </si>
  <si>
    <t>16:57</t>
  </si>
  <si>
    <t>22:25</t>
  </si>
  <si>
    <t>2015/03/05</t>
  </si>
  <si>
    <t>05:18</t>
  </si>
  <si>
    <t>10:56</t>
  </si>
  <si>
    <t>18:09</t>
  </si>
  <si>
    <t>2015/03/06</t>
  </si>
  <si>
    <t>00:06</t>
  </si>
  <si>
    <t>06:48</t>
  </si>
  <si>
    <t>13:24</t>
  </si>
  <si>
    <t>20:11</t>
  </si>
  <si>
    <t>2015/03/07</t>
  </si>
  <si>
    <t>02:23</t>
  </si>
  <si>
    <t>08:59</t>
  </si>
  <si>
    <t>15:03</t>
  </si>
  <si>
    <t>21:44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</si>
  <si>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</si>
  <si>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</si>
  <si>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</si>
  <si>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</si>
  <si>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</si>
  <si>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</si>
  <si>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</si>
  <si>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</si>
  <si>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</si>
  <si>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</si>
  <si>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</si>
  <si>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</si>
  <si>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</si>
  <si>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</si>
  <si>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</si>
  <si>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</si>
  <si>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</si>
  <si>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</si>
  <si>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</si>
  <si>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</si>
  <si>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</si>
  <si>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</si>
  <si>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</si>
  <si>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</si>
  <si>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</si>
  <si>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</si>
  <si>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</si>
  <si>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</si>
  <si>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</si>
  <si>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</si>
  <si>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2015/03/01 13:26</t>
  </si>
  <si>
    <t>2015/03/02 13:26</t>
  </si>
  <si>
    <t>2015/03/03 13:26</t>
  </si>
  <si>
    <t>2015/03/04 13:26</t>
  </si>
  <si>
    <t>2015/03/05 13:26</t>
  </si>
  <si>
    <t>2015/03/06 13:26</t>
  </si>
  <si>
    <t>2015/03/07 13:26</t>
  </si>
  <si>
    <t>1/1/1970</t>
  </si>
  <si>
    <t>PM - x Heure</t>
  </si>
  <si>
    <t>BM - x Heure</t>
  </si>
  <si>
    <t>BM + x Heure</t>
  </si>
  <si>
    <t>Ref (PM ou BM)</t>
  </si>
  <si>
    <t>2015/03/01 08:38</t>
  </si>
  <si>
    <t>2015/03/01 06:08</t>
  </si>
  <si>
    <t>2015/03/01 20:46</t>
  </si>
  <si>
    <t>2015/03/01 18:16</t>
  </si>
  <si>
    <t>2015/03/02 09:00</t>
  </si>
  <si>
    <t>2015/03/02 06:30</t>
  </si>
  <si>
    <t>2015/03/02 21:10</t>
  </si>
  <si>
    <t>2015/03/02 18:40</t>
  </si>
  <si>
    <t>2015/03/03 09:24</t>
  </si>
  <si>
    <t>2015/03/03 06:54</t>
  </si>
  <si>
    <t>2015/03/03 21:40</t>
  </si>
  <si>
    <t>2015/03/03 19:10</t>
  </si>
  <si>
    <t>2015/03/04 09:57</t>
  </si>
  <si>
    <t>2015/03/04 07:27</t>
  </si>
  <si>
    <t>2015/03/04 22:25</t>
  </si>
  <si>
    <t>2015/03/04 19:55</t>
  </si>
  <si>
    <t>2015/03/05 10:56</t>
  </si>
  <si>
    <t>2015/03/05 08:26</t>
  </si>
  <si>
    <t>2015/03/06 00:06</t>
  </si>
  <si>
    <t>2015/03/05 21:36</t>
  </si>
  <si>
    <t>2015/03/06 13:24</t>
  </si>
  <si>
    <t>2015/03/06 10:54</t>
  </si>
  <si>
    <t>2015/03/07 02:23</t>
  </si>
  <si>
    <t>2015/03/06 23:53</t>
  </si>
  <si>
    <t>2015/03/07 15:03</t>
  </si>
  <si>
    <t>2015/03/07 12:33</t>
  </si>
  <si>
    <t>2015/03/01 11:08</t>
  </si>
  <si>
    <t>2015/03/01 23:16</t>
  </si>
  <si>
    <t>2015/03/02 11:30</t>
  </si>
  <si>
    <t>2015/03/02 23:40</t>
  </si>
  <si>
    <t>2015/03/03 11:54</t>
  </si>
  <si>
    <t>2015/03/04 00:10</t>
  </si>
  <si>
    <t>2015/03/04 12:27</t>
  </si>
  <si>
    <t>2015/03/05 00:55</t>
  </si>
  <si>
    <t>2015/03/06 02:36</t>
  </si>
  <si>
    <t>2015/03/06 15:54</t>
  </si>
  <si>
    <t>2015/03/07 04:53</t>
  </si>
  <si>
    <t>2015/03/07 17:33</t>
  </si>
  <si>
    <t>2015/03/01 15:18</t>
  </si>
  <si>
    <t>2015/03/02 03:30</t>
  </si>
  <si>
    <t>2015/03/02 15:43</t>
  </si>
  <si>
    <t>2015/03/03 03:54</t>
  </si>
  <si>
    <t>2015/03/03 16:13</t>
  </si>
  <si>
    <t>2015/03/04 04:27</t>
  </si>
  <si>
    <t>2015/03/04 16:57</t>
  </si>
  <si>
    <t>2015/03/05 05:18</t>
  </si>
  <si>
    <t>2015/03/05 18:09</t>
  </si>
  <si>
    <t>2015/03/06 06:48</t>
  </si>
  <si>
    <t>2015/03/06 20:11</t>
  </si>
  <si>
    <t>2015/03/07 08:59</t>
  </si>
  <si>
    <t>2015/03/01 03:09</t>
  </si>
  <si>
    <t>2015/03/01 05:39</t>
  </si>
  <si>
    <t>2015/03/01 17:48</t>
  </si>
  <si>
    <t>2015/03/02 06:00</t>
  </si>
  <si>
    <t>2015/03/02 18:13</t>
  </si>
  <si>
    <t>2015/03/03 06:24</t>
  </si>
  <si>
    <t>2015/03/03 18:43</t>
  </si>
  <si>
    <t>2015/03/04 06:57</t>
  </si>
  <si>
    <t>2015/03/04 19:27</t>
  </si>
  <si>
    <t>2015/03/05 07:48</t>
  </si>
  <si>
    <t>2015/03/05 20:39</t>
  </si>
  <si>
    <t>2015/03/06 09:18</t>
  </si>
  <si>
    <t>2015/03/06 22:41</t>
  </si>
  <si>
    <t>2015/03/07 11:29</t>
  </si>
  <si>
    <t>2015/03/01 12:48</t>
  </si>
  <si>
    <t>2015/03/02 01:00</t>
  </si>
  <si>
    <t>2015/03/02 13:13</t>
  </si>
  <si>
    <t>2015/03/03 01:24</t>
  </si>
  <si>
    <t>2015/03/03 13:43</t>
  </si>
  <si>
    <t>2015/03/04 01:57</t>
  </si>
  <si>
    <t>2015/03/04 14:27</t>
  </si>
  <si>
    <t>2015/03/05 02:48</t>
  </si>
  <si>
    <t>2015/03/05 15:39</t>
  </si>
  <si>
    <t>2015/03/06 04:18</t>
  </si>
  <si>
    <t>2015/03/06 17:41</t>
  </si>
  <si>
    <t>2015/03/07 06:29</t>
  </si>
  <si>
    <t>2015/03/07 21:44</t>
  </si>
  <si>
    <t>2015/03/07 19:14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</si>
  <si>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</si>
  <si>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</si>
  <si>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</si>
  <si>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</si>
  <si>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</si>
  <si>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</si>
  <si>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</si>
  <si>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</si>
  <si>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</si>
  <si>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</si>
  <si>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</si>
  <si>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</si>
  <si>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</si>
  <si>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</si>
  <si>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</si>
  <si>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</si>
  <si>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</si>
  <si>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2015/03/01 05:59</t>
  </si>
  <si>
    <t>2015/03/01 11:54</t>
  </si>
  <si>
    <t>2015/03/01 23:53</t>
  </si>
  <si>
    <t>2015/03/02 06:32</t>
  </si>
  <si>
    <t>2015/03/02 12:04</t>
  </si>
  <si>
    <t>2015/03/02 18:44</t>
  </si>
  <si>
    <t>2015/03/03 00:14</t>
  </si>
  <si>
    <t>2015/03/03 06:59</t>
  </si>
  <si>
    <t>2015/03/03 12:40</t>
  </si>
  <si>
    <t>2015/03/03 19:11</t>
  </si>
  <si>
    <t>2015/03/04 00:39</t>
  </si>
  <si>
    <t>2015/03/04 07:38</t>
  </si>
  <si>
    <t>2015/03/04 13:00</t>
  </si>
  <si>
    <t>2015/03/04 20:17</t>
  </si>
  <si>
    <t>2015/03/05 01:27</t>
  </si>
  <si>
    <t>2015/03/05 08:36</t>
  </si>
  <si>
    <t>2015/03/05 13:45</t>
  </si>
  <si>
    <t>2015/03/05 22:05</t>
  </si>
  <si>
    <t>2015/03/06 02:27</t>
  </si>
  <si>
    <t>2015/03/06 16:08</t>
  </si>
  <si>
    <t>2015/03/06 23:39</t>
  </si>
  <si>
    <t>2015/03/07 04:52</t>
  </si>
  <si>
    <t>2015/03/07 12:21</t>
  </si>
  <si>
    <t>2015/03/07 17:41</t>
  </si>
  <si>
    <t>2:20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</si>
</sst>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4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vertAlign val="subscript"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u/>
      <sz val="11"/>
      <color indexed="10"/>
      <name val="Calibri"/>
      <family val="2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</fills>
  <borders count="9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8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</cellStyleXfs>
  <cellXfs count="377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6" fillId="0" borderId="0" xfId="0" quotePrefix="1" applyFont="1"/>
    <xf numFmtId="0" fontId="18" fillId="10" borderId="0" xfId="6" applyFont="1" applyAlignment="1"/>
    <xf numFmtId="0" fontId="19" fillId="4" borderId="2" xfId="3" quotePrefix="1" applyFont="1" applyBorder="1" applyAlignment="1"/>
    <xf numFmtId="0" fontId="19" fillId="4" borderId="2" xfId="3" applyFont="1" applyBorder="1" applyAlignment="1"/>
    <xf numFmtId="0" fontId="18" fillId="10" borderId="2" xfId="6" applyFont="1" applyBorder="1" applyAlignment="1"/>
    <xf numFmtId="0" fontId="19" fillId="4" borderId="0" xfId="3" quotePrefix="1" applyFont="1" applyAlignment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8" borderId="93" xfId="0" applyFill="1" applyBorder="1"/>
    <xf numFmtId="0" fontId="0" fillId="0" borderId="93" xfId="0" applyBorder="1"/>
    <xf numFmtId="0" fontId="0" fillId="18" borderId="92" xfId="0" applyFill="1" applyBorder="1"/>
    <xf numFmtId="0" fontId="0" fillId="0" borderId="92" xfId="0" applyBorder="1"/>
    <xf numFmtId="0" fontId="0" fillId="18" borderId="94" xfId="0" applyFill="1" applyBorder="1"/>
    <xf numFmtId="0" fontId="0" fillId="0" borderId="94" xfId="0" applyBorder="1"/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3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4" fillId="10" borderId="2" xfId="6" applyFont="1" applyBorder="1" applyAlignment="1">
      <alignment horizontal="center" vertical="center"/>
    </xf>
    <xf numFmtId="0" fontId="34" fillId="10" borderId="2" xfId="6" applyFont="1" applyBorder="1" applyAlignment="1">
      <alignment horizontal="center"/>
    </xf>
    <xf numFmtId="0" fontId="34" fillId="10" borderId="4" xfId="6" applyFont="1" applyBorder="1" applyAlignment="1">
      <alignment horizontal="center"/>
    </xf>
    <xf numFmtId="0" fontId="34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30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30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6" fillId="0" borderId="0" xfId="0" applyFont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164" fontId="23" fillId="4" borderId="2" xfId="3" applyNumberFormat="1" applyFont="1" applyBorder="1" applyAlignment="1" applyProtection="1">
      <alignment horizontal="center" vertical="center"/>
    </xf>
    <xf numFmtId="164" fontId="22" fillId="5" borderId="2" xfId="4" applyNumberFormat="1" applyFont="1" applyBorder="1" applyAlignment="1" applyProtection="1">
      <alignment horizontal="center" vertic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0" fontId="19" fillId="4" borderId="2" xfId="3" applyFont="1" applyBorder="1" applyAlignment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24" xfId="5" applyFont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0" fontId="27" fillId="0" borderId="29" xfId="0" applyFont="1" applyBorder="1" applyAlignment="1">
      <alignment horizontal="right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164" fontId="10" fillId="6" borderId="24" xfId="5" applyNumberFormat="1" applyFont="1" applyAlignment="1" applyProtection="1">
      <alignment horizontal="center" vertical="center"/>
    </xf>
    <xf numFmtId="0" fontId="12" fillId="3" borderId="2" xfId="3" applyFont="1" applyFill="1" applyBorder="1" applyAlignment="1">
      <alignment horizont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0" fontId="25" fillId="11" borderId="1" xfId="2" applyFont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0" fontId="10" fillId="16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49" fontId="0" fillId="22" borderId="2" xfId="0" applyNumberFormat="1" applyFill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33" fillId="4" borderId="2" xfId="3" applyFont="1" applyBorder="1" applyAlignment="1">
      <alignment horizontal="center" vertical="center" wrapText="1"/>
    </xf>
    <xf numFmtId="0" fontId="33" fillId="4" borderId="29" xfId="3" applyFont="1" applyBorder="1" applyAlignment="1">
      <alignment horizontal="center" vertical="center" wrapText="1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0" fillId="0" borderId="2" xfId="0" applyBorder="1" applyAlignment="1">
      <alignment horizontal="center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4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30" fillId="6" borderId="78" xfId="5" applyFont="1" applyBorder="1" applyAlignment="1">
      <alignment horizontal="center"/>
    </xf>
    <xf numFmtId="0" fontId="30" fillId="6" borderId="83" xfId="5" applyFont="1" applyBorder="1" applyAlignment="1">
      <alignment horizont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164" fontId="31" fillId="14" borderId="0" xfId="0" applyNumberFormat="1" applyFont="1" applyFill="1" applyAlignment="1">
      <alignment horizontal="center" vertical="center"/>
    </xf>
    <xf numFmtId="164" fontId="32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4" fillId="10" borderId="4" xfId="6" applyFont="1" applyBorder="1" applyAlignment="1">
      <alignment horizontal="center"/>
    </xf>
    <xf numFmtId="0" fontId="34" fillId="10" borderId="5" xfId="6" applyFont="1" applyBorder="1" applyAlignment="1">
      <alignment horizont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4" fillId="10" borderId="2" xfId="6" applyFont="1" applyBorder="1" applyAlignment="1">
      <alignment horizontal="center" vertical="center"/>
    </xf>
    <xf numFmtId="0" fontId="30" fillId="6" borderId="24" xfId="5" applyFont="1" applyAlignment="1">
      <alignment horizontal="center"/>
    </xf>
    <xf numFmtId="0" fontId="30" fillId="6" borderId="84" xfId="5" applyFont="1" applyBorder="1" applyAlignment="1">
      <alignment horizontal="center"/>
    </xf>
    <xf numFmtId="0" fontId="30" fillId="6" borderId="79" xfId="5" applyFont="1" applyBorder="1" applyAlignment="1">
      <alignment horizontal="center" vertical="center"/>
    </xf>
    <xf numFmtId="0" fontId="30" fillId="6" borderId="80" xfId="5" applyFont="1" applyBorder="1" applyAlignment="1">
      <alignment horizontal="center" vertical="center"/>
    </xf>
    <xf numFmtId="0" fontId="30" fillId="6" borderId="81" xfId="5" applyFont="1" applyBorder="1" applyAlignment="1">
      <alignment horizontal="center" vertical="center"/>
    </xf>
    <xf numFmtId="0" fontId="30" fillId="6" borderId="82" xfId="5" applyFont="1" applyBorder="1" applyAlignment="1">
      <alignment horizontal="center" vertical="center"/>
    </xf>
    <xf numFmtId="0" fontId="34" fillId="10" borderId="22" xfId="6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0" fillId="19" borderId="2" xfId="0" applyFill="1" applyBorder="1" applyAlignment="1">
      <alignment horizontal="center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49" fontId="30" fillId="20" borderId="2" xfId="0" applyNumberFormat="1" applyFont="1" applyFill="1" applyBorder="1" applyAlignment="1">
      <alignment horizontal="center"/>
    </xf>
    <xf numFmtId="0" fontId="30" fillId="20" borderId="2" xfId="0" applyFont="1" applyFill="1" applyBorder="1" applyAlignment="1">
      <alignment horizontal="center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0" fontId="0" fillId="22" borderId="30" xfId="0" applyFill="1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49" fontId="0" fillId="0" borderId="2" xfId="0" quotePrefix="1" applyNumberFormat="1" applyBorder="1" applyAlignment="1"/>
    <xf numFmtId="0" fontId="0" fillId="0" borderId="2" xfId="0" applyNumberFormat="1" applyBorder="1" applyAlignment="1">
      <alignment horizontal="center"/>
    </xf>
    <xf numFmtId="165" fontId="0" fillId="0" borderId="0" xfId="0" applyNumberFormat="1"/>
    <xf numFmtId="165" fontId="0" fillId="17" borderId="0" xfId="0" applyNumberFormat="1" applyFill="1" applyBorder="1"/>
    <xf numFmtId="0" fontId="39" fillId="0" borderId="0" xfId="0" applyFont="1"/>
    <xf numFmtId="165" fontId="39" fillId="0" borderId="0" xfId="0" applyNumberFormat="1" applyFont="1"/>
    <xf numFmtId="165" fontId="39" fillId="17" borderId="0" xfId="0" applyNumberFormat="1" applyFont="1" applyFill="1" applyBorder="1"/>
    <xf numFmtId="0" fontId="40" fillId="10" borderId="0" xfId="6" applyFont="1"/>
    <xf numFmtId="165" fontId="40" fillId="10" borderId="0" xfId="6" applyNumberFormat="1" applyFont="1"/>
    <xf numFmtId="2" fontId="39" fillId="0" borderId="0" xfId="0" applyNumberFormat="1" applyFont="1"/>
    <xf numFmtId="2" fontId="40" fillId="10" borderId="0" xfId="6" applyNumberFormat="1" applyFont="1"/>
    <xf numFmtId="0" fontId="0" fillId="0" borderId="0" xfId="0" applyAlignment="1">
      <alignment horizontal="center" vertical="center"/>
    </xf>
  </cellXfs>
  <cellStyles count="8">
    <cellStyle name="60% - Accent5" xfId="7" builtinId="48" customBuiltin="1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Neutral" xfId="6" builtinId="28"/>
    <cellStyle name="Normal" xfId="0" builtinId="0"/>
    <cellStyle name="Note" xfId="5" builtinId="10"/>
  </cellStyles>
  <dxfs count="5"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ECEBFF"/>
      <color rgb="FFD5FFDA"/>
      <color rgb="FFFFC7C1"/>
      <color rgb="FFC5FFC5"/>
      <color rgb="FF66FF66"/>
      <color rgb="FF00FF00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42064.131249999999</c:v>
                </c:pt>
                <c:pt idx="1">
                  <c:v>42064.169328703705</c:v>
                </c:pt>
                <c:pt idx="2">
                  <c:v>42064.207407407404</c:v>
                </c:pt>
                <c:pt idx="3">
                  <c:v>42064.245486111111</c:v>
                </c:pt>
                <c:pt idx="4">
                  <c:v>42064.283564814818</c:v>
                </c:pt>
                <c:pt idx="5">
                  <c:v>42064.321643518517</c:v>
                </c:pt>
                <c:pt idx="6">
                  <c:v>42064.359722222223</c:v>
                </c:pt>
                <c:pt idx="7">
                  <c:v>42064.406018518515</c:v>
                </c:pt>
                <c:pt idx="8">
                  <c:v>42064.452314814815</c:v>
                </c:pt>
                <c:pt idx="9">
                  <c:v>42064.498611111114</c:v>
                </c:pt>
                <c:pt idx="10">
                  <c:v>42064.544907407406</c:v>
                </c:pt>
                <c:pt idx="11">
                  <c:v>42064.591203703705</c:v>
                </c:pt>
                <c:pt idx="12">
                  <c:v>42064.637499999997</c:v>
                </c:pt>
                <c:pt idx="13">
                  <c:v>42064.675462962965</c:v>
                </c:pt>
                <c:pt idx="14">
                  <c:v>42064.713425925926</c:v>
                </c:pt>
                <c:pt idx="15">
                  <c:v>42064.751388888886</c:v>
                </c:pt>
                <c:pt idx="16">
                  <c:v>42064.789351851854</c:v>
                </c:pt>
                <c:pt idx="17">
                  <c:v>42064.827314814815</c:v>
                </c:pt>
                <c:pt idx="18">
                  <c:v>42064.865277777775</c:v>
                </c:pt>
                <c:pt idx="19">
                  <c:v>42064.912037037036</c:v>
                </c:pt>
                <c:pt idx="20">
                  <c:v>42064.958796296298</c:v>
                </c:pt>
                <c:pt idx="21">
                  <c:v>42065.005555555559</c:v>
                </c:pt>
                <c:pt idx="22">
                  <c:v>42065.052314814813</c:v>
                </c:pt>
                <c:pt idx="23">
                  <c:v>42065.099074074074</c:v>
                </c:pt>
                <c:pt idx="24">
                  <c:v>42065.145833333336</c:v>
                </c:pt>
                <c:pt idx="25">
                  <c:v>42065.184027777781</c:v>
                </c:pt>
                <c:pt idx="26">
                  <c:v>42065.222222222219</c:v>
                </c:pt>
                <c:pt idx="27">
                  <c:v>42065.260416666664</c:v>
                </c:pt>
                <c:pt idx="28">
                  <c:v>42065.298611111109</c:v>
                </c:pt>
                <c:pt idx="29">
                  <c:v>42065.336805555555</c:v>
                </c:pt>
                <c:pt idx="30">
                  <c:v>42065.375</c:v>
                </c:pt>
                <c:pt idx="31">
                  <c:v>42065.421643518515</c:v>
                </c:pt>
                <c:pt idx="32">
                  <c:v>42065.468287037038</c:v>
                </c:pt>
                <c:pt idx="33">
                  <c:v>42065.514930555553</c:v>
                </c:pt>
                <c:pt idx="34">
                  <c:v>42065.561574074076</c:v>
                </c:pt>
                <c:pt idx="35">
                  <c:v>42065.608217592591</c:v>
                </c:pt>
                <c:pt idx="36">
                  <c:v>42065.654861111114</c:v>
                </c:pt>
                <c:pt idx="37">
                  <c:v>42065.692708333336</c:v>
                </c:pt>
                <c:pt idx="38">
                  <c:v>42065.730555555558</c:v>
                </c:pt>
                <c:pt idx="39">
                  <c:v>42065.76840277778</c:v>
                </c:pt>
                <c:pt idx="40">
                  <c:v>42065.806250000001</c:v>
                </c:pt>
                <c:pt idx="41">
                  <c:v>42065.844097222223</c:v>
                </c:pt>
                <c:pt idx="42">
                  <c:v>42065.881944444445</c:v>
                </c:pt>
                <c:pt idx="43">
                  <c:v>42065.928703703707</c:v>
                </c:pt>
                <c:pt idx="44">
                  <c:v>42065.975462962961</c:v>
                </c:pt>
                <c:pt idx="45">
                  <c:v>42066.022222222222</c:v>
                </c:pt>
                <c:pt idx="46">
                  <c:v>42066.068981481483</c:v>
                </c:pt>
                <c:pt idx="47">
                  <c:v>42066.115740740737</c:v>
                </c:pt>
                <c:pt idx="48">
                  <c:v>42066.162499999999</c:v>
                </c:pt>
                <c:pt idx="49">
                  <c:v>42066.200694444444</c:v>
                </c:pt>
                <c:pt idx="50">
                  <c:v>42066.238888888889</c:v>
                </c:pt>
                <c:pt idx="51">
                  <c:v>42066.277083333334</c:v>
                </c:pt>
                <c:pt idx="52">
                  <c:v>42066.31527777778</c:v>
                </c:pt>
                <c:pt idx="53">
                  <c:v>42066.353472222225</c:v>
                </c:pt>
                <c:pt idx="54">
                  <c:v>42066.39166666667</c:v>
                </c:pt>
                <c:pt idx="55">
                  <c:v>42066.439004629632</c:v>
                </c:pt>
                <c:pt idx="56">
                  <c:v>42066.486342592594</c:v>
                </c:pt>
                <c:pt idx="57">
                  <c:v>42066.533680555556</c:v>
                </c:pt>
                <c:pt idx="58">
                  <c:v>42066.581018518518</c:v>
                </c:pt>
                <c:pt idx="59">
                  <c:v>42066.62835648148</c:v>
                </c:pt>
                <c:pt idx="60">
                  <c:v>42066.675694444442</c:v>
                </c:pt>
                <c:pt idx="61">
                  <c:v>42066.713541666664</c:v>
                </c:pt>
                <c:pt idx="62">
                  <c:v>42066.751388888886</c:v>
                </c:pt>
                <c:pt idx="63">
                  <c:v>42066.789236111108</c:v>
                </c:pt>
                <c:pt idx="64">
                  <c:v>42066.82708333333</c:v>
                </c:pt>
                <c:pt idx="65">
                  <c:v>42066.864930555559</c:v>
                </c:pt>
                <c:pt idx="66">
                  <c:v>42066.902777777781</c:v>
                </c:pt>
                <c:pt idx="67">
                  <c:v>42066.949884259258</c:v>
                </c:pt>
                <c:pt idx="68">
                  <c:v>42066.996990740743</c:v>
                </c:pt>
                <c:pt idx="69">
                  <c:v>42067.04409722222</c:v>
                </c:pt>
                <c:pt idx="70">
                  <c:v>42067.091203703705</c:v>
                </c:pt>
                <c:pt idx="71">
                  <c:v>42067.138310185182</c:v>
                </c:pt>
                <c:pt idx="72">
                  <c:v>42067.185416666667</c:v>
                </c:pt>
                <c:pt idx="73">
                  <c:v>42067.223611111112</c:v>
                </c:pt>
                <c:pt idx="74">
                  <c:v>42067.261805555558</c:v>
                </c:pt>
                <c:pt idx="75">
                  <c:v>42067.3</c:v>
                </c:pt>
                <c:pt idx="76">
                  <c:v>42067.338194444441</c:v>
                </c:pt>
                <c:pt idx="77">
                  <c:v>42067.376388888886</c:v>
                </c:pt>
                <c:pt idx="78">
                  <c:v>42067.414583333331</c:v>
                </c:pt>
                <c:pt idx="79">
                  <c:v>42067.463194444441</c:v>
                </c:pt>
                <c:pt idx="80">
                  <c:v>42067.511805555558</c:v>
                </c:pt>
                <c:pt idx="81">
                  <c:v>42067.560416666667</c:v>
                </c:pt>
                <c:pt idx="82">
                  <c:v>42067.609027777777</c:v>
                </c:pt>
                <c:pt idx="83">
                  <c:v>42067.657638888886</c:v>
                </c:pt>
                <c:pt idx="84">
                  <c:v>42067.706250000003</c:v>
                </c:pt>
                <c:pt idx="85">
                  <c:v>42067.744212962964</c:v>
                </c:pt>
                <c:pt idx="86">
                  <c:v>42067.782175925924</c:v>
                </c:pt>
                <c:pt idx="87">
                  <c:v>42067.820138888892</c:v>
                </c:pt>
                <c:pt idx="88">
                  <c:v>42067.858101851853</c:v>
                </c:pt>
                <c:pt idx="89">
                  <c:v>42067.896064814813</c:v>
                </c:pt>
                <c:pt idx="90">
                  <c:v>42067.934027777781</c:v>
                </c:pt>
                <c:pt idx="91">
                  <c:v>42067.981828703705</c:v>
                </c:pt>
                <c:pt idx="92">
                  <c:v>42068.029629629629</c:v>
                </c:pt>
                <c:pt idx="93">
                  <c:v>42068.077430555553</c:v>
                </c:pt>
                <c:pt idx="94">
                  <c:v>42068.125231481485</c:v>
                </c:pt>
                <c:pt idx="95">
                  <c:v>42068.173032407409</c:v>
                </c:pt>
                <c:pt idx="96">
                  <c:v>42068.220833333333</c:v>
                </c:pt>
                <c:pt idx="97">
                  <c:v>42068.259953703702</c:v>
                </c:pt>
                <c:pt idx="98">
                  <c:v>42068.299074074072</c:v>
                </c:pt>
                <c:pt idx="99">
                  <c:v>42068.338194444441</c:v>
                </c:pt>
                <c:pt idx="100">
                  <c:v>42068.377314814818</c:v>
                </c:pt>
                <c:pt idx="101">
                  <c:v>42068.416435185187</c:v>
                </c:pt>
                <c:pt idx="102">
                  <c:v>42068.455555555556</c:v>
                </c:pt>
                <c:pt idx="103">
                  <c:v>42068.505671296298</c:v>
                </c:pt>
                <c:pt idx="104">
                  <c:v>42068.555787037039</c:v>
                </c:pt>
                <c:pt idx="105">
                  <c:v>42068.605902777781</c:v>
                </c:pt>
                <c:pt idx="106">
                  <c:v>42068.656018518515</c:v>
                </c:pt>
                <c:pt idx="107">
                  <c:v>42068.706134259257</c:v>
                </c:pt>
                <c:pt idx="108">
                  <c:v>42068.756249999999</c:v>
                </c:pt>
                <c:pt idx="109">
                  <c:v>42068.797569444447</c:v>
                </c:pt>
                <c:pt idx="110">
                  <c:v>42068.838888888888</c:v>
                </c:pt>
                <c:pt idx="111">
                  <c:v>42068.880208333336</c:v>
                </c:pt>
                <c:pt idx="112">
                  <c:v>42068.921527777777</c:v>
                </c:pt>
                <c:pt idx="113">
                  <c:v>42068.962847222225</c:v>
                </c:pt>
                <c:pt idx="114">
                  <c:v>42069.004166666666</c:v>
                </c:pt>
                <c:pt idx="115">
                  <c:v>42069.050694444442</c:v>
                </c:pt>
                <c:pt idx="116">
                  <c:v>42069.097222222219</c:v>
                </c:pt>
                <c:pt idx="117">
                  <c:v>42069.143750000003</c:v>
                </c:pt>
                <c:pt idx="118">
                  <c:v>42069.19027777778</c:v>
                </c:pt>
                <c:pt idx="119">
                  <c:v>42069.236805555556</c:v>
                </c:pt>
                <c:pt idx="120">
                  <c:v>42069.283333333333</c:v>
                </c:pt>
                <c:pt idx="121">
                  <c:v>42069.32916666667</c:v>
                </c:pt>
                <c:pt idx="122">
                  <c:v>42069.375</c:v>
                </c:pt>
                <c:pt idx="123">
                  <c:v>42069.42083333333</c:v>
                </c:pt>
                <c:pt idx="124">
                  <c:v>42069.466666666667</c:v>
                </c:pt>
                <c:pt idx="125">
                  <c:v>42069.512499999997</c:v>
                </c:pt>
                <c:pt idx="126">
                  <c:v>42069.558333333334</c:v>
                </c:pt>
                <c:pt idx="127">
                  <c:v>42069.605439814812</c:v>
                </c:pt>
                <c:pt idx="128">
                  <c:v>42069.652546296296</c:v>
                </c:pt>
                <c:pt idx="129">
                  <c:v>42069.699652777781</c:v>
                </c:pt>
                <c:pt idx="130">
                  <c:v>42069.746759259258</c:v>
                </c:pt>
                <c:pt idx="131">
                  <c:v>42069.793865740743</c:v>
                </c:pt>
                <c:pt idx="132">
                  <c:v>42069.84097222222</c:v>
                </c:pt>
                <c:pt idx="133">
                  <c:v>42069.884027777778</c:v>
                </c:pt>
                <c:pt idx="134">
                  <c:v>42069.927083333336</c:v>
                </c:pt>
                <c:pt idx="135">
                  <c:v>42069.970138888886</c:v>
                </c:pt>
                <c:pt idx="136">
                  <c:v>42070.013194444444</c:v>
                </c:pt>
                <c:pt idx="137">
                  <c:v>42070.056250000001</c:v>
                </c:pt>
                <c:pt idx="138">
                  <c:v>42070.099305555559</c:v>
                </c:pt>
                <c:pt idx="139">
                  <c:v>42070.145138888889</c:v>
                </c:pt>
                <c:pt idx="140">
                  <c:v>42070.190972222219</c:v>
                </c:pt>
                <c:pt idx="141">
                  <c:v>42070.236805555556</c:v>
                </c:pt>
                <c:pt idx="142">
                  <c:v>42070.282638888886</c:v>
                </c:pt>
                <c:pt idx="143">
                  <c:v>42070.328472222223</c:v>
                </c:pt>
                <c:pt idx="144">
                  <c:v>42070.374305555553</c:v>
                </c:pt>
                <c:pt idx="145">
                  <c:v>42070.416435185187</c:v>
                </c:pt>
                <c:pt idx="146">
                  <c:v>42070.458564814813</c:v>
                </c:pt>
                <c:pt idx="147">
                  <c:v>42070.500694444447</c:v>
                </c:pt>
                <c:pt idx="148">
                  <c:v>42070.542824074073</c:v>
                </c:pt>
                <c:pt idx="149">
                  <c:v>42070.584953703707</c:v>
                </c:pt>
                <c:pt idx="150">
                  <c:v>42070.627083333333</c:v>
                </c:pt>
                <c:pt idx="151">
                  <c:v>42070.673495370371</c:v>
                </c:pt>
                <c:pt idx="152">
                  <c:v>42070.719907407409</c:v>
                </c:pt>
                <c:pt idx="153">
                  <c:v>42070.766319444447</c:v>
                </c:pt>
                <c:pt idx="154">
                  <c:v>42070.812731481485</c:v>
                </c:pt>
                <c:pt idx="155">
                  <c:v>42070.859143518515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2.64</c:v>
                </c:pt>
                <c:pt idx="1">
                  <c:v>3.4033333333495395</c:v>
                </c:pt>
                <c:pt idx="2">
                  <c:v>4.9300000000486177</c:v>
                </c:pt>
                <c:pt idx="3">
                  <c:v>7.2200000000729272</c:v>
                </c:pt>
                <c:pt idx="4">
                  <c:v>9.5099999999513809</c:v>
                </c:pt>
                <c:pt idx="5">
                  <c:v>11.03666666665046</c:v>
                </c:pt>
                <c:pt idx="6">
                  <c:v>11.8</c:v>
                </c:pt>
                <c:pt idx="7">
                  <c:v>11.05749999997407</c:v>
                </c:pt>
                <c:pt idx="8">
                  <c:v>9.5725000000259328</c:v>
                </c:pt>
                <c:pt idx="9">
                  <c:v>7.3450000000000006</c:v>
                </c:pt>
                <c:pt idx="10">
                  <c:v>5.1174999999740702</c:v>
                </c:pt>
                <c:pt idx="11">
                  <c:v>3.632500000025932</c:v>
                </c:pt>
                <c:pt idx="12">
                  <c:v>2.89</c:v>
                </c:pt>
                <c:pt idx="13">
                  <c:v>3.56</c:v>
                </c:pt>
                <c:pt idx="14">
                  <c:v>4.9000000000000004</c:v>
                </c:pt>
                <c:pt idx="15">
                  <c:v>6.91</c:v>
                </c:pt>
                <c:pt idx="16">
                  <c:v>8.92</c:v>
                </c:pt>
                <c:pt idx="17">
                  <c:v>10.26</c:v>
                </c:pt>
                <c:pt idx="18">
                  <c:v>10.93</c:v>
                </c:pt>
                <c:pt idx="19">
                  <c:v>10.280000000005618</c:v>
                </c:pt>
                <c:pt idx="20">
                  <c:v>8.9800000000224767</c:v>
                </c:pt>
                <c:pt idx="21">
                  <c:v>7.0300000000505714</c:v>
                </c:pt>
                <c:pt idx="22">
                  <c:v>5.0799999999775238</c:v>
                </c:pt>
                <c:pt idx="23">
                  <c:v>3.7799999999943812</c:v>
                </c:pt>
                <c:pt idx="24">
                  <c:v>3.13</c:v>
                </c:pt>
                <c:pt idx="25">
                  <c:v>3.7516666666929837</c:v>
                </c:pt>
                <c:pt idx="26">
                  <c:v>4.9949999999736834</c:v>
                </c:pt>
                <c:pt idx="27">
                  <c:v>6.86</c:v>
                </c:pt>
                <c:pt idx="28">
                  <c:v>8.7250000000263164</c:v>
                </c:pt>
                <c:pt idx="29">
                  <c:v>9.968333333307017</c:v>
                </c:pt>
                <c:pt idx="30">
                  <c:v>10.59</c:v>
                </c:pt>
                <c:pt idx="31">
                  <c:v>9.9933333333436742</c:v>
                </c:pt>
                <c:pt idx="32">
                  <c:v>8.7999999999689749</c:v>
                </c:pt>
                <c:pt idx="33">
                  <c:v>7.01</c:v>
                </c:pt>
                <c:pt idx="34">
                  <c:v>5.2200000000310238</c:v>
                </c:pt>
                <c:pt idx="35">
                  <c:v>4.0266666666563236</c:v>
                </c:pt>
                <c:pt idx="36">
                  <c:v>3.43</c:v>
                </c:pt>
                <c:pt idx="37">
                  <c:v>4.0033333333272099</c:v>
                </c:pt>
                <c:pt idx="38">
                  <c:v>5.1499999999755071</c:v>
                </c:pt>
                <c:pt idx="39">
                  <c:v>6.8699999999448904</c:v>
                </c:pt>
                <c:pt idx="40">
                  <c:v>8.590000000024494</c:v>
                </c:pt>
                <c:pt idx="41">
                  <c:v>9.7366666666727895</c:v>
                </c:pt>
                <c:pt idx="42">
                  <c:v>10.31</c:v>
                </c:pt>
                <c:pt idx="43">
                  <c:v>9.7608333333380806</c:v>
                </c:pt>
                <c:pt idx="44">
                  <c:v>8.6625000000189907</c:v>
                </c:pt>
                <c:pt idx="45">
                  <c:v>7.0150000000427273</c:v>
                </c:pt>
                <c:pt idx="46">
                  <c:v>5.3674999999810105</c:v>
                </c:pt>
                <c:pt idx="47">
                  <c:v>4.2691666666619197</c:v>
                </c:pt>
                <c:pt idx="48">
                  <c:v>3.72</c:v>
                </c:pt>
                <c:pt idx="49">
                  <c:v>4.2433333333554879</c:v>
                </c:pt>
                <c:pt idx="50">
                  <c:v>5.2899999999778462</c:v>
                </c:pt>
                <c:pt idx="51">
                  <c:v>6.86</c:v>
                </c:pt>
                <c:pt idx="52">
                  <c:v>8.4300000000221544</c:v>
                </c:pt>
                <c:pt idx="53">
                  <c:v>9.4766666666445136</c:v>
                </c:pt>
                <c:pt idx="54">
                  <c:v>10</c:v>
                </c:pt>
                <c:pt idx="55">
                  <c:v>9.5500000000076852</c:v>
                </c:pt>
                <c:pt idx="56">
                  <c:v>8.649999999976945</c:v>
                </c:pt>
                <c:pt idx="57">
                  <c:v>7.3</c:v>
                </c:pt>
                <c:pt idx="58">
                  <c:v>5.9500000000230546</c:v>
                </c:pt>
                <c:pt idx="59">
                  <c:v>5.0499999999923144</c:v>
                </c:pt>
                <c:pt idx="60">
                  <c:v>4.5999999999999996</c:v>
                </c:pt>
                <c:pt idx="61">
                  <c:v>5.0174999999955405</c:v>
                </c:pt>
                <c:pt idx="62">
                  <c:v>5.8524999999821636</c:v>
                </c:pt>
                <c:pt idx="63">
                  <c:v>7.1049999999598681</c:v>
                </c:pt>
                <c:pt idx="64">
                  <c:v>8.3575000000178363</c:v>
                </c:pt>
                <c:pt idx="65">
                  <c:v>9.1925000000044577</c:v>
                </c:pt>
                <c:pt idx="66">
                  <c:v>9.61</c:v>
                </c:pt>
                <c:pt idx="67">
                  <c:v>9.1741666666517059</c:v>
                </c:pt>
                <c:pt idx="68">
                  <c:v>8.3025000000149589</c:v>
                </c:pt>
                <c:pt idx="69">
                  <c:v>6.9949999999999992</c:v>
                </c:pt>
                <c:pt idx="70">
                  <c:v>5.6874999999850404</c:v>
                </c:pt>
                <c:pt idx="71">
                  <c:v>4.8158333333482926</c:v>
                </c:pt>
                <c:pt idx="72">
                  <c:v>4.38</c:v>
                </c:pt>
                <c:pt idx="73">
                  <c:v>4.7916666666840939</c:v>
                </c:pt>
                <c:pt idx="74">
                  <c:v>5.6149999999825733</c:v>
                </c:pt>
                <c:pt idx="75">
                  <c:v>6.85</c:v>
                </c:pt>
                <c:pt idx="76">
                  <c:v>8.0850000000174269</c:v>
                </c:pt>
                <c:pt idx="77">
                  <c:v>8.9083333333159072</c:v>
                </c:pt>
                <c:pt idx="78">
                  <c:v>9.32</c:v>
                </c:pt>
                <c:pt idx="79">
                  <c:v>8.9358333333205557</c:v>
                </c:pt>
                <c:pt idx="80">
                  <c:v>8.1675000000127778</c:v>
                </c:pt>
                <c:pt idx="81">
                  <c:v>7.0149999999999997</c:v>
                </c:pt>
                <c:pt idx="82">
                  <c:v>5.8624999999872225</c:v>
                </c:pt>
                <c:pt idx="83">
                  <c:v>5.0941666666794445</c:v>
                </c:pt>
                <c:pt idx="84">
                  <c:v>4.71</c:v>
                </c:pt>
                <c:pt idx="85">
                  <c:v>5.0533333333333337</c:v>
                </c:pt>
                <c:pt idx="86">
                  <c:v>5.74</c:v>
                </c:pt>
                <c:pt idx="87">
                  <c:v>6.77</c:v>
                </c:pt>
                <c:pt idx="88">
                  <c:v>7.8</c:v>
                </c:pt>
                <c:pt idx="89">
                  <c:v>8.4866666666666664</c:v>
                </c:pt>
                <c:pt idx="90">
                  <c:v>8.83</c:v>
                </c:pt>
                <c:pt idx="91">
                  <c:v>8.5524999999906139</c:v>
                </c:pt>
                <c:pt idx="92">
                  <c:v>7.9975000000093868</c:v>
                </c:pt>
                <c:pt idx="93">
                  <c:v>7.165</c:v>
                </c:pt>
                <c:pt idx="94">
                  <c:v>6.3324999999906133</c:v>
                </c:pt>
                <c:pt idx="95">
                  <c:v>5.7775000000093861</c:v>
                </c:pt>
                <c:pt idx="96">
                  <c:v>5.5</c:v>
                </c:pt>
                <c:pt idx="97">
                  <c:v>5.7574999999920182</c:v>
                </c:pt>
                <c:pt idx="98">
                  <c:v>6.2725</c:v>
                </c:pt>
                <c:pt idx="99">
                  <c:v>7.0450000000239461</c:v>
                </c:pt>
                <c:pt idx="100">
                  <c:v>7.8174999999999999</c:v>
                </c:pt>
                <c:pt idx="101">
                  <c:v>8.3324999999840355</c:v>
                </c:pt>
                <c:pt idx="102">
                  <c:v>8.59</c:v>
                </c:pt>
                <c:pt idx="103">
                  <c:v>8.3091666666576067</c:v>
                </c:pt>
                <c:pt idx="104">
                  <c:v>7.7475000000090608</c:v>
                </c:pt>
                <c:pt idx="105">
                  <c:v>6.9050000000000002</c:v>
                </c:pt>
                <c:pt idx="106">
                  <c:v>6.0624999999909397</c:v>
                </c:pt>
                <c:pt idx="107">
                  <c:v>5.5008333333423938</c:v>
                </c:pt>
                <c:pt idx="108">
                  <c:v>5.22</c:v>
                </c:pt>
                <c:pt idx="109">
                  <c:v>5.4699999999951086</c:v>
                </c:pt>
                <c:pt idx="110">
                  <c:v>5.9700000000146742</c:v>
                </c:pt>
                <c:pt idx="111">
                  <c:v>6.72</c:v>
                </c:pt>
                <c:pt idx="112">
                  <c:v>7.4699999999853262</c:v>
                </c:pt>
                <c:pt idx="113">
                  <c:v>7.9700000000048918</c:v>
                </c:pt>
                <c:pt idx="114">
                  <c:v>8.2200000000000006</c:v>
                </c:pt>
                <c:pt idx="115">
                  <c:v>7.9899999999880116</c:v>
                </c:pt>
                <c:pt idx="116">
                  <c:v>7.53</c:v>
                </c:pt>
                <c:pt idx="117">
                  <c:v>6.8400000000179837</c:v>
                </c:pt>
                <c:pt idx="118">
                  <c:v>6.15</c:v>
                </c:pt>
                <c:pt idx="119">
                  <c:v>5.6899999999940052</c:v>
                </c:pt>
                <c:pt idx="120">
                  <c:v>5.46</c:v>
                </c:pt>
                <c:pt idx="121">
                  <c:v>5.7025000000128321</c:v>
                </c:pt>
                <c:pt idx="122">
                  <c:v>6.1875</c:v>
                </c:pt>
                <c:pt idx="123">
                  <c:v>6.9149999999807514</c:v>
                </c:pt>
                <c:pt idx="124">
                  <c:v>7.6424999999999992</c:v>
                </c:pt>
                <c:pt idx="125">
                  <c:v>8.1275000000064157</c:v>
                </c:pt>
                <c:pt idx="126">
                  <c:v>8.3699999999999992</c:v>
                </c:pt>
                <c:pt idx="127">
                  <c:v>8.1558333333259814</c:v>
                </c:pt>
                <c:pt idx="128">
                  <c:v>7.7275000000073506</c:v>
                </c:pt>
                <c:pt idx="129">
                  <c:v>7.0849999999999991</c:v>
                </c:pt>
                <c:pt idx="130">
                  <c:v>6.4424999999926484</c:v>
                </c:pt>
                <c:pt idx="131">
                  <c:v>6.0141666666740177</c:v>
                </c:pt>
                <c:pt idx="132">
                  <c:v>5.8</c:v>
                </c:pt>
                <c:pt idx="133">
                  <c:v>6.0324999999978166</c:v>
                </c:pt>
                <c:pt idx="134">
                  <c:v>6.4974999999912688</c:v>
                </c:pt>
                <c:pt idx="135">
                  <c:v>7.1949999999803547</c:v>
                </c:pt>
                <c:pt idx="136">
                  <c:v>7.8925000000087309</c:v>
                </c:pt>
                <c:pt idx="137">
                  <c:v>8.3575000000021831</c:v>
                </c:pt>
                <c:pt idx="138">
                  <c:v>8.59</c:v>
                </c:pt>
                <c:pt idx="139">
                  <c:v>8.2900000000052909</c:v>
                </c:pt>
                <c:pt idx="140">
                  <c:v>7.6899999999841251</c:v>
                </c:pt>
                <c:pt idx="141">
                  <c:v>6.79</c:v>
                </c:pt>
                <c:pt idx="142">
                  <c:v>5.8900000000158741</c:v>
                </c:pt>
                <c:pt idx="143">
                  <c:v>5.2899999999947083</c:v>
                </c:pt>
                <c:pt idx="144">
                  <c:v>4.99</c:v>
                </c:pt>
                <c:pt idx="145">
                  <c:v>5.3399999999932835</c:v>
                </c:pt>
                <c:pt idx="146">
                  <c:v>6.0400000000201493</c:v>
                </c:pt>
                <c:pt idx="147">
                  <c:v>7.09</c:v>
                </c:pt>
                <c:pt idx="148">
                  <c:v>8.1399999999798514</c:v>
                </c:pt>
                <c:pt idx="149">
                  <c:v>8.8400000000067163</c:v>
                </c:pt>
                <c:pt idx="150">
                  <c:v>9.19</c:v>
                </c:pt>
                <c:pt idx="151">
                  <c:v>8.7674999999852812</c:v>
                </c:pt>
                <c:pt idx="152">
                  <c:v>7.9225000000147183</c:v>
                </c:pt>
                <c:pt idx="153">
                  <c:v>6.6550000000000002</c:v>
                </c:pt>
                <c:pt idx="154">
                  <c:v>5.3874999999852822</c:v>
                </c:pt>
                <c:pt idx="155">
                  <c:v>4.5425000000147193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42064.249305555553</c:v>
                </c:pt>
                <c:pt idx="1">
                  <c:v>42064.496423611112</c:v>
                </c:pt>
                <c:pt idx="2">
                  <c:v>42064.76158564815</c:v>
                </c:pt>
                <c:pt idx="3">
                  <c:v>42064.995486111111</c:v>
                </c:pt>
                <c:pt idx="4">
                  <c:v>42065.272499999999</c:v>
                </c:pt>
                <c:pt idx="5">
                  <c:v>42065.503460648149</c:v>
                </c:pt>
                <c:pt idx="6">
                  <c:v>42065.781168981484</c:v>
                </c:pt>
                <c:pt idx="7">
                  <c:v>42066.009872685187</c:v>
                </c:pt>
                <c:pt idx="8">
                  <c:v>42066.291435185187</c:v>
                </c:pt>
                <c:pt idx="9">
                  <c:v>42066.528425925928</c:v>
                </c:pt>
                <c:pt idx="10">
                  <c:v>42066.799664351849</c:v>
                </c:pt>
                <c:pt idx="11">
                  <c:v>42067.027708333335</c:v>
                </c:pt>
                <c:pt idx="12">
                  <c:v>42067.318553240744</c:v>
                </c:pt>
                <c:pt idx="13">
                  <c:v>42067.542071759257</c:v>
                </c:pt>
                <c:pt idx="14">
                  <c:v>42067.845196759263</c:v>
                </c:pt>
                <c:pt idx="15">
                  <c:v>42068.061064814814</c:v>
                </c:pt>
                <c:pt idx="16">
                  <c:v>42068.358703703707</c:v>
                </c:pt>
                <c:pt idx="17">
                  <c:v>42068.573483796295</c:v>
                </c:pt>
                <c:pt idx="18">
                  <c:v>42068.920428240737</c:v>
                </c:pt>
                <c:pt idx="19">
                  <c:v>42069.10261574074</c:v>
                </c:pt>
                <c:pt idx="20">
                  <c:v>42069.45453703704</c:v>
                </c:pt>
                <c:pt idx="21">
                  <c:v>42069.672893518517</c:v>
                </c:pt>
                <c:pt idx="22">
                  <c:v>42069.985879629632</c:v>
                </c:pt>
                <c:pt idx="23">
                  <c:v>42070.203194444446</c:v>
                </c:pt>
                <c:pt idx="24">
                  <c:v>42070.515138888892</c:v>
                </c:pt>
                <c:pt idx="25">
                  <c:v>42070.737210648149</c:v>
                </c:pt>
                <c:pt idx="26">
                  <c:v>42070.737210648149</c:v>
                </c:pt>
                <c:pt idx="27">
                  <c:v>42070.737210648149</c:v>
                </c:pt>
                <c:pt idx="28">
                  <c:v>42070.737210648149</c:v>
                </c:pt>
                <c:pt idx="29">
                  <c:v>42070.737210648149</c:v>
                </c:pt>
                <c:pt idx="30">
                  <c:v>42070.737210648149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2071"/>
          <c:min val="42064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61</xdr:row>
      <xdr:rowOff>48792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82</xdr:row>
      <xdr:rowOff>10161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269080</xdr:colOff>
      <xdr:row>72</xdr:row>
      <xdr:rowOff>66676</xdr:rowOff>
    </xdr:from>
    <xdr:to>
      <xdr:col>40</xdr:col>
      <xdr:colOff>618065</xdr:colOff>
      <xdr:row>102</xdr:row>
      <xdr:rowOff>56092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442383</xdr:colOff>
          <xdr:row>67</xdr:row>
          <xdr:rowOff>129117</xdr:rowOff>
        </xdr:from>
        <xdr:to>
          <xdr:col>18</xdr:col>
          <xdr:colOff>582084</xdr:colOff>
          <xdr:row>69</xdr:row>
          <xdr:rowOff>138642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28" zoomScaleNormal="100" workbookViewId="0">
      <selection activeCell="J89" sqref="J89:O89"/>
    </sheetView>
  </sheetViews>
  <sheetFormatPr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182" t="s">
        <v>79</v>
      </c>
      <c r="D1" s="182"/>
      <c r="E1" s="182"/>
      <c r="F1" s="182"/>
      <c r="G1" s="183" t="s">
        <v>80</v>
      </c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AB1" s="17"/>
      <c r="AC1" s="18"/>
      <c r="AD1" s="18"/>
      <c r="AM1" s="5"/>
    </row>
    <row r="2" spans="1:54" s="1" customFormat="1" ht="15" customHeight="1">
      <c r="C2" s="182"/>
      <c r="D2" s="182"/>
      <c r="E2" s="182"/>
      <c r="F2" s="182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AB2" s="17"/>
      <c r="AC2" s="18"/>
      <c r="AD2" s="18"/>
      <c r="AM2" s="5"/>
    </row>
    <row r="3" spans="1:54" s="1" customFormat="1" ht="15" customHeight="1">
      <c r="C3" s="182"/>
      <c r="D3" s="182"/>
      <c r="E3" s="182"/>
      <c r="F3" s="182"/>
      <c r="G3" s="184" t="s">
        <v>82</v>
      </c>
      <c r="H3" s="184"/>
      <c r="I3" s="184"/>
      <c r="J3" s="186" t="s">
        <v>81</v>
      </c>
      <c r="K3" s="186"/>
      <c r="L3" s="186"/>
      <c r="AB3" s="17"/>
      <c r="AC3" s="18"/>
      <c r="AD3" s="18"/>
      <c r="AM3" s="5"/>
    </row>
    <row r="4" spans="1:54" s="1" customFormat="1" ht="15" customHeight="1">
      <c r="C4" s="182"/>
      <c r="D4" s="182"/>
      <c r="E4" s="182"/>
      <c r="F4" s="182"/>
      <c r="G4" s="185"/>
      <c r="H4" s="185"/>
      <c r="I4" s="185"/>
      <c r="J4" s="187"/>
      <c r="K4" s="187"/>
      <c r="L4" s="187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204" t="s">
        <v>11</v>
      </c>
      <c r="E7" s="204"/>
      <c r="F7" s="204"/>
      <c r="G7" s="204"/>
      <c r="H7" s="204"/>
      <c r="I7" s="204"/>
      <c r="J7" s="14"/>
      <c r="O7" s="205" t="s">
        <v>12</v>
      </c>
      <c r="P7" s="206"/>
      <c r="Q7" s="206"/>
      <c r="R7" s="206"/>
      <c r="S7" s="206"/>
      <c r="T7" s="206"/>
      <c r="U7" s="207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208" t="s">
        <v>8</v>
      </c>
      <c r="E8" s="208"/>
      <c r="F8" s="208"/>
      <c r="G8" s="209" t="s">
        <v>7</v>
      </c>
      <c r="H8" s="209"/>
      <c r="I8" s="209"/>
      <c r="J8" s="210" t="s">
        <v>16</v>
      </c>
      <c r="K8" s="210"/>
      <c r="L8" s="210"/>
      <c r="M8" s="210"/>
      <c r="N8" s="210"/>
      <c r="O8" s="211" t="s">
        <v>13</v>
      </c>
      <c r="P8" s="212"/>
      <c r="Q8" s="212"/>
      <c r="R8" s="213"/>
      <c r="S8" s="214" t="s">
        <v>14</v>
      </c>
      <c r="T8" s="215"/>
      <c r="U8" s="216"/>
      <c r="V8" s="210" t="s">
        <v>16</v>
      </c>
      <c r="W8" s="210"/>
      <c r="X8" s="210"/>
      <c r="Y8" s="210"/>
      <c r="Z8" s="210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217" t="s">
        <v>26</v>
      </c>
      <c r="E9" s="218"/>
      <c r="F9" s="218"/>
      <c r="G9" s="209">
        <f t="array" ref="G9">heureConvert2Decimal(D9)</f>
        <v>11.983333333333333</v>
      </c>
      <c r="H9" s="209"/>
      <c r="I9" s="209"/>
      <c r="J9" s="219" t="str">
        <f t="array" ref="J9">heureDecimal2Txt(G9)</f>
        <v>11:59:00.00(11.9833)</v>
      </c>
      <c r="K9" s="219"/>
      <c r="L9" s="219"/>
      <c r="M9" s="219"/>
      <c r="N9" s="219"/>
      <c r="O9" s="228" t="s">
        <v>147</v>
      </c>
      <c r="P9" s="229"/>
      <c r="Q9" s="229"/>
      <c r="R9" s="230"/>
      <c r="S9" s="222">
        <f t="array" ref="S9">angleConvert2Decimal(O9)</f>
        <v>0.46666666666666667</v>
      </c>
      <c r="T9" s="223"/>
      <c r="U9" s="224"/>
      <c r="V9" s="219" t="str">
        <f t="array" ref="V9">angleDecimal2Txt(S9)</f>
        <v>+00°28.00 (+00.4666) [+00°28'00.00]</v>
      </c>
      <c r="W9" s="219"/>
      <c r="X9" s="219"/>
      <c r="Y9" s="219"/>
      <c r="Z9" s="219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218"/>
      <c r="E10" s="218"/>
      <c r="F10" s="218"/>
      <c r="G10" s="209"/>
      <c r="H10" s="209"/>
      <c r="I10" s="209"/>
      <c r="J10" s="219"/>
      <c r="K10" s="219"/>
      <c r="L10" s="219"/>
      <c r="M10" s="219"/>
      <c r="N10" s="219"/>
      <c r="O10" s="231"/>
      <c r="P10" s="232"/>
      <c r="Q10" s="232"/>
      <c r="R10" s="233"/>
      <c r="S10" s="225"/>
      <c r="T10" s="226"/>
      <c r="U10" s="227"/>
      <c r="V10" s="219"/>
      <c r="W10" s="219"/>
      <c r="X10" s="219"/>
      <c r="Y10" s="219"/>
      <c r="Z10" s="219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217"/>
      <c r="E11" s="218"/>
      <c r="F11" s="218"/>
      <c r="G11" s="209">
        <v>11.9</v>
      </c>
      <c r="H11" s="209"/>
      <c r="I11" s="209"/>
      <c r="J11" s="219" t="str">
        <f t="array" ref="J11">heureDecimal2Txt(G11)</f>
        <v>11:54:00.00(11.9000)</v>
      </c>
      <c r="K11" s="219"/>
      <c r="L11" s="219"/>
      <c r="M11" s="219"/>
      <c r="N11" s="219"/>
      <c r="O11" s="228"/>
      <c r="P11" s="229"/>
      <c r="Q11" s="229"/>
      <c r="R11" s="230"/>
      <c r="S11" s="222">
        <f>S9-59.2166667</f>
        <v>-58.750000033333329</v>
      </c>
      <c r="T11" s="223"/>
      <c r="U11" s="224"/>
      <c r="V11" s="219" t="str">
        <f t="array" ref="V11">angleDecimal2Txt(S11)</f>
        <v>-58°45.00 (-58.7500) [-58°45'00.00]</v>
      </c>
      <c r="W11" s="219"/>
      <c r="X11" s="219"/>
      <c r="Y11" s="219"/>
      <c r="Z11" s="219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218"/>
      <c r="E12" s="218"/>
      <c r="F12" s="218"/>
      <c r="G12" s="209"/>
      <c r="H12" s="209"/>
      <c r="I12" s="209"/>
      <c r="J12" s="219"/>
      <c r="K12" s="219"/>
      <c r="L12" s="219"/>
      <c r="M12" s="219"/>
      <c r="N12" s="219"/>
      <c r="O12" s="231"/>
      <c r="P12" s="232"/>
      <c r="Q12" s="232"/>
      <c r="R12" s="233"/>
      <c r="S12" s="225"/>
      <c r="T12" s="226"/>
      <c r="U12" s="227"/>
      <c r="V12" s="219"/>
      <c r="W12" s="219"/>
      <c r="X12" s="219"/>
      <c r="Y12" s="219"/>
      <c r="Z12" s="219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234" t="s">
        <v>17</v>
      </c>
      <c r="E14" s="235"/>
      <c r="F14" s="236"/>
      <c r="G14" s="14"/>
      <c r="H14" s="14"/>
      <c r="I14" s="234" t="s">
        <v>35</v>
      </c>
      <c r="J14" s="235"/>
      <c r="K14" s="236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220" t="s">
        <v>44</v>
      </c>
      <c r="X14" s="220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23</v>
      </c>
      <c r="J15" s="24" t="s">
        <v>30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220" t="s">
        <v>45</v>
      </c>
      <c r="X15" s="220"/>
      <c r="Y15" s="19" t="s">
        <v>46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30</v>
      </c>
      <c r="J16" s="27" t="s">
        <v>23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249" t="s">
        <v>50</v>
      </c>
      <c r="X16" s="249"/>
      <c r="Y16" s="29" t="s">
        <v>49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220" t="s">
        <v>47</v>
      </c>
      <c r="X17" s="221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220" t="s">
        <v>48</v>
      </c>
      <c r="X18" s="221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220" t="s">
        <v>53</v>
      </c>
      <c r="X19" s="220"/>
      <c r="Y19" s="37" t="s">
        <v>51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220" t="s">
        <v>52</v>
      </c>
      <c r="X20" s="221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220" t="s">
        <v>54</v>
      </c>
      <c r="X21" s="221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57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220" t="s">
        <v>55</v>
      </c>
      <c r="X22" s="220"/>
      <c r="Y22" s="193" t="s">
        <v>56</v>
      </c>
      <c r="Z22" s="193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192"/>
      <c r="X23" s="192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34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108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2:65" s="1" customFormat="1" ht="15" customHeight="1" thickTop="1">
      <c r="C33" s="145" t="s">
        <v>36</v>
      </c>
      <c r="D33" s="237" t="s">
        <v>20</v>
      </c>
      <c r="E33" s="168">
        <f t="array" ref="E33">angleConvert2Decimal(I33)*VLOOKUP(H33,$D$16:$F$17,3)</f>
        <v>49.1</v>
      </c>
      <c r="F33" s="168"/>
      <c r="G33" s="169"/>
      <c r="H33" s="241" t="s">
        <v>1</v>
      </c>
      <c r="I33" s="243">
        <v>49.1</v>
      </c>
      <c r="J33" s="244"/>
      <c r="K33" s="244"/>
      <c r="L33" s="244"/>
      <c r="M33" s="245"/>
      <c r="N33" s="156" t="str">
        <f t="array" ref="N33">angleDecimal2Txt(E33)</f>
        <v>+49°06.00 (+49.1000) [+49°06'00.00]</v>
      </c>
      <c r="O33" s="156"/>
      <c r="P33" s="156"/>
      <c r="Q33" s="156"/>
      <c r="R33" s="156"/>
      <c r="S33" s="156"/>
      <c r="T33" s="156"/>
      <c r="U33" s="156"/>
      <c r="V33" s="156"/>
      <c r="W33" s="157"/>
      <c r="AA33" s="17"/>
      <c r="AB33" s="40" t="s">
        <v>109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2:65" s="1" customFormat="1" ht="15" customHeight="1" thickBot="1">
      <c r="C34" s="163"/>
      <c r="D34" s="238"/>
      <c r="E34" s="170"/>
      <c r="F34" s="170"/>
      <c r="G34" s="171"/>
      <c r="H34" s="242"/>
      <c r="I34" s="246"/>
      <c r="J34" s="247"/>
      <c r="K34" s="247"/>
      <c r="L34" s="247"/>
      <c r="M34" s="248"/>
      <c r="N34" s="158"/>
      <c r="O34" s="158"/>
      <c r="P34" s="158"/>
      <c r="Q34" s="158"/>
      <c r="R34" s="158"/>
      <c r="S34" s="158"/>
      <c r="T34" s="158"/>
      <c r="U34" s="158"/>
      <c r="V34" s="158"/>
      <c r="W34" s="159"/>
      <c r="X34" s="1" t="s">
        <v>116</v>
      </c>
      <c r="AA34" s="17"/>
      <c r="AB34" s="41" t="s">
        <v>104</v>
      </c>
      <c r="AC34" s="14"/>
      <c r="AD34" s="42" t="s">
        <v>25</v>
      </c>
      <c r="AE34" s="42" t="s">
        <v>27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2:65" s="1" customFormat="1" ht="15" customHeight="1" thickTop="1">
      <c r="C35" s="163"/>
      <c r="D35" s="239" t="s">
        <v>21</v>
      </c>
      <c r="E35" s="168">
        <f t="array" ref="E35">angleConvert2Decimal(I35)*VLOOKUP(H35,$E$16:$F$17,2)</f>
        <v>2.5</v>
      </c>
      <c r="F35" s="168"/>
      <c r="G35" s="169"/>
      <c r="H35" s="172" t="s">
        <v>3</v>
      </c>
      <c r="I35" s="174">
        <v>2.5</v>
      </c>
      <c r="J35" s="175"/>
      <c r="K35" s="175"/>
      <c r="L35" s="175"/>
      <c r="M35" s="176"/>
      <c r="N35" s="156" t="str">
        <f t="array" ref="N35">angleDecimal2Txt(E35)</f>
        <v>+02°30.00 (+02.5000) [+02°30'00.00]</v>
      </c>
      <c r="O35" s="156"/>
      <c r="P35" s="156"/>
      <c r="Q35" s="156"/>
      <c r="R35" s="156"/>
      <c r="S35" s="156"/>
      <c r="T35" s="156"/>
      <c r="U35" s="156"/>
      <c r="V35" s="156"/>
      <c r="W35" s="157"/>
      <c r="AA35" s="17"/>
      <c r="AB35" s="14"/>
      <c r="AC35" s="43" t="s">
        <v>105</v>
      </c>
      <c r="AD35" s="16">
        <f>$E$41-$E$35</f>
        <v>136.6</v>
      </c>
      <c r="AE35" s="42">
        <f>AD35*AC33</f>
        <v>2.3841197582242541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2:65" s="1" customFormat="1" ht="15" customHeight="1" thickBot="1">
      <c r="C36" s="164"/>
      <c r="D36" s="240"/>
      <c r="E36" s="170"/>
      <c r="F36" s="170"/>
      <c r="G36" s="171"/>
      <c r="H36" s="173"/>
      <c r="I36" s="177"/>
      <c r="J36" s="178"/>
      <c r="K36" s="178"/>
      <c r="L36" s="178"/>
      <c r="M36" s="179"/>
      <c r="N36" s="158"/>
      <c r="O36" s="158"/>
      <c r="P36" s="158"/>
      <c r="Q36" s="158"/>
      <c r="R36" s="158"/>
      <c r="S36" s="158"/>
      <c r="T36" s="158"/>
      <c r="U36" s="158"/>
      <c r="V36" s="158"/>
      <c r="W36" s="159"/>
      <c r="Z36" s="12"/>
      <c r="AA36" s="44"/>
      <c r="AB36" s="14"/>
      <c r="AC36" s="43" t="s">
        <v>106</v>
      </c>
      <c r="AD36" s="16">
        <f>$E$39-$E$33</f>
        <v>-0.10000000000000142</v>
      </c>
      <c r="AE36" s="42">
        <f>AD36*AC33</f>
        <v>-1.7453292519943543E-3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2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107</v>
      </c>
      <c r="AD37" s="43">
        <f>(E39+E33)/2</f>
        <v>49.05</v>
      </c>
      <c r="AE37" s="42">
        <f>AD37*AC33</f>
        <v>0.85608399810321856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2:65" s="1" customFormat="1" ht="15" customHeight="1" thickBot="1">
      <c r="C38" s="14"/>
      <c r="Y38" s="14"/>
      <c r="Z38" s="12"/>
      <c r="AA38" s="44"/>
      <c r="AB38" s="14"/>
      <c r="AC38" s="43" t="s">
        <v>126</v>
      </c>
      <c r="AD38" s="43">
        <f>ABS(AE35/AE36)*COS(AE37)</f>
        <v>895.27663346549798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2:65" s="1" customFormat="1" ht="15" customHeight="1" thickTop="1">
      <c r="C39" s="145" t="s">
        <v>9</v>
      </c>
      <c r="D39" s="237" t="s">
        <v>20</v>
      </c>
      <c r="E39" s="168">
        <f t="array" ref="E39">angleConvert2Decimal(I39)</f>
        <v>49</v>
      </c>
      <c r="F39" s="168"/>
      <c r="G39" s="169"/>
      <c r="H39" s="241" t="s">
        <v>1</v>
      </c>
      <c r="I39" s="243">
        <v>49</v>
      </c>
      <c r="J39" s="244"/>
      <c r="K39" s="244"/>
      <c r="L39" s="244"/>
      <c r="M39" s="245"/>
      <c r="N39" s="156" t="str">
        <f t="array" ref="N39">angleDecimal2Txt(E39)</f>
        <v>+49°00.00 (+49.0000) [+49°00'00.00]</v>
      </c>
      <c r="O39" s="156"/>
      <c r="P39" s="156"/>
      <c r="Q39" s="156"/>
      <c r="R39" s="156"/>
      <c r="S39" s="156"/>
      <c r="T39" s="156"/>
      <c r="U39" s="156"/>
      <c r="V39" s="156"/>
      <c r="W39" s="157"/>
      <c r="Y39" s="14"/>
      <c r="Z39" s="12"/>
      <c r="AA39" s="44"/>
      <c r="AB39" s="14"/>
      <c r="AC39" s="45" t="s">
        <v>117</v>
      </c>
      <c r="AD39" s="45">
        <f>ATAN(AD38)*$AC$32</f>
        <v>89.936002176820651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2:65" s="1" customFormat="1" ht="15" customHeight="1" thickBot="1">
      <c r="C40" s="163"/>
      <c r="D40" s="238"/>
      <c r="E40" s="170"/>
      <c r="F40" s="170"/>
      <c r="G40" s="171"/>
      <c r="H40" s="242"/>
      <c r="I40" s="246"/>
      <c r="J40" s="247"/>
      <c r="K40" s="247"/>
      <c r="L40" s="247"/>
      <c r="M40" s="248"/>
      <c r="N40" s="158"/>
      <c r="O40" s="158"/>
      <c r="P40" s="158"/>
      <c r="Q40" s="158"/>
      <c r="R40" s="158"/>
      <c r="S40" s="158"/>
      <c r="T40" s="158"/>
      <c r="U40" s="158"/>
      <c r="V40" s="158"/>
      <c r="W40" s="159"/>
      <c r="X40" s="1" t="s">
        <v>115</v>
      </c>
      <c r="Y40" s="14"/>
      <c r="Z40" s="12"/>
      <c r="AA40" s="44"/>
      <c r="AB40" s="14"/>
      <c r="AC40" s="45" t="s">
        <v>118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2:65" s="1" customFormat="1" ht="15" customHeight="1" thickTop="1">
      <c r="C41" s="163"/>
      <c r="D41" s="239" t="s">
        <v>21</v>
      </c>
      <c r="E41" s="168">
        <f t="array" ref="E41">angleConvert2Decimal(I41)*VLOOKUP(H41,$E$16:$F$17,2)</f>
        <v>139.1</v>
      </c>
      <c r="F41" s="168"/>
      <c r="G41" s="169"/>
      <c r="H41" s="172" t="s">
        <v>3</v>
      </c>
      <c r="I41" s="174">
        <v>139.1</v>
      </c>
      <c r="J41" s="175"/>
      <c r="K41" s="175"/>
      <c r="L41" s="175"/>
      <c r="M41" s="176"/>
      <c r="N41" s="156" t="str">
        <f t="array" ref="N41">angleDecimal2Txt(E41)</f>
        <v>+139°06.00 (+139.0999) [+139°06'00.00]</v>
      </c>
      <c r="O41" s="156"/>
      <c r="P41" s="156"/>
      <c r="Q41" s="156"/>
      <c r="R41" s="156"/>
      <c r="S41" s="156"/>
      <c r="T41" s="156"/>
      <c r="U41" s="156"/>
      <c r="V41" s="156"/>
      <c r="W41" s="157"/>
      <c r="Y41" s="14"/>
      <c r="Z41" s="12"/>
      <c r="AA41" s="44"/>
      <c r="AB41" s="14"/>
      <c r="AC41" s="45" t="s">
        <v>39</v>
      </c>
      <c r="AD41" s="45">
        <f>IF(AD40="NE",AD39,IF(AD40="NW",360-AD39,IF(AD40="SE",180-AD39,180+AD39)))</f>
        <v>90.063997823179349</v>
      </c>
      <c r="AE41" s="14">
        <f>AD41*AC33</f>
        <v>1.5719132995234855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2:65" s="1" customFormat="1" ht="15" customHeight="1" thickBot="1">
      <c r="C42" s="164"/>
      <c r="D42" s="240"/>
      <c r="E42" s="170"/>
      <c r="F42" s="170"/>
      <c r="G42" s="171"/>
      <c r="H42" s="173"/>
      <c r="I42" s="177"/>
      <c r="J42" s="178"/>
      <c r="K42" s="178"/>
      <c r="L42" s="178"/>
      <c r="M42" s="179"/>
      <c r="N42" s="158"/>
      <c r="O42" s="158"/>
      <c r="P42" s="158"/>
      <c r="Q42" s="158"/>
      <c r="R42" s="158"/>
      <c r="S42" s="158"/>
      <c r="T42" s="158"/>
      <c r="U42" s="158"/>
      <c r="V42" s="158"/>
      <c r="W42" s="159"/>
      <c r="Y42" s="14"/>
      <c r="Z42" s="12"/>
      <c r="AA42" s="44"/>
      <c r="AB42" s="14"/>
      <c r="AC42" s="45" t="s">
        <v>110</v>
      </c>
      <c r="AD42" s="45">
        <f>60*AD36/COS(AE41)</f>
        <v>5371.6631517123951</v>
      </c>
      <c r="AE42" s="14">
        <f>AD42*1.852</f>
        <v>9948.3201569713565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2:65" ht="15" customHeight="1">
      <c r="Z43" s="12"/>
      <c r="AA43" s="44"/>
      <c r="AB43" s="46" t="s">
        <v>111</v>
      </c>
      <c r="AC43" s="14"/>
      <c r="AE43" s="12"/>
      <c r="AF43" s="12"/>
      <c r="AG43" s="12"/>
    </row>
    <row r="44" spans="2:65" ht="15" customHeight="1">
      <c r="Z44" s="12"/>
      <c r="AA44" s="44"/>
      <c r="AB44" s="14"/>
      <c r="AC44" s="47" t="s">
        <v>105</v>
      </c>
      <c r="AD44" s="48">
        <f>$E$41-$E$35</f>
        <v>136.6</v>
      </c>
      <c r="AE44" s="49">
        <f>AD44*AC33</f>
        <v>2.3841197582242541</v>
      </c>
      <c r="AF44" s="12"/>
      <c r="AG44" s="12"/>
    </row>
    <row r="45" spans="2:65" ht="15" customHeight="1">
      <c r="E45" s="197" t="s">
        <v>128</v>
      </c>
      <c r="F45" s="197"/>
      <c r="G45" s="197"/>
      <c r="H45" s="197"/>
      <c r="I45" s="197"/>
      <c r="J45" s="197"/>
      <c r="K45" s="197"/>
      <c r="L45" s="197"/>
      <c r="M45" s="197"/>
      <c r="N45" s="197"/>
      <c r="O45" s="197"/>
      <c r="P45" s="197"/>
      <c r="Q45" s="197"/>
      <c r="R45" s="197"/>
      <c r="S45" s="197"/>
      <c r="U45" s="251" t="s">
        <v>37</v>
      </c>
      <c r="V45" s="252"/>
      <c r="W45" s="252"/>
      <c r="X45" s="253"/>
      <c r="AB45" s="14"/>
      <c r="AC45" s="50" t="s">
        <v>106</v>
      </c>
      <c r="AD45" s="16">
        <f>$E$39-$E$33</f>
        <v>-0.10000000000000142</v>
      </c>
      <c r="AE45" s="51" t="s">
        <v>120</v>
      </c>
      <c r="AF45" s="51" t="s">
        <v>121</v>
      </c>
      <c r="AG45" s="51" t="s">
        <v>122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2:65" s="1" customFormat="1" ht="15" customHeight="1">
      <c r="B46" s="196" t="s">
        <v>127</v>
      </c>
      <c r="C46" s="196"/>
      <c r="D46" s="14"/>
      <c r="E46" s="274" t="str">
        <f t="array" ref="E46">angleDecimal2Txt(I46,0)</f>
        <v>+90°00.00</v>
      </c>
      <c r="F46" s="274"/>
      <c r="G46" s="274"/>
      <c r="H46" s="274"/>
      <c r="I46" s="137">
        <f>IF(OR(AF57,AE55),AD58,AD41)</f>
        <v>90</v>
      </c>
      <c r="J46" s="137"/>
      <c r="K46" s="137"/>
      <c r="L46" s="138" t="str">
        <f t="array" ref="L46">angleDecimal2Txt(I46)</f>
        <v>+90°00.00 (+90.0000) [+90°00'00.00]</v>
      </c>
      <c r="M46" s="138"/>
      <c r="N46" s="138"/>
      <c r="O46" s="138"/>
      <c r="P46" s="138"/>
      <c r="Q46" s="138"/>
      <c r="R46" s="138"/>
      <c r="S46" s="138"/>
      <c r="U46" s="139">
        <f>IF(OR(AF57,AE55),AD59,AD42)</f>
        <v>5371.6598007930643</v>
      </c>
      <c r="V46" s="140"/>
      <c r="W46" s="140"/>
      <c r="X46" s="141"/>
      <c r="AA46" s="17"/>
      <c r="AB46" s="14"/>
      <c r="AC46" s="50" t="s">
        <v>113</v>
      </c>
      <c r="AD46" s="11">
        <f>AG46</f>
        <v>0.98647087183363136</v>
      </c>
      <c r="AE46" s="51">
        <f>PI()/4 + E33*$AC$33/2</f>
        <v>1.2138764947620562</v>
      </c>
      <c r="AF46" s="51">
        <f>TAN(AE46)</f>
        <v>2.6817535005930826</v>
      </c>
      <c r="AG46" s="51">
        <f>LN(AF46)</f>
        <v>0.98647087183363136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2:65" s="1" customFormat="1" ht="15" customHeight="1">
      <c r="B47" s="196"/>
      <c r="C47" s="196"/>
      <c r="D47" s="14"/>
      <c r="E47" s="274"/>
      <c r="F47" s="274"/>
      <c r="G47" s="274"/>
      <c r="H47" s="274"/>
      <c r="I47" s="137"/>
      <c r="J47" s="137"/>
      <c r="K47" s="137"/>
      <c r="L47" s="138"/>
      <c r="M47" s="138"/>
      <c r="N47" s="138"/>
      <c r="O47" s="138"/>
      <c r="P47" s="138"/>
      <c r="Q47" s="138"/>
      <c r="R47" s="138"/>
      <c r="S47" s="138"/>
      <c r="U47" s="142"/>
      <c r="V47" s="143"/>
      <c r="W47" s="143"/>
      <c r="X47" s="144"/>
      <c r="AA47" s="17"/>
      <c r="AB47" s="14"/>
      <c r="AC47" s="50" t="s">
        <v>112</v>
      </c>
      <c r="AD47" s="11">
        <f>AG47</f>
        <v>0.98380787273879144</v>
      </c>
      <c r="AE47" s="51">
        <f>PI()/4 + E39*$AC$33/2</f>
        <v>1.2130038301360591</v>
      </c>
      <c r="AF47" s="51">
        <f>TAN(AE47)</f>
        <v>2.674621493926824</v>
      </c>
      <c r="AG47" s="51">
        <f>LN(AF47)</f>
        <v>0.98380787273879144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2:65" ht="15" customHeight="1">
      <c r="AB48" s="14"/>
      <c r="AC48" s="50" t="s">
        <v>114</v>
      </c>
      <c r="AD48" s="11">
        <f>AD47-AD46</f>
        <v>-2.6629990948399129E-3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152" t="s">
        <v>111</v>
      </c>
      <c r="C49" s="152"/>
      <c r="E49" s="274" t="str">
        <f t="array" ref="E49">angleDecimal2Txt(I49,0)</f>
        <v>+90°03.83</v>
      </c>
      <c r="F49" s="274"/>
      <c r="G49" s="274"/>
      <c r="H49" s="274"/>
      <c r="I49" s="137">
        <f>AD52</f>
        <v>90.063997852876852</v>
      </c>
      <c r="J49" s="137"/>
      <c r="K49" s="137"/>
      <c r="L49" s="138" t="str">
        <f t="array" ref="L49">angleDecimal2Txt(I49)</f>
        <v>+90°03.83 (+90.0639) [+90°03'50.39]</v>
      </c>
      <c r="M49" s="138"/>
      <c r="N49" s="138"/>
      <c r="O49" s="138"/>
      <c r="P49" s="138"/>
      <c r="Q49" s="138"/>
      <c r="R49" s="138"/>
      <c r="S49" s="138"/>
      <c r="T49" s="1"/>
      <c r="U49" s="139">
        <f>AD53</f>
        <v>5371.6606590521533</v>
      </c>
      <c r="V49" s="140"/>
      <c r="W49" s="140"/>
      <c r="X49" s="141"/>
      <c r="AB49" s="14"/>
      <c r="AC49" s="43" t="s">
        <v>126</v>
      </c>
      <c r="AD49" s="42">
        <f>ABS(AE44/AD48)</f>
        <v>895.2762180219878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152"/>
      <c r="C50" s="152"/>
      <c r="E50" s="274"/>
      <c r="F50" s="274"/>
      <c r="G50" s="274"/>
      <c r="H50" s="274"/>
      <c r="I50" s="137"/>
      <c r="J50" s="137"/>
      <c r="K50" s="137"/>
      <c r="L50" s="138"/>
      <c r="M50" s="138"/>
      <c r="N50" s="138"/>
      <c r="O50" s="138"/>
      <c r="P50" s="138"/>
      <c r="Q50" s="138"/>
      <c r="R50" s="138"/>
      <c r="S50" s="138"/>
      <c r="T50" s="1"/>
      <c r="U50" s="142"/>
      <c r="V50" s="143"/>
      <c r="W50" s="143"/>
      <c r="X50" s="144"/>
      <c r="AA50" s="17"/>
      <c r="AB50" s="14"/>
      <c r="AC50" s="45" t="s">
        <v>117</v>
      </c>
      <c r="AD50" s="52">
        <f>ATAN(AD49)*$AC$32</f>
        <v>89.936002147123148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118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39</v>
      </c>
      <c r="AD52" s="45">
        <f>IF(AD51="NE",AD50,IF(AD51="NW",360-AD50,IF(AD51="SE",180-AD50,180+AD50)))</f>
        <v>90.063997852876852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110</v>
      </c>
      <c r="AD53" s="45">
        <f>ABS(60*AD45/COS(AD52*$AC$33))</f>
        <v>5371.6606590521533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119</v>
      </c>
      <c r="AC54" s="12"/>
      <c r="AD54" s="12"/>
      <c r="AE54" s="12" t="s">
        <v>124</v>
      </c>
      <c r="AF54" s="12" t="s">
        <v>125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123</v>
      </c>
      <c r="AD55" s="54">
        <f>E39-E33</f>
        <v>-0.10000000000000142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105</v>
      </c>
      <c r="AD56" s="48">
        <f>$E$41-$E$35</f>
        <v>136.6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126</v>
      </c>
      <c r="AD57" s="12">
        <f>ABS(AE35/AE36)*COS(AE37)</f>
        <v>895.27663346549798</v>
      </c>
      <c r="AF57" s="14" t="b">
        <f>IF(IFERROR(AD57,TRUE), TRUE, IF((AD57&gt;AF55),TRUE,FALSE))</f>
        <v>1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39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197" t="s">
        <v>129</v>
      </c>
      <c r="F59" s="197"/>
      <c r="G59" s="197"/>
      <c r="H59" s="197"/>
      <c r="I59" s="197"/>
      <c r="J59" s="197"/>
      <c r="K59" s="197"/>
      <c r="L59" s="197"/>
      <c r="M59" s="197"/>
      <c r="N59" s="197"/>
      <c r="O59" s="197"/>
      <c r="P59" s="197"/>
      <c r="Q59" s="197"/>
      <c r="R59" s="197"/>
      <c r="S59" s="197"/>
      <c r="U59" s="251" t="s">
        <v>37</v>
      </c>
      <c r="V59" s="252"/>
      <c r="W59" s="252"/>
      <c r="X59" s="253"/>
      <c r="AB59" s="12"/>
      <c r="AC59" s="57" t="s">
        <v>110</v>
      </c>
      <c r="AD59" s="57">
        <f>60 * ABS(AD56 * COS(AE37))</f>
        <v>5371.6598007930643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196" t="s">
        <v>111</v>
      </c>
      <c r="C60" s="196"/>
      <c r="E60" s="274" t="str">
        <f t="array" ref="E60">angleDecimal2Txt(I60,0)</f>
        <v>+67°43.11</v>
      </c>
      <c r="F60" s="274"/>
      <c r="G60" s="274"/>
      <c r="H60" s="274"/>
      <c r="I60" s="137">
        <f>AD66</f>
        <v>67.718563531590618</v>
      </c>
      <c r="J60" s="137"/>
      <c r="K60" s="137"/>
      <c r="L60" s="138" t="str">
        <f t="array" ref="L60">angleDecimal2Txt(I60)</f>
        <v>+67°43.11 (+67.7185) [+67°43'06.82]</v>
      </c>
      <c r="M60" s="138"/>
      <c r="N60" s="138"/>
      <c r="O60" s="138"/>
      <c r="P60" s="138"/>
      <c r="Q60" s="138"/>
      <c r="R60" s="138"/>
      <c r="S60" s="138"/>
      <c r="T60" s="1"/>
      <c r="U60" s="139">
        <f>AD64</f>
        <v>4501.6667210167871</v>
      </c>
      <c r="V60" s="140"/>
      <c r="W60" s="140"/>
      <c r="X60" s="141"/>
      <c r="AB60" s="41" t="s">
        <v>130</v>
      </c>
      <c r="AC60" s="12"/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196"/>
      <c r="C61" s="196"/>
      <c r="E61" s="274"/>
      <c r="F61" s="274"/>
      <c r="G61" s="274"/>
      <c r="H61" s="274"/>
      <c r="I61" s="137"/>
      <c r="J61" s="137"/>
      <c r="K61" s="137"/>
      <c r="L61" s="138"/>
      <c r="M61" s="138"/>
      <c r="N61" s="138"/>
      <c r="O61" s="138"/>
      <c r="P61" s="138"/>
      <c r="Q61" s="138"/>
      <c r="R61" s="138"/>
      <c r="S61" s="138"/>
      <c r="T61" s="1"/>
      <c r="U61" s="142"/>
      <c r="V61" s="143"/>
      <c r="W61" s="143"/>
      <c r="X61" s="144"/>
      <c r="AB61" s="12"/>
      <c r="AC61" s="12" t="s">
        <v>131</v>
      </c>
      <c r="AD61" s="54">
        <f>E41-E35</f>
        <v>136.6</v>
      </c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132</v>
      </c>
      <c r="AD62" s="12">
        <f>SIN(E39*AC33)*SIN(E33*AC33)+COS(E39*AC33)*COS(E33*AC33)*COS(AD61*AC33)</f>
        <v>0.25835070537528781</v>
      </c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AB63" s="12"/>
      <c r="AC63" s="14" t="s">
        <v>45</v>
      </c>
      <c r="AD63" s="14">
        <f>AE63*AC32</f>
        <v>75.027778683613121</v>
      </c>
      <c r="AE63" s="14">
        <f>ACOS(AD62)</f>
        <v>1.309481768486666</v>
      </c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AB64" s="12"/>
      <c r="AC64" s="58" t="s">
        <v>134</v>
      </c>
      <c r="AD64" s="56">
        <f>60*ACOS(AD62)*AC32</f>
        <v>4501.6667210167871</v>
      </c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AB65" s="12"/>
      <c r="AC65" s="12" t="s">
        <v>133</v>
      </c>
      <c r="AD65" s="12">
        <f>((SIN(E39*AC33)-SIN(E33*AC33)*AD62)/SIN(AE63)*COS(E33*AC33))</f>
        <v>0.37915637652931999</v>
      </c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135</v>
      </c>
      <c r="AD66" s="56">
        <f>AE66*AC32</f>
        <v>67.718563531590618</v>
      </c>
      <c r="AE66" s="14">
        <f>ACOS(AD65)</f>
        <v>1.1819118983472154</v>
      </c>
      <c r="AF66" s="12"/>
      <c r="AG66" s="12"/>
    </row>
    <row r="67" spans="2:65" s="1" customFormat="1" ht="15" customHeight="1" thickBot="1">
      <c r="B67" s="2" t="s">
        <v>38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145" t="s">
        <v>36</v>
      </c>
      <c r="D69" s="198" t="s">
        <v>20</v>
      </c>
      <c r="E69" s="168">
        <f t="array" ref="E69">angleConvert2Decimal(I69)*VLOOKUP(H69,D16:F17,3)</f>
        <v>40.016666666666666</v>
      </c>
      <c r="F69" s="168"/>
      <c r="G69" s="169"/>
      <c r="H69" s="241" t="s">
        <v>1</v>
      </c>
      <c r="I69" s="243" t="s">
        <v>102</v>
      </c>
      <c r="J69" s="244"/>
      <c r="K69" s="244"/>
      <c r="L69" s="244"/>
      <c r="M69" s="245"/>
      <c r="N69" s="156" t="str">
        <f t="array" ref="N69">angleDecimal2Txt(E69)</f>
        <v>+40°01.00 (+40.0166) [+40°01'00.00]</v>
      </c>
      <c r="O69" s="156"/>
      <c r="P69" s="156"/>
      <c r="Q69" s="156"/>
      <c r="R69" s="156"/>
      <c r="S69" s="156"/>
      <c r="T69" s="156"/>
      <c r="U69" s="156"/>
      <c r="V69" s="156"/>
      <c r="W69" s="157"/>
      <c r="AA69" s="17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163"/>
      <c r="D70" s="199"/>
      <c r="E70" s="170"/>
      <c r="F70" s="170"/>
      <c r="G70" s="171"/>
      <c r="H70" s="242"/>
      <c r="I70" s="246"/>
      <c r="J70" s="247"/>
      <c r="K70" s="247"/>
      <c r="L70" s="247"/>
      <c r="M70" s="248"/>
      <c r="N70" s="158"/>
      <c r="O70" s="158"/>
      <c r="P70" s="158"/>
      <c r="Q70" s="158"/>
      <c r="R70" s="158"/>
      <c r="S70" s="158"/>
      <c r="T70" s="158"/>
      <c r="U70" s="158"/>
      <c r="V70" s="158"/>
      <c r="W70" s="159"/>
      <c r="AA70" s="17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163"/>
      <c r="D71" s="199" t="s">
        <v>21</v>
      </c>
      <c r="E71" s="168">
        <f t="array" ref="E71">angleConvert2Decimal(I71)*VLOOKUP(H71,E16:F18,2)</f>
        <v>5.7166666666666668</v>
      </c>
      <c r="F71" s="168"/>
      <c r="G71" s="169"/>
      <c r="H71" s="172" t="s">
        <v>3</v>
      </c>
      <c r="I71" s="174" t="s">
        <v>103</v>
      </c>
      <c r="J71" s="175"/>
      <c r="K71" s="175"/>
      <c r="L71" s="175"/>
      <c r="M71" s="176"/>
      <c r="N71" s="156" t="str">
        <f t="array" ref="N71">angleDecimal2Txt(E71)</f>
        <v>+05°43.00 (+05.7166) [+05°43'00.00]</v>
      </c>
      <c r="O71" s="156"/>
      <c r="P71" s="156"/>
      <c r="Q71" s="156"/>
      <c r="R71" s="156"/>
      <c r="S71" s="156"/>
      <c r="T71" s="156"/>
      <c r="U71" s="156"/>
      <c r="V71" s="156"/>
      <c r="W71" s="157"/>
      <c r="AA71" s="17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164"/>
      <c r="D72" s="200"/>
      <c r="E72" s="170"/>
      <c r="F72" s="170"/>
      <c r="G72" s="171"/>
      <c r="H72" s="173"/>
      <c r="I72" s="177"/>
      <c r="J72" s="178"/>
      <c r="K72" s="178"/>
      <c r="L72" s="178"/>
      <c r="M72" s="179"/>
      <c r="N72" s="158"/>
      <c r="O72" s="158"/>
      <c r="P72" s="158"/>
      <c r="Q72" s="158"/>
      <c r="R72" s="158"/>
      <c r="S72" s="158"/>
      <c r="T72" s="158"/>
      <c r="U72" s="158"/>
      <c r="V72" s="158"/>
      <c r="W72" s="159"/>
      <c r="AA72" s="17"/>
      <c r="AB72" s="12" t="s">
        <v>137</v>
      </c>
      <c r="AC72" s="12">
        <f>F75*K15</f>
        <v>2.0943951023931953</v>
      </c>
      <c r="AD72" s="12" t="s">
        <v>27</v>
      </c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110</v>
      </c>
      <c r="AC73" s="12">
        <f>F77*F79/60</f>
        <v>0.33333333333333331</v>
      </c>
      <c r="AD73" s="12" t="s">
        <v>25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145" t="s">
        <v>40</v>
      </c>
      <c r="D75" s="150" t="s">
        <v>41</v>
      </c>
      <c r="E75" s="151"/>
      <c r="F75" s="166">
        <v>120</v>
      </c>
      <c r="G75" s="167"/>
      <c r="H75" s="167"/>
      <c r="I75" s="203">
        <v>120</v>
      </c>
      <c r="J75" s="203"/>
      <c r="K75" s="203"/>
      <c r="L75" s="203"/>
      <c r="M75" s="203"/>
      <c r="N75" s="156" t="str">
        <f t="array" ref="N75">angleDecimal2Txt(F75)</f>
        <v>+120°00.00 (+120.0000) [+120°00'00.00]</v>
      </c>
      <c r="O75" s="156"/>
      <c r="P75" s="156"/>
      <c r="Q75" s="156"/>
      <c r="R75" s="156"/>
      <c r="S75" s="156"/>
      <c r="T75" s="156"/>
      <c r="U75" s="156"/>
      <c r="V75" s="156"/>
      <c r="W75" s="157"/>
      <c r="AA75" s="17"/>
      <c r="AB75" s="12" t="s">
        <v>138</v>
      </c>
      <c r="AC75" s="12">
        <f>E69+AC73*COS(AC72)</f>
        <v>39.85</v>
      </c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146"/>
      <c r="D76" s="152"/>
      <c r="E76" s="153"/>
      <c r="F76" s="166"/>
      <c r="G76" s="167"/>
      <c r="H76" s="167"/>
      <c r="I76" s="203"/>
      <c r="J76" s="203"/>
      <c r="K76" s="203"/>
      <c r="L76" s="203"/>
      <c r="M76" s="203"/>
      <c r="N76" s="158"/>
      <c r="O76" s="158"/>
      <c r="P76" s="158"/>
      <c r="Q76" s="158"/>
      <c r="R76" s="158"/>
      <c r="S76" s="158"/>
      <c r="T76" s="158"/>
      <c r="U76" s="158"/>
      <c r="V76" s="158"/>
      <c r="W76" s="159"/>
      <c r="AA76" s="17"/>
      <c r="AB76" s="12" t="s">
        <v>139</v>
      </c>
      <c r="AC76" s="12">
        <f>(AC75+E69)/2</f>
        <v>39.933333333333337</v>
      </c>
      <c r="AD76" s="12">
        <f>AC76*K15</f>
        <v>0.69696814796306905</v>
      </c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146"/>
      <c r="D77" s="152" t="s">
        <v>40</v>
      </c>
      <c r="E77" s="153"/>
      <c r="F77" s="166">
        <f>I77</f>
        <v>10</v>
      </c>
      <c r="G77" s="167"/>
      <c r="H77" s="167"/>
      <c r="I77" s="203">
        <v>10</v>
      </c>
      <c r="J77" s="203"/>
      <c r="K77" s="203"/>
      <c r="L77" s="203"/>
      <c r="M77" s="203"/>
      <c r="N77" s="275"/>
      <c r="O77" s="275"/>
      <c r="P77" s="275"/>
      <c r="Q77" s="275"/>
      <c r="R77" s="275"/>
      <c r="S77" s="275"/>
      <c r="T77" s="275"/>
      <c r="U77" s="275"/>
      <c r="V77" s="275"/>
      <c r="W77" s="275"/>
      <c r="AA77" s="17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146"/>
      <c r="D78" s="152"/>
      <c r="E78" s="153"/>
      <c r="F78" s="166"/>
      <c r="G78" s="167"/>
      <c r="H78" s="167"/>
      <c r="I78" s="203"/>
      <c r="J78" s="203"/>
      <c r="K78" s="203"/>
      <c r="L78" s="203"/>
      <c r="M78" s="203"/>
      <c r="N78" s="275"/>
      <c r="O78" s="275"/>
      <c r="P78" s="275"/>
      <c r="Q78" s="275"/>
      <c r="R78" s="275"/>
      <c r="S78" s="275"/>
      <c r="T78" s="275"/>
      <c r="U78" s="275"/>
      <c r="V78" s="275"/>
      <c r="W78" s="275"/>
      <c r="AA78" s="17"/>
      <c r="AB78" s="1" t="s">
        <v>55</v>
      </c>
      <c r="AC78" s="1">
        <f>E71+AC73*SIN(AC72)/COS(AD76)</f>
        <v>6.0931379837585844</v>
      </c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146"/>
      <c r="D79" s="152" t="s">
        <v>43</v>
      </c>
      <c r="E79" s="153"/>
      <c r="F79" s="166">
        <v>2</v>
      </c>
      <c r="G79" s="167"/>
      <c r="H79" s="167"/>
      <c r="I79" s="165" t="s">
        <v>136</v>
      </c>
      <c r="J79" s="165"/>
      <c r="K79" s="165"/>
      <c r="L79" s="165"/>
      <c r="M79" s="165"/>
      <c r="N79" s="156" t="str">
        <f t="array" ref="N79">heureDecimal2Txt(F79)</f>
        <v>02:00:00.00(02.0000)</v>
      </c>
      <c r="O79" s="156"/>
      <c r="P79" s="156"/>
      <c r="Q79" s="156"/>
      <c r="R79" s="156"/>
      <c r="S79" s="156"/>
      <c r="T79" s="156"/>
      <c r="U79" s="156"/>
      <c r="V79" s="156"/>
      <c r="W79" s="157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147"/>
      <c r="D80" s="180"/>
      <c r="E80" s="181"/>
      <c r="F80" s="166"/>
      <c r="G80" s="167"/>
      <c r="H80" s="167"/>
      <c r="I80" s="165"/>
      <c r="J80" s="165"/>
      <c r="K80" s="165"/>
      <c r="L80" s="165"/>
      <c r="M80" s="165"/>
      <c r="N80" s="158"/>
      <c r="O80" s="158"/>
      <c r="P80" s="158"/>
      <c r="Q80" s="158"/>
      <c r="R80" s="158"/>
      <c r="S80" s="158"/>
      <c r="T80" s="158"/>
      <c r="U80" s="158"/>
      <c r="V80" s="158"/>
      <c r="W80" s="159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160" t="s">
        <v>42</v>
      </c>
      <c r="G83" s="161"/>
      <c r="H83" s="161"/>
      <c r="I83" s="161"/>
      <c r="J83" s="161"/>
      <c r="K83" s="161"/>
      <c r="L83" s="161"/>
      <c r="M83" s="161"/>
      <c r="N83" s="161"/>
      <c r="O83" s="161"/>
      <c r="P83" s="161"/>
      <c r="Q83" s="161"/>
      <c r="R83" s="161"/>
      <c r="S83" s="161"/>
      <c r="T83" s="161"/>
      <c r="U83" s="161"/>
      <c r="V83" s="161"/>
      <c r="W83" s="161"/>
      <c r="X83" s="161"/>
      <c r="Y83" s="162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201" t="s">
        <v>20</v>
      </c>
      <c r="G84" s="148">
        <f>E69+F77*F79*COS(F75*K15)/60</f>
        <v>39.85</v>
      </c>
      <c r="H84" s="148"/>
      <c r="I84" s="148"/>
      <c r="J84" s="148"/>
      <c r="K84" s="148"/>
      <c r="L84" s="148"/>
      <c r="M84" s="148"/>
      <c r="N84" s="148"/>
      <c r="O84" s="148"/>
      <c r="P84" s="276" t="str">
        <f t="array" ref="P84">angleDecimal2Txt(G84)</f>
        <v>+39°51.00 (+39.8500) [+39°51'00.00]</v>
      </c>
      <c r="Q84" s="276"/>
      <c r="R84" s="276"/>
      <c r="S84" s="276"/>
      <c r="T84" s="276"/>
      <c r="U84" s="276"/>
      <c r="V84" s="276"/>
      <c r="W84" s="276"/>
      <c r="X84" s="276"/>
      <c r="Y84" s="277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202"/>
      <c r="G85" s="148"/>
      <c r="H85" s="148"/>
      <c r="I85" s="148"/>
      <c r="J85" s="148"/>
      <c r="K85" s="148"/>
      <c r="L85" s="148"/>
      <c r="M85" s="148"/>
      <c r="N85" s="148"/>
      <c r="O85" s="148"/>
      <c r="P85" s="158"/>
      <c r="Q85" s="158"/>
      <c r="R85" s="158"/>
      <c r="S85" s="158"/>
      <c r="T85" s="158"/>
      <c r="U85" s="158"/>
      <c r="V85" s="158"/>
      <c r="W85" s="158"/>
      <c r="X85" s="158"/>
      <c r="Y85" s="159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154" t="s">
        <v>21</v>
      </c>
      <c r="G86" s="149">
        <f>AC78</f>
        <v>6.0931379837585844</v>
      </c>
      <c r="H86" s="148"/>
      <c r="I86" s="148"/>
      <c r="J86" s="148"/>
      <c r="K86" s="148"/>
      <c r="L86" s="148"/>
      <c r="M86" s="148"/>
      <c r="N86" s="148"/>
      <c r="O86" s="148"/>
      <c r="P86" s="156" t="str">
        <f t="array" ref="P86">angleDecimal2Txt(G86)</f>
        <v>+06°05.58 (+06.0931) [+06°05'35.29]</v>
      </c>
      <c r="Q86" s="156"/>
      <c r="R86" s="156"/>
      <c r="S86" s="156"/>
      <c r="T86" s="156"/>
      <c r="U86" s="156"/>
      <c r="V86" s="156"/>
      <c r="W86" s="156"/>
      <c r="X86" s="156"/>
      <c r="Y86" s="157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155"/>
      <c r="G87" s="148"/>
      <c r="H87" s="148"/>
      <c r="I87" s="148"/>
      <c r="J87" s="148"/>
      <c r="K87" s="148"/>
      <c r="L87" s="148"/>
      <c r="M87" s="148"/>
      <c r="N87" s="148"/>
      <c r="O87" s="148"/>
      <c r="P87" s="158"/>
      <c r="Q87" s="158"/>
      <c r="R87" s="158"/>
      <c r="S87" s="158"/>
      <c r="T87" s="158"/>
      <c r="U87" s="158"/>
      <c r="V87" s="158"/>
      <c r="W87" s="158"/>
      <c r="X87" s="158"/>
      <c r="Y87" s="159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106</v>
      </c>
      <c r="G89" s="60"/>
      <c r="H89" s="194">
        <f>G84-E69</f>
        <v>-0.1666666666666643</v>
      </c>
      <c r="I89" s="195"/>
      <c r="J89" s="195" t="str">
        <f t="array" ref="J89">angleDecimal2Txt(H89)</f>
        <v>-00°09.99 (-00.1666) [-00°09'59.99]</v>
      </c>
      <c r="K89" s="195"/>
      <c r="L89" s="195"/>
      <c r="M89" s="195"/>
      <c r="N89" s="195"/>
      <c r="O89" s="195"/>
      <c r="AB89" s="12"/>
      <c r="AC89" s="12"/>
      <c r="AD89" s="12"/>
    </row>
    <row r="90" spans="2:61" ht="15" customHeight="1">
      <c r="F90" s="60" t="s">
        <v>140</v>
      </c>
      <c r="G90" s="60"/>
      <c r="H90" s="194">
        <f>G86-E71</f>
        <v>0.37647131709191761</v>
      </c>
      <c r="I90" s="195"/>
      <c r="J90" s="195" t="str">
        <f t="array" ref="J90">angleDecimal2Txt(H90)</f>
        <v>+00°22.58 (+00.3764) [+00°22'35.29]</v>
      </c>
      <c r="K90" s="195"/>
      <c r="L90" s="195"/>
      <c r="M90" s="195"/>
      <c r="N90" s="195"/>
      <c r="O90" s="195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149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55" t="s">
        <v>10</v>
      </c>
      <c r="D96" s="256"/>
      <c r="E96" s="256"/>
      <c r="F96" s="256"/>
      <c r="G96" s="256"/>
      <c r="H96" s="257"/>
      <c r="I96" s="261">
        <f>AB96</f>
        <v>-0.05</v>
      </c>
      <c r="J96" s="262"/>
      <c r="K96" s="262"/>
      <c r="L96" s="263" t="s">
        <v>59</v>
      </c>
      <c r="M96" s="264"/>
      <c r="N96" s="264"/>
      <c r="O96" s="191">
        <f>AB96</f>
        <v>-0.05</v>
      </c>
      <c r="P96" s="191"/>
      <c r="Q96" s="191"/>
      <c r="R96" s="191"/>
      <c r="S96" s="191"/>
      <c r="T96" s="191"/>
      <c r="U96" s="191"/>
      <c r="V96" s="191"/>
      <c r="W96" s="191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1:60" s="1" customFormat="1" ht="15" customHeight="1" thickTop="1" thickBot="1">
      <c r="C97" s="188" t="s">
        <v>15</v>
      </c>
      <c r="D97" s="188"/>
      <c r="E97" s="188"/>
      <c r="F97" s="188"/>
      <c r="G97" s="188"/>
      <c r="H97" s="188"/>
      <c r="I97" s="189">
        <f>AB97</f>
        <v>2.5833333333333335</v>
      </c>
      <c r="J97" s="190"/>
      <c r="K97" s="190"/>
      <c r="L97" s="258" t="s">
        <v>148</v>
      </c>
      <c r="M97" s="259"/>
      <c r="N97" s="260"/>
      <c r="O97" s="191">
        <f>AB97</f>
        <v>2.5833333333333335</v>
      </c>
      <c r="P97" s="191"/>
      <c r="Q97" s="191"/>
      <c r="R97" s="191"/>
      <c r="S97" s="191"/>
      <c r="T97" s="191"/>
      <c r="U97" s="191"/>
      <c r="V97" s="191"/>
      <c r="W97" s="191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1:60" s="1" customFormat="1" ht="15" customHeight="1" thickTop="1" thickBot="1">
      <c r="C98" s="188" t="s">
        <v>60</v>
      </c>
      <c r="D98" s="188"/>
      <c r="E98" s="188"/>
      <c r="F98" s="188"/>
      <c r="G98" s="188"/>
      <c r="H98" s="188"/>
      <c r="I98" s="189">
        <f>AB98</f>
        <v>2.5333333333333337</v>
      </c>
      <c r="J98" s="190"/>
      <c r="K98" s="190"/>
      <c r="L98" s="258" t="s">
        <v>148</v>
      </c>
      <c r="M98" s="259"/>
      <c r="N98" s="260"/>
      <c r="O98" s="191" t="str">
        <f t="array" ref="O98">angleDecimal2Txt(AC98)</f>
        <v>+00°00.00 (+00.0000) [+00°00'00.00]</v>
      </c>
      <c r="P98" s="191"/>
      <c r="Q98" s="191"/>
      <c r="R98" s="191"/>
      <c r="S98" s="191"/>
      <c r="T98" s="191"/>
      <c r="U98" s="191"/>
      <c r="V98" s="191"/>
      <c r="W98" s="191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1:60" s="1" customFormat="1" ht="15" customHeight="1" thickTop="1">
      <c r="C99" s="188" t="s">
        <v>61</v>
      </c>
      <c r="D99" s="188"/>
      <c r="E99" s="188"/>
      <c r="F99" s="188"/>
      <c r="G99" s="188"/>
      <c r="H99" s="188"/>
      <c r="I99" s="189">
        <v>13</v>
      </c>
      <c r="J99" s="190"/>
      <c r="K99" s="190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1:60" ht="15" customHeight="1">
      <c r="AA100" s="14"/>
      <c r="AB100" s="14"/>
      <c r="AC100" s="14"/>
    </row>
    <row r="101" spans="1:60" ht="15" customHeight="1">
      <c r="AA101" s="14"/>
      <c r="AB101" s="14"/>
      <c r="AC101" s="14"/>
    </row>
    <row r="102" spans="1:60" ht="15" customHeight="1">
      <c r="I102" s="254" t="s">
        <v>62</v>
      </c>
      <c r="J102" s="254"/>
      <c r="K102" s="254"/>
      <c r="L102" s="254">
        <f>I99/TAN(I98*PI()/180)</f>
        <v>293.82619257974028</v>
      </c>
      <c r="M102" s="254"/>
      <c r="AA102" s="14"/>
      <c r="AB102" s="14"/>
      <c r="AC102" s="14"/>
    </row>
    <row r="103" spans="1:60" ht="15" customHeight="1">
      <c r="I103" s="254" t="s">
        <v>37</v>
      </c>
      <c r="J103" s="254"/>
      <c r="K103" s="254"/>
      <c r="L103" s="254">
        <f>L102/1852</f>
        <v>0.15865345171692238</v>
      </c>
      <c r="M103" s="254"/>
      <c r="AA103" s="14"/>
      <c r="AB103" s="14"/>
      <c r="AC103" s="14"/>
    </row>
    <row r="104" spans="1:60" ht="15" customHeight="1">
      <c r="AA104" s="14"/>
      <c r="AB104" s="14"/>
      <c r="AC104" s="14"/>
    </row>
    <row r="105" spans="1:60" ht="15" customHeight="1">
      <c r="AA105" s="14"/>
      <c r="AB105" s="14"/>
      <c r="AC105" s="14"/>
    </row>
    <row r="106" spans="1:60" ht="15" customHeight="1">
      <c r="AA106" s="14"/>
      <c r="AB106" s="14"/>
      <c r="AC106" s="14"/>
    </row>
    <row r="107" spans="1:60" ht="15" customHeight="1" thickBot="1">
      <c r="AA107" s="14"/>
      <c r="AB107" s="14"/>
      <c r="AC107" s="14"/>
    </row>
    <row r="108" spans="1:60" ht="15" customHeight="1" thickBot="1">
      <c r="A108" s="1"/>
      <c r="B108" s="2" t="s">
        <v>141</v>
      </c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8"/>
      <c r="AB108" s="14"/>
      <c r="AC108" s="14"/>
    </row>
    <row r="109" spans="1:60" ht="15" customHeight="1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7"/>
      <c r="AB109" s="14"/>
      <c r="AC109" s="14"/>
    </row>
    <row r="110" spans="1:60" ht="15" customHeight="1">
      <c r="A110" s="1"/>
      <c r="C110" s="12"/>
      <c r="D110" s="12"/>
      <c r="E110" s="51" t="s">
        <v>29</v>
      </c>
      <c r="F110" s="51" t="s">
        <v>166</v>
      </c>
      <c r="G110" s="51" t="s">
        <v>22</v>
      </c>
      <c r="H110" s="12"/>
      <c r="I110" s="12"/>
      <c r="J110" s="12"/>
      <c r="K110" s="12"/>
      <c r="L110" s="62"/>
      <c r="M110" s="12"/>
      <c r="N110" s="12"/>
      <c r="O110" s="12"/>
      <c r="P110" s="12" t="s">
        <v>33</v>
      </c>
      <c r="Q110" s="12" t="s">
        <v>145</v>
      </c>
      <c r="R110" s="12" t="s">
        <v>146</v>
      </c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4"/>
    </row>
    <row r="111" spans="1:60" ht="15" customHeight="1">
      <c r="A111" s="1"/>
      <c r="B111" s="1"/>
      <c r="C111" s="12"/>
      <c r="D111" s="12"/>
      <c r="E111" s="51">
        <v>23.13</v>
      </c>
      <c r="F111" s="51">
        <v>27.25</v>
      </c>
      <c r="G111" s="51">
        <v>328.93</v>
      </c>
      <c r="H111" s="12"/>
      <c r="I111" s="63" t="s">
        <v>143</v>
      </c>
      <c r="J111" s="63">
        <f>SIN(E112)*SIN(F112)+COS(E112)*COS(G112)*COS(F112)</f>
        <v>0.88012731306072611</v>
      </c>
      <c r="K111" s="12"/>
      <c r="L111" s="64" t="s">
        <v>142</v>
      </c>
      <c r="M111" s="65">
        <f>ASIN(J111)*$K$16</f>
        <v>61.657724934347911</v>
      </c>
      <c r="N111" s="12"/>
      <c r="O111" s="12"/>
      <c r="P111" s="12">
        <v>72.890799999999999</v>
      </c>
      <c r="Q111" s="12">
        <f>P111-M111</f>
        <v>11.233075065652088</v>
      </c>
      <c r="R111" s="12">
        <f>Q111*60</f>
        <v>673.98450393912526</v>
      </c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4"/>
    </row>
    <row r="112" spans="1:60" ht="15" customHeight="1">
      <c r="A112" s="1"/>
      <c r="B112" s="1"/>
      <c r="C112" s="12"/>
      <c r="D112" s="12"/>
      <c r="E112" s="66">
        <f>E111*$K$15</f>
        <v>0.4036946559862884</v>
      </c>
      <c r="F112" s="66">
        <f>F111*$K$15</f>
        <v>0.4756022211684548</v>
      </c>
      <c r="G112" s="66">
        <f>G111*$K$15</f>
        <v>5.740911508584948</v>
      </c>
      <c r="H112" s="12"/>
      <c r="I112" s="12"/>
      <c r="J112" s="12"/>
      <c r="K112" s="12"/>
      <c r="L112" s="67"/>
      <c r="M112" s="63">
        <f>M111*$K$15</f>
        <v>1.0761303093933756</v>
      </c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4"/>
    </row>
    <row r="113" spans="1:29" ht="15" customHeight="1">
      <c r="A113" s="1"/>
      <c r="B113" s="1"/>
      <c r="C113" s="12"/>
      <c r="D113" s="12"/>
      <c r="E113" s="12"/>
      <c r="F113" s="12"/>
      <c r="G113" s="12"/>
      <c r="H113" s="12"/>
      <c r="I113" s="63" t="s">
        <v>144</v>
      </c>
      <c r="J113" s="63">
        <f>((SIN(E112)-SIN(F112)*SIN(M112))/(COS(F112)*COS(M112)))</f>
        <v>-2.4093493424369321E-2</v>
      </c>
      <c r="K113" s="12"/>
      <c r="L113" s="60" t="s">
        <v>31</v>
      </c>
      <c r="M113" s="60">
        <f>ACOS(J113)*$K$16</f>
        <v>91.380589080089095</v>
      </c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4"/>
    </row>
    <row r="114" spans="1:29" ht="15" customHeight="1">
      <c r="H114" s="12"/>
      <c r="I114" s="12"/>
      <c r="J114" s="12"/>
      <c r="K114" s="12"/>
      <c r="L114" s="12"/>
      <c r="M114" s="12"/>
      <c r="N114" s="12"/>
      <c r="R114" s="14">
        <f>360-M113</f>
        <v>268.61941091991093</v>
      </c>
      <c r="AA114" s="14"/>
      <c r="AB114" s="14"/>
      <c r="AC114" s="14"/>
    </row>
    <row r="115" spans="1:29" ht="15" customHeight="1">
      <c r="H115" s="12"/>
      <c r="I115" s="12"/>
      <c r="J115" s="12"/>
      <c r="K115" s="12"/>
      <c r="L115" s="12"/>
      <c r="M115" s="12"/>
      <c r="N115" s="12"/>
      <c r="AA115" s="14"/>
      <c r="AB115" s="14"/>
      <c r="AC115" s="14"/>
    </row>
    <row r="116" spans="1:29" ht="15" customHeight="1">
      <c r="H116" s="12"/>
      <c r="I116" s="12"/>
      <c r="J116" s="12"/>
      <c r="K116" s="12"/>
      <c r="L116" s="12"/>
      <c r="M116" s="12"/>
      <c r="N116" s="12"/>
      <c r="AA116" s="14"/>
    </row>
    <row r="117" spans="1:29" ht="15" customHeight="1" thickBot="1">
      <c r="H117" s="12"/>
      <c r="I117" s="12"/>
      <c r="J117" s="12"/>
      <c r="K117" s="12"/>
      <c r="L117" s="12"/>
      <c r="M117" s="12"/>
      <c r="N117" s="12"/>
      <c r="AA117" s="14"/>
    </row>
    <row r="118" spans="1:29" ht="15" customHeight="1" thickBot="1">
      <c r="B118" s="2" t="s">
        <v>151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8"/>
    </row>
    <row r="119" spans="1:29" ht="15" customHeight="1">
      <c r="H119" s="12"/>
      <c r="I119" s="12"/>
      <c r="J119" s="12"/>
      <c r="K119" s="12"/>
      <c r="L119" s="12"/>
      <c r="M119" s="12"/>
      <c r="N119" s="12"/>
    </row>
    <row r="120" spans="1:29" ht="15" customHeight="1" thickBot="1">
      <c r="B120" s="14" t="s">
        <v>152</v>
      </c>
      <c r="O120" s="14" t="s">
        <v>153</v>
      </c>
    </row>
    <row r="121" spans="1:29" ht="15" customHeight="1" thickTop="1" thickBot="1">
      <c r="C121" s="250" t="s">
        <v>8</v>
      </c>
      <c r="D121" s="250"/>
      <c r="E121" s="250"/>
      <c r="F121" s="209" t="s">
        <v>7</v>
      </c>
      <c r="G121" s="209"/>
      <c r="H121" s="209"/>
      <c r="I121" s="210" t="s">
        <v>16</v>
      </c>
      <c r="J121" s="210"/>
      <c r="K121" s="210"/>
      <c r="L121" s="210"/>
      <c r="M121" s="210"/>
      <c r="N121" s="10"/>
      <c r="O121" s="281" t="s">
        <v>13</v>
      </c>
      <c r="P121" s="282"/>
      <c r="Q121" s="282"/>
      <c r="R121" s="283"/>
      <c r="S121" s="214" t="s">
        <v>14</v>
      </c>
      <c r="T121" s="215"/>
      <c r="U121" s="216"/>
      <c r="V121" s="210" t="s">
        <v>16</v>
      </c>
      <c r="W121" s="210"/>
      <c r="X121" s="210"/>
      <c r="Y121" s="210"/>
      <c r="Z121" s="210"/>
    </row>
    <row r="122" spans="1:29" ht="15" customHeight="1" thickTop="1" thickBot="1">
      <c r="C122" s="265" t="s">
        <v>26</v>
      </c>
      <c r="D122" s="266"/>
      <c r="E122" s="267"/>
      <c r="F122" s="268">
        <f t="array" ref="F122">heureConvert2Decimal(C122)</f>
        <v>11.983333333333333</v>
      </c>
      <c r="G122" s="269"/>
      <c r="H122" s="270"/>
      <c r="I122" s="271" t="str">
        <f t="array" ref="I122">heureDecimal2Txt(F122)</f>
        <v>11:59:00.00(11.9833)</v>
      </c>
      <c r="J122" s="272"/>
      <c r="K122" s="272"/>
      <c r="L122" s="272"/>
      <c r="M122" s="273"/>
      <c r="O122" s="228" t="s">
        <v>165</v>
      </c>
      <c r="P122" s="229"/>
      <c r="Q122" s="229"/>
      <c r="R122" s="230"/>
      <c r="S122" s="278">
        <f t="array" ref="S122">angleConvert2Decimal(O122)</f>
        <v>1</v>
      </c>
      <c r="T122" s="279"/>
      <c r="U122" s="280"/>
      <c r="V122" s="271" t="str">
        <f t="array" ref="V122">angleDecimal2Txt(S122)</f>
        <v>+01°00.00 (+01.0000) [+01°00'00.00]</v>
      </c>
      <c r="W122" s="272"/>
      <c r="X122" s="272"/>
      <c r="Y122" s="272"/>
      <c r="Z122" s="273"/>
    </row>
    <row r="123" spans="1:29" ht="15" customHeight="1" thickTop="1" thickBot="1">
      <c r="C123" s="265" t="s">
        <v>26</v>
      </c>
      <c r="D123" s="266"/>
      <c r="E123" s="267"/>
      <c r="F123" s="268">
        <f t="array" ref="F123">heureConvert2Decimal(C123)</f>
        <v>11.983333333333333</v>
      </c>
      <c r="G123" s="269"/>
      <c r="H123" s="270"/>
      <c r="I123" s="271" t="str">
        <f t="array" ref="I123">heureDecimal2Txt(F123)</f>
        <v>11:59:00.00(11.9833)</v>
      </c>
      <c r="J123" s="272"/>
      <c r="K123" s="272"/>
      <c r="L123" s="272"/>
      <c r="M123" s="273"/>
      <c r="O123" s="228" t="s">
        <v>147</v>
      </c>
      <c r="P123" s="229"/>
      <c r="Q123" s="229"/>
      <c r="R123" s="230"/>
      <c r="S123" s="278">
        <f t="array" ref="S123">angleConvert2Decimal(O123)</f>
        <v>0.46666666666666667</v>
      </c>
      <c r="T123" s="279"/>
      <c r="U123" s="280"/>
      <c r="V123" s="271" t="str">
        <f t="array" ref="V123">angleDecimal2Txt(S123)</f>
        <v>+00°28.00 (+00.4666) [+00°28'00.00]</v>
      </c>
      <c r="W123" s="272"/>
      <c r="X123" s="272"/>
      <c r="Y123" s="272"/>
      <c r="Z123" s="273"/>
    </row>
    <row r="124" spans="1:29" ht="15" customHeight="1" thickTop="1" thickBot="1">
      <c r="C124" s="265" t="s">
        <v>26</v>
      </c>
      <c r="D124" s="266"/>
      <c r="E124" s="267"/>
      <c r="F124" s="268">
        <f t="array" ref="F124">heureConvert2Decimal(C124)</f>
        <v>11.983333333333333</v>
      </c>
      <c r="G124" s="269"/>
      <c r="H124" s="270"/>
      <c r="I124" s="271" t="str">
        <f t="array" ref="I124">heureDecimal2Txt(F124)</f>
        <v>11:59:00.00(11.9833)</v>
      </c>
      <c r="J124" s="272"/>
      <c r="K124" s="272"/>
      <c r="L124" s="272"/>
      <c r="M124" s="273"/>
      <c r="O124" s="228" t="s">
        <v>147</v>
      </c>
      <c r="P124" s="229"/>
      <c r="Q124" s="229"/>
      <c r="R124" s="230"/>
      <c r="S124" s="278">
        <f t="array" ref="S124">angleConvert2Decimal(O124)</f>
        <v>0.46666666666666667</v>
      </c>
      <c r="T124" s="279"/>
      <c r="U124" s="280"/>
      <c r="V124" s="271" t="str">
        <f t="array" ref="V124">angleDecimal2Txt(S124)</f>
        <v>+00°28.00 (+00.4666) [+00°28'00.00]</v>
      </c>
      <c r="W124" s="272"/>
      <c r="X124" s="272"/>
      <c r="Y124" s="272"/>
      <c r="Z124" s="273"/>
    </row>
    <row r="125" spans="1:29" ht="15" customHeight="1" thickTop="1" thickBot="1">
      <c r="C125" s="265" t="s">
        <v>26</v>
      </c>
      <c r="D125" s="266"/>
      <c r="E125" s="267"/>
      <c r="F125" s="268">
        <f t="array" ref="F125">heureConvert2Decimal(C125)</f>
        <v>11.983333333333333</v>
      </c>
      <c r="G125" s="269"/>
      <c r="H125" s="270"/>
      <c r="I125" s="271" t="str">
        <f t="array" ref="I125">heureDecimal2Txt(F125)</f>
        <v>11:59:00.00(11.9833)</v>
      </c>
      <c r="J125" s="272"/>
      <c r="K125" s="272"/>
      <c r="L125" s="272"/>
      <c r="M125" s="273"/>
      <c r="O125" s="228" t="s">
        <v>147</v>
      </c>
      <c r="P125" s="229"/>
      <c r="Q125" s="229"/>
      <c r="R125" s="230"/>
      <c r="S125" s="278">
        <f t="array" ref="S125">angleConvert2Decimal(O125)</f>
        <v>0.46666666666666667</v>
      </c>
      <c r="T125" s="279"/>
      <c r="U125" s="280"/>
      <c r="V125" s="271" t="str">
        <f t="array" ref="V125">angleDecimal2Txt(S125)</f>
        <v>+00°28.00 (+00.4666) [+00°28'00.00]</v>
      </c>
      <c r="W125" s="272"/>
      <c r="X125" s="272"/>
      <c r="Y125" s="272"/>
      <c r="Z125" s="273"/>
    </row>
    <row r="126" spans="1:29" ht="15" customHeight="1" thickTop="1" thickBot="1">
      <c r="C126" s="265" t="s">
        <v>26</v>
      </c>
      <c r="D126" s="266"/>
      <c r="E126" s="267"/>
      <c r="F126" s="268">
        <f t="array" ref="F126">heureConvert2Decimal(C126)</f>
        <v>11.983333333333333</v>
      </c>
      <c r="G126" s="269"/>
      <c r="H126" s="270"/>
      <c r="I126" s="271" t="str">
        <f t="array" ref="I126">heureDecimal2Txt(F126)</f>
        <v>11:59:00.00(11.9833)</v>
      </c>
      <c r="J126" s="272"/>
      <c r="K126" s="272"/>
      <c r="L126" s="272"/>
      <c r="M126" s="273"/>
      <c r="O126" s="228" t="s">
        <v>147</v>
      </c>
      <c r="P126" s="229"/>
      <c r="Q126" s="229"/>
      <c r="R126" s="230"/>
      <c r="S126" s="278">
        <f t="array" ref="S126">angleConvert2Decimal(O126)</f>
        <v>0.46666666666666667</v>
      </c>
      <c r="T126" s="279"/>
      <c r="U126" s="280"/>
      <c r="V126" s="271" t="str">
        <f t="array" ref="V126">angleDecimal2Txt(S126)</f>
        <v>+00°28.00 (+00.4666) [+00°28'00.00]</v>
      </c>
      <c r="W126" s="272"/>
      <c r="X126" s="272"/>
      <c r="Y126" s="272"/>
      <c r="Z126" s="273"/>
    </row>
    <row r="127" spans="1:29" ht="15" customHeight="1" thickTop="1" thickBot="1">
      <c r="C127" s="265" t="s">
        <v>26</v>
      </c>
      <c r="D127" s="266"/>
      <c r="E127" s="267"/>
      <c r="F127" s="268">
        <f t="array" ref="F127">heureConvert2Decimal(C127)</f>
        <v>11.983333333333333</v>
      </c>
      <c r="G127" s="269"/>
      <c r="H127" s="270"/>
      <c r="I127" s="271" t="str">
        <f t="array" ref="I127">heureDecimal2Txt(F127)</f>
        <v>11:59:00.00(11.9833)</v>
      </c>
      <c r="J127" s="272"/>
      <c r="K127" s="272"/>
      <c r="L127" s="272"/>
      <c r="M127" s="273"/>
      <c r="O127" s="228" t="s">
        <v>147</v>
      </c>
      <c r="P127" s="229"/>
      <c r="Q127" s="229"/>
      <c r="R127" s="230"/>
      <c r="S127" s="278">
        <f t="array" ref="S127">angleConvert2Decimal(O127)</f>
        <v>0.46666666666666667</v>
      </c>
      <c r="T127" s="279"/>
      <c r="U127" s="280"/>
      <c r="V127" s="271" t="str">
        <f t="array" ref="V127">angleDecimal2Txt(S127)</f>
        <v>+00°28.00 (+00.4666) [+00°28'00.00]</v>
      </c>
      <c r="W127" s="272"/>
      <c r="X127" s="272"/>
      <c r="Y127" s="272"/>
      <c r="Z127" s="273"/>
    </row>
    <row r="128" spans="1:29" ht="15" customHeight="1" thickTop="1" thickBot="1">
      <c r="C128" s="265" t="s">
        <v>26</v>
      </c>
      <c r="D128" s="266"/>
      <c r="E128" s="267"/>
      <c r="F128" s="268">
        <f t="array" ref="F128">heureConvert2Decimal(C128)</f>
        <v>11.983333333333333</v>
      </c>
      <c r="G128" s="269"/>
      <c r="H128" s="270"/>
      <c r="I128" s="271" t="str">
        <f t="array" ref="I128">heureDecimal2Txt(F128)</f>
        <v>11:59:00.00(11.9833)</v>
      </c>
      <c r="J128" s="272"/>
      <c r="K128" s="272"/>
      <c r="L128" s="272"/>
      <c r="M128" s="273"/>
      <c r="O128" s="228" t="s">
        <v>147</v>
      </c>
      <c r="P128" s="229"/>
      <c r="Q128" s="229"/>
      <c r="R128" s="230"/>
      <c r="S128" s="278">
        <f t="array" ref="S128">angleConvert2Decimal(O128)</f>
        <v>0.46666666666666667</v>
      </c>
      <c r="T128" s="279"/>
      <c r="U128" s="280"/>
      <c r="V128" s="271" t="str">
        <f t="array" ref="V128">angleDecimal2Txt(S128)</f>
        <v>+00°28.00 (+00.4666) [+00°28'00.00]</v>
      </c>
      <c r="W128" s="272"/>
      <c r="X128" s="272"/>
      <c r="Y128" s="272"/>
      <c r="Z128" s="273"/>
    </row>
    <row r="129" spans="2:27" ht="15" customHeight="1" thickTop="1" thickBot="1">
      <c r="O129" s="228" t="s">
        <v>147</v>
      </c>
      <c r="P129" s="229"/>
      <c r="Q129" s="229"/>
      <c r="R129" s="230"/>
      <c r="S129" s="278">
        <f t="array" ref="S129">angleConvert2Decimal(O129)</f>
        <v>0.46666666666666667</v>
      </c>
      <c r="T129" s="279"/>
      <c r="U129" s="280"/>
      <c r="V129" s="271" t="str">
        <f t="array" ref="V129">angleDecimal2Txt(S129)</f>
        <v>+00°28.00 (+00.4666) [+00°28'00.00]</v>
      </c>
      <c r="W129" s="272"/>
      <c r="X129" s="272"/>
      <c r="Y129" s="272"/>
      <c r="Z129" s="273"/>
    </row>
    <row r="130" spans="2:27" ht="15" customHeight="1" thickTop="1" thickBot="1">
      <c r="O130" s="228" t="s">
        <v>147</v>
      </c>
      <c r="P130" s="229"/>
      <c r="Q130" s="229"/>
      <c r="R130" s="230"/>
      <c r="S130" s="278">
        <f t="array" ref="S130">angleConvert2Decimal(O130)</f>
        <v>0.46666666666666667</v>
      </c>
      <c r="T130" s="279"/>
      <c r="U130" s="280"/>
      <c r="V130" s="271" t="str">
        <f t="array" ref="V130">angleDecimal2Txt(S130)</f>
        <v>+00°28.00 (+00.4666) [+00°28'00.00]</v>
      </c>
      <c r="W130" s="272"/>
      <c r="X130" s="272"/>
      <c r="Y130" s="272"/>
      <c r="Z130" s="273"/>
    </row>
    <row r="131" spans="2:27" ht="15" customHeight="1" thickTop="1" thickBot="1">
      <c r="O131" s="228" t="s">
        <v>147</v>
      </c>
      <c r="P131" s="229"/>
      <c r="Q131" s="229"/>
      <c r="R131" s="230"/>
      <c r="S131" s="278">
        <f t="array" ref="S131">angleConvert2Decimal(O131)</f>
        <v>0.46666666666666667</v>
      </c>
      <c r="T131" s="279"/>
      <c r="U131" s="280"/>
      <c r="V131" s="271" t="str">
        <f t="array" ref="V131">angleDecimal2Txt(S131)</f>
        <v>+00°28.00 (+00.4666) [+00°28'00.00]</v>
      </c>
      <c r="W131" s="272"/>
      <c r="X131" s="272"/>
      <c r="Y131" s="272"/>
      <c r="Z131" s="273"/>
    </row>
    <row r="132" spans="2:27" ht="15" customHeight="1" thickTop="1" thickBot="1">
      <c r="O132" s="228" t="s">
        <v>147</v>
      </c>
      <c r="P132" s="229"/>
      <c r="Q132" s="229"/>
      <c r="R132" s="230"/>
      <c r="S132" s="278">
        <f t="array" ref="S132">angleConvert2Decimal(O132)</f>
        <v>0.46666666666666667</v>
      </c>
      <c r="T132" s="279"/>
      <c r="U132" s="280"/>
      <c r="V132" s="271" t="str">
        <f t="array" ref="V132">angleDecimal2Txt(S132)</f>
        <v>+00°28.00 (+00.4666) [+00°28'00.00]</v>
      </c>
      <c r="W132" s="272"/>
      <c r="X132" s="272"/>
      <c r="Y132" s="272"/>
      <c r="Z132" s="273"/>
    </row>
    <row r="133" spans="2:27" ht="15" customHeight="1" thickTop="1" thickBot="1">
      <c r="O133" s="228" t="s">
        <v>147</v>
      </c>
      <c r="P133" s="229"/>
      <c r="Q133" s="229"/>
      <c r="R133" s="230"/>
      <c r="S133" s="278">
        <f t="array" ref="S133">angleConvert2Decimal(O133)</f>
        <v>0.46666666666666667</v>
      </c>
      <c r="T133" s="279"/>
      <c r="U133" s="280"/>
      <c r="V133" s="271" t="str">
        <f t="array" ref="V133">angleDecimal2Txt(S133)</f>
        <v>+00°28.00 (+00.4666) [+00°28'00.00]</v>
      </c>
      <c r="W133" s="272"/>
      <c r="X133" s="272"/>
      <c r="Y133" s="272"/>
      <c r="Z133" s="273"/>
    </row>
    <row r="134" spans="2:27" ht="15" customHeight="1" thickTop="1" thickBot="1">
      <c r="O134" s="228" t="s">
        <v>147</v>
      </c>
      <c r="P134" s="229"/>
      <c r="Q134" s="229"/>
      <c r="R134" s="230"/>
      <c r="S134" s="278">
        <f t="array" ref="S134">angleConvert2Decimal(O134)</f>
        <v>0.46666666666666667</v>
      </c>
      <c r="T134" s="279"/>
      <c r="U134" s="280"/>
      <c r="V134" s="271" t="str">
        <f t="array" ref="V134">angleDecimal2Txt(S134)</f>
        <v>+00°28.00 (+00.4666) [+00°28'00.00]</v>
      </c>
      <c r="W134" s="272"/>
      <c r="X134" s="272"/>
      <c r="Y134" s="272"/>
      <c r="Z134" s="273"/>
    </row>
    <row r="135" spans="2:27" ht="15" customHeight="1" thickTop="1" thickBot="1">
      <c r="B135" s="2" t="s">
        <v>164</v>
      </c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2"/>
    </row>
    <row r="136" spans="2:27" ht="15" customHeight="1">
      <c r="C136" s="284" t="s">
        <v>160</v>
      </c>
      <c r="D136" s="68" t="s">
        <v>154</v>
      </c>
      <c r="E136" s="69">
        <v>5</v>
      </c>
      <c r="F136" s="70"/>
      <c r="G136" s="254" t="s">
        <v>162</v>
      </c>
      <c r="H136" s="254"/>
      <c r="I136" s="254"/>
      <c r="J136" s="254"/>
      <c r="L136" s="14" t="s">
        <v>158</v>
      </c>
      <c r="M136" s="14">
        <f>(E137-E139)/(E136-E138)</f>
        <v>4.9616666666666669</v>
      </c>
    </row>
    <row r="137" spans="2:27" ht="15" customHeight="1">
      <c r="C137" s="284"/>
      <c r="D137" s="68" t="s">
        <v>155</v>
      </c>
      <c r="E137" s="69">
        <v>23.23</v>
      </c>
      <c r="F137" s="71" t="s">
        <v>163</v>
      </c>
      <c r="G137" s="68" t="s">
        <v>58</v>
      </c>
      <c r="H137" s="69">
        <v>10.5</v>
      </c>
      <c r="I137" s="72" t="s">
        <v>150</v>
      </c>
      <c r="J137" s="73">
        <f>M136*H137+M137</f>
        <v>50.519166666666671</v>
      </c>
      <c r="L137" s="14" t="s">
        <v>159</v>
      </c>
      <c r="M137" s="14">
        <f>E137-M136*(E136)</f>
        <v>-1.5783333333333331</v>
      </c>
    </row>
    <row r="138" spans="2:27" ht="15" customHeight="1">
      <c r="C138" s="285" t="s">
        <v>161</v>
      </c>
      <c r="D138" s="74" t="s">
        <v>156</v>
      </c>
      <c r="E138" s="69">
        <v>11</v>
      </c>
      <c r="F138" s="70"/>
      <c r="G138" s="70"/>
      <c r="H138" s="70"/>
      <c r="I138" s="70"/>
      <c r="J138" s="70"/>
    </row>
    <row r="139" spans="2:27" ht="15" customHeight="1">
      <c r="C139" s="285"/>
      <c r="D139" s="74" t="s">
        <v>157</v>
      </c>
      <c r="E139" s="69">
        <v>53</v>
      </c>
      <c r="F139" s="70"/>
      <c r="G139" s="70"/>
      <c r="H139" s="70"/>
      <c r="I139" s="70"/>
      <c r="J139" s="70"/>
    </row>
    <row r="141" spans="2:27" ht="15" customHeight="1">
      <c r="C141" s="284" t="s">
        <v>160</v>
      </c>
      <c r="D141" s="68" t="s">
        <v>154</v>
      </c>
      <c r="E141" s="69">
        <v>0</v>
      </c>
      <c r="F141" s="70"/>
      <c r="G141" s="254" t="s">
        <v>162</v>
      </c>
      <c r="H141" s="254"/>
      <c r="I141" s="254"/>
      <c r="J141" s="254"/>
      <c r="L141" s="14" t="s">
        <v>158</v>
      </c>
      <c r="M141" s="14">
        <f>(E142-E144)/(E141-E143)</f>
        <v>1</v>
      </c>
    </row>
    <row r="142" spans="2:27" ht="15" customHeight="1">
      <c r="C142" s="284"/>
      <c r="D142" s="68" t="s">
        <v>155</v>
      </c>
      <c r="E142" s="69">
        <v>0</v>
      </c>
      <c r="F142" s="71" t="s">
        <v>163</v>
      </c>
      <c r="G142" s="68" t="s">
        <v>58</v>
      </c>
      <c r="H142" s="69">
        <v>10.5</v>
      </c>
      <c r="I142" s="72" t="s">
        <v>150</v>
      </c>
      <c r="J142" s="73">
        <f>M141*H142+M142</f>
        <v>10.5</v>
      </c>
      <c r="L142" s="14" t="s">
        <v>159</v>
      </c>
      <c r="M142" s="14">
        <f>E142-M141*(E141)</f>
        <v>0</v>
      </c>
    </row>
    <row r="143" spans="2:27" ht="15" customHeight="1">
      <c r="C143" s="285" t="s">
        <v>161</v>
      </c>
      <c r="D143" s="74" t="s">
        <v>156</v>
      </c>
      <c r="E143" s="69">
        <v>11</v>
      </c>
      <c r="F143" s="70"/>
      <c r="G143" s="70"/>
      <c r="H143" s="70"/>
      <c r="I143" s="70"/>
      <c r="J143" s="70"/>
    </row>
    <row r="144" spans="2:27" ht="15" customHeight="1">
      <c r="C144" s="285"/>
      <c r="D144" s="74" t="s">
        <v>157</v>
      </c>
      <c r="E144" s="69">
        <v>11</v>
      </c>
      <c r="F144" s="70"/>
      <c r="G144" s="70"/>
      <c r="H144" s="70"/>
      <c r="I144" s="70"/>
      <c r="J144" s="70"/>
    </row>
    <row r="146" spans="3:13" ht="15" customHeight="1">
      <c r="C146" s="284" t="s">
        <v>160</v>
      </c>
      <c r="D146" s="68" t="s">
        <v>154</v>
      </c>
      <c r="E146" s="69">
        <v>0</v>
      </c>
      <c r="F146" s="70"/>
      <c r="G146" s="254" t="s">
        <v>162</v>
      </c>
      <c r="H146" s="254"/>
      <c r="I146" s="254"/>
      <c r="J146" s="254"/>
      <c r="L146" s="14" t="s">
        <v>158</v>
      </c>
      <c r="M146" s="14">
        <f>(E147-E149)/(E146-E148)</f>
        <v>-1</v>
      </c>
    </row>
    <row r="147" spans="3:13" ht="15" customHeight="1">
      <c r="C147" s="284"/>
      <c r="D147" s="68" t="s">
        <v>155</v>
      </c>
      <c r="E147" s="69">
        <v>11</v>
      </c>
      <c r="F147" s="71" t="s">
        <v>163</v>
      </c>
      <c r="G147" s="68" t="s">
        <v>58</v>
      </c>
      <c r="H147" s="69">
        <v>10.5</v>
      </c>
      <c r="I147" s="72" t="s">
        <v>150</v>
      </c>
      <c r="J147" s="73">
        <f>M146*H147+M147</f>
        <v>0.5</v>
      </c>
      <c r="L147" s="14" t="s">
        <v>159</v>
      </c>
      <c r="M147" s="14">
        <f>E147-M146*(E146)</f>
        <v>11</v>
      </c>
    </row>
    <row r="148" spans="3:13" ht="15" customHeight="1">
      <c r="C148" s="285" t="s">
        <v>161</v>
      </c>
      <c r="D148" s="74" t="s">
        <v>156</v>
      </c>
      <c r="E148" s="69">
        <v>11</v>
      </c>
      <c r="F148" s="70"/>
      <c r="G148" s="70"/>
      <c r="H148" s="70"/>
      <c r="I148" s="70"/>
      <c r="J148" s="70"/>
    </row>
    <row r="149" spans="3:13" ht="15" customHeight="1">
      <c r="C149" s="285"/>
      <c r="D149" s="74" t="s">
        <v>157</v>
      </c>
      <c r="E149" s="69">
        <v>0</v>
      </c>
      <c r="F149" s="70"/>
      <c r="G149" s="70"/>
      <c r="H149" s="70"/>
      <c r="I149" s="70"/>
      <c r="J149" s="70"/>
    </row>
  </sheetData>
  <mergeCells count="206"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opLeftCell="A92" zoomScaleNormal="100" workbookViewId="0">
      <selection activeCell="K99" sqref="K99:K112"/>
    </sheetView>
  </sheetViews>
  <sheetFormatPr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9" width="10.140625" customWidth="1"/>
    <col min="10" max="10" width="12.140625" customWidth="1"/>
    <col min="11" max="15" width="10.140625" customWidth="1"/>
    <col min="16" max="17" width="10.140625" style="83" customWidth="1"/>
    <col min="18" max="20" width="10.42578125" customWidth="1"/>
    <col min="21" max="26" width="2" customWidth="1"/>
    <col min="27" max="27" width="2" style="90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82" customFormat="1" ht="17.25" customHeight="1">
      <c r="C1" s="322" t="s">
        <v>79</v>
      </c>
      <c r="D1" s="322"/>
      <c r="E1" s="322"/>
      <c r="F1" s="322"/>
      <c r="G1" s="323" t="s">
        <v>80</v>
      </c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3"/>
      <c r="AB1" s="308" t="s">
        <v>167</v>
      </c>
      <c r="AC1" s="308"/>
      <c r="AD1" s="308"/>
      <c r="AM1" s="84"/>
    </row>
    <row r="2" spans="2:48" s="82" customFormat="1" ht="17.25" customHeight="1">
      <c r="C2" s="322"/>
      <c r="D2" s="322"/>
      <c r="E2" s="322"/>
      <c r="F2" s="322"/>
      <c r="G2" s="323"/>
      <c r="H2" s="323"/>
      <c r="I2" s="323"/>
      <c r="J2" s="323"/>
      <c r="K2" s="323"/>
      <c r="L2" s="323"/>
      <c r="M2" s="323"/>
      <c r="N2" s="323"/>
      <c r="O2" s="323"/>
      <c r="P2" s="323"/>
      <c r="Q2" s="323"/>
      <c r="R2" s="323"/>
      <c r="S2" s="323"/>
      <c r="T2" s="323"/>
      <c r="U2" s="323"/>
      <c r="V2" s="323"/>
      <c r="W2" s="323"/>
      <c r="X2" s="323"/>
      <c r="Y2" s="323"/>
      <c r="AB2" s="85" t="s">
        <v>85</v>
      </c>
      <c r="AC2"/>
      <c r="AD2"/>
      <c r="AM2" s="84"/>
    </row>
    <row r="3" spans="2:48" s="82" customFormat="1" ht="17.25" customHeight="1">
      <c r="C3" s="322"/>
      <c r="D3" s="322"/>
      <c r="E3" s="322"/>
      <c r="F3" s="322"/>
      <c r="G3" s="324" t="s">
        <v>82</v>
      </c>
      <c r="H3" s="324"/>
      <c r="I3" s="324"/>
      <c r="J3" s="326" t="s">
        <v>81</v>
      </c>
      <c r="K3" s="326"/>
      <c r="L3" s="326"/>
      <c r="P3" s="296" t="s">
        <v>254</v>
      </c>
      <c r="Q3" s="297"/>
      <c r="R3" s="297"/>
      <c r="S3" s="297"/>
      <c r="T3" s="297"/>
      <c r="AB3" s="86" t="s">
        <v>70</v>
      </c>
      <c r="AC3"/>
      <c r="AD3"/>
      <c r="AM3" s="84"/>
    </row>
    <row r="4" spans="2:48" s="82" customFormat="1" ht="17.25" customHeight="1">
      <c r="C4" s="322"/>
      <c r="D4" s="322"/>
      <c r="E4" s="322"/>
      <c r="F4" s="322"/>
      <c r="G4" s="325"/>
      <c r="H4" s="325"/>
      <c r="I4" s="325"/>
      <c r="J4" s="327"/>
      <c r="K4" s="327"/>
      <c r="L4" s="327"/>
      <c r="P4" s="296" t="s">
        <v>256</v>
      </c>
      <c r="Q4" s="297"/>
      <c r="R4" s="297"/>
      <c r="S4" s="297"/>
      <c r="T4" s="297"/>
      <c r="AB4" s="86" t="s">
        <v>71</v>
      </c>
      <c r="AC4"/>
      <c r="AD4"/>
      <c r="AM4" s="84"/>
    </row>
    <row r="5" spans="2:48" s="82" customFormat="1" ht="17.25" customHeight="1" thickBot="1">
      <c r="C5" s="87"/>
      <c r="D5" s="87"/>
      <c r="E5" s="87"/>
      <c r="F5" s="87"/>
      <c r="G5" s="87"/>
      <c r="P5" s="298" t="s">
        <v>257</v>
      </c>
      <c r="Q5" s="299"/>
      <c r="R5" s="299"/>
      <c r="S5" s="299"/>
      <c r="T5" s="299"/>
      <c r="AB5"/>
      <c r="AC5"/>
      <c r="AD5"/>
      <c r="AM5" s="84"/>
    </row>
    <row r="6" spans="2:48" s="82" customFormat="1" ht="17.25" customHeight="1" thickBot="1">
      <c r="B6" s="88" t="s">
        <v>168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B6"/>
      <c r="AC6"/>
      <c r="AD6"/>
      <c r="AM6" s="84"/>
    </row>
    <row r="7" spans="2:48">
      <c r="AC7" t="s">
        <v>90</v>
      </c>
      <c r="AD7" s="91">
        <f ca="1">TODAY()</f>
        <v>45545</v>
      </c>
      <c r="AI7" s="92">
        <f ca="1">AD7</f>
        <v>45545</v>
      </c>
      <c r="AQ7" t="s">
        <v>93</v>
      </c>
      <c r="AR7" t="s">
        <v>28</v>
      </c>
      <c r="AS7" t="s">
        <v>94</v>
      </c>
      <c r="AT7" t="s">
        <v>24</v>
      </c>
      <c r="AU7" t="s">
        <v>94</v>
      </c>
    </row>
    <row r="8" spans="2:48">
      <c r="B8" t="s">
        <v>209</v>
      </c>
      <c r="C8" t="b">
        <f>D8</f>
        <v>1</v>
      </c>
      <c r="D8" t="b">
        <f>TRUE</f>
        <v>1</v>
      </c>
      <c r="F8" s="338" t="s">
        <v>32</v>
      </c>
      <c r="G8" s="338"/>
      <c r="H8" s="338"/>
      <c r="I8" s="338"/>
      <c r="J8" s="338"/>
      <c r="K8" s="338"/>
      <c r="L8" s="338"/>
      <c r="M8" s="338"/>
      <c r="P8"/>
      <c r="R8" s="83"/>
      <c r="AA8"/>
      <c r="AB8" s="90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338" t="s">
        <v>69</v>
      </c>
      <c r="G9" s="338"/>
      <c r="H9" s="338"/>
      <c r="I9" s="338"/>
      <c r="J9" s="338" t="s">
        <v>72</v>
      </c>
      <c r="K9" s="338"/>
      <c r="L9" s="338"/>
      <c r="M9" s="338"/>
      <c r="P9"/>
      <c r="R9" s="83"/>
      <c r="AA9"/>
      <c r="AB9" s="90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338" t="s">
        <v>70</v>
      </c>
      <c r="G10" s="338"/>
      <c r="H10" s="338" t="s">
        <v>71</v>
      </c>
      <c r="I10" s="338"/>
      <c r="J10" s="338" t="s">
        <v>70</v>
      </c>
      <c r="K10" s="338"/>
      <c r="L10" s="338" t="s">
        <v>71</v>
      </c>
      <c r="M10" s="338"/>
      <c r="P10"/>
      <c r="Q10"/>
      <c r="AA10"/>
      <c r="AB10" s="90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312" t="s">
        <v>66</v>
      </c>
      <c r="C11" s="312"/>
      <c r="D11" s="328" t="s">
        <v>68</v>
      </c>
      <c r="E11" s="329"/>
      <c r="F11" s="93" t="s">
        <v>73</v>
      </c>
      <c r="G11" s="96" t="s">
        <v>208</v>
      </c>
      <c r="H11" s="93" t="s">
        <v>73</v>
      </c>
      <c r="I11" s="96" t="s">
        <v>208</v>
      </c>
      <c r="J11" s="93" t="s">
        <v>73</v>
      </c>
      <c r="K11" s="96" t="s">
        <v>208</v>
      </c>
      <c r="L11" s="93" t="s">
        <v>73</v>
      </c>
      <c r="M11" s="96" t="s">
        <v>208</v>
      </c>
      <c r="P11"/>
      <c r="Q11"/>
      <c r="AA11"/>
      <c r="AB11" s="90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309" t="s">
        <v>67</v>
      </c>
      <c r="C12" s="309"/>
      <c r="D12" s="330" t="s">
        <v>58</v>
      </c>
      <c r="E12" s="331"/>
      <c r="F12" s="97">
        <v>0.23</v>
      </c>
      <c r="G12" s="98" t="s">
        <v>75</v>
      </c>
      <c r="H12" s="97">
        <v>-2.1</v>
      </c>
      <c r="I12" s="99" t="s">
        <v>74</v>
      </c>
      <c r="J12" s="97">
        <v>0.13</v>
      </c>
      <c r="K12" s="98" t="s">
        <v>75</v>
      </c>
      <c r="L12" s="97">
        <v>-0.78</v>
      </c>
      <c r="M12" s="99" t="s">
        <v>77</v>
      </c>
      <c r="P12"/>
      <c r="Q12"/>
      <c r="AA12"/>
      <c r="AB12" s="90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309"/>
      <c r="C13" s="309"/>
      <c r="D13" s="330" t="s">
        <v>58</v>
      </c>
      <c r="E13" s="331"/>
      <c r="F13" s="97">
        <v>0.23</v>
      </c>
      <c r="G13" s="98" t="s">
        <v>75</v>
      </c>
      <c r="H13" s="97">
        <v>-2.1</v>
      </c>
      <c r="I13" s="99" t="s">
        <v>95</v>
      </c>
      <c r="J13" s="97">
        <v>0.13</v>
      </c>
      <c r="K13" s="98" t="s">
        <v>75</v>
      </c>
      <c r="L13" s="97">
        <v>-0.78</v>
      </c>
      <c r="M13" s="99" t="s">
        <v>77</v>
      </c>
      <c r="P13"/>
      <c r="Q13"/>
      <c r="AA13"/>
      <c r="AB13" s="90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310"/>
      <c r="C14" s="310"/>
      <c r="D14" s="332" t="s">
        <v>58</v>
      </c>
      <c r="E14" s="333"/>
      <c r="F14" s="100">
        <v>0.23</v>
      </c>
      <c r="G14" s="101" t="s">
        <v>75</v>
      </c>
      <c r="H14" s="100">
        <v>-2.1</v>
      </c>
      <c r="I14" s="102" t="s">
        <v>74</v>
      </c>
      <c r="J14" s="100">
        <v>0.13</v>
      </c>
      <c r="K14" s="101" t="s">
        <v>75</v>
      </c>
      <c r="L14" s="100">
        <v>-0.78</v>
      </c>
      <c r="M14" s="102" t="s">
        <v>77</v>
      </c>
      <c r="P14"/>
      <c r="Q14"/>
      <c r="AA14"/>
      <c r="AB14" s="90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313" t="s">
        <v>83</v>
      </c>
      <c r="C15" s="314"/>
      <c r="D15" s="334" t="s">
        <v>195</v>
      </c>
      <c r="E15" s="335"/>
      <c r="F15" s="103">
        <v>-0.25</v>
      </c>
      <c r="G15" s="104">
        <v>0</v>
      </c>
      <c r="H15" s="103">
        <v>0</v>
      </c>
      <c r="I15" s="104">
        <v>-0.05</v>
      </c>
      <c r="J15" s="103">
        <v>-0.15</v>
      </c>
      <c r="K15" s="104">
        <v>0</v>
      </c>
      <c r="L15" s="103">
        <v>-0.1</v>
      </c>
      <c r="M15" s="105">
        <v>0</v>
      </c>
      <c r="P15"/>
      <c r="Q15"/>
      <c r="AA15"/>
      <c r="AB15" s="90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315"/>
      <c r="C16" s="309"/>
      <c r="D16" s="330" t="s">
        <v>196</v>
      </c>
      <c r="E16" s="331"/>
      <c r="F16" s="106">
        <v>-0.85</v>
      </c>
      <c r="G16" s="107">
        <v>-0.1</v>
      </c>
      <c r="H16" s="106">
        <v>-0.05</v>
      </c>
      <c r="I16" s="107">
        <v>-0.2</v>
      </c>
      <c r="J16" s="106">
        <v>-0.6</v>
      </c>
      <c r="K16" s="107">
        <v>0</v>
      </c>
      <c r="L16" s="106">
        <v>-0.15</v>
      </c>
      <c r="M16" s="108">
        <v>-0.2</v>
      </c>
      <c r="P16"/>
      <c r="Q16"/>
      <c r="AA16"/>
      <c r="AB16" s="90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315"/>
      <c r="C17" s="309"/>
      <c r="D17" s="336" t="s">
        <v>197</v>
      </c>
      <c r="E17" s="337"/>
      <c r="F17" s="106">
        <v>-0.25</v>
      </c>
      <c r="G17" s="107">
        <v>0</v>
      </c>
      <c r="H17" s="106">
        <v>-0.05</v>
      </c>
      <c r="I17" s="107">
        <v>-0.15</v>
      </c>
      <c r="J17" s="106">
        <v>-0.2</v>
      </c>
      <c r="K17" s="107">
        <v>0</v>
      </c>
      <c r="L17" s="106">
        <v>-0.05</v>
      </c>
      <c r="M17" s="108">
        <v>-0.1</v>
      </c>
      <c r="P17"/>
      <c r="Q17"/>
      <c r="AA17"/>
      <c r="AB17" s="90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315"/>
      <c r="C18" s="309"/>
      <c r="D18" s="336" t="s">
        <v>198</v>
      </c>
      <c r="E18" s="337"/>
      <c r="F18" s="106">
        <v>-0.75</v>
      </c>
      <c r="G18" s="107">
        <v>-0.05</v>
      </c>
      <c r="H18" s="106">
        <v>0.1</v>
      </c>
      <c r="I18" s="107">
        <v>-0.25</v>
      </c>
      <c r="J18" s="106">
        <v>-0.45</v>
      </c>
      <c r="K18" s="107">
        <v>-0.05</v>
      </c>
      <c r="L18" s="106">
        <v>-0.1</v>
      </c>
      <c r="M18" s="108">
        <v>-0.25</v>
      </c>
      <c r="P18" s="126"/>
      <c r="Q18"/>
      <c r="AA18"/>
      <c r="AB18" s="90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315"/>
      <c r="C19" s="309"/>
      <c r="D19" s="336" t="s">
        <v>199</v>
      </c>
      <c r="E19" s="337"/>
      <c r="F19" s="106">
        <v>0.7</v>
      </c>
      <c r="G19" s="107">
        <v>0.05</v>
      </c>
      <c r="H19" s="106">
        <v>0.1</v>
      </c>
      <c r="I19" s="107">
        <v>0.1</v>
      </c>
      <c r="J19" s="106">
        <v>0.45</v>
      </c>
      <c r="K19" s="107">
        <v>0</v>
      </c>
      <c r="L19" s="106">
        <v>0.25</v>
      </c>
      <c r="M19" s="108">
        <v>0.05</v>
      </c>
      <c r="P19"/>
      <c r="Q19"/>
      <c r="AA19"/>
      <c r="AB19" s="90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315"/>
      <c r="C20" s="309"/>
      <c r="D20" s="336" t="s">
        <v>200</v>
      </c>
      <c r="E20" s="337"/>
      <c r="F20" s="106">
        <v>-1.45</v>
      </c>
      <c r="G20" s="107">
        <v>-0.25</v>
      </c>
      <c r="H20" s="106">
        <v>-0.05</v>
      </c>
      <c r="I20" s="107">
        <v>-0.45</v>
      </c>
      <c r="J20" s="106">
        <v>-0.95</v>
      </c>
      <c r="K20" s="107">
        <v>-0.2</v>
      </c>
      <c r="L20" s="106">
        <v>-0.3</v>
      </c>
      <c r="M20" s="108">
        <v>-0.4</v>
      </c>
      <c r="P20" s="127"/>
      <c r="Q20"/>
      <c r="AA20"/>
      <c r="AB20" s="90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315"/>
      <c r="C21" s="309"/>
      <c r="D21" s="336" t="s">
        <v>201</v>
      </c>
      <c r="E21" s="337"/>
      <c r="F21" s="106">
        <v>-0.05</v>
      </c>
      <c r="G21" s="107">
        <v>-0.05</v>
      </c>
      <c r="H21" s="106">
        <v>0</v>
      </c>
      <c r="I21" s="107">
        <v>-0.35</v>
      </c>
      <c r="J21" s="106">
        <v>-0.65</v>
      </c>
      <c r="K21" s="107">
        <v>-0.1</v>
      </c>
      <c r="L21" s="106">
        <v>-0.25</v>
      </c>
      <c r="M21" s="108">
        <v>-0.3</v>
      </c>
      <c r="P21"/>
      <c r="Q21"/>
      <c r="AA21"/>
      <c r="AB21" s="90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315"/>
      <c r="C22" s="309"/>
      <c r="D22" s="330" t="s">
        <v>202</v>
      </c>
      <c r="E22" s="331"/>
      <c r="F22" s="106">
        <v>-1.5</v>
      </c>
      <c r="G22" s="107">
        <v>-0.25</v>
      </c>
      <c r="H22" s="106">
        <v>0</v>
      </c>
      <c r="I22" s="107">
        <v>-0.45</v>
      </c>
      <c r="J22" s="106">
        <v>-0.95</v>
      </c>
      <c r="K22" s="107">
        <v>-0.2</v>
      </c>
      <c r="L22" s="106">
        <v>-0.3</v>
      </c>
      <c r="M22" s="108">
        <v>-0.4</v>
      </c>
      <c r="P22" s="127"/>
      <c r="Q22"/>
      <c r="AA22"/>
      <c r="AB22" s="90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315"/>
      <c r="C23" s="309"/>
      <c r="D23" s="330" t="s">
        <v>203</v>
      </c>
      <c r="E23" s="331"/>
      <c r="F23" s="99">
        <v>0.5</v>
      </c>
      <c r="G23" s="107" t="s">
        <v>205</v>
      </c>
      <c r="H23" s="97">
        <v>0.14000000000000001</v>
      </c>
      <c r="I23" s="99" t="s">
        <v>204</v>
      </c>
      <c r="J23" s="97">
        <v>0.32</v>
      </c>
      <c r="K23" s="98" t="s">
        <v>205</v>
      </c>
      <c r="L23" s="97">
        <v>0.1</v>
      </c>
      <c r="M23" s="109" t="s">
        <v>206</v>
      </c>
      <c r="P23"/>
      <c r="Q23"/>
      <c r="AA23"/>
      <c r="AB23" s="90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316"/>
      <c r="C24" s="317"/>
      <c r="D24" s="346" t="s">
        <v>83</v>
      </c>
      <c r="E24" s="347"/>
      <c r="F24" s="110">
        <v>0</v>
      </c>
      <c r="G24" s="111">
        <v>0</v>
      </c>
      <c r="H24" s="110">
        <v>0</v>
      </c>
      <c r="I24" s="111">
        <v>0</v>
      </c>
      <c r="J24" s="110">
        <v>0</v>
      </c>
      <c r="K24" s="111">
        <v>0</v>
      </c>
      <c r="L24" s="110">
        <v>0</v>
      </c>
      <c r="M24" s="112">
        <v>0</v>
      </c>
      <c r="P24"/>
      <c r="Q24"/>
      <c r="AA24"/>
      <c r="AB24" s="90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311" t="s">
        <v>84</v>
      </c>
      <c r="C25" s="311"/>
      <c r="D25" s="348" t="s">
        <v>58</v>
      </c>
      <c r="E25" s="349"/>
      <c r="F25" s="113">
        <v>0.1</v>
      </c>
      <c r="G25" s="114" t="s">
        <v>75</v>
      </c>
      <c r="H25" s="113">
        <v>-2.1</v>
      </c>
      <c r="I25" s="115" t="s">
        <v>74</v>
      </c>
      <c r="J25" s="113">
        <v>0.13</v>
      </c>
      <c r="K25" s="114" t="s">
        <v>75</v>
      </c>
      <c r="L25" s="113">
        <v>-0.78</v>
      </c>
      <c r="M25" s="115" t="s">
        <v>77</v>
      </c>
      <c r="P25"/>
      <c r="Q25"/>
      <c r="AA25"/>
      <c r="AB25" s="90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309"/>
      <c r="C26" s="309"/>
      <c r="D26" s="330" t="s">
        <v>58</v>
      </c>
      <c r="E26" s="331"/>
      <c r="F26" s="97">
        <v>0.23</v>
      </c>
      <c r="G26" s="98" t="s">
        <v>75</v>
      </c>
      <c r="H26" s="97">
        <v>-2.1</v>
      </c>
      <c r="I26" s="99" t="s">
        <v>74</v>
      </c>
      <c r="J26" s="97">
        <v>0.13</v>
      </c>
      <c r="K26" s="98" t="s">
        <v>75</v>
      </c>
      <c r="L26" s="97">
        <v>-0.78</v>
      </c>
      <c r="M26" s="99" t="s">
        <v>77</v>
      </c>
      <c r="P26"/>
      <c r="Q26"/>
      <c r="AA26"/>
      <c r="AB26" s="90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309"/>
      <c r="C27" s="309"/>
      <c r="D27" s="330" t="s">
        <v>58</v>
      </c>
      <c r="E27" s="331"/>
      <c r="F27" s="97">
        <v>0.23</v>
      </c>
      <c r="G27" s="98" t="s">
        <v>75</v>
      </c>
      <c r="H27" s="97">
        <v>-2.1</v>
      </c>
      <c r="I27" s="99" t="s">
        <v>74</v>
      </c>
      <c r="J27" s="97">
        <v>0.13</v>
      </c>
      <c r="K27" s="98" t="s">
        <v>75</v>
      </c>
      <c r="L27" s="97">
        <v>-0.78</v>
      </c>
      <c r="M27" s="99" t="s">
        <v>77</v>
      </c>
      <c r="P27"/>
      <c r="Q27"/>
      <c r="AA27"/>
      <c r="AB27" s="90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309" t="s">
        <v>215</v>
      </c>
      <c r="C28" s="309"/>
      <c r="D28" s="309" t="s">
        <v>215</v>
      </c>
      <c r="E28" s="309"/>
      <c r="F28" s="97">
        <v>0</v>
      </c>
      <c r="G28" s="98" t="s">
        <v>169</v>
      </c>
      <c r="H28" s="97">
        <v>0</v>
      </c>
      <c r="I28" s="98" t="s">
        <v>169</v>
      </c>
      <c r="J28" s="97">
        <v>0</v>
      </c>
      <c r="K28" s="98" t="s">
        <v>169</v>
      </c>
      <c r="L28" s="97">
        <v>0</v>
      </c>
      <c r="M28" s="98" t="s">
        <v>169</v>
      </c>
      <c r="P28"/>
      <c r="Q28"/>
      <c r="AA28"/>
      <c r="AB28" s="90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95" t="s">
        <v>68</v>
      </c>
      <c r="D30" s="116" t="s">
        <v>207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171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95" t="s">
        <v>66</v>
      </c>
      <c r="D31" s="116" t="s">
        <v>252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170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88" t="s">
        <v>172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K34" t="s">
        <v>250</v>
      </c>
      <c r="AL34">
        <v>5.39</v>
      </c>
    </row>
    <row r="35" spans="2:54">
      <c r="H35" s="339" t="s">
        <v>101</v>
      </c>
      <c r="I35" s="339"/>
      <c r="J35" s="339"/>
      <c r="K35" s="339"/>
      <c r="L35" s="339"/>
      <c r="M35" s="340"/>
      <c r="N35" s="340"/>
      <c r="O35" s="340"/>
      <c r="P35"/>
      <c r="Q35"/>
      <c r="AK35" t="s">
        <v>251</v>
      </c>
      <c r="AL35">
        <v>7.31</v>
      </c>
    </row>
    <row r="36" spans="2:54">
      <c r="C36" s="312" t="s">
        <v>78</v>
      </c>
      <c r="D36" s="312"/>
      <c r="E36" s="312"/>
      <c r="F36" s="312"/>
      <c r="G36" s="312"/>
      <c r="H36" s="341" t="s">
        <v>86</v>
      </c>
      <c r="I36" s="343" t="s">
        <v>211</v>
      </c>
      <c r="J36" s="320" t="s">
        <v>190</v>
      </c>
      <c r="K36" s="320"/>
      <c r="L36" s="321"/>
      <c r="M36" s="301" t="s">
        <v>191</v>
      </c>
      <c r="N36" s="301"/>
      <c r="O36" s="301"/>
      <c r="P36" s="301"/>
      <c r="Q36" s="301"/>
    </row>
    <row r="37" spans="2:54">
      <c r="C37" s="94" t="s">
        <v>85</v>
      </c>
      <c r="D37" s="94" t="s">
        <v>0</v>
      </c>
      <c r="E37" s="94" t="s">
        <v>6</v>
      </c>
      <c r="F37" s="94" t="s">
        <v>63</v>
      </c>
      <c r="G37" s="94" t="s">
        <v>98</v>
      </c>
      <c r="H37" s="342"/>
      <c r="I37" s="344"/>
      <c r="J37" s="119" t="s">
        <v>64</v>
      </c>
      <c r="K37" s="318" t="s">
        <v>6</v>
      </c>
      <c r="L37" s="319"/>
      <c r="M37" s="118" t="s">
        <v>186</v>
      </c>
      <c r="N37" s="301" t="s">
        <v>187</v>
      </c>
      <c r="O37" s="301"/>
      <c r="P37" s="301" t="s">
        <v>193</v>
      </c>
      <c r="Q37" s="301"/>
      <c r="AB37" t="s">
        <v>87</v>
      </c>
      <c r="AC37" t="s">
        <v>0</v>
      </c>
      <c r="AD37" t="s">
        <v>174</v>
      </c>
      <c r="AE37" t="s">
        <v>175</v>
      </c>
      <c r="AF37" t="s">
        <v>173</v>
      </c>
      <c r="AG37" t="s">
        <v>88</v>
      </c>
      <c r="AH37" t="s">
        <v>89</v>
      </c>
      <c r="AI37" t="s">
        <v>91</v>
      </c>
      <c r="AJ37" t="s">
        <v>92</v>
      </c>
      <c r="AK37" t="s">
        <v>96</v>
      </c>
      <c r="AL37" t="s">
        <v>185</v>
      </c>
      <c r="AM37" t="s">
        <v>63</v>
      </c>
      <c r="AN37" t="s">
        <v>76</v>
      </c>
      <c r="AO37" t="s">
        <v>183</v>
      </c>
      <c r="AP37" t="s">
        <v>184</v>
      </c>
      <c r="AQ37" t="s">
        <v>188</v>
      </c>
      <c r="AR37" t="s">
        <v>189</v>
      </c>
      <c r="AS37" s="120" t="s">
        <v>176</v>
      </c>
      <c r="AT37" s="120" t="s">
        <v>177</v>
      </c>
      <c r="AU37" s="300" t="s">
        <v>178</v>
      </c>
      <c r="AV37" s="300"/>
      <c r="AW37" s="300"/>
      <c r="AX37" s="300"/>
      <c r="AY37" s="300"/>
      <c r="AZ37" s="300"/>
      <c r="BA37" s="300"/>
      <c r="BB37" s="300"/>
    </row>
    <row r="38" spans="2:54">
      <c r="C38" s="121" t="str">
        <f>IF(G38&gt;G39,"PM","BM")</f>
        <v>BM</v>
      </c>
      <c r="D38" s="77" t="s">
        <v>216</v>
      </c>
      <c r="E38" s="75" t="s">
        <v>217</v>
      </c>
      <c r="F38" s="75"/>
      <c r="G38" s="79">
        <v>2.64</v>
      </c>
      <c r="H38" s="117" t="str">
        <f t="shared" ref="H38:H64" si="8">IF(AL38,"Y","N")</f>
        <v>Y</v>
      </c>
      <c r="I38" s="117" t="str">
        <f t="shared" ref="I38:I64" si="9">IF(AN38,"Y","N")</f>
        <v>Y</v>
      </c>
      <c r="J38" s="122">
        <f t="shared" ref="J38:J64" si="10">IF(AL38,AO38,NA())</f>
        <v>0</v>
      </c>
      <c r="K38" s="320" t="str">
        <f t="array" ref="K38">IF(AL38,heureDecimal2Txt(AP38),NA())</f>
        <v>00:00:00.00(00.0000)</v>
      </c>
      <c r="L38" s="321"/>
      <c r="M38" s="118">
        <f t="shared" ref="M38:M64" si="11">G38+J38</f>
        <v>2.64</v>
      </c>
      <c r="N38" s="301" t="str">
        <f t="array" ref="N38">IF(AL38,dateEpoch2Txt(AR38),NA())</f>
        <v>2015/03/01 03:09</v>
      </c>
      <c r="O38" s="301"/>
      <c r="P38" s="302">
        <f t="shared" ref="P38:P64" si="12">IF(AL38,AR38/3600, NA())</f>
        <v>395883.15</v>
      </c>
      <c r="Q38" s="303"/>
      <c r="AB38" t="b">
        <f t="shared" ref="AB38:AB64" si="13">(C38=$AB$3)</f>
        <v>0</v>
      </c>
      <c r="AC38">
        <f>IF(ISBLANK(D38),0,dateConvert2Decimal(D38))</f>
        <v>1425168000</v>
      </c>
      <c r="AD38" cm="1">
        <f t="array" ref="AD38">IF(ISBLANK(E38),0,heureConvert2Decimal(E38))*3600</f>
        <v>11340</v>
      </c>
      <c r="AE38">
        <f t="shared" ref="AE38:AE64" si="14">AC38+AD38</f>
        <v>1425179340</v>
      </c>
      <c r="AF38" s="123" t="b">
        <f t="shared" ref="AF38:AF64" si="15">IF(AB38, IF(ISNUMBER(F38), TRUE, FALSE), IF(AF39,AF39,AF37))</f>
        <v>1</v>
      </c>
      <c r="AG38" s="123" t="b">
        <f t="shared" ref="AG38:AG64" si="16">ISNUMBER(G38)</f>
        <v>1</v>
      </c>
      <c r="AH38" s="123" t="b">
        <f t="shared" ref="AH38:AH64" si="17">AC38&gt;0</f>
        <v>1</v>
      </c>
      <c r="AI38" s="123" t="b">
        <f t="shared" ref="AI38:AI64" si="18">AD38&gt;0</f>
        <v>1</v>
      </c>
      <c r="AJ38" s="123" t="b">
        <f t="shared" ref="AJ38:AJ64" si="19">IF(AG38,IF(G38&gt;0,TRUE,FALSE),FALSE)</f>
        <v>1</v>
      </c>
      <c r="AK38">
        <f>IF(AND(AI38,AH38),6,0)</f>
        <v>6</v>
      </c>
      <c r="AL38" s="123" t="b">
        <f t="shared" ref="AL38:AL64" si="20">AND(AJ38,AI38,AH38,AF38,(AK38&gt;$AL$34),(AK38&lt;$AL$35))</f>
        <v>1</v>
      </c>
      <c r="AM38">
        <f t="shared" ref="AM38:AM64" si="21">IF(AL38,IF(AND(AL38,AB38),F38,F39),-1)</f>
        <v>71</v>
      </c>
      <c r="AN38" t="b">
        <f t="shared" ref="AN38:AN64" si="22">AND(AL38,AM38&gt;70)</f>
        <v>1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2.64</v>
      </c>
      <c r="AR38">
        <f t="shared" ref="AR38:AR64" si="26">AE38+AP38*3600</f>
        <v>1425179340</v>
      </c>
      <c r="AS38" s="307" t="b">
        <f>ISNUMBER($AD$30)</f>
        <v>0</v>
      </c>
      <c r="AT38" s="307" t="e">
        <f>$AE$30</f>
        <v>#N/A</v>
      </c>
      <c r="AU38" s="300" t="s">
        <v>179</v>
      </c>
      <c r="AV38" s="300"/>
      <c r="AW38" s="300" t="s">
        <v>180</v>
      </c>
      <c r="AX38" s="300"/>
      <c r="AY38" s="300" t="s">
        <v>181</v>
      </c>
      <c r="AZ38" s="300"/>
      <c r="BA38" s="300" t="s">
        <v>182</v>
      </c>
      <c r="BB38" s="300"/>
    </row>
    <row r="39" spans="2:54">
      <c r="C39" s="121" t="str">
        <f t="shared" ref="C39:C64" si="27">IF(C38=$AB$3,$AB$4,$AB$3)</f>
        <v>PM</v>
      </c>
      <c r="D39" s="78" t="s">
        <v>216</v>
      </c>
      <c r="E39" s="76" t="s">
        <v>218</v>
      </c>
      <c r="F39" s="76">
        <v>71</v>
      </c>
      <c r="G39" s="80">
        <v>11.8</v>
      </c>
      <c r="H39" s="117" t="str">
        <f t="shared" si="8"/>
        <v>Y</v>
      </c>
      <c r="I39" s="117" t="str">
        <f t="shared" si="9"/>
        <v>Y</v>
      </c>
      <c r="J39" s="122">
        <f t="shared" si="10"/>
        <v>0</v>
      </c>
      <c r="K39" s="320" t="str">
        <f t="array" ref="K39">IF(AL39,heureDecimal2Txt(AP39),NA())</f>
        <v>00:00:00.00(00.0000)</v>
      </c>
      <c r="L39" s="321"/>
      <c r="M39" s="118">
        <f t="shared" si="11"/>
        <v>11.8</v>
      </c>
      <c r="N39" s="301" t="str">
        <f t="array" ref="N39">IF(AL39,dateEpoch2Txt(AR39),NA())</f>
        <v>2015/03/01 08:38</v>
      </c>
      <c r="O39" s="301"/>
      <c r="P39" s="302">
        <f t="shared" si="12"/>
        <v>395888.63333333336</v>
      </c>
      <c r="Q39" s="303"/>
      <c r="AB39" t="b">
        <f t="shared" si="13"/>
        <v>1</v>
      </c>
      <c r="AC39">
        <f>IF(ISBLANK(D39),0,dateConvert2Decimal(D39))</f>
        <v>1425168000</v>
      </c>
      <c r="AD39">
        <f t="array" ref="AD39">IF(ISBLANK(E39),0,heureConvert2Decimal(E39))*3600</f>
        <v>31080</v>
      </c>
      <c r="AE39">
        <f t="shared" si="14"/>
        <v>1425199080</v>
      </c>
      <c r="AF39" s="123" t="b">
        <f t="shared" si="15"/>
        <v>1</v>
      </c>
      <c r="AG39" s="123" t="b">
        <f t="shared" si="16"/>
        <v>1</v>
      </c>
      <c r="AH39" s="123" t="b">
        <f t="shared" si="17"/>
        <v>1</v>
      </c>
      <c r="AI39" s="123" t="b">
        <f t="shared" si="18"/>
        <v>1</v>
      </c>
      <c r="AJ39" s="123" t="b">
        <f t="shared" si="19"/>
        <v>1</v>
      </c>
      <c r="AK39">
        <f t="shared" ref="AK39:AK64" si="28">IF(AND(AI39,AH39),(AE39-AE38)/3600,0)</f>
        <v>5.4833333333333334</v>
      </c>
      <c r="AL39" s="123" t="b">
        <f t="shared" si="20"/>
        <v>1</v>
      </c>
      <c r="AM39">
        <f t="shared" si="21"/>
        <v>71</v>
      </c>
      <c r="AN39" t="b">
        <f t="shared" si="22"/>
        <v>1</v>
      </c>
      <c r="AO39">
        <f t="shared" si="23"/>
        <v>0</v>
      </c>
      <c r="AP39">
        <f t="shared" si="24"/>
        <v>0</v>
      </c>
      <c r="AQ39">
        <f t="shared" si="25"/>
        <v>11.8</v>
      </c>
      <c r="AR39">
        <f t="shared" si="26"/>
        <v>1425199080</v>
      </c>
      <c r="AS39" s="307"/>
      <c r="AT39" s="307"/>
      <c r="AU39" s="120">
        <v>3</v>
      </c>
      <c r="AV39" s="120">
        <v>4</v>
      </c>
      <c r="AW39" s="120">
        <v>5</v>
      </c>
      <c r="AX39" s="120">
        <v>6</v>
      </c>
      <c r="AY39" s="120">
        <v>7</v>
      </c>
      <c r="AZ39" s="120">
        <v>8</v>
      </c>
      <c r="BA39" s="120">
        <v>9</v>
      </c>
      <c r="BB39" s="120">
        <v>10</v>
      </c>
    </row>
    <row r="40" spans="2:54">
      <c r="C40" s="121" t="str">
        <f t="shared" si="27"/>
        <v>BM</v>
      </c>
      <c r="D40" s="77" t="s">
        <v>216</v>
      </c>
      <c r="E40" s="75" t="s">
        <v>219</v>
      </c>
      <c r="F40" s="75"/>
      <c r="G40" s="79">
        <v>2.89</v>
      </c>
      <c r="H40" s="117" t="str">
        <f t="shared" si="8"/>
        <v>Y</v>
      </c>
      <c r="I40" s="117" t="str">
        <f t="shared" si="9"/>
        <v>N</v>
      </c>
      <c r="J40" s="122">
        <f t="shared" si="10"/>
        <v>0</v>
      </c>
      <c r="K40" s="320" t="str">
        <f t="array" ref="K40">IF(AL40,heureDecimal2Txt(AP40),NA())</f>
        <v>00:00:00.00(00.0000)</v>
      </c>
      <c r="L40" s="321"/>
      <c r="M40" s="118">
        <f t="shared" si="11"/>
        <v>2.89</v>
      </c>
      <c r="N40" s="301" t="str">
        <f t="array" ref="N40">IF(AL40,dateEpoch2Txt(AR40),NA())</f>
        <v>2015/03/01 15:18</v>
      </c>
      <c r="O40" s="301"/>
      <c r="P40" s="302">
        <f t="shared" si="12"/>
        <v>395895.3</v>
      </c>
      <c r="Q40" s="303"/>
      <c r="AB40" t="b">
        <f t="shared" si="13"/>
        <v>0</v>
      </c>
      <c r="AC40">
        <f>IF(ISBLANK(D40),0,dateConvert2Decimal(D40))</f>
        <v>1425168000</v>
      </c>
      <c r="AD40">
        <f t="array" ref="AD40">IF(ISBLANK(E40),0,heureConvert2Decimal(E40))*3600</f>
        <v>55080</v>
      </c>
      <c r="AE40">
        <f t="shared" si="14"/>
        <v>1425223080</v>
      </c>
      <c r="AF40" s="123" t="b">
        <f t="shared" si="15"/>
        <v>1</v>
      </c>
      <c r="AG40" s="123" t="b">
        <f t="shared" si="16"/>
        <v>1</v>
      </c>
      <c r="AH40" s="123" t="b">
        <f t="shared" si="17"/>
        <v>1</v>
      </c>
      <c r="AI40" s="123" t="b">
        <f t="shared" si="18"/>
        <v>1</v>
      </c>
      <c r="AJ40" s="123" t="b">
        <f t="shared" si="19"/>
        <v>1</v>
      </c>
      <c r="AK40">
        <f t="shared" si="28"/>
        <v>6.666666666666667</v>
      </c>
      <c r="AL40" s="123" t="b">
        <f t="shared" si="20"/>
        <v>1</v>
      </c>
      <c r="AM40">
        <f t="shared" si="21"/>
        <v>66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2.89</v>
      </c>
      <c r="AR40">
        <f t="shared" si="26"/>
        <v>1425223080</v>
      </c>
      <c r="AS40" s="307"/>
      <c r="AT40" s="307"/>
      <c r="AU40" s="307" t="e">
        <f t="shared" ref="AU40:BB40" si="29">VLOOKUP($AT$38,$AG$12:$AP$28,AU39, FALSE)</f>
        <v>#N/A</v>
      </c>
      <c r="AV40" s="307" t="e">
        <f t="shared" si="29"/>
        <v>#N/A</v>
      </c>
      <c r="AW40" s="307" t="e">
        <f t="shared" si="29"/>
        <v>#N/A</v>
      </c>
      <c r="AX40" s="307" t="e">
        <f t="shared" si="29"/>
        <v>#N/A</v>
      </c>
      <c r="AY40" s="307" t="e">
        <f t="shared" si="29"/>
        <v>#N/A</v>
      </c>
      <c r="AZ40" s="307" t="e">
        <f t="shared" si="29"/>
        <v>#N/A</v>
      </c>
      <c r="BA40" s="307" t="e">
        <f t="shared" si="29"/>
        <v>#N/A</v>
      </c>
      <c r="BB40" s="307" t="e">
        <f t="shared" si="29"/>
        <v>#N/A</v>
      </c>
    </row>
    <row r="41" spans="2:54">
      <c r="C41" s="121" t="str">
        <f t="shared" si="27"/>
        <v>PM</v>
      </c>
      <c r="D41" s="78" t="s">
        <v>216</v>
      </c>
      <c r="E41" s="76" t="s">
        <v>220</v>
      </c>
      <c r="F41" s="76">
        <v>66</v>
      </c>
      <c r="G41" s="80">
        <v>10.93</v>
      </c>
      <c r="H41" s="117" t="str">
        <f t="shared" si="8"/>
        <v>Y</v>
      </c>
      <c r="I41" s="117" t="str">
        <f t="shared" si="9"/>
        <v>N</v>
      </c>
      <c r="J41" s="122">
        <f t="shared" si="10"/>
        <v>0</v>
      </c>
      <c r="K41" s="320" t="str">
        <f t="array" ref="K41">IF(AL41,heureDecimal2Txt(AP41),NA())</f>
        <v>00:00:00.00(00.0000)</v>
      </c>
      <c r="L41" s="321"/>
      <c r="M41" s="118">
        <f t="shared" si="11"/>
        <v>10.93</v>
      </c>
      <c r="N41" s="301" t="str">
        <f t="array" ref="N41">IF(AL41,dateEpoch2Txt(AR41),NA())</f>
        <v>2015/03/01 20:46</v>
      </c>
      <c r="O41" s="301"/>
      <c r="P41" s="302">
        <f t="shared" si="12"/>
        <v>395900.76666666666</v>
      </c>
      <c r="Q41" s="303"/>
      <c r="AB41" t="b">
        <f t="shared" si="13"/>
        <v>1</v>
      </c>
      <c r="AC41">
        <f t="array" ref="AC41">IF(ISBLANK(D41),0,dateConvert2Decimal(D41))</f>
        <v>1425168000</v>
      </c>
      <c r="AD41">
        <f t="array" ref="AD41">IF(ISBLANK(E41),0,heureConvert2Decimal(E41))*3600</f>
        <v>74760</v>
      </c>
      <c r="AE41">
        <f t="shared" si="14"/>
        <v>1425242760</v>
      </c>
      <c r="AF41" s="123" t="b">
        <f t="shared" si="15"/>
        <v>1</v>
      </c>
      <c r="AG41" s="123" t="b">
        <f t="shared" si="16"/>
        <v>1</v>
      </c>
      <c r="AH41" s="123" t="b">
        <f t="shared" si="17"/>
        <v>1</v>
      </c>
      <c r="AI41" s="123" t="b">
        <f t="shared" si="18"/>
        <v>1</v>
      </c>
      <c r="AJ41" s="123" t="b">
        <f t="shared" si="19"/>
        <v>1</v>
      </c>
      <c r="AK41">
        <f t="shared" si="28"/>
        <v>5.4666666666666668</v>
      </c>
      <c r="AL41" s="123" t="b">
        <f t="shared" si="20"/>
        <v>1</v>
      </c>
      <c r="AM41">
        <f t="shared" si="21"/>
        <v>66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10.93</v>
      </c>
      <c r="AR41">
        <f t="shared" si="26"/>
        <v>1425242760</v>
      </c>
      <c r="AS41" s="307"/>
      <c r="AT41" s="307"/>
      <c r="AU41" s="307"/>
      <c r="AV41" s="307"/>
      <c r="AW41" s="307"/>
      <c r="AX41" s="307"/>
      <c r="AY41" s="307"/>
      <c r="AZ41" s="307"/>
      <c r="BA41" s="307"/>
      <c r="BB41" s="307"/>
    </row>
    <row r="42" spans="2:54">
      <c r="C42" s="121" t="str">
        <f t="shared" si="27"/>
        <v>BM</v>
      </c>
      <c r="D42" s="77" t="s">
        <v>221</v>
      </c>
      <c r="E42" s="75" t="s">
        <v>222</v>
      </c>
      <c r="F42" s="75"/>
      <c r="G42" s="79">
        <v>3.13</v>
      </c>
      <c r="H42" s="117" t="str">
        <f t="shared" si="8"/>
        <v>Y</v>
      </c>
      <c r="I42" s="117" t="str">
        <f t="shared" si="9"/>
        <v>N</v>
      </c>
      <c r="J42" s="122">
        <f t="shared" si="10"/>
        <v>0</v>
      </c>
      <c r="K42" s="320" t="str">
        <f t="array" ref="K42">IF(AL42,heureDecimal2Txt(AP42),NA())</f>
        <v>00:00:00.00(00.0000)</v>
      </c>
      <c r="L42" s="321"/>
      <c r="M42" s="118">
        <f t="shared" si="11"/>
        <v>3.13</v>
      </c>
      <c r="N42" s="301" t="str">
        <f t="array" ref="N42">IF(AL42,dateEpoch2Txt(AR42),NA())</f>
        <v>2015/03/02 03:30</v>
      </c>
      <c r="O42" s="301"/>
      <c r="P42" s="302">
        <f t="shared" si="12"/>
        <v>395907.5</v>
      </c>
      <c r="Q42" s="303"/>
      <c r="AB42" t="b">
        <f t="shared" si="13"/>
        <v>0</v>
      </c>
      <c r="AC42">
        <f t="array" ref="AC42">IF(ISBLANK(D42),0,dateConvert2Decimal(D42))</f>
        <v>1425254400</v>
      </c>
      <c r="AD42">
        <f t="array" ref="AD42">IF(ISBLANK(E42),0,heureConvert2Decimal(E42))*3600</f>
        <v>12600</v>
      </c>
      <c r="AE42">
        <f t="shared" si="14"/>
        <v>1425267000</v>
      </c>
      <c r="AF42" s="123" t="b">
        <f t="shared" si="15"/>
        <v>1</v>
      </c>
      <c r="AG42" s="123" t="b">
        <f t="shared" si="16"/>
        <v>1</v>
      </c>
      <c r="AH42" s="123" t="b">
        <f t="shared" si="17"/>
        <v>1</v>
      </c>
      <c r="AI42" s="123" t="b">
        <f t="shared" si="18"/>
        <v>1</v>
      </c>
      <c r="AJ42" s="123" t="b">
        <f t="shared" si="19"/>
        <v>1</v>
      </c>
      <c r="AK42">
        <f t="shared" si="28"/>
        <v>6.7333333333333334</v>
      </c>
      <c r="AL42" s="123" t="b">
        <f t="shared" si="20"/>
        <v>1</v>
      </c>
      <c r="AM42">
        <f t="shared" si="21"/>
        <v>61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3.13</v>
      </c>
      <c r="AR42">
        <f t="shared" si="26"/>
        <v>1425267000</v>
      </c>
      <c r="AS42" s="307"/>
      <c r="AT42" s="307"/>
      <c r="AU42" s="307"/>
      <c r="AV42" s="307"/>
      <c r="AW42" s="307"/>
      <c r="AX42" s="307"/>
      <c r="AY42" s="307"/>
      <c r="AZ42" s="307"/>
      <c r="BA42" s="307"/>
      <c r="BB42" s="307"/>
    </row>
    <row r="43" spans="2:54">
      <c r="C43" s="121" t="str">
        <f t="shared" si="27"/>
        <v>PM</v>
      </c>
      <c r="D43" s="78" t="s">
        <v>221</v>
      </c>
      <c r="E43" s="76" t="s">
        <v>223</v>
      </c>
      <c r="F43" s="76">
        <v>61</v>
      </c>
      <c r="G43" s="80">
        <v>10.59</v>
      </c>
      <c r="H43" s="117" t="str">
        <f t="shared" si="8"/>
        <v>Y</v>
      </c>
      <c r="I43" s="117" t="str">
        <f t="shared" si="9"/>
        <v>N</v>
      </c>
      <c r="J43" s="122">
        <f t="shared" si="10"/>
        <v>0</v>
      </c>
      <c r="K43" s="320" t="str">
        <f t="array" ref="K43">IF(AL43,heureDecimal2Txt(AP43),NA())</f>
        <v>00:00:00.00(00.0000)</v>
      </c>
      <c r="L43" s="321"/>
      <c r="M43" s="118">
        <f t="shared" si="11"/>
        <v>10.59</v>
      </c>
      <c r="N43" s="301" t="str">
        <f t="array" ref="N43">IF(AL43,dateEpoch2Txt(AR43),NA())</f>
        <v>2015/03/02 09:00</v>
      </c>
      <c r="O43" s="301"/>
      <c r="P43" s="302">
        <f t="shared" si="12"/>
        <v>395913</v>
      </c>
      <c r="Q43" s="303"/>
      <c r="AB43" t="b">
        <f t="shared" si="13"/>
        <v>1</v>
      </c>
      <c r="AC43">
        <f t="array" ref="AC43">IF(ISBLANK(D43),0,dateConvert2Decimal(D43))</f>
        <v>1425254400</v>
      </c>
      <c r="AD43">
        <f t="array" ref="AD43">IF(ISBLANK(E43),0,heureConvert2Decimal(E43))*3600</f>
        <v>32400</v>
      </c>
      <c r="AE43">
        <f t="shared" si="14"/>
        <v>1425286800</v>
      </c>
      <c r="AF43" s="123" t="b">
        <f t="shared" si="15"/>
        <v>1</v>
      </c>
      <c r="AG43" s="123" t="b">
        <f t="shared" si="16"/>
        <v>1</v>
      </c>
      <c r="AH43" s="123" t="b">
        <f t="shared" si="17"/>
        <v>1</v>
      </c>
      <c r="AI43" s="123" t="b">
        <f t="shared" si="18"/>
        <v>1</v>
      </c>
      <c r="AJ43" s="123" t="b">
        <f t="shared" si="19"/>
        <v>1</v>
      </c>
      <c r="AK43">
        <f t="shared" si="28"/>
        <v>5.5</v>
      </c>
      <c r="AL43" s="123" t="b">
        <f t="shared" si="20"/>
        <v>1</v>
      </c>
      <c r="AM43">
        <f t="shared" si="21"/>
        <v>61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10.59</v>
      </c>
      <c r="AR43">
        <f t="shared" si="26"/>
        <v>1425286800</v>
      </c>
      <c r="AS43" s="307"/>
      <c r="AT43" s="307"/>
      <c r="AU43" s="307"/>
      <c r="AV43" s="307"/>
      <c r="AW43" s="307"/>
      <c r="AX43" s="307"/>
      <c r="AY43" s="307"/>
      <c r="AZ43" s="307"/>
      <c r="BA43" s="307"/>
      <c r="BB43" s="307"/>
    </row>
    <row r="44" spans="2:54">
      <c r="C44" s="121" t="str">
        <f t="shared" si="27"/>
        <v>BM</v>
      </c>
      <c r="D44" s="77" t="s">
        <v>221</v>
      </c>
      <c r="E44" s="75" t="s">
        <v>224</v>
      </c>
      <c r="F44" s="75"/>
      <c r="G44" s="79">
        <v>3.43</v>
      </c>
      <c r="H44" s="117" t="str">
        <f t="shared" si="8"/>
        <v>Y</v>
      </c>
      <c r="I44" s="117" t="str">
        <f t="shared" si="9"/>
        <v>N</v>
      </c>
      <c r="J44" s="122">
        <f t="shared" si="10"/>
        <v>0</v>
      </c>
      <c r="K44" s="320" t="str">
        <f t="array" ref="K44">IF(AL44,heureDecimal2Txt(AP44),NA())</f>
        <v>00:00:00.00(00.0000)</v>
      </c>
      <c r="L44" s="321"/>
      <c r="M44" s="118">
        <f t="shared" si="11"/>
        <v>3.43</v>
      </c>
      <c r="N44" s="301" t="str">
        <f t="array" ref="N44">IF(AL44,dateEpoch2Txt(AR44),NA())</f>
        <v>2015/03/02 15:43</v>
      </c>
      <c r="O44" s="301"/>
      <c r="P44" s="302">
        <f t="shared" si="12"/>
        <v>395919.71666666667</v>
      </c>
      <c r="Q44" s="303"/>
      <c r="AB44" t="b">
        <f t="shared" si="13"/>
        <v>0</v>
      </c>
      <c r="AC44">
        <f t="array" ref="AC44">IF(ISBLANK(D44),0,dateConvert2Decimal(D44))</f>
        <v>1425254400</v>
      </c>
      <c r="AD44">
        <f t="array" ref="AD44">IF(ISBLANK(E44),0,heureConvert2Decimal(E44))*3600</f>
        <v>56580</v>
      </c>
      <c r="AE44">
        <f t="shared" si="14"/>
        <v>1425310980</v>
      </c>
      <c r="AF44" s="123" t="b">
        <f t="shared" si="15"/>
        <v>1</v>
      </c>
      <c r="AG44" s="123" t="b">
        <f t="shared" si="16"/>
        <v>1</v>
      </c>
      <c r="AH44" s="123" t="b">
        <f t="shared" si="17"/>
        <v>1</v>
      </c>
      <c r="AI44" s="123" t="b">
        <f t="shared" si="18"/>
        <v>1</v>
      </c>
      <c r="AJ44" s="123" t="b">
        <f t="shared" si="19"/>
        <v>1</v>
      </c>
      <c r="AK44">
        <f t="shared" si="28"/>
        <v>6.7166666666666668</v>
      </c>
      <c r="AL44" s="123" t="b">
        <f t="shared" si="20"/>
        <v>1</v>
      </c>
      <c r="AM44">
        <f t="shared" si="21"/>
        <v>56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3.43</v>
      </c>
      <c r="AR44">
        <f t="shared" si="26"/>
        <v>1425310980</v>
      </c>
      <c r="AS44" s="307"/>
      <c r="AT44" s="307"/>
      <c r="AU44" s="307"/>
      <c r="AV44" s="307"/>
      <c r="AW44" s="307"/>
      <c r="AX44" s="307"/>
      <c r="AY44" s="307"/>
      <c r="AZ44" s="307"/>
      <c r="BA44" s="307"/>
      <c r="BB44" s="307"/>
    </row>
    <row r="45" spans="2:54">
      <c r="C45" s="121" t="str">
        <f t="shared" si="27"/>
        <v>PM</v>
      </c>
      <c r="D45" s="78" t="s">
        <v>221</v>
      </c>
      <c r="E45" s="76" t="s">
        <v>225</v>
      </c>
      <c r="F45" s="76">
        <v>56</v>
      </c>
      <c r="G45" s="80">
        <v>10.31</v>
      </c>
      <c r="H45" s="117" t="str">
        <f t="shared" si="8"/>
        <v>Y</v>
      </c>
      <c r="I45" s="117" t="str">
        <f t="shared" si="9"/>
        <v>N</v>
      </c>
      <c r="J45" s="122">
        <f t="shared" si="10"/>
        <v>0</v>
      </c>
      <c r="K45" s="320" t="str">
        <f t="array" ref="K45">IF(AL45,heureDecimal2Txt(AP45),NA())</f>
        <v>00:00:00.00(00.0000)</v>
      </c>
      <c r="L45" s="321"/>
      <c r="M45" s="118">
        <f t="shared" si="11"/>
        <v>10.31</v>
      </c>
      <c r="N45" s="301" t="str">
        <f t="array" ref="N45">IF(AL45,dateEpoch2Txt(AR45),NA())</f>
        <v>2015/03/02 21:10</v>
      </c>
      <c r="O45" s="301"/>
      <c r="P45" s="302">
        <f t="shared" si="12"/>
        <v>395925.16666666669</v>
      </c>
      <c r="Q45" s="303"/>
      <c r="AB45" t="b">
        <f t="shared" si="13"/>
        <v>1</v>
      </c>
      <c r="AC45">
        <f t="array" ref="AC45">IF(ISBLANK(D45),0,dateConvert2Decimal(D45))</f>
        <v>1425254400</v>
      </c>
      <c r="AD45">
        <f t="array" ref="AD45">IF(ISBLANK(E45),0,heureConvert2Decimal(E45))*3600</f>
        <v>76200</v>
      </c>
      <c r="AE45">
        <f t="shared" si="14"/>
        <v>1425330600</v>
      </c>
      <c r="AF45" s="123" t="b">
        <f t="shared" si="15"/>
        <v>1</v>
      </c>
      <c r="AG45" s="123" t="b">
        <f t="shared" si="16"/>
        <v>1</v>
      </c>
      <c r="AH45" s="123" t="b">
        <f t="shared" si="17"/>
        <v>1</v>
      </c>
      <c r="AI45" s="123" t="b">
        <f t="shared" si="18"/>
        <v>1</v>
      </c>
      <c r="AJ45" s="123" t="b">
        <f t="shared" si="19"/>
        <v>1</v>
      </c>
      <c r="AK45">
        <f t="shared" si="28"/>
        <v>5.45</v>
      </c>
      <c r="AL45" s="123" t="b">
        <f t="shared" si="20"/>
        <v>1</v>
      </c>
      <c r="AM45">
        <f t="shared" si="21"/>
        <v>56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10.31</v>
      </c>
      <c r="AR45">
        <f t="shared" si="26"/>
        <v>1425330600</v>
      </c>
      <c r="AS45" s="307"/>
      <c r="AT45" s="307"/>
      <c r="AU45" s="307"/>
      <c r="AV45" s="307"/>
      <c r="AW45" s="307"/>
      <c r="AX45" s="307"/>
      <c r="AY45" s="307"/>
      <c r="AZ45" s="307"/>
      <c r="BA45" s="307"/>
      <c r="BB45" s="307"/>
    </row>
    <row r="46" spans="2:54">
      <c r="C46" s="121" t="str">
        <f t="shared" si="27"/>
        <v>BM</v>
      </c>
      <c r="D46" s="77" t="s">
        <v>226</v>
      </c>
      <c r="E46" s="75" t="s">
        <v>227</v>
      </c>
      <c r="F46" s="75"/>
      <c r="G46" s="79">
        <v>3.72</v>
      </c>
      <c r="H46" s="117" t="str">
        <f t="shared" si="8"/>
        <v>Y</v>
      </c>
      <c r="I46" s="117" t="str">
        <f t="shared" si="9"/>
        <v>N</v>
      </c>
      <c r="J46" s="122">
        <f t="shared" si="10"/>
        <v>0</v>
      </c>
      <c r="K46" s="320" t="str">
        <f t="array" ref="K46">IF(AL46,heureDecimal2Txt(AP46),NA())</f>
        <v>00:00:00.00(00.0000)</v>
      </c>
      <c r="L46" s="321"/>
      <c r="M46" s="118">
        <f t="shared" si="11"/>
        <v>3.72</v>
      </c>
      <c r="N46" s="301" t="str">
        <f t="array" ref="N46">IF(AL46,dateEpoch2Txt(AR46),NA())</f>
        <v>2015/03/03 03:54</v>
      </c>
      <c r="O46" s="301"/>
      <c r="P46" s="302">
        <f t="shared" si="12"/>
        <v>395931.9</v>
      </c>
      <c r="Q46" s="303"/>
      <c r="AB46" t="b">
        <f t="shared" si="13"/>
        <v>0</v>
      </c>
      <c r="AC46">
        <f t="array" ref="AC46">IF(ISBLANK(D46),0,dateConvert2Decimal(D46))</f>
        <v>1425340800</v>
      </c>
      <c r="AD46">
        <f t="array" ref="AD46">IF(ISBLANK(E46),0,heureConvert2Decimal(E46))*3600</f>
        <v>14040</v>
      </c>
      <c r="AE46">
        <f t="shared" si="14"/>
        <v>1425354840</v>
      </c>
      <c r="AF46" s="123" t="b">
        <f t="shared" si="15"/>
        <v>1</v>
      </c>
      <c r="AG46" s="123" t="b">
        <f t="shared" si="16"/>
        <v>1</v>
      </c>
      <c r="AH46" s="123" t="b">
        <f t="shared" si="17"/>
        <v>1</v>
      </c>
      <c r="AI46" s="123" t="b">
        <f t="shared" si="18"/>
        <v>1</v>
      </c>
      <c r="AJ46" s="123" t="b">
        <f t="shared" si="19"/>
        <v>1</v>
      </c>
      <c r="AK46">
        <f t="shared" si="28"/>
        <v>6.7333333333333334</v>
      </c>
      <c r="AL46" s="123" t="b">
        <f t="shared" si="20"/>
        <v>1</v>
      </c>
      <c r="AM46">
        <f t="shared" si="21"/>
        <v>50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3.72</v>
      </c>
      <c r="AR46">
        <f t="shared" si="26"/>
        <v>1425354840</v>
      </c>
      <c r="AS46" s="307"/>
      <c r="AT46" s="307"/>
      <c r="AU46" s="307"/>
      <c r="AV46" s="307"/>
      <c r="AW46" s="307"/>
      <c r="AX46" s="307"/>
      <c r="AY46" s="307"/>
      <c r="AZ46" s="307"/>
      <c r="BA46" s="307"/>
      <c r="BB46" s="307"/>
    </row>
    <row r="47" spans="2:54">
      <c r="C47" s="121" t="str">
        <f t="shared" si="27"/>
        <v>PM</v>
      </c>
      <c r="D47" s="78" t="s">
        <v>226</v>
      </c>
      <c r="E47" s="76" t="s">
        <v>228</v>
      </c>
      <c r="F47" s="76">
        <v>50</v>
      </c>
      <c r="G47" s="80">
        <v>10</v>
      </c>
      <c r="H47" s="117" t="str">
        <f t="shared" si="8"/>
        <v>Y</v>
      </c>
      <c r="I47" s="117" t="str">
        <f t="shared" si="9"/>
        <v>N</v>
      </c>
      <c r="J47" s="122">
        <f t="shared" si="10"/>
        <v>0</v>
      </c>
      <c r="K47" s="320" t="str">
        <f t="array" ref="K47">IF(AL47,heureDecimal2Txt(AP47),NA())</f>
        <v>00:00:00.00(00.0000)</v>
      </c>
      <c r="L47" s="321"/>
      <c r="M47" s="118">
        <f t="shared" si="11"/>
        <v>10</v>
      </c>
      <c r="N47" s="301" t="str">
        <f t="array" ref="N47">IF(AL47,dateEpoch2Txt(AR47),NA())</f>
        <v>2015/03/03 09:24</v>
      </c>
      <c r="O47" s="301"/>
      <c r="P47" s="302">
        <f t="shared" si="12"/>
        <v>395937.4</v>
      </c>
      <c r="Q47" s="303"/>
      <c r="AB47" t="b">
        <f t="shared" si="13"/>
        <v>1</v>
      </c>
      <c r="AC47">
        <f t="array" ref="AC47">IF(ISBLANK(D47),0,dateConvert2Decimal(D47))</f>
        <v>1425340800</v>
      </c>
      <c r="AD47">
        <f t="array" ref="AD47">IF(ISBLANK(E47),0,heureConvert2Decimal(E47))*3600</f>
        <v>33840</v>
      </c>
      <c r="AE47">
        <f t="shared" si="14"/>
        <v>1425374640</v>
      </c>
      <c r="AF47" s="123" t="b">
        <f t="shared" si="15"/>
        <v>1</v>
      </c>
      <c r="AG47" s="123" t="b">
        <f t="shared" si="16"/>
        <v>1</v>
      </c>
      <c r="AH47" s="123" t="b">
        <f t="shared" si="17"/>
        <v>1</v>
      </c>
      <c r="AI47" s="123" t="b">
        <f t="shared" si="18"/>
        <v>1</v>
      </c>
      <c r="AJ47" s="123" t="b">
        <f t="shared" si="19"/>
        <v>1</v>
      </c>
      <c r="AK47">
        <f t="shared" si="28"/>
        <v>5.5</v>
      </c>
      <c r="AL47" s="123" t="b">
        <f t="shared" si="20"/>
        <v>1</v>
      </c>
      <c r="AM47">
        <f t="shared" si="21"/>
        <v>50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10</v>
      </c>
      <c r="AR47">
        <f t="shared" si="26"/>
        <v>1425374640</v>
      </c>
      <c r="AS47" s="307"/>
      <c r="AT47" s="307"/>
      <c r="AU47" s="307"/>
      <c r="AV47" s="307"/>
      <c r="AW47" s="307"/>
      <c r="AX47" s="307"/>
      <c r="AY47" s="307"/>
      <c r="AZ47" s="307"/>
      <c r="BA47" s="307"/>
      <c r="BB47" s="307"/>
    </row>
    <row r="48" spans="2:54">
      <c r="C48" s="121" t="str">
        <f t="shared" si="27"/>
        <v>BM</v>
      </c>
      <c r="D48" s="77" t="s">
        <v>226</v>
      </c>
      <c r="E48" s="75" t="s">
        <v>229</v>
      </c>
      <c r="F48" s="75"/>
      <c r="G48" s="79">
        <v>4.5999999999999996</v>
      </c>
      <c r="H48" s="117" t="str">
        <f t="shared" si="8"/>
        <v>Y</v>
      </c>
      <c r="I48" s="117" t="str">
        <f t="shared" si="9"/>
        <v>N</v>
      </c>
      <c r="J48" s="122">
        <f t="shared" si="10"/>
        <v>0</v>
      </c>
      <c r="K48" s="320" t="str">
        <f t="array" ref="K48">IF(AL48,heureDecimal2Txt(AP48),NA())</f>
        <v>00:00:00.00(00.0000)</v>
      </c>
      <c r="L48" s="321"/>
      <c r="M48" s="118">
        <f t="shared" si="11"/>
        <v>4.5999999999999996</v>
      </c>
      <c r="N48" s="301" t="str">
        <f t="array" ref="N48">IF(AL48,dateEpoch2Txt(AR48),NA())</f>
        <v>2015/03/03 16:13</v>
      </c>
      <c r="O48" s="301"/>
      <c r="P48" s="302">
        <f t="shared" si="12"/>
        <v>395944.21666666667</v>
      </c>
      <c r="Q48" s="303"/>
      <c r="AB48" t="b">
        <f t="shared" si="13"/>
        <v>0</v>
      </c>
      <c r="AC48">
        <f t="array" ref="AC48">IF(ISBLANK(D48),0,dateConvert2Decimal(D48))</f>
        <v>1425340800</v>
      </c>
      <c r="AD48">
        <f t="array" ref="AD48">IF(ISBLANK(E48),0,heureConvert2Decimal(E48))*3600</f>
        <v>58379.999999999993</v>
      </c>
      <c r="AE48">
        <f t="shared" si="14"/>
        <v>1425399180</v>
      </c>
      <c r="AF48" s="123" t="b">
        <f t="shared" si="15"/>
        <v>1</v>
      </c>
      <c r="AG48" s="123" t="b">
        <f t="shared" si="16"/>
        <v>1</v>
      </c>
      <c r="AH48" s="123" t="b">
        <f t="shared" si="17"/>
        <v>1</v>
      </c>
      <c r="AI48" s="123" t="b">
        <f t="shared" si="18"/>
        <v>1</v>
      </c>
      <c r="AJ48" s="123" t="b">
        <f t="shared" si="19"/>
        <v>1</v>
      </c>
      <c r="AK48">
        <f t="shared" si="28"/>
        <v>6.8166666666666664</v>
      </c>
      <c r="AL48" s="123" t="b">
        <f t="shared" si="20"/>
        <v>1</v>
      </c>
      <c r="AM48">
        <f t="shared" si="21"/>
        <v>44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4.5999999999999996</v>
      </c>
      <c r="AR48">
        <f t="shared" si="26"/>
        <v>1425399180</v>
      </c>
      <c r="AS48" s="307"/>
      <c r="AT48" s="307"/>
      <c r="AU48" s="307"/>
      <c r="AV48" s="307"/>
      <c r="AW48" s="307"/>
      <c r="AX48" s="307"/>
      <c r="AY48" s="307"/>
      <c r="AZ48" s="307"/>
      <c r="BA48" s="307"/>
      <c r="BB48" s="307"/>
    </row>
    <row r="49" spans="3:54">
      <c r="C49" s="121" t="str">
        <f t="shared" si="27"/>
        <v>PM</v>
      </c>
      <c r="D49" s="78" t="s">
        <v>226</v>
      </c>
      <c r="E49" s="76" t="s">
        <v>230</v>
      </c>
      <c r="F49" s="76">
        <v>44</v>
      </c>
      <c r="G49" s="80">
        <v>9.61</v>
      </c>
      <c r="H49" s="117" t="str">
        <f t="shared" si="8"/>
        <v>Y</v>
      </c>
      <c r="I49" s="117" t="str">
        <f t="shared" si="9"/>
        <v>N</v>
      </c>
      <c r="J49" s="122">
        <f t="shared" si="10"/>
        <v>0</v>
      </c>
      <c r="K49" s="320" t="str">
        <f t="array" ref="K49">IF(AL49,heureDecimal2Txt(AP49),NA())</f>
        <v>00:00:00.00(00.0000)</v>
      </c>
      <c r="L49" s="321"/>
      <c r="M49" s="118">
        <f t="shared" si="11"/>
        <v>9.61</v>
      </c>
      <c r="N49" s="301" t="str">
        <f t="array" ref="N49">IF(AL49,dateEpoch2Txt(AR49),NA())</f>
        <v>2015/03/03 21:40</v>
      </c>
      <c r="O49" s="301"/>
      <c r="P49" s="302">
        <f t="shared" si="12"/>
        <v>395949.66666666669</v>
      </c>
      <c r="Q49" s="303"/>
      <c r="AB49" t="b">
        <f t="shared" si="13"/>
        <v>1</v>
      </c>
      <c r="AC49">
        <f t="array" ref="AC49">IF(ISBLANK(D49),0,dateConvert2Decimal(D49))</f>
        <v>1425340800</v>
      </c>
      <c r="AD49">
        <f t="array" ref="AD49">IF(ISBLANK(E49),0,heureConvert2Decimal(E49))*3600</f>
        <v>78000</v>
      </c>
      <c r="AE49">
        <f t="shared" si="14"/>
        <v>1425418800</v>
      </c>
      <c r="AF49" s="123" t="b">
        <f t="shared" si="15"/>
        <v>1</v>
      </c>
      <c r="AG49" s="123" t="b">
        <f t="shared" si="16"/>
        <v>1</v>
      </c>
      <c r="AH49" s="123" t="b">
        <f t="shared" si="17"/>
        <v>1</v>
      </c>
      <c r="AI49" s="123" t="b">
        <f t="shared" si="18"/>
        <v>1</v>
      </c>
      <c r="AJ49" s="123" t="b">
        <f t="shared" si="19"/>
        <v>1</v>
      </c>
      <c r="AK49">
        <f t="shared" si="28"/>
        <v>5.45</v>
      </c>
      <c r="AL49" s="123" t="b">
        <f t="shared" si="20"/>
        <v>1</v>
      </c>
      <c r="AM49">
        <f t="shared" si="21"/>
        <v>44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9.61</v>
      </c>
      <c r="AR49">
        <f t="shared" si="26"/>
        <v>1425418800</v>
      </c>
      <c r="AS49" s="307"/>
      <c r="AT49" s="307"/>
      <c r="AU49" s="307"/>
      <c r="AV49" s="307"/>
      <c r="AW49" s="307"/>
      <c r="AX49" s="307"/>
      <c r="AY49" s="307"/>
      <c r="AZ49" s="307"/>
      <c r="BA49" s="307"/>
      <c r="BB49" s="307"/>
    </row>
    <row r="50" spans="3:54">
      <c r="C50" s="121" t="str">
        <f t="shared" si="27"/>
        <v>BM</v>
      </c>
      <c r="D50" s="77" t="s">
        <v>231</v>
      </c>
      <c r="E50" s="75" t="s">
        <v>232</v>
      </c>
      <c r="F50" s="75"/>
      <c r="G50" s="79">
        <v>4.38</v>
      </c>
      <c r="H50" s="117" t="str">
        <f t="shared" si="8"/>
        <v>Y</v>
      </c>
      <c r="I50" s="117" t="str">
        <f t="shared" si="9"/>
        <v>N</v>
      </c>
      <c r="J50" s="122">
        <f t="shared" si="10"/>
        <v>0</v>
      </c>
      <c r="K50" s="320" t="str">
        <f t="array" ref="K50">IF(AL50,heureDecimal2Txt(AP50),NA())</f>
        <v>00:00:00.00(00.0000)</v>
      </c>
      <c r="L50" s="321"/>
      <c r="M50" s="118">
        <f t="shared" si="11"/>
        <v>4.38</v>
      </c>
      <c r="N50" s="301" t="str">
        <f t="array" ref="N50">IF(AL50,dateEpoch2Txt(AR50),NA())</f>
        <v>2015/03/04 04:27</v>
      </c>
      <c r="O50" s="301"/>
      <c r="P50" s="302">
        <f t="shared" si="12"/>
        <v>395956.45</v>
      </c>
      <c r="Q50" s="303"/>
      <c r="AB50" t="b">
        <f t="shared" si="13"/>
        <v>0</v>
      </c>
      <c r="AC50">
        <f t="array" ref="AC50">IF(ISBLANK(D50),0,dateConvert2Decimal(D50))</f>
        <v>1425427200</v>
      </c>
      <c r="AD50">
        <f t="array" ref="AD50">IF(ISBLANK(E50),0,heureConvert2Decimal(E50))*3600</f>
        <v>16020</v>
      </c>
      <c r="AE50">
        <f t="shared" si="14"/>
        <v>1425443220</v>
      </c>
      <c r="AF50" s="123" t="b">
        <f t="shared" si="15"/>
        <v>1</v>
      </c>
      <c r="AG50" s="123" t="b">
        <f t="shared" si="16"/>
        <v>1</v>
      </c>
      <c r="AH50" s="123" t="b">
        <f t="shared" si="17"/>
        <v>1</v>
      </c>
      <c r="AI50" s="123" t="b">
        <f t="shared" si="18"/>
        <v>1</v>
      </c>
      <c r="AJ50" s="123" t="b">
        <f t="shared" si="19"/>
        <v>1</v>
      </c>
      <c r="AK50">
        <f t="shared" si="28"/>
        <v>6.7833333333333332</v>
      </c>
      <c r="AL50" s="123" t="b">
        <f t="shared" si="20"/>
        <v>1</v>
      </c>
      <c r="AM50">
        <f t="shared" si="21"/>
        <v>39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4.38</v>
      </c>
      <c r="AR50">
        <f t="shared" si="26"/>
        <v>1425443220</v>
      </c>
      <c r="AS50" s="307"/>
      <c r="AT50" s="307"/>
      <c r="AU50" s="307"/>
      <c r="AV50" s="307"/>
      <c r="AW50" s="307"/>
      <c r="AX50" s="307"/>
      <c r="AY50" s="307"/>
      <c r="AZ50" s="307"/>
      <c r="BA50" s="307"/>
      <c r="BB50" s="307"/>
    </row>
    <row r="51" spans="3:54">
      <c r="C51" s="121" t="str">
        <f t="shared" si="27"/>
        <v>PM</v>
      </c>
      <c r="D51" s="78" t="s">
        <v>231</v>
      </c>
      <c r="E51" s="76" t="s">
        <v>233</v>
      </c>
      <c r="F51" s="76">
        <v>39</v>
      </c>
      <c r="G51" s="80">
        <v>9.32</v>
      </c>
      <c r="H51" s="117" t="str">
        <f t="shared" si="8"/>
        <v>Y</v>
      </c>
      <c r="I51" s="117" t="str">
        <f t="shared" si="9"/>
        <v>N</v>
      </c>
      <c r="J51" s="122">
        <f t="shared" si="10"/>
        <v>0</v>
      </c>
      <c r="K51" s="320" t="str">
        <f t="array" ref="K51">IF(AL51,heureDecimal2Txt(AP51),NA())</f>
        <v>00:00:00.00(00.0000)</v>
      </c>
      <c r="L51" s="321"/>
      <c r="M51" s="118">
        <f t="shared" si="11"/>
        <v>9.32</v>
      </c>
      <c r="N51" s="301" t="str">
        <f t="array" ref="N51">IF(AL51,dateEpoch2Txt(AR51),NA())</f>
        <v>2015/03/04 09:57</v>
      </c>
      <c r="O51" s="301"/>
      <c r="P51" s="302">
        <f t="shared" si="12"/>
        <v>395961.95</v>
      </c>
      <c r="Q51" s="303"/>
      <c r="AB51" t="b">
        <f t="shared" si="13"/>
        <v>1</v>
      </c>
      <c r="AC51">
        <f t="array" ref="AC51">IF(ISBLANK(D51),0,dateConvert2Decimal(D51))</f>
        <v>1425427200</v>
      </c>
      <c r="AD51">
        <f t="array" ref="AD51">IF(ISBLANK(E51),0,heureConvert2Decimal(E51))*3600</f>
        <v>35820</v>
      </c>
      <c r="AE51">
        <f t="shared" si="14"/>
        <v>1425463020</v>
      </c>
      <c r="AF51" s="123" t="b">
        <f t="shared" si="15"/>
        <v>1</v>
      </c>
      <c r="AG51" s="123" t="b">
        <f t="shared" si="16"/>
        <v>1</v>
      </c>
      <c r="AH51" s="123" t="b">
        <f t="shared" si="17"/>
        <v>1</v>
      </c>
      <c r="AI51" s="123" t="b">
        <f t="shared" si="18"/>
        <v>1</v>
      </c>
      <c r="AJ51" s="123" t="b">
        <f t="shared" si="19"/>
        <v>1</v>
      </c>
      <c r="AK51">
        <f t="shared" si="28"/>
        <v>5.5</v>
      </c>
      <c r="AL51" s="123" t="b">
        <f t="shared" si="20"/>
        <v>1</v>
      </c>
      <c r="AM51">
        <f t="shared" si="21"/>
        <v>39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9.32</v>
      </c>
      <c r="AR51">
        <f t="shared" si="26"/>
        <v>1425463020</v>
      </c>
      <c r="AS51" s="307"/>
      <c r="AT51" s="307"/>
      <c r="AU51" s="307"/>
      <c r="AV51" s="307"/>
      <c r="AW51" s="307"/>
      <c r="AX51" s="307"/>
      <c r="AY51" s="307"/>
      <c r="AZ51" s="307"/>
      <c r="BA51" s="307"/>
      <c r="BB51" s="307"/>
    </row>
    <row r="52" spans="3:54">
      <c r="C52" s="121" t="str">
        <f t="shared" si="27"/>
        <v>BM</v>
      </c>
      <c r="D52" s="77" t="s">
        <v>231</v>
      </c>
      <c r="E52" s="75" t="s">
        <v>234</v>
      </c>
      <c r="F52" s="75"/>
      <c r="G52" s="79">
        <v>4.71</v>
      </c>
      <c r="H52" s="117" t="str">
        <f t="shared" si="8"/>
        <v>Y</v>
      </c>
      <c r="I52" s="117" t="str">
        <f t="shared" si="9"/>
        <v>N</v>
      </c>
      <c r="J52" s="122">
        <f t="shared" si="10"/>
        <v>0</v>
      </c>
      <c r="K52" s="320" t="str">
        <f t="array" ref="K52">IF(AL52,heureDecimal2Txt(AP52),NA())</f>
        <v>00:00:00.00(00.0000)</v>
      </c>
      <c r="L52" s="321"/>
      <c r="M52" s="118">
        <f t="shared" si="11"/>
        <v>4.71</v>
      </c>
      <c r="N52" s="301" t="str">
        <f t="array" ref="N52">IF(AL52,dateEpoch2Txt(AR52),NA())</f>
        <v>2015/03/04 16:57</v>
      </c>
      <c r="O52" s="301"/>
      <c r="P52" s="302">
        <f t="shared" si="12"/>
        <v>395968.95</v>
      </c>
      <c r="Q52" s="303"/>
      <c r="AB52" t="b">
        <f t="shared" si="13"/>
        <v>0</v>
      </c>
      <c r="AC52">
        <f t="array" ref="AC52">IF(ISBLANK(D52),0,dateConvert2Decimal(D52))</f>
        <v>1425427200</v>
      </c>
      <c r="AD52">
        <f t="array" ref="AD52">IF(ISBLANK(E52),0,heureConvert2Decimal(E52))*3600</f>
        <v>61020</v>
      </c>
      <c r="AE52">
        <f t="shared" si="14"/>
        <v>1425488220</v>
      </c>
      <c r="AF52" s="123" t="b">
        <f t="shared" si="15"/>
        <v>1</v>
      </c>
      <c r="AG52" s="123" t="b">
        <f t="shared" si="16"/>
        <v>1</v>
      </c>
      <c r="AH52" s="123" t="b">
        <f t="shared" si="17"/>
        <v>1</v>
      </c>
      <c r="AI52" s="123" t="b">
        <f t="shared" si="18"/>
        <v>1</v>
      </c>
      <c r="AJ52" s="123" t="b">
        <f t="shared" si="19"/>
        <v>1</v>
      </c>
      <c r="AK52">
        <f t="shared" si="28"/>
        <v>7</v>
      </c>
      <c r="AL52" s="123" t="b">
        <f t="shared" si="20"/>
        <v>1</v>
      </c>
      <c r="AM52">
        <f t="shared" si="21"/>
        <v>33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4.71</v>
      </c>
      <c r="AR52">
        <f t="shared" si="26"/>
        <v>1425488220</v>
      </c>
      <c r="AS52" s="307"/>
      <c r="AT52" s="307"/>
      <c r="AU52" s="307"/>
      <c r="AV52" s="307"/>
      <c r="AW52" s="307"/>
      <c r="AX52" s="307"/>
      <c r="AY52" s="307"/>
      <c r="AZ52" s="307"/>
      <c r="BA52" s="307"/>
      <c r="BB52" s="307"/>
    </row>
    <row r="53" spans="3:54">
      <c r="C53" s="121" t="str">
        <f t="shared" si="27"/>
        <v>PM</v>
      </c>
      <c r="D53" s="78" t="s">
        <v>231</v>
      </c>
      <c r="E53" s="76" t="s">
        <v>235</v>
      </c>
      <c r="F53" s="76">
        <v>33</v>
      </c>
      <c r="G53" s="80">
        <v>8.83</v>
      </c>
      <c r="H53" s="117" t="str">
        <f t="shared" si="8"/>
        <v>Y</v>
      </c>
      <c r="I53" s="117" t="str">
        <f t="shared" si="9"/>
        <v>N</v>
      </c>
      <c r="J53" s="122">
        <f t="shared" si="10"/>
        <v>0</v>
      </c>
      <c r="K53" s="320" t="str">
        <f t="array" ref="K53">IF(AL53,heureDecimal2Txt(AP53),NA())</f>
        <v>00:00:00.00(00.0000)</v>
      </c>
      <c r="L53" s="321"/>
      <c r="M53" s="118">
        <f t="shared" si="11"/>
        <v>8.83</v>
      </c>
      <c r="N53" s="301" t="str">
        <f t="array" ref="N53">IF(AL53,dateEpoch2Txt(AR53),NA())</f>
        <v>2015/03/04 22:25</v>
      </c>
      <c r="O53" s="301"/>
      <c r="P53" s="302">
        <f t="shared" si="12"/>
        <v>395974.41666666669</v>
      </c>
      <c r="Q53" s="303"/>
      <c r="AB53" t="b">
        <f t="shared" si="13"/>
        <v>1</v>
      </c>
      <c r="AC53">
        <f t="array" ref="AC53">IF(ISBLANK(D53),0,dateConvert2Decimal(D53))</f>
        <v>1425427200</v>
      </c>
      <c r="AD53">
        <f t="array" ref="AD53">IF(ISBLANK(E53),0,heureConvert2Decimal(E53))*3600</f>
        <v>80700</v>
      </c>
      <c r="AE53">
        <f t="shared" si="14"/>
        <v>1425507900</v>
      </c>
      <c r="AF53" s="123" t="b">
        <f t="shared" si="15"/>
        <v>1</v>
      </c>
      <c r="AG53" s="123" t="b">
        <f t="shared" si="16"/>
        <v>1</v>
      </c>
      <c r="AH53" s="123" t="b">
        <f t="shared" si="17"/>
        <v>1</v>
      </c>
      <c r="AI53" s="123" t="b">
        <f t="shared" si="18"/>
        <v>1</v>
      </c>
      <c r="AJ53" s="123" t="b">
        <f t="shared" si="19"/>
        <v>1</v>
      </c>
      <c r="AK53">
        <f t="shared" si="28"/>
        <v>5.4666666666666668</v>
      </c>
      <c r="AL53" s="123" t="b">
        <f t="shared" si="20"/>
        <v>1</v>
      </c>
      <c r="AM53">
        <f t="shared" si="21"/>
        <v>33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8.83</v>
      </c>
      <c r="AR53">
        <f t="shared" si="26"/>
        <v>1425507900</v>
      </c>
      <c r="AS53" s="307"/>
      <c r="AT53" s="307"/>
      <c r="AU53" s="307"/>
      <c r="AV53" s="307"/>
      <c r="AW53" s="307"/>
      <c r="AX53" s="307"/>
      <c r="AY53" s="307"/>
      <c r="AZ53" s="307"/>
      <c r="BA53" s="307"/>
      <c r="BB53" s="307"/>
    </row>
    <row r="54" spans="3:54">
      <c r="C54" s="121" t="str">
        <f t="shared" si="27"/>
        <v>BM</v>
      </c>
      <c r="D54" s="77" t="s">
        <v>236</v>
      </c>
      <c r="E54" s="75" t="s">
        <v>237</v>
      </c>
      <c r="F54" s="75"/>
      <c r="G54" s="79">
        <v>5.5</v>
      </c>
      <c r="H54" s="117" t="str">
        <f t="shared" si="8"/>
        <v>Y</v>
      </c>
      <c r="I54" s="117" t="str">
        <f t="shared" si="9"/>
        <v>N</v>
      </c>
      <c r="J54" s="122">
        <f t="shared" si="10"/>
        <v>0</v>
      </c>
      <c r="K54" s="320" t="str">
        <f t="array" ref="K54">IF(AL54,heureDecimal2Txt(AP54),NA())</f>
        <v>00:00:00.00(00.0000)</v>
      </c>
      <c r="L54" s="321"/>
      <c r="M54" s="118">
        <f t="shared" si="11"/>
        <v>5.5</v>
      </c>
      <c r="N54" s="301" t="str">
        <f t="array" ref="N54">IF(AL54,dateEpoch2Txt(AR54),NA())</f>
        <v>2015/03/05 05:18</v>
      </c>
      <c r="O54" s="301"/>
      <c r="P54" s="302">
        <f t="shared" si="12"/>
        <v>395981.3</v>
      </c>
      <c r="Q54" s="303"/>
      <c r="AB54" t="b">
        <f t="shared" si="13"/>
        <v>0</v>
      </c>
      <c r="AC54">
        <f t="array" ref="AC54">IF(ISBLANK(D54),0,dateConvert2Decimal(D54))</f>
        <v>1425513600</v>
      </c>
      <c r="AD54">
        <f t="array" ref="AD54">IF(ISBLANK(E54),0,heureConvert2Decimal(E54))*3600</f>
        <v>19080</v>
      </c>
      <c r="AE54">
        <f t="shared" si="14"/>
        <v>1425532680</v>
      </c>
      <c r="AF54" s="123" t="b">
        <f t="shared" si="15"/>
        <v>1</v>
      </c>
      <c r="AG54" s="123" t="b">
        <f t="shared" si="16"/>
        <v>1</v>
      </c>
      <c r="AH54" s="123" t="b">
        <f t="shared" si="17"/>
        <v>1</v>
      </c>
      <c r="AI54" s="123" t="b">
        <f t="shared" si="18"/>
        <v>1</v>
      </c>
      <c r="AJ54" s="123" t="b">
        <f t="shared" si="19"/>
        <v>1</v>
      </c>
      <c r="AK54">
        <f t="shared" si="28"/>
        <v>6.8833333333333337</v>
      </c>
      <c r="AL54" s="123" t="b">
        <f t="shared" si="20"/>
        <v>1</v>
      </c>
      <c r="AM54">
        <f t="shared" si="21"/>
        <v>29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5.5</v>
      </c>
      <c r="AR54">
        <f t="shared" si="26"/>
        <v>1425532680</v>
      </c>
      <c r="AS54" s="307"/>
      <c r="AT54" s="307"/>
      <c r="AU54" s="307"/>
      <c r="AV54" s="307"/>
      <c r="AW54" s="307"/>
      <c r="AX54" s="307"/>
      <c r="AY54" s="307"/>
      <c r="AZ54" s="307"/>
      <c r="BA54" s="307"/>
      <c r="BB54" s="307"/>
    </row>
    <row r="55" spans="3:54">
      <c r="C55" s="121" t="str">
        <f t="shared" si="27"/>
        <v>PM</v>
      </c>
      <c r="D55" s="78" t="s">
        <v>236</v>
      </c>
      <c r="E55" s="76" t="s">
        <v>238</v>
      </c>
      <c r="F55" s="76">
        <v>29</v>
      </c>
      <c r="G55" s="80">
        <v>8.59</v>
      </c>
      <c r="H55" s="117" t="str">
        <f t="shared" si="8"/>
        <v>Y</v>
      </c>
      <c r="I55" s="117" t="str">
        <f t="shared" si="9"/>
        <v>N</v>
      </c>
      <c r="J55" s="122">
        <f t="shared" si="10"/>
        <v>0</v>
      </c>
      <c r="K55" s="320" t="str">
        <f t="array" ref="K55">IF(AL55,heureDecimal2Txt(AP55),NA())</f>
        <v>00:00:00.00(00.0000)</v>
      </c>
      <c r="L55" s="321"/>
      <c r="M55" s="118">
        <f t="shared" si="11"/>
        <v>8.59</v>
      </c>
      <c r="N55" s="301" t="str">
        <f t="array" ref="N55">IF(AL55,dateEpoch2Txt(AR55),NA())</f>
        <v>2015/03/05 10:56</v>
      </c>
      <c r="O55" s="301"/>
      <c r="P55" s="302">
        <f t="shared" si="12"/>
        <v>395986.93333333335</v>
      </c>
      <c r="Q55" s="303"/>
      <c r="AB55" t="b">
        <f t="shared" si="13"/>
        <v>1</v>
      </c>
      <c r="AC55">
        <f t="array" ref="AC55">IF(ISBLANK(D55),0,dateConvert2Decimal(D55))</f>
        <v>1425513600</v>
      </c>
      <c r="AD55">
        <f t="array" ref="AD55">IF(ISBLANK(E55),0,heureConvert2Decimal(E55))*3600</f>
        <v>39360</v>
      </c>
      <c r="AE55">
        <f t="shared" si="14"/>
        <v>1425552960</v>
      </c>
      <c r="AF55" s="123" t="b">
        <f t="shared" si="15"/>
        <v>1</v>
      </c>
      <c r="AG55" s="123" t="b">
        <f t="shared" si="16"/>
        <v>1</v>
      </c>
      <c r="AH55" s="123" t="b">
        <f t="shared" si="17"/>
        <v>1</v>
      </c>
      <c r="AI55" s="123" t="b">
        <f t="shared" si="18"/>
        <v>1</v>
      </c>
      <c r="AJ55" s="123" t="b">
        <f t="shared" si="19"/>
        <v>1</v>
      </c>
      <c r="AK55">
        <f t="shared" si="28"/>
        <v>5.6333333333333337</v>
      </c>
      <c r="AL55" s="123" t="b">
        <f t="shared" si="20"/>
        <v>1</v>
      </c>
      <c r="AM55">
        <f t="shared" si="21"/>
        <v>29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8.59</v>
      </c>
      <c r="AR55">
        <f t="shared" si="26"/>
        <v>1425552960</v>
      </c>
      <c r="AS55" s="307"/>
      <c r="AT55" s="307"/>
      <c r="AU55" s="307"/>
      <c r="AV55" s="307"/>
      <c r="AW55" s="307"/>
      <c r="AX55" s="307"/>
      <c r="AY55" s="307"/>
      <c r="AZ55" s="307"/>
      <c r="BA55" s="307"/>
      <c r="BB55" s="307"/>
    </row>
    <row r="56" spans="3:54">
      <c r="C56" s="121" t="str">
        <f t="shared" si="27"/>
        <v>BM</v>
      </c>
      <c r="D56" s="77" t="s">
        <v>236</v>
      </c>
      <c r="E56" s="75" t="s">
        <v>239</v>
      </c>
      <c r="F56" s="75"/>
      <c r="G56" s="79">
        <v>5.22</v>
      </c>
      <c r="H56" s="117" t="str">
        <f t="shared" si="8"/>
        <v>Y</v>
      </c>
      <c r="I56" s="117" t="str">
        <f t="shared" si="9"/>
        <v>N</v>
      </c>
      <c r="J56" s="122">
        <f t="shared" si="10"/>
        <v>0</v>
      </c>
      <c r="K56" s="320" t="str">
        <f t="array" ref="K56">IF(AL56,heureDecimal2Txt(AP56),NA())</f>
        <v>00:00:00.00(00.0000)</v>
      </c>
      <c r="L56" s="321"/>
      <c r="M56" s="118">
        <f t="shared" si="11"/>
        <v>5.22</v>
      </c>
      <c r="N56" s="301" t="str">
        <f t="array" ref="N56">IF(AL56,dateEpoch2Txt(AR56),NA())</f>
        <v>2015/03/05 18:09</v>
      </c>
      <c r="O56" s="301"/>
      <c r="P56" s="302">
        <f t="shared" si="12"/>
        <v>395994.15</v>
      </c>
      <c r="Q56" s="303"/>
      <c r="AB56" t="b">
        <f t="shared" si="13"/>
        <v>0</v>
      </c>
      <c r="AC56">
        <f t="array" ref="AC56">IF(ISBLANK(D56),0,dateConvert2Decimal(D56))</f>
        <v>1425513600</v>
      </c>
      <c r="AD56">
        <f t="array" ref="AD56">IF(ISBLANK(E56),0,heureConvert2Decimal(E56))*3600</f>
        <v>65339.999999999993</v>
      </c>
      <c r="AE56">
        <f t="shared" si="14"/>
        <v>1425578940</v>
      </c>
      <c r="AF56" s="123" t="b">
        <f t="shared" si="15"/>
        <v>1</v>
      </c>
      <c r="AG56" s="123" t="b">
        <f t="shared" si="16"/>
        <v>1</v>
      </c>
      <c r="AH56" s="123" t="b">
        <f t="shared" si="17"/>
        <v>1</v>
      </c>
      <c r="AI56" s="123" t="b">
        <f t="shared" si="18"/>
        <v>1</v>
      </c>
      <c r="AJ56" s="123" t="b">
        <f t="shared" si="19"/>
        <v>1</v>
      </c>
      <c r="AK56">
        <f t="shared" si="28"/>
        <v>7.2166666666666668</v>
      </c>
      <c r="AL56" s="123" t="b">
        <f t="shared" si="20"/>
        <v>1</v>
      </c>
      <c r="AM56">
        <f t="shared" si="21"/>
        <v>28</v>
      </c>
      <c r="AN56" t="b">
        <f t="shared" si="22"/>
        <v>0</v>
      </c>
      <c r="AO56">
        <f t="shared" si="23"/>
        <v>0</v>
      </c>
      <c r="AP56">
        <f t="shared" si="24"/>
        <v>0</v>
      </c>
      <c r="AQ56">
        <f t="shared" si="25"/>
        <v>5.22</v>
      </c>
      <c r="AR56">
        <f t="shared" si="26"/>
        <v>1425578940</v>
      </c>
      <c r="AS56" s="307"/>
      <c r="AT56" s="307"/>
      <c r="AU56" s="307"/>
      <c r="AV56" s="307"/>
      <c r="AW56" s="307"/>
      <c r="AX56" s="307"/>
      <c r="AY56" s="307"/>
      <c r="AZ56" s="307"/>
      <c r="BA56" s="307"/>
      <c r="BB56" s="307"/>
    </row>
    <row r="57" spans="3:54">
      <c r="C57" s="121" t="str">
        <f t="shared" si="27"/>
        <v>PM</v>
      </c>
      <c r="D57" s="78" t="s">
        <v>240</v>
      </c>
      <c r="E57" s="76" t="s">
        <v>241</v>
      </c>
      <c r="F57" s="76">
        <v>28</v>
      </c>
      <c r="G57" s="80">
        <v>8.2200000000000006</v>
      </c>
      <c r="H57" s="117" t="str">
        <f t="shared" si="8"/>
        <v>Y</v>
      </c>
      <c r="I57" s="117" t="str">
        <f t="shared" si="9"/>
        <v>N</v>
      </c>
      <c r="J57" s="122">
        <f t="shared" si="10"/>
        <v>0</v>
      </c>
      <c r="K57" s="320" t="str">
        <f t="array" ref="K57">IF(AL57,heureDecimal2Txt(AP57),NA())</f>
        <v>00:00:00.00(00.0000)</v>
      </c>
      <c r="L57" s="321"/>
      <c r="M57" s="118">
        <f t="shared" si="11"/>
        <v>8.2200000000000006</v>
      </c>
      <c r="N57" s="301" t="str">
        <f t="array" ref="N57">IF(AL57,dateEpoch2Txt(AR57),NA())</f>
        <v>2015/03/06 00:06</v>
      </c>
      <c r="O57" s="301"/>
      <c r="P57" s="302">
        <f t="shared" si="12"/>
        <v>396000.1</v>
      </c>
      <c r="Q57" s="303"/>
      <c r="AB57" t="b">
        <f t="shared" si="13"/>
        <v>1</v>
      </c>
      <c r="AC57">
        <f t="array" ref="AC57">IF(ISBLANK(D57),0,dateConvert2Decimal(D57))</f>
        <v>1425600000</v>
      </c>
      <c r="AD57">
        <f t="array" ref="AD57">IF(ISBLANK(E57),0,heureConvert2Decimal(E57))*3600</f>
        <v>360</v>
      </c>
      <c r="AE57">
        <f t="shared" si="14"/>
        <v>1425600360</v>
      </c>
      <c r="AF57" s="123" t="b">
        <f t="shared" si="15"/>
        <v>1</v>
      </c>
      <c r="AG57" s="123" t="b">
        <f t="shared" si="16"/>
        <v>1</v>
      </c>
      <c r="AH57" s="123" t="b">
        <f t="shared" si="17"/>
        <v>1</v>
      </c>
      <c r="AI57" s="123" t="b">
        <f t="shared" si="18"/>
        <v>1</v>
      </c>
      <c r="AJ57" s="123" t="b">
        <f t="shared" si="19"/>
        <v>1</v>
      </c>
      <c r="AK57">
        <f t="shared" si="28"/>
        <v>5.95</v>
      </c>
      <c r="AL57" s="123" t="b">
        <f t="shared" si="20"/>
        <v>1</v>
      </c>
      <c r="AM57">
        <f t="shared" si="21"/>
        <v>28</v>
      </c>
      <c r="AN57" t="b">
        <f t="shared" si="22"/>
        <v>0</v>
      </c>
      <c r="AO57">
        <f t="shared" si="23"/>
        <v>0</v>
      </c>
      <c r="AP57">
        <f t="shared" si="24"/>
        <v>0</v>
      </c>
      <c r="AQ57">
        <f t="shared" si="25"/>
        <v>8.2200000000000006</v>
      </c>
      <c r="AR57">
        <f t="shared" si="26"/>
        <v>1425600360</v>
      </c>
      <c r="AS57" s="307"/>
      <c r="AT57" s="307"/>
      <c r="AU57" s="307"/>
      <c r="AV57" s="307"/>
      <c r="AW57" s="307"/>
      <c r="AX57" s="307"/>
      <c r="AY57" s="307"/>
      <c r="AZ57" s="307"/>
      <c r="BA57" s="307"/>
      <c r="BB57" s="307"/>
    </row>
    <row r="58" spans="3:54">
      <c r="C58" s="121" t="str">
        <f t="shared" si="27"/>
        <v>BM</v>
      </c>
      <c r="D58" s="77" t="s">
        <v>240</v>
      </c>
      <c r="E58" s="75" t="s">
        <v>242</v>
      </c>
      <c r="F58" s="75"/>
      <c r="G58" s="79">
        <v>5.46</v>
      </c>
      <c r="H58" s="117" t="str">
        <f t="shared" si="8"/>
        <v>Y</v>
      </c>
      <c r="I58" s="117" t="str">
        <f t="shared" si="9"/>
        <v>N</v>
      </c>
      <c r="J58" s="122">
        <f t="shared" si="10"/>
        <v>0</v>
      </c>
      <c r="K58" s="320" t="str">
        <f t="array" ref="K58">IF(AL58,heureDecimal2Txt(AP58),NA())</f>
        <v>00:00:00.00(00.0000)</v>
      </c>
      <c r="L58" s="321"/>
      <c r="M58" s="118">
        <f t="shared" si="11"/>
        <v>5.46</v>
      </c>
      <c r="N58" s="301" t="str">
        <f t="array" ref="N58">IF(AL58,dateEpoch2Txt(AR58),NA())</f>
        <v>2015/03/06 06:48</v>
      </c>
      <c r="O58" s="301"/>
      <c r="P58" s="302">
        <f t="shared" si="12"/>
        <v>396006.8</v>
      </c>
      <c r="Q58" s="303"/>
      <c r="AB58" t="b">
        <f t="shared" si="13"/>
        <v>0</v>
      </c>
      <c r="AC58">
        <f t="array" ref="AC58">IF(ISBLANK(D58),0,dateConvert2Decimal(D58))</f>
        <v>1425600000</v>
      </c>
      <c r="AD58">
        <f t="array" ref="AD58">IF(ISBLANK(E58),0,heureConvert2Decimal(E58))*3600</f>
        <v>24480</v>
      </c>
      <c r="AE58">
        <f t="shared" si="14"/>
        <v>1425624480</v>
      </c>
      <c r="AF58" s="123" t="b">
        <f t="shared" si="15"/>
        <v>1</v>
      </c>
      <c r="AG58" s="123" t="b">
        <f t="shared" si="16"/>
        <v>1</v>
      </c>
      <c r="AH58" s="123" t="b">
        <f t="shared" si="17"/>
        <v>1</v>
      </c>
      <c r="AI58" s="123" t="b">
        <f t="shared" si="18"/>
        <v>1</v>
      </c>
      <c r="AJ58" s="123" t="b">
        <f t="shared" si="19"/>
        <v>1</v>
      </c>
      <c r="AK58">
        <f t="shared" si="28"/>
        <v>6.7</v>
      </c>
      <c r="AL58" s="123" t="b">
        <f t="shared" si="20"/>
        <v>1</v>
      </c>
      <c r="AM58">
        <f t="shared" si="21"/>
        <v>31</v>
      </c>
      <c r="AN58" t="b">
        <f t="shared" si="22"/>
        <v>0</v>
      </c>
      <c r="AO58">
        <f t="shared" si="23"/>
        <v>0</v>
      </c>
      <c r="AP58">
        <f t="shared" si="24"/>
        <v>0</v>
      </c>
      <c r="AQ58">
        <f t="shared" si="25"/>
        <v>5.46</v>
      </c>
      <c r="AR58">
        <f t="shared" si="26"/>
        <v>1425624480</v>
      </c>
      <c r="AS58" s="307"/>
      <c r="AT58" s="307"/>
      <c r="AU58" s="307"/>
      <c r="AV58" s="307"/>
      <c r="AW58" s="307"/>
      <c r="AX58" s="307"/>
      <c r="AY58" s="307"/>
      <c r="AZ58" s="307"/>
      <c r="BA58" s="307"/>
      <c r="BB58" s="307"/>
    </row>
    <row r="59" spans="3:54">
      <c r="C59" s="121" t="str">
        <f t="shared" si="27"/>
        <v>PM</v>
      </c>
      <c r="D59" s="78" t="s">
        <v>240</v>
      </c>
      <c r="E59" s="76" t="s">
        <v>243</v>
      </c>
      <c r="F59" s="76">
        <v>31</v>
      </c>
      <c r="G59" s="80">
        <v>8.3699999999999992</v>
      </c>
      <c r="H59" s="117" t="str">
        <f t="shared" si="8"/>
        <v>Y</v>
      </c>
      <c r="I59" s="117" t="str">
        <f t="shared" si="9"/>
        <v>N</v>
      </c>
      <c r="J59" s="122">
        <f t="shared" si="10"/>
        <v>0</v>
      </c>
      <c r="K59" s="320" t="str">
        <f t="array" ref="K59">IF(AL59,heureDecimal2Txt(AP59),NA())</f>
        <v>00:00:00.00(00.0000)</v>
      </c>
      <c r="L59" s="321"/>
      <c r="M59" s="118">
        <f t="shared" si="11"/>
        <v>8.3699999999999992</v>
      </c>
      <c r="N59" s="301" t="str">
        <f t="array" ref="N59">IF(AL59,dateEpoch2Txt(AR59),NA())</f>
        <v>2015/03/06 13:24</v>
      </c>
      <c r="O59" s="301"/>
      <c r="P59" s="302">
        <f t="shared" si="12"/>
        <v>396013.4</v>
      </c>
      <c r="Q59" s="303"/>
      <c r="AB59" t="b">
        <f t="shared" si="13"/>
        <v>1</v>
      </c>
      <c r="AC59">
        <f t="array" ref="AC59">IF(ISBLANK(D59),0,dateConvert2Decimal(D59))</f>
        <v>1425600000</v>
      </c>
      <c r="AD59">
        <f t="array" ref="AD59">IF(ISBLANK(E59),0,heureConvert2Decimal(E59))*3600</f>
        <v>48240</v>
      </c>
      <c r="AE59">
        <f t="shared" si="14"/>
        <v>1425648240</v>
      </c>
      <c r="AF59" s="123" t="b">
        <f t="shared" si="15"/>
        <v>1</v>
      </c>
      <c r="AG59" s="123" t="b">
        <f t="shared" si="16"/>
        <v>1</v>
      </c>
      <c r="AH59" s="123" t="b">
        <f t="shared" si="17"/>
        <v>1</v>
      </c>
      <c r="AI59" s="123" t="b">
        <f t="shared" si="18"/>
        <v>1</v>
      </c>
      <c r="AJ59" s="123" t="b">
        <f t="shared" si="19"/>
        <v>1</v>
      </c>
      <c r="AK59">
        <f t="shared" si="28"/>
        <v>6.6</v>
      </c>
      <c r="AL59" s="123" t="b">
        <f t="shared" si="20"/>
        <v>1</v>
      </c>
      <c r="AM59">
        <f t="shared" si="21"/>
        <v>31</v>
      </c>
      <c r="AN59" t="b">
        <f t="shared" si="22"/>
        <v>0</v>
      </c>
      <c r="AO59">
        <f t="shared" si="23"/>
        <v>0</v>
      </c>
      <c r="AP59">
        <f t="shared" si="24"/>
        <v>0</v>
      </c>
      <c r="AQ59">
        <f t="shared" si="25"/>
        <v>8.3699999999999992</v>
      </c>
      <c r="AR59">
        <f t="shared" si="26"/>
        <v>1425648240</v>
      </c>
      <c r="AS59" s="307"/>
      <c r="AT59" s="307"/>
      <c r="AU59" s="307"/>
      <c r="AV59" s="307"/>
      <c r="AW59" s="307"/>
      <c r="AX59" s="307"/>
      <c r="AY59" s="307"/>
      <c r="AZ59" s="307"/>
      <c r="BA59" s="307"/>
      <c r="BB59" s="307"/>
    </row>
    <row r="60" spans="3:54">
      <c r="C60" s="121" t="str">
        <f t="shared" si="27"/>
        <v>BM</v>
      </c>
      <c r="D60" s="77" t="s">
        <v>240</v>
      </c>
      <c r="E60" s="75" t="s">
        <v>244</v>
      </c>
      <c r="F60" s="75"/>
      <c r="G60" s="79">
        <v>5.8</v>
      </c>
      <c r="H60" s="117" t="str">
        <f t="shared" si="8"/>
        <v>Y</v>
      </c>
      <c r="I60" s="117" t="str">
        <f t="shared" si="9"/>
        <v>N</v>
      </c>
      <c r="J60" s="122">
        <f t="shared" si="10"/>
        <v>0</v>
      </c>
      <c r="K60" s="320" t="str">
        <f t="array" ref="K60">IF(AL60,heureDecimal2Txt(AP60),NA())</f>
        <v>00:00:00.00(00.0000)</v>
      </c>
      <c r="L60" s="321"/>
      <c r="M60" s="118">
        <f t="shared" si="11"/>
        <v>5.8</v>
      </c>
      <c r="N60" s="301" t="str">
        <f t="array" ref="N60">IF(AL60,dateEpoch2Txt(AR60),NA())</f>
        <v>2015/03/06 20:11</v>
      </c>
      <c r="O60" s="301"/>
      <c r="P60" s="302">
        <f t="shared" si="12"/>
        <v>396020.18333333335</v>
      </c>
      <c r="Q60" s="303"/>
      <c r="AB60" t="b">
        <f t="shared" si="13"/>
        <v>0</v>
      </c>
      <c r="AC60">
        <f t="array" ref="AC60">IF(ISBLANK(D60),0,dateConvert2Decimal(D60))</f>
        <v>1425600000</v>
      </c>
      <c r="AD60">
        <f t="array" ref="AD60">IF(ISBLANK(E60),0,heureConvert2Decimal(E60))*3600</f>
        <v>72660</v>
      </c>
      <c r="AE60">
        <f t="shared" si="14"/>
        <v>1425672660</v>
      </c>
      <c r="AF60" s="123" t="b">
        <f t="shared" si="15"/>
        <v>1</v>
      </c>
      <c r="AG60" s="123" t="b">
        <f t="shared" si="16"/>
        <v>1</v>
      </c>
      <c r="AH60" s="123" t="b">
        <f t="shared" si="17"/>
        <v>1</v>
      </c>
      <c r="AI60" s="123" t="b">
        <f t="shared" si="18"/>
        <v>1</v>
      </c>
      <c r="AJ60" s="123" t="b">
        <f t="shared" si="19"/>
        <v>1</v>
      </c>
      <c r="AK60">
        <f t="shared" si="28"/>
        <v>6.7833333333333332</v>
      </c>
      <c r="AL60" s="123" t="b">
        <f t="shared" si="20"/>
        <v>1</v>
      </c>
      <c r="AM60">
        <f t="shared" si="21"/>
        <v>37</v>
      </c>
      <c r="AN60" t="b">
        <f t="shared" si="22"/>
        <v>0</v>
      </c>
      <c r="AO60">
        <f t="shared" si="23"/>
        <v>0</v>
      </c>
      <c r="AP60">
        <f t="shared" si="24"/>
        <v>0</v>
      </c>
      <c r="AQ60">
        <f t="shared" si="25"/>
        <v>5.8</v>
      </c>
      <c r="AR60">
        <f t="shared" si="26"/>
        <v>1425672660</v>
      </c>
      <c r="AS60" s="307"/>
      <c r="AT60" s="307"/>
      <c r="AU60" s="307"/>
      <c r="AV60" s="307"/>
      <c r="AW60" s="307"/>
      <c r="AX60" s="307"/>
      <c r="AY60" s="307"/>
      <c r="AZ60" s="307"/>
      <c r="BA60" s="307"/>
      <c r="BB60" s="307"/>
    </row>
    <row r="61" spans="3:54">
      <c r="C61" s="121" t="str">
        <f t="shared" si="27"/>
        <v>PM</v>
      </c>
      <c r="D61" s="78" t="s">
        <v>245</v>
      </c>
      <c r="E61" s="76" t="s">
        <v>246</v>
      </c>
      <c r="F61" s="76">
        <v>37</v>
      </c>
      <c r="G61" s="80">
        <v>8.59</v>
      </c>
      <c r="H61" s="117" t="str">
        <f t="shared" si="8"/>
        <v>Y</v>
      </c>
      <c r="I61" s="117" t="str">
        <f t="shared" si="9"/>
        <v>N</v>
      </c>
      <c r="J61" s="122">
        <f t="shared" si="10"/>
        <v>0</v>
      </c>
      <c r="K61" s="320" t="str">
        <f t="array" ref="K61">IF(AL61,heureDecimal2Txt(AP61),NA())</f>
        <v>00:00:00.00(00.0000)</v>
      </c>
      <c r="L61" s="321"/>
      <c r="M61" s="118">
        <f t="shared" si="11"/>
        <v>8.59</v>
      </c>
      <c r="N61" s="301" t="str">
        <f t="array" ref="N61">IF(AL61,dateEpoch2Txt(AR61),NA())</f>
        <v>2015/03/07 02:23</v>
      </c>
      <c r="O61" s="301"/>
      <c r="P61" s="302">
        <f t="shared" si="12"/>
        <v>396026.38333333336</v>
      </c>
      <c r="Q61" s="303"/>
      <c r="AB61" t="b">
        <f t="shared" si="13"/>
        <v>1</v>
      </c>
      <c r="AC61">
        <f t="array" ref="AC61">IF(ISBLANK(D61),0,dateConvert2Decimal(D61))</f>
        <v>1425686400</v>
      </c>
      <c r="AD61">
        <f t="array" ref="AD61">IF(ISBLANK(E61),0,heureConvert2Decimal(E61))*3600</f>
        <v>8580</v>
      </c>
      <c r="AE61">
        <f t="shared" si="14"/>
        <v>1425694980</v>
      </c>
      <c r="AF61" s="123" t="b">
        <f t="shared" si="15"/>
        <v>1</v>
      </c>
      <c r="AG61" s="123" t="b">
        <f t="shared" si="16"/>
        <v>1</v>
      </c>
      <c r="AH61" s="123" t="b">
        <f t="shared" si="17"/>
        <v>1</v>
      </c>
      <c r="AI61" s="123" t="b">
        <f t="shared" si="18"/>
        <v>1</v>
      </c>
      <c r="AJ61" s="123" t="b">
        <f t="shared" si="19"/>
        <v>1</v>
      </c>
      <c r="AK61">
        <f t="shared" si="28"/>
        <v>6.2</v>
      </c>
      <c r="AL61" s="123" t="b">
        <f t="shared" si="20"/>
        <v>1</v>
      </c>
      <c r="AM61">
        <f t="shared" si="21"/>
        <v>37</v>
      </c>
      <c r="AN61" t="b">
        <f t="shared" si="22"/>
        <v>0</v>
      </c>
      <c r="AO61">
        <f t="shared" si="23"/>
        <v>0</v>
      </c>
      <c r="AP61">
        <f t="shared" si="24"/>
        <v>0</v>
      </c>
      <c r="AQ61">
        <f t="shared" si="25"/>
        <v>8.59</v>
      </c>
      <c r="AR61">
        <f t="shared" si="26"/>
        <v>1425694980</v>
      </c>
      <c r="AS61" s="307"/>
      <c r="AT61" s="307"/>
      <c r="AU61" s="307"/>
      <c r="AV61" s="307"/>
      <c r="AW61" s="307"/>
      <c r="AX61" s="307"/>
      <c r="AY61" s="307"/>
      <c r="AZ61" s="307"/>
      <c r="BA61" s="307"/>
      <c r="BB61" s="307"/>
    </row>
    <row r="62" spans="3:54">
      <c r="C62" s="121" t="str">
        <f t="shared" si="27"/>
        <v>BM</v>
      </c>
      <c r="D62" s="77" t="s">
        <v>245</v>
      </c>
      <c r="E62" s="75" t="s">
        <v>247</v>
      </c>
      <c r="F62" s="75"/>
      <c r="G62" s="79">
        <v>4.99</v>
      </c>
      <c r="H62" s="117" t="str">
        <f t="shared" si="8"/>
        <v>Y</v>
      </c>
      <c r="I62" s="117" t="str">
        <f t="shared" si="9"/>
        <v>N</v>
      </c>
      <c r="J62" s="122">
        <f t="shared" si="10"/>
        <v>0</v>
      </c>
      <c r="K62" s="320" t="str">
        <f t="array" ref="K62">IF(AL62,heureDecimal2Txt(AP62),NA())</f>
        <v>00:00:00.00(00.0000)</v>
      </c>
      <c r="L62" s="321"/>
      <c r="M62" s="118">
        <f t="shared" si="11"/>
        <v>4.99</v>
      </c>
      <c r="N62" s="301" t="str">
        <f t="array" ref="N62">IF(AL62,dateEpoch2Txt(AR62),NA())</f>
        <v>2015/03/07 08:59</v>
      </c>
      <c r="O62" s="301"/>
      <c r="P62" s="302">
        <f t="shared" si="12"/>
        <v>396032.98333333334</v>
      </c>
      <c r="Q62" s="303"/>
      <c r="AB62" t="b">
        <f t="shared" si="13"/>
        <v>0</v>
      </c>
      <c r="AC62">
        <f t="array" ref="AC62">IF(ISBLANK(D62),0,dateConvert2Decimal(D62))</f>
        <v>1425686400</v>
      </c>
      <c r="AD62">
        <f t="array" ref="AD62">IF(ISBLANK(E62),0,heureConvert2Decimal(E62))*3600</f>
        <v>32339.999999999996</v>
      </c>
      <c r="AE62">
        <f t="shared" si="14"/>
        <v>1425718740</v>
      </c>
      <c r="AF62" s="123" t="b">
        <f t="shared" si="15"/>
        <v>1</v>
      </c>
      <c r="AG62" s="123" t="b">
        <f t="shared" si="16"/>
        <v>1</v>
      </c>
      <c r="AH62" s="123" t="b">
        <f t="shared" si="17"/>
        <v>1</v>
      </c>
      <c r="AI62" s="123" t="b">
        <f t="shared" si="18"/>
        <v>1</v>
      </c>
      <c r="AJ62" s="123" t="b">
        <f t="shared" si="19"/>
        <v>1</v>
      </c>
      <c r="AK62">
        <f t="shared" si="28"/>
        <v>6.6</v>
      </c>
      <c r="AL62" s="123" t="b">
        <f t="shared" si="20"/>
        <v>1</v>
      </c>
      <c r="AM62">
        <f t="shared" si="21"/>
        <v>45</v>
      </c>
      <c r="AN62" t="b">
        <f t="shared" si="22"/>
        <v>0</v>
      </c>
      <c r="AO62">
        <f t="shared" si="23"/>
        <v>0</v>
      </c>
      <c r="AP62">
        <f t="shared" si="24"/>
        <v>0</v>
      </c>
      <c r="AQ62">
        <f t="shared" si="25"/>
        <v>4.99</v>
      </c>
      <c r="AR62">
        <f t="shared" si="26"/>
        <v>1425718740</v>
      </c>
      <c r="AS62" s="307"/>
      <c r="AT62" s="307"/>
      <c r="AU62" s="307"/>
      <c r="AV62" s="307"/>
      <c r="AW62" s="307"/>
      <c r="AX62" s="307"/>
      <c r="AY62" s="307"/>
      <c r="AZ62" s="307"/>
      <c r="BA62" s="307"/>
      <c r="BB62" s="307"/>
    </row>
    <row r="63" spans="3:54">
      <c r="C63" s="121" t="str">
        <f t="shared" si="27"/>
        <v>PM</v>
      </c>
      <c r="D63" s="78" t="s">
        <v>245</v>
      </c>
      <c r="E63" s="76" t="s">
        <v>248</v>
      </c>
      <c r="F63" s="76">
        <v>45</v>
      </c>
      <c r="G63" s="80">
        <v>9.19</v>
      </c>
      <c r="H63" s="117" t="str">
        <f t="shared" si="8"/>
        <v>Y</v>
      </c>
      <c r="I63" s="117" t="str">
        <f t="shared" si="9"/>
        <v>N</v>
      </c>
      <c r="J63" s="122">
        <f t="shared" si="10"/>
        <v>0</v>
      </c>
      <c r="K63" s="320" t="str">
        <f t="array" ref="K63">IF(AL63,heureDecimal2Txt(AP63),NA())</f>
        <v>00:00:00.00(00.0000)</v>
      </c>
      <c r="L63" s="321"/>
      <c r="M63" s="118">
        <f t="shared" si="11"/>
        <v>9.19</v>
      </c>
      <c r="N63" s="301" t="str">
        <f t="array" ref="N63">IF(AL63,dateEpoch2Txt(AR63),NA())</f>
        <v>2015/03/07 15:03</v>
      </c>
      <c r="O63" s="301"/>
      <c r="P63" s="302">
        <f t="shared" si="12"/>
        <v>396039.05</v>
      </c>
      <c r="Q63" s="303"/>
      <c r="AB63" t="b">
        <f t="shared" si="13"/>
        <v>1</v>
      </c>
      <c r="AC63">
        <f t="array" ref="AC63">IF(ISBLANK(D63),0,dateConvert2Decimal(D63))</f>
        <v>1425686400</v>
      </c>
      <c r="AD63">
        <f t="array" ref="AD63">IF(ISBLANK(E63),0,heureConvert2Decimal(E63))*3600</f>
        <v>54180</v>
      </c>
      <c r="AE63">
        <f t="shared" si="14"/>
        <v>1425740580</v>
      </c>
      <c r="AF63" s="123" t="b">
        <f t="shared" si="15"/>
        <v>1</v>
      </c>
      <c r="AG63" s="123" t="b">
        <f t="shared" si="16"/>
        <v>1</v>
      </c>
      <c r="AH63" s="123" t="b">
        <f t="shared" si="17"/>
        <v>1</v>
      </c>
      <c r="AI63" s="123" t="b">
        <f t="shared" si="18"/>
        <v>1</v>
      </c>
      <c r="AJ63" s="123" t="b">
        <f t="shared" si="19"/>
        <v>1</v>
      </c>
      <c r="AK63">
        <f t="shared" si="28"/>
        <v>6.0666666666666664</v>
      </c>
      <c r="AL63" s="123" t="b">
        <f t="shared" si="20"/>
        <v>1</v>
      </c>
      <c r="AM63">
        <f t="shared" si="21"/>
        <v>45</v>
      </c>
      <c r="AN63" t="b">
        <f t="shared" si="22"/>
        <v>0</v>
      </c>
      <c r="AO63">
        <f t="shared" si="23"/>
        <v>0</v>
      </c>
      <c r="AP63">
        <f t="shared" si="24"/>
        <v>0</v>
      </c>
      <c r="AQ63">
        <f t="shared" si="25"/>
        <v>9.19</v>
      </c>
      <c r="AR63">
        <f t="shared" si="26"/>
        <v>1425740580</v>
      </c>
      <c r="AS63" s="307"/>
      <c r="AT63" s="307"/>
      <c r="AU63" s="307"/>
      <c r="AV63" s="307"/>
      <c r="AW63" s="307"/>
      <c r="AX63" s="307"/>
      <c r="AY63" s="307"/>
      <c r="AZ63" s="307"/>
      <c r="BA63" s="307"/>
      <c r="BB63" s="307"/>
    </row>
    <row r="64" spans="3:54">
      <c r="C64" s="121" t="str">
        <f t="shared" si="27"/>
        <v>BM</v>
      </c>
      <c r="D64" s="77" t="s">
        <v>245</v>
      </c>
      <c r="E64" s="75" t="s">
        <v>249</v>
      </c>
      <c r="F64" s="75"/>
      <c r="G64" s="79">
        <v>4.12</v>
      </c>
      <c r="H64" s="117" t="str">
        <f t="shared" si="8"/>
        <v>Y</v>
      </c>
      <c r="I64" s="117" t="str">
        <f t="shared" si="9"/>
        <v>N</v>
      </c>
      <c r="J64" s="122">
        <f t="shared" si="10"/>
        <v>0</v>
      </c>
      <c r="K64" s="320" t="str">
        <f t="array" ref="K64">IF(AL64,heureDecimal2Txt(AP64),NA())</f>
        <v>00:00:00.00(00.0000)</v>
      </c>
      <c r="L64" s="321"/>
      <c r="M64" s="118">
        <f t="shared" si="11"/>
        <v>4.12</v>
      </c>
      <c r="N64" s="301" t="str">
        <f t="array" ref="N64">IF(AL64,dateEpoch2Txt(AR64),NA())</f>
        <v>2015/03/07 21:44</v>
      </c>
      <c r="O64" s="301"/>
      <c r="P64" s="302">
        <f t="shared" si="12"/>
        <v>396045.73333333334</v>
      </c>
      <c r="Q64" s="303"/>
      <c r="AB64" t="b">
        <f t="shared" si="13"/>
        <v>0</v>
      </c>
      <c r="AC64">
        <f t="array" ref="AC64">IF(ISBLANK(D64),0,dateConvert2Decimal(D64))</f>
        <v>1425686400</v>
      </c>
      <c r="AD64">
        <f t="array" ref="AD64">IF(ISBLANK(E64),0,heureConvert2Decimal(E64))*3600</f>
        <v>78240</v>
      </c>
      <c r="AE64">
        <f t="shared" si="14"/>
        <v>1425764640</v>
      </c>
      <c r="AF64" s="123" t="b">
        <f t="shared" si="15"/>
        <v>1</v>
      </c>
      <c r="AG64" s="123" t="b">
        <f t="shared" si="16"/>
        <v>1</v>
      </c>
      <c r="AH64" s="123" t="b">
        <f t="shared" si="17"/>
        <v>1</v>
      </c>
      <c r="AI64" s="123" t="b">
        <f t="shared" si="18"/>
        <v>1</v>
      </c>
      <c r="AJ64" s="123" t="b">
        <f t="shared" si="19"/>
        <v>1</v>
      </c>
      <c r="AK64">
        <f t="shared" si="28"/>
        <v>6.6833333333333336</v>
      </c>
      <c r="AL64" s="123" t="b">
        <f t="shared" si="20"/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4.12</v>
      </c>
      <c r="AR64">
        <f t="shared" si="26"/>
        <v>1425764640</v>
      </c>
      <c r="AS64" s="307"/>
      <c r="AT64" s="307"/>
      <c r="AU64" s="307"/>
      <c r="AV64" s="307"/>
      <c r="AW64" s="307"/>
      <c r="AX64" s="307"/>
      <c r="AY64" s="307"/>
      <c r="AZ64" s="307"/>
      <c r="BA64" s="307"/>
      <c r="BB64" s="307"/>
    </row>
    <row r="65" spans="1:27">
      <c r="P65"/>
      <c r="Q65"/>
      <c r="Y65" s="304"/>
      <c r="Z65" s="304"/>
      <c r="AA65" s="304"/>
    </row>
    <row r="66" spans="1:27" ht="15.75" thickBot="1">
      <c r="P66"/>
      <c r="Q66"/>
      <c r="Y66" s="304"/>
      <c r="Z66" s="304"/>
      <c r="AA66" s="304"/>
    </row>
    <row r="67" spans="1:27" ht="15.75" customHeight="1" thickBot="1">
      <c r="B67" s="305" t="s">
        <v>192</v>
      </c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6"/>
      <c r="P67" s="306"/>
      <c r="Q67" s="306"/>
      <c r="R67" s="306"/>
      <c r="S67" s="306"/>
      <c r="T67" s="306"/>
      <c r="U67" s="306"/>
      <c r="V67" s="306"/>
      <c r="W67" s="306"/>
      <c r="X67" s="306"/>
      <c r="Y67" s="306"/>
      <c r="Z67" s="306"/>
    </row>
    <row r="68" spans="1:27">
      <c r="C68" s="328" t="s">
        <v>99</v>
      </c>
      <c r="D68" s="345"/>
      <c r="E68" s="345"/>
      <c r="F68" s="329"/>
    </row>
    <row r="69" spans="1:27">
      <c r="B69" s="308" t="s">
        <v>97</v>
      </c>
      <c r="C69" s="308"/>
      <c r="D69">
        <v>7.45</v>
      </c>
      <c r="E69" t="s">
        <v>65</v>
      </c>
    </row>
    <row r="70" spans="1:27">
      <c r="B70" s="308" t="s">
        <v>100</v>
      </c>
      <c r="C70" s="308"/>
      <c r="D70" s="124" t="s">
        <v>210</v>
      </c>
      <c r="E70">
        <f t="array" ref="E70">heureConvert2Decimal(D70)</f>
        <v>13.433333333333334</v>
      </c>
    </row>
    <row r="72" spans="1:27" ht="15" customHeight="1">
      <c r="A72" s="350" t="s">
        <v>259</v>
      </c>
      <c r="B72" s="350"/>
      <c r="C72" s="350"/>
      <c r="D72" s="294" t="str">
        <f>CONCATENATE("Heure passage a la hauteur:",D69,"m")</f>
        <v>Heure passage a la hauteur:7.45m</v>
      </c>
      <c r="E72" s="294"/>
      <c r="F72" s="294"/>
      <c r="G72" s="294"/>
      <c r="J72" s="294" t="str">
        <f>CONCATENATE("Hauteur a l'heure:",D70)</f>
        <v>Hauteur a l'heure:13:26:00</v>
      </c>
      <c r="K72" s="294"/>
      <c r="L72" s="294"/>
      <c r="M72" s="294"/>
      <c r="N72" s="294"/>
      <c r="O72" s="294"/>
    </row>
    <row r="73" spans="1:27" ht="15" customHeight="1">
      <c r="A73" s="355" t="s">
        <v>269</v>
      </c>
      <c r="B73" s="356"/>
      <c r="C73" s="125">
        <v>38</v>
      </c>
      <c r="D73" s="294"/>
      <c r="E73" s="294"/>
      <c r="F73" s="294"/>
      <c r="G73" s="294"/>
      <c r="J73" s="295"/>
      <c r="K73" s="295"/>
      <c r="L73" s="295"/>
      <c r="M73" s="295"/>
      <c r="N73" s="295"/>
      <c r="O73" s="295"/>
    </row>
    <row r="74" spans="1:27" ht="15" customHeight="1">
      <c r="A74" s="355" t="s">
        <v>270</v>
      </c>
      <c r="B74" s="356"/>
      <c r="C74" s="125">
        <v>64</v>
      </c>
      <c r="D74" s="353" t="s">
        <v>6</v>
      </c>
      <c r="E74" s="353"/>
      <c r="F74" s="354" t="s">
        <v>255</v>
      </c>
      <c r="G74" s="354"/>
      <c r="H74" s="130" t="s">
        <v>275</v>
      </c>
      <c r="J74" s="353" t="s">
        <v>6</v>
      </c>
      <c r="K74" s="353"/>
      <c r="L74" s="354" t="s">
        <v>194</v>
      </c>
      <c r="M74" s="354"/>
      <c r="N74" s="354" t="s">
        <v>268</v>
      </c>
      <c r="O74" s="354"/>
      <c r="P74" s="131" t="s">
        <v>275</v>
      </c>
    </row>
    <row r="75" spans="1:27" ht="15" customHeight="1">
      <c r="A75" s="355" t="s">
        <v>271</v>
      </c>
      <c r="B75" s="356"/>
      <c r="C75" s="125" t="s">
        <v>94</v>
      </c>
      <c r="D75" s="351" t="s">
        <v>387</v>
      </c>
      <c r="E75" s="352"/>
      <c r="F75" s="300">
        <v>7.4499999999511699</v>
      </c>
      <c r="G75" s="300"/>
      <c r="H75" s="131">
        <v>42064.249305555553</v>
      </c>
      <c r="J75" s="286" t="s">
        <v>280</v>
      </c>
      <c r="K75" s="286"/>
      <c r="L75" s="293">
        <v>4.6422999999782188</v>
      </c>
      <c r="M75" s="293"/>
      <c r="N75" s="286" t="s">
        <v>280</v>
      </c>
      <c r="O75" s="286"/>
      <c r="P75" s="132">
        <v>42064.55972222222</v>
      </c>
    </row>
    <row r="76" spans="1:27">
      <c r="A76" s="355" t="s">
        <v>272</v>
      </c>
      <c r="B76" s="356"/>
      <c r="C76" s="125" t="s">
        <v>110</v>
      </c>
      <c r="D76" s="351" t="s">
        <v>388</v>
      </c>
      <c r="E76" s="352"/>
      <c r="F76" s="300">
        <v>7.4500000000368036</v>
      </c>
      <c r="G76" s="300"/>
      <c r="H76" s="131">
        <v>42064.496423611112</v>
      </c>
      <c r="J76" s="286" t="s">
        <v>281</v>
      </c>
      <c r="K76" s="286"/>
      <c r="L76" s="293">
        <v>5.2910669975019813</v>
      </c>
      <c r="M76" s="293"/>
      <c r="N76" s="286" t="s">
        <v>281</v>
      </c>
      <c r="O76" s="286"/>
      <c r="P76" s="132">
        <v>42065.55972222222</v>
      </c>
    </row>
    <row r="77" spans="1:27" ht="15" customHeight="1">
      <c r="A77" s="355" t="s">
        <v>273</v>
      </c>
      <c r="B77" s="356"/>
      <c r="C77" s="125" t="s">
        <v>253</v>
      </c>
      <c r="D77" s="351" t="s">
        <v>295</v>
      </c>
      <c r="E77" s="352"/>
      <c r="F77" s="300">
        <v>7.4500000000364146</v>
      </c>
      <c r="G77" s="300"/>
      <c r="H77" s="131">
        <v>42064.76158564815</v>
      </c>
      <c r="J77" s="286" t="s">
        <v>282</v>
      </c>
      <c r="K77" s="286"/>
      <c r="L77" s="293">
        <v>6.5573349633234921</v>
      </c>
      <c r="M77" s="293"/>
      <c r="N77" s="286" t="s">
        <v>282</v>
      </c>
      <c r="O77" s="286"/>
      <c r="P77" s="132">
        <v>42066.55972222222</v>
      </c>
    </row>
    <row r="78" spans="1:27">
      <c r="A78" s="357" t="s">
        <v>260</v>
      </c>
      <c r="B78" s="358"/>
      <c r="C78" s="129" t="s">
        <v>261</v>
      </c>
      <c r="D78" s="351" t="s">
        <v>389</v>
      </c>
      <c r="E78" s="352"/>
      <c r="F78" s="300">
        <v>7.449999999958246</v>
      </c>
      <c r="G78" s="300"/>
      <c r="H78" s="131">
        <v>42064.995486111111</v>
      </c>
      <c r="J78" s="286" t="s">
        <v>283</v>
      </c>
      <c r="K78" s="286"/>
      <c r="L78" s="293">
        <v>7.0314642857104523</v>
      </c>
      <c r="M78" s="293"/>
      <c r="N78" s="286" t="s">
        <v>283</v>
      </c>
      <c r="O78" s="286"/>
      <c r="P78" s="132">
        <v>42067.55972222222</v>
      </c>
    </row>
    <row r="79" spans="1:27" ht="15" customHeight="1">
      <c r="A79" s="357" t="s">
        <v>262</v>
      </c>
      <c r="B79" s="358"/>
      <c r="C79" s="129" t="s">
        <v>263</v>
      </c>
      <c r="D79" s="351" t="s">
        <v>390</v>
      </c>
      <c r="E79" s="352"/>
      <c r="F79" s="300">
        <v>7.4500000000483659</v>
      </c>
      <c r="G79" s="300"/>
      <c r="H79" s="131">
        <v>42065.272499999999</v>
      </c>
      <c r="J79" s="286" t="s">
        <v>284</v>
      </c>
      <c r="K79" s="286"/>
      <c r="L79" s="293">
        <v>7.6813452655907977</v>
      </c>
      <c r="M79" s="293"/>
      <c r="N79" s="286" t="s">
        <v>284</v>
      </c>
      <c r="O79" s="286"/>
      <c r="P79" s="132">
        <v>42068.55972222222</v>
      </c>
    </row>
    <row r="80" spans="1:27">
      <c r="A80" s="355" t="s">
        <v>274</v>
      </c>
      <c r="B80" s="356"/>
      <c r="C80" s="125" t="s">
        <v>44</v>
      </c>
      <c r="D80" s="351" t="s">
        <v>391</v>
      </c>
      <c r="E80" s="352"/>
      <c r="F80" s="300">
        <v>7.4500000000183713</v>
      </c>
      <c r="G80" s="300"/>
      <c r="H80" s="131">
        <v>42065.503460648149</v>
      </c>
      <c r="J80" s="286" t="s">
        <v>285</v>
      </c>
      <c r="K80" s="286"/>
      <c r="L80" s="293">
        <v>8.3636855036869662</v>
      </c>
      <c r="M80" s="293"/>
      <c r="N80" s="286" t="s">
        <v>285</v>
      </c>
      <c r="O80" s="286"/>
      <c r="P80" s="132">
        <v>42069.55972222222</v>
      </c>
    </row>
    <row r="81" spans="1:17" ht="15" customHeight="1">
      <c r="A81" s="355" t="s">
        <v>267</v>
      </c>
      <c r="B81" s="356"/>
      <c r="C81" s="125" t="s">
        <v>3</v>
      </c>
      <c r="D81" s="351" t="s">
        <v>392</v>
      </c>
      <c r="E81" s="352"/>
      <c r="F81" s="300">
        <v>7.4499999999873978</v>
      </c>
      <c r="G81" s="300"/>
      <c r="H81" s="131">
        <v>42065.781168981484</v>
      </c>
      <c r="J81" s="286" t="s">
        <v>286</v>
      </c>
      <c r="K81" s="286"/>
      <c r="L81" s="293">
        <v>8.4207692307851723</v>
      </c>
      <c r="M81" s="293"/>
      <c r="N81" s="286" t="s">
        <v>286</v>
      </c>
      <c r="O81" s="286"/>
      <c r="P81" s="132">
        <v>42070.55972222222</v>
      </c>
    </row>
    <row r="82" spans="1:17">
      <c r="A82" s="355" t="s">
        <v>266</v>
      </c>
      <c r="B82" s="356"/>
      <c r="C82" s="125" t="s">
        <v>258</v>
      </c>
      <c r="D82" s="351" t="s">
        <v>393</v>
      </c>
      <c r="E82" s="352"/>
      <c r="F82" s="300">
        <v>7.4500000000208129</v>
      </c>
      <c r="G82" s="300"/>
      <c r="H82" s="131">
        <v>42066.009872685187</v>
      </c>
    </row>
    <row r="83" spans="1:17" ht="15" customHeight="1">
      <c r="A83" s="355" t="s">
        <v>264</v>
      </c>
      <c r="B83" s="356"/>
      <c r="C83" s="125">
        <v>75</v>
      </c>
      <c r="D83" s="351" t="s">
        <v>394</v>
      </c>
      <c r="E83" s="352"/>
      <c r="F83" s="300">
        <v>7.4499999999521638</v>
      </c>
      <c r="G83" s="300"/>
      <c r="H83" s="131">
        <v>42066.291435185187</v>
      </c>
    </row>
    <row r="84" spans="1:17">
      <c r="A84" s="355" t="s">
        <v>265</v>
      </c>
      <c r="B84" s="356"/>
      <c r="C84" s="125">
        <v>105</v>
      </c>
      <c r="D84" s="351" t="s">
        <v>395</v>
      </c>
      <c r="E84" s="352"/>
      <c r="F84" s="300">
        <v>7.4499999999974387</v>
      </c>
      <c r="G84" s="300"/>
      <c r="H84" s="131">
        <v>42066.528425925928</v>
      </c>
      <c r="P84"/>
    </row>
    <row r="85" spans="1:17" ht="15" customHeight="1">
      <c r="A85" s="355" t="s">
        <v>276</v>
      </c>
      <c r="B85" s="356"/>
      <c r="C85" s="125" t="s">
        <v>94</v>
      </c>
      <c r="D85" s="351" t="s">
        <v>396</v>
      </c>
      <c r="E85" s="352"/>
      <c r="F85" s="300">
        <v>7.449999999990788</v>
      </c>
      <c r="G85" s="300"/>
      <c r="H85" s="131">
        <v>42066.799664351849</v>
      </c>
      <c r="J85" s="294" t="str">
        <f>"Hauteur a l'heure:"</f>
        <v>Hauteur a l'heure:</v>
      </c>
      <c r="K85" s="294"/>
      <c r="L85" s="294"/>
      <c r="M85" s="294"/>
      <c r="N85" s="294"/>
      <c r="O85" s="294"/>
      <c r="P85" s="128"/>
    </row>
    <row r="86" spans="1:17">
      <c r="A86" s="357" t="s">
        <v>274</v>
      </c>
      <c r="B86" s="358"/>
      <c r="C86" s="129" t="s">
        <v>277</v>
      </c>
      <c r="D86" s="351" t="s">
        <v>397</v>
      </c>
      <c r="E86" s="352"/>
      <c r="F86" s="300">
        <v>7.4499999999885009</v>
      </c>
      <c r="G86" s="300"/>
      <c r="H86" s="131">
        <v>42067.027708333335</v>
      </c>
      <c r="J86" s="295"/>
      <c r="K86" s="295"/>
      <c r="L86" s="295"/>
      <c r="M86" s="295"/>
      <c r="N86" s="295"/>
      <c r="O86" s="295"/>
      <c r="P86" s="128"/>
    </row>
    <row r="87" spans="1:17" ht="15" customHeight="1">
      <c r="A87" s="357" t="s">
        <v>279</v>
      </c>
      <c r="B87" s="358"/>
      <c r="C87" s="129" t="s">
        <v>278</v>
      </c>
      <c r="D87" s="351" t="s">
        <v>398</v>
      </c>
      <c r="E87" s="352"/>
      <c r="F87" s="300">
        <v>7.4500000000304798</v>
      </c>
      <c r="G87" s="300"/>
      <c r="H87" s="131">
        <v>42067.318553240744</v>
      </c>
      <c r="J87" s="353" t="s">
        <v>6</v>
      </c>
      <c r="K87" s="353"/>
      <c r="L87" s="354" t="s">
        <v>194</v>
      </c>
      <c r="M87" s="354"/>
      <c r="N87" s="354" t="s">
        <v>268</v>
      </c>
      <c r="O87" s="354"/>
      <c r="P87" s="131" t="s">
        <v>371</v>
      </c>
      <c r="Q87" s="83" t="s">
        <v>370</v>
      </c>
    </row>
    <row r="88" spans="1:17">
      <c r="A88" s="357" t="s">
        <v>266</v>
      </c>
      <c r="B88" s="358"/>
      <c r="C88" s="129" t="s">
        <v>1</v>
      </c>
      <c r="D88" s="351" t="s">
        <v>399</v>
      </c>
      <c r="E88" s="352"/>
      <c r="F88" s="300">
        <v>7.4499999999791706</v>
      </c>
      <c r="G88" s="300"/>
      <c r="H88" s="131">
        <v>42067.542071759257</v>
      </c>
      <c r="J88" s="365" t="s">
        <v>216</v>
      </c>
      <c r="K88" s="365" t="s">
        <v>372</v>
      </c>
      <c r="L88" s="293">
        <v>7.8255623100348286</v>
      </c>
      <c r="M88" s="293"/>
      <c r="N88" s="366" t="str" cm="1">
        <f t="array" ref="N88">dateEpoch2Txt(Q88*3600)</f>
        <v>2015/03/01 06:08</v>
      </c>
      <c r="O88" s="366"/>
      <c r="P88" s="132">
        <v>42064.255555555559</v>
      </c>
      <c r="Q88" s="83" cm="1">
        <f t="array" ref="Q88">(dateConvert2Decimal(J88)/3600)+heureConvert2Decimal(K88)</f>
        <v>395886.13333333336</v>
      </c>
    </row>
    <row r="89" spans="1:17" ht="15" customHeight="1">
      <c r="A89" s="357" t="s">
        <v>264</v>
      </c>
      <c r="B89" s="358"/>
      <c r="C89" s="129">
        <v>75</v>
      </c>
      <c r="D89" s="351" t="s">
        <v>400</v>
      </c>
      <c r="E89" s="352"/>
      <c r="F89" s="300">
        <v>7.4499999999725288</v>
      </c>
      <c r="G89" s="300"/>
      <c r="H89" s="131">
        <v>42067.845196759263</v>
      </c>
      <c r="J89" s="365" t="s">
        <v>216</v>
      </c>
      <c r="K89" s="365" t="s">
        <v>373</v>
      </c>
      <c r="L89" s="293">
        <v>10.057558257347264</v>
      </c>
      <c r="M89" s="293"/>
      <c r="N89" s="366" t="str" cm="1">
        <f t="array" ref="N89">dateEpoch2Txt(Q89*3600)</f>
        <v>2015/03/01 07:08</v>
      </c>
      <c r="O89" s="366"/>
      <c r="P89" s="132">
        <v>42064.297222222223</v>
      </c>
      <c r="Q89" s="133" cm="1">
        <f t="array" ref="Q89">(dateConvert2Decimal(J89)/3600)+heureConvert2Decimal(K89)</f>
        <v>395887.13333333336</v>
      </c>
    </row>
    <row r="90" spans="1:17">
      <c r="A90" s="357" t="s">
        <v>265</v>
      </c>
      <c r="B90" s="358"/>
      <c r="C90" s="129">
        <v>81</v>
      </c>
      <c r="D90" s="351" t="s">
        <v>401</v>
      </c>
      <c r="E90" s="352"/>
      <c r="F90" s="300">
        <v>7.4499999999892186</v>
      </c>
      <c r="G90" s="300"/>
      <c r="H90" s="131">
        <v>42068.061064814814</v>
      </c>
      <c r="J90" s="365" t="s">
        <v>216</v>
      </c>
      <c r="K90" s="365" t="s">
        <v>374</v>
      </c>
      <c r="L90" s="293">
        <v>11.382370820668989</v>
      </c>
      <c r="M90" s="293"/>
      <c r="N90" s="366" t="str" cm="1">
        <f t="array" ref="N90">dateEpoch2Txt(Q90*3600)</f>
        <v>2015/03/01 08:08</v>
      </c>
      <c r="O90" s="366"/>
      <c r="P90" s="132">
        <v>42064.338888888888</v>
      </c>
      <c r="Q90" s="133" cm="1">
        <f t="array" ref="Q90">(dateConvert2Decimal(J90)/3600)+heureConvert2Decimal(K90)</f>
        <v>395888.13333333336</v>
      </c>
    </row>
    <row r="91" spans="1:17" ht="15" customHeight="1">
      <c r="A91" s="357" t="s">
        <v>276</v>
      </c>
      <c r="B91" s="358"/>
      <c r="C91" s="129" t="s">
        <v>253</v>
      </c>
      <c r="D91" s="351" t="s">
        <v>402</v>
      </c>
      <c r="E91" s="352"/>
      <c r="F91" s="300">
        <v>7.4499999999816335</v>
      </c>
      <c r="G91" s="300"/>
      <c r="H91" s="131">
        <v>42068.358703703707</v>
      </c>
      <c r="J91" s="365" t="s">
        <v>216</v>
      </c>
      <c r="K91" s="365" t="s">
        <v>375</v>
      </c>
      <c r="L91" s="293">
        <v>11.465874999998055</v>
      </c>
      <c r="M91" s="293"/>
      <c r="N91" s="366" t="str" cm="1">
        <f t="array" ref="N91">dateEpoch2Txt(Q91*3600)</f>
        <v>2015/03/01 09:08</v>
      </c>
      <c r="O91" s="366"/>
      <c r="P91" s="132">
        <v>42064.380555555559</v>
      </c>
      <c r="Q91" s="133" cm="1">
        <f t="array" ref="Q91">(dateConvert2Decimal(J91)/3600)+heureConvert2Decimal(K91)</f>
        <v>395889.13333333336</v>
      </c>
    </row>
    <row r="92" spans="1:17">
      <c r="D92" s="351" t="s">
        <v>403</v>
      </c>
      <c r="E92" s="352"/>
      <c r="F92" s="300">
        <v>7.4500000000118165</v>
      </c>
      <c r="G92" s="300"/>
      <c r="H92" s="131">
        <v>42068.573483796295</v>
      </c>
      <c r="J92" s="365" t="s">
        <v>216</v>
      </c>
      <c r="K92" s="365" t="s">
        <v>376</v>
      </c>
      <c r="L92" s="293">
        <v>10.537749999988332</v>
      </c>
      <c r="M92" s="293"/>
      <c r="N92" s="366" t="str" cm="1">
        <f t="array" ref="N92">dateEpoch2Txt(Q92*3600)</f>
        <v>2015/03/01 10:08</v>
      </c>
      <c r="O92" s="366"/>
      <c r="P92" s="132">
        <v>42064.422222222223</v>
      </c>
      <c r="Q92" s="133" cm="1">
        <f t="array" ref="Q92">(dateConvert2Decimal(J92)/3600)+heureConvert2Decimal(K92)</f>
        <v>395890.13333333336</v>
      </c>
    </row>
    <row r="93" spans="1:17">
      <c r="D93" s="351" t="s">
        <v>404</v>
      </c>
      <c r="E93" s="352"/>
      <c r="F93" s="300">
        <v>7.4499999999939348</v>
      </c>
      <c r="G93" s="300"/>
      <c r="H93" s="131">
        <v>42068.920428240737</v>
      </c>
      <c r="J93" s="365" t="s">
        <v>216</v>
      </c>
      <c r="K93" s="365" t="s">
        <v>377</v>
      </c>
      <c r="L93" s="293">
        <v>9.0156249999708269</v>
      </c>
      <c r="M93" s="293"/>
      <c r="N93" s="366" t="str" cm="1">
        <f t="array" ref="N93">dateEpoch2Txt(Q93*3600)</f>
        <v>2015/03/01 11:08</v>
      </c>
      <c r="O93" s="366"/>
      <c r="P93" s="132">
        <v>42064.463888888888</v>
      </c>
      <c r="Q93" s="133" cm="1">
        <f t="array" ref="Q93">(dateConvert2Decimal(J93)/3600)+heureConvert2Decimal(K93)</f>
        <v>395891.13333333336</v>
      </c>
    </row>
    <row r="94" spans="1:17">
      <c r="D94" s="351" t="s">
        <v>405</v>
      </c>
      <c r="E94" s="352"/>
      <c r="F94" s="300">
        <v>7.449999999994267</v>
      </c>
      <c r="G94" s="300"/>
      <c r="H94" s="131">
        <v>42069.10261574074</v>
      </c>
      <c r="J94" s="365" t="s">
        <v>216</v>
      </c>
      <c r="K94" s="365" t="s">
        <v>378</v>
      </c>
      <c r="L94" s="293">
        <v>7.0108749999591593</v>
      </c>
      <c r="M94" s="293"/>
      <c r="N94" s="366" t="str" cm="1">
        <f t="array" ref="N94">dateEpoch2Txt(Q94*3600)</f>
        <v>2015/03/01 12:08</v>
      </c>
      <c r="O94" s="366"/>
      <c r="P94" s="132">
        <v>42064.505555555559</v>
      </c>
      <c r="Q94" s="133" cm="1">
        <f t="array" ref="Q94">(dateConvert2Decimal(J94)/3600)+heureConvert2Decimal(K94)</f>
        <v>395892.13333333336</v>
      </c>
    </row>
    <row r="95" spans="1:17">
      <c r="D95" s="351" t="s">
        <v>313</v>
      </c>
      <c r="E95" s="352"/>
      <c r="F95" s="300">
        <v>7.4500000000093261</v>
      </c>
      <c r="G95" s="300"/>
      <c r="H95" s="131">
        <v>42069.45453703704</v>
      </c>
      <c r="M95" s="91"/>
      <c r="P95"/>
      <c r="Q95"/>
    </row>
    <row r="96" spans="1:17">
      <c r="D96" s="351" t="s">
        <v>406</v>
      </c>
      <c r="E96" s="352"/>
      <c r="F96" s="300">
        <v>7.4499999999926203</v>
      </c>
      <c r="G96" s="300"/>
      <c r="H96" s="131">
        <v>42069.672893518517</v>
      </c>
      <c r="M96" s="91"/>
      <c r="P96"/>
      <c r="Q96"/>
    </row>
    <row r="97" spans="4:17">
      <c r="D97" s="351" t="s">
        <v>407</v>
      </c>
      <c r="E97" s="352"/>
      <c r="F97" s="300">
        <v>7.4499999999859874</v>
      </c>
      <c r="G97" s="300"/>
      <c r="H97" s="131">
        <v>42069.985879629632</v>
      </c>
      <c r="M97" s="91"/>
      <c r="P97"/>
      <c r="Q97"/>
    </row>
    <row r="98" spans="4:17">
      <c r="D98" s="351" t="s">
        <v>408</v>
      </c>
      <c r="E98" s="352"/>
      <c r="F98" s="300">
        <v>7.4499999999820083</v>
      </c>
      <c r="G98" s="300"/>
      <c r="H98" s="131">
        <v>42070.203194444446</v>
      </c>
      <c r="J98" s="120"/>
      <c r="K98" s="120" t="s">
        <v>58</v>
      </c>
      <c r="L98" s="120" t="s">
        <v>214</v>
      </c>
      <c r="M98" s="291" t="s">
        <v>291</v>
      </c>
      <c r="N98" s="292"/>
      <c r="O98" s="293" t="s">
        <v>94</v>
      </c>
      <c r="P98" s="293"/>
      <c r="Q98" s="81" t="s">
        <v>194</v>
      </c>
    </row>
    <row r="99" spans="4:17">
      <c r="D99" s="351" t="s">
        <v>409</v>
      </c>
      <c r="E99" s="352"/>
      <c r="F99" s="300">
        <v>7.4500000000138158</v>
      </c>
      <c r="G99" s="300"/>
      <c r="H99" s="131">
        <v>42070.515138888892</v>
      </c>
      <c r="J99" s="359" t="s">
        <v>288</v>
      </c>
      <c r="K99" s="361" t="s">
        <v>213</v>
      </c>
      <c r="L99" s="363">
        <f>heureConvert2Decimal($K$99)</f>
        <v>2.5</v>
      </c>
      <c r="M99" s="289" t="s">
        <v>292</v>
      </c>
      <c r="N99" s="290"/>
      <c r="O99" s="288" t="s">
        <v>293</v>
      </c>
      <c r="P99" s="288"/>
      <c r="Q99" s="136">
        <v>7.8255623100348286</v>
      </c>
    </row>
    <row r="100" spans="4:17">
      <c r="D100" s="351" t="s">
        <v>410</v>
      </c>
      <c r="E100" s="352"/>
      <c r="F100" s="300">
        <v>7.4499999999958195</v>
      </c>
      <c r="G100" s="300"/>
      <c r="H100" s="131">
        <v>42070.737210648149</v>
      </c>
      <c r="J100" s="360"/>
      <c r="K100" s="362"/>
      <c r="L100" s="307"/>
      <c r="M100" s="289" t="s">
        <v>294</v>
      </c>
      <c r="N100" s="290"/>
      <c r="O100" s="288" t="s">
        <v>295</v>
      </c>
      <c r="P100" s="288"/>
      <c r="Q100" s="136">
        <v>7.4247560975688049</v>
      </c>
    </row>
    <row r="101" spans="4:17">
      <c r="D101" s="351" t="s">
        <v>410</v>
      </c>
      <c r="E101" s="352"/>
      <c r="F101" s="300">
        <v>7.4499999999958195</v>
      </c>
      <c r="G101" s="300"/>
      <c r="H101" s="131">
        <v>42070.737210648149</v>
      </c>
      <c r="J101" s="360"/>
      <c r="K101" s="362"/>
      <c r="L101" s="307"/>
      <c r="M101" s="289" t="s">
        <v>296</v>
      </c>
      <c r="N101" s="290"/>
      <c r="O101" s="288" t="s">
        <v>297</v>
      </c>
      <c r="P101" s="288"/>
      <c r="Q101" s="136">
        <v>7.3686363636363641</v>
      </c>
    </row>
    <row r="102" spans="4:17">
      <c r="D102" s="351" t="s">
        <v>410</v>
      </c>
      <c r="E102" s="352"/>
      <c r="F102" s="300">
        <v>7.4499999999958195</v>
      </c>
      <c r="G102" s="300"/>
      <c r="H102" s="131">
        <v>42070.737210648149</v>
      </c>
      <c r="J102" s="360"/>
      <c r="K102" s="362"/>
      <c r="L102" s="307"/>
      <c r="M102" s="289" t="s">
        <v>298</v>
      </c>
      <c r="N102" s="290"/>
      <c r="O102" s="288" t="s">
        <v>299</v>
      </c>
      <c r="P102" s="288"/>
      <c r="Q102" s="136">
        <v>7.2960550458816726</v>
      </c>
    </row>
    <row r="103" spans="4:17">
      <c r="D103" s="351" t="s">
        <v>410</v>
      </c>
      <c r="E103" s="352"/>
      <c r="F103" s="300">
        <v>7.4499999999958195</v>
      </c>
      <c r="G103" s="300"/>
      <c r="H103" s="131">
        <v>42070.737210648149</v>
      </c>
      <c r="J103" s="360"/>
      <c r="K103" s="362"/>
      <c r="L103" s="307"/>
      <c r="M103" s="289" t="s">
        <v>300</v>
      </c>
      <c r="N103" s="290"/>
      <c r="O103" s="288" t="s">
        <v>301</v>
      </c>
      <c r="P103" s="288"/>
      <c r="Q103" s="136">
        <v>7.2881818181818181</v>
      </c>
    </row>
    <row r="104" spans="4:17">
      <c r="D104" s="351" t="s">
        <v>410</v>
      </c>
      <c r="E104" s="352"/>
      <c r="F104" s="300">
        <v>7.4499999999958195</v>
      </c>
      <c r="G104" s="300"/>
      <c r="H104" s="131">
        <v>42070.737210648149</v>
      </c>
      <c r="J104" s="360"/>
      <c r="K104" s="362"/>
      <c r="L104" s="307"/>
      <c r="M104" s="289" t="s">
        <v>302</v>
      </c>
      <c r="N104" s="290"/>
      <c r="O104" s="288" t="s">
        <v>303</v>
      </c>
      <c r="P104" s="288"/>
      <c r="Q104" s="136">
        <v>7.4152522935853451</v>
      </c>
    </row>
    <row r="105" spans="4:17">
      <c r="D105" s="351" t="s">
        <v>410</v>
      </c>
      <c r="E105" s="352"/>
      <c r="F105" s="300">
        <v>7.4499999999958195</v>
      </c>
      <c r="G105" s="300"/>
      <c r="H105" s="131">
        <v>42070.737210648149</v>
      </c>
      <c r="J105" s="360"/>
      <c r="K105" s="362"/>
      <c r="L105" s="307"/>
      <c r="M105" s="289" t="s">
        <v>304</v>
      </c>
      <c r="N105" s="290"/>
      <c r="O105" s="288" t="s">
        <v>305</v>
      </c>
      <c r="P105" s="288"/>
      <c r="Q105" s="136">
        <v>7.1868181818181816</v>
      </c>
    </row>
    <row r="106" spans="4:17">
      <c r="J106" s="360"/>
      <c r="K106" s="362"/>
      <c r="L106" s="307"/>
      <c r="M106" s="289" t="s">
        <v>306</v>
      </c>
      <c r="N106" s="290"/>
      <c r="O106" s="288" t="s">
        <v>307</v>
      </c>
      <c r="P106" s="288"/>
      <c r="Q106" s="136">
        <v>7.0337804878088903</v>
      </c>
    </row>
    <row r="107" spans="4:17">
      <c r="J107" s="360"/>
      <c r="K107" s="362"/>
      <c r="L107" s="307"/>
      <c r="M107" s="289" t="s">
        <v>308</v>
      </c>
      <c r="N107" s="290"/>
      <c r="O107" s="288" t="s">
        <v>309</v>
      </c>
      <c r="P107" s="288"/>
      <c r="Q107" s="136">
        <v>7.3055473372880249</v>
      </c>
    </row>
    <row r="108" spans="4:17">
      <c r="J108" s="360"/>
      <c r="K108" s="362"/>
      <c r="L108" s="307"/>
      <c r="M108" s="289" t="s">
        <v>310</v>
      </c>
      <c r="N108" s="290"/>
      <c r="O108" s="288" t="s">
        <v>311</v>
      </c>
      <c r="P108" s="288"/>
      <c r="Q108" s="136">
        <v>7.0792436974641939</v>
      </c>
    </row>
    <row r="109" spans="4:17">
      <c r="J109" s="360"/>
      <c r="K109" s="362"/>
      <c r="L109" s="307"/>
      <c r="M109" s="289" t="s">
        <v>312</v>
      </c>
      <c r="N109" s="290"/>
      <c r="O109" s="288" t="s">
        <v>313</v>
      </c>
      <c r="P109" s="288"/>
      <c r="Q109" s="136">
        <v>7.4440909090996579</v>
      </c>
    </row>
    <row r="110" spans="4:17">
      <c r="J110" s="360"/>
      <c r="K110" s="362"/>
      <c r="L110" s="307"/>
      <c r="M110" s="289" t="s">
        <v>314</v>
      </c>
      <c r="N110" s="290"/>
      <c r="O110" s="288" t="s">
        <v>315</v>
      </c>
      <c r="P110" s="288"/>
      <c r="Q110" s="136">
        <v>7.6000000000031687</v>
      </c>
    </row>
    <row r="111" spans="4:17">
      <c r="J111" s="360"/>
      <c r="K111" s="362"/>
      <c r="L111" s="307"/>
      <c r="M111" s="289" t="s">
        <v>316</v>
      </c>
      <c r="N111" s="290"/>
      <c r="O111" s="288" t="s">
        <v>317</v>
      </c>
      <c r="P111" s="288"/>
      <c r="Q111" s="136">
        <v>7.6438461538395117</v>
      </c>
    </row>
    <row r="112" spans="4:17">
      <c r="J112" s="360"/>
      <c r="K112" s="362"/>
      <c r="L112" s="307"/>
      <c r="M112" s="289" t="s">
        <v>287</v>
      </c>
      <c r="N112" s="290"/>
      <c r="O112" s="288" t="s">
        <v>287</v>
      </c>
      <c r="P112" s="288"/>
      <c r="Q112" s="136">
        <v>0</v>
      </c>
    </row>
    <row r="113" spans="10:17">
      <c r="J113" s="364" t="s">
        <v>212</v>
      </c>
      <c r="K113" s="362" t="s">
        <v>411</v>
      </c>
      <c r="L113" s="307">
        <f>heureConvert2Decimal($K$99)</f>
        <v>2.5</v>
      </c>
      <c r="M113" s="286" t="s">
        <v>292</v>
      </c>
      <c r="N113" s="286"/>
      <c r="O113" s="287" t="s">
        <v>318</v>
      </c>
      <c r="P113" s="287"/>
      <c r="Q113" s="135">
        <v>9.0156249999708269</v>
      </c>
    </row>
    <row r="114" spans="10:17">
      <c r="J114" s="364"/>
      <c r="K114" s="362"/>
      <c r="L114" s="307"/>
      <c r="M114" s="286" t="s">
        <v>294</v>
      </c>
      <c r="N114" s="286"/>
      <c r="O114" s="287" t="s">
        <v>319</v>
      </c>
      <c r="P114" s="287"/>
      <c r="Q114" s="135">
        <v>8.5359405940619091</v>
      </c>
    </row>
    <row r="115" spans="10:17">
      <c r="J115" s="364"/>
      <c r="K115" s="362"/>
      <c r="L115" s="307"/>
      <c r="M115" s="286" t="s">
        <v>296</v>
      </c>
      <c r="N115" s="286"/>
      <c r="O115" s="287" t="s">
        <v>320</v>
      </c>
      <c r="P115" s="287"/>
      <c r="Q115" s="135">
        <v>8.3824813895827823</v>
      </c>
    </row>
    <row r="116" spans="10:17">
      <c r="J116" s="364"/>
      <c r="K116" s="362"/>
      <c r="L116" s="307"/>
      <c r="M116" s="286" t="s">
        <v>298</v>
      </c>
      <c r="N116" s="286"/>
      <c r="O116" s="287" t="s">
        <v>321</v>
      </c>
      <c r="P116" s="287"/>
      <c r="Q116" s="135">
        <v>8.2873267326753837</v>
      </c>
    </row>
    <row r="117" spans="10:17">
      <c r="J117" s="364"/>
      <c r="K117" s="362"/>
      <c r="L117" s="307"/>
      <c r="M117" s="286" t="s">
        <v>300</v>
      </c>
      <c r="N117" s="286"/>
      <c r="O117" s="287" t="s">
        <v>322</v>
      </c>
      <c r="P117" s="287"/>
      <c r="Q117" s="135">
        <v>8.3793398532939687</v>
      </c>
    </row>
    <row r="118" spans="10:17">
      <c r="J118" s="364"/>
      <c r="K118" s="362"/>
      <c r="L118" s="307"/>
      <c r="M118" s="286" t="s">
        <v>302</v>
      </c>
      <c r="N118" s="286"/>
      <c r="O118" s="287" t="s">
        <v>323</v>
      </c>
      <c r="P118" s="287"/>
      <c r="Q118" s="135">
        <v>8.0262223587190498</v>
      </c>
    </row>
    <row r="119" spans="10:17">
      <c r="J119" s="364"/>
      <c r="K119" s="362"/>
      <c r="L119" s="307"/>
      <c r="M119" s="286" t="s">
        <v>304</v>
      </c>
      <c r="N119" s="286"/>
      <c r="O119" s="287" t="s">
        <v>324</v>
      </c>
      <c r="P119" s="287"/>
      <c r="Q119" s="135">
        <v>8.0028571428571436</v>
      </c>
    </row>
    <row r="120" spans="10:17">
      <c r="J120" s="364"/>
      <c r="K120" s="362"/>
      <c r="L120" s="307"/>
      <c r="M120" s="286" t="s">
        <v>306</v>
      </c>
      <c r="N120" s="286"/>
      <c r="O120" s="287" t="s">
        <v>325</v>
      </c>
      <c r="P120" s="287"/>
      <c r="Q120" s="135">
        <v>7.8483353510814062</v>
      </c>
    </row>
    <row r="121" spans="10:17">
      <c r="J121" s="364"/>
      <c r="K121" s="362"/>
      <c r="L121" s="307"/>
      <c r="M121" s="286" t="s">
        <v>308</v>
      </c>
      <c r="N121" s="286"/>
      <c r="O121" s="287" t="s">
        <v>284</v>
      </c>
      <c r="P121" s="287"/>
      <c r="Q121" s="135">
        <v>7.6813452655907977</v>
      </c>
    </row>
    <row r="122" spans="10:17">
      <c r="J122" s="364"/>
      <c r="K122" s="362"/>
      <c r="L122" s="307"/>
      <c r="M122" s="286" t="s">
        <v>310</v>
      </c>
      <c r="N122" s="286"/>
      <c r="O122" s="287" t="s">
        <v>326</v>
      </c>
      <c r="P122" s="287"/>
      <c r="Q122" s="135">
        <v>7.3652238805996992</v>
      </c>
    </row>
    <row r="123" spans="10:17">
      <c r="J123" s="364"/>
      <c r="K123" s="362"/>
      <c r="L123" s="307"/>
      <c r="M123" s="286" t="s">
        <v>312</v>
      </c>
      <c r="N123" s="286"/>
      <c r="O123" s="287" t="s">
        <v>327</v>
      </c>
      <c r="P123" s="287"/>
      <c r="Q123" s="135">
        <v>7.5917383292367031</v>
      </c>
    </row>
    <row r="124" spans="10:17">
      <c r="J124" s="364"/>
      <c r="K124" s="362"/>
      <c r="L124" s="307"/>
      <c r="M124" s="286" t="s">
        <v>314</v>
      </c>
      <c r="N124" s="286"/>
      <c r="O124" s="287" t="s">
        <v>328</v>
      </c>
      <c r="P124" s="287"/>
      <c r="Q124" s="135">
        <v>7.4445454545382388</v>
      </c>
    </row>
    <row r="125" spans="10:17">
      <c r="J125" s="364"/>
      <c r="K125" s="362"/>
      <c r="L125" s="307"/>
      <c r="M125" s="286" t="s">
        <v>316</v>
      </c>
      <c r="N125" s="286"/>
      <c r="O125" s="287" t="s">
        <v>329</v>
      </c>
      <c r="P125" s="287"/>
      <c r="Q125" s="135">
        <v>7.61273690773728</v>
      </c>
    </row>
    <row r="126" spans="10:17">
      <c r="J126" s="364"/>
      <c r="K126" s="362"/>
      <c r="L126" s="307"/>
      <c r="M126" s="286" t="s">
        <v>287</v>
      </c>
      <c r="N126" s="286"/>
      <c r="O126" s="287" t="s">
        <v>287</v>
      </c>
      <c r="P126" s="287"/>
      <c r="Q126" s="135">
        <v>0</v>
      </c>
    </row>
    <row r="127" spans="10:17">
      <c r="J127" s="360" t="s">
        <v>289</v>
      </c>
      <c r="K127" s="362" t="s">
        <v>213</v>
      </c>
      <c r="L127" s="307">
        <f>heureConvert2Decimal($K$99)</f>
        <v>2.5</v>
      </c>
      <c r="M127" s="286" t="s">
        <v>330</v>
      </c>
      <c r="N127" s="286"/>
      <c r="O127" s="288" t="s">
        <v>356</v>
      </c>
      <c r="P127" s="288"/>
      <c r="Q127" s="136">
        <v>5.6743750000291744</v>
      </c>
    </row>
    <row r="128" spans="10:17">
      <c r="J128" s="360"/>
      <c r="K128" s="362"/>
      <c r="L128" s="307"/>
      <c r="M128" s="286" t="s">
        <v>331</v>
      </c>
      <c r="N128" s="286"/>
      <c r="O128" s="288" t="s">
        <v>357</v>
      </c>
      <c r="P128" s="288"/>
      <c r="Q128" s="136">
        <v>5.5240594059380905</v>
      </c>
    </row>
    <row r="129" spans="10:17">
      <c r="J129" s="360"/>
      <c r="K129" s="362"/>
      <c r="L129" s="307"/>
      <c r="M129" s="286" t="s">
        <v>332</v>
      </c>
      <c r="N129" s="286"/>
      <c r="O129" s="288" t="s">
        <v>358</v>
      </c>
      <c r="P129" s="288"/>
      <c r="Q129" s="136">
        <v>5.6375186104172164</v>
      </c>
    </row>
    <row r="130" spans="10:17">
      <c r="J130" s="360"/>
      <c r="K130" s="362"/>
      <c r="L130" s="307"/>
      <c r="M130" s="286" t="s">
        <v>333</v>
      </c>
      <c r="N130" s="286"/>
      <c r="O130" s="288" t="s">
        <v>359</v>
      </c>
      <c r="P130" s="288"/>
      <c r="Q130" s="136">
        <v>5.7426732673246175</v>
      </c>
    </row>
    <row r="131" spans="10:17">
      <c r="J131" s="360"/>
      <c r="K131" s="362"/>
      <c r="L131" s="307"/>
      <c r="M131" s="286" t="s">
        <v>334</v>
      </c>
      <c r="N131" s="286"/>
      <c r="O131" s="288" t="s">
        <v>360</v>
      </c>
      <c r="P131" s="288"/>
      <c r="Q131" s="136">
        <v>6.220660146706031</v>
      </c>
    </row>
    <row r="132" spans="10:17">
      <c r="J132" s="360"/>
      <c r="K132" s="362"/>
      <c r="L132" s="307"/>
      <c r="M132" s="286" t="s">
        <v>335</v>
      </c>
      <c r="N132" s="286"/>
      <c r="O132" s="288" t="s">
        <v>361</v>
      </c>
      <c r="P132" s="288"/>
      <c r="Q132" s="136">
        <v>5.9637776412809496</v>
      </c>
    </row>
    <row r="133" spans="10:17">
      <c r="J133" s="360"/>
      <c r="K133" s="362"/>
      <c r="L133" s="307"/>
      <c r="M133" s="286" t="s">
        <v>336</v>
      </c>
      <c r="N133" s="286"/>
      <c r="O133" s="288" t="s">
        <v>362</v>
      </c>
      <c r="P133" s="288"/>
      <c r="Q133" s="136">
        <v>6.0271428571428576</v>
      </c>
    </row>
    <row r="134" spans="10:17">
      <c r="J134" s="360"/>
      <c r="K134" s="362"/>
      <c r="L134" s="307"/>
      <c r="M134" s="286" t="s">
        <v>337</v>
      </c>
      <c r="N134" s="286"/>
      <c r="O134" s="288" t="s">
        <v>363</v>
      </c>
      <c r="P134" s="288"/>
      <c r="Q134" s="136">
        <v>6.481664648918593</v>
      </c>
    </row>
    <row r="135" spans="10:17">
      <c r="J135" s="360"/>
      <c r="K135" s="362"/>
      <c r="L135" s="307"/>
      <c r="M135" s="286" t="s">
        <v>338</v>
      </c>
      <c r="N135" s="286"/>
      <c r="O135" s="288" t="s">
        <v>364</v>
      </c>
      <c r="P135" s="288"/>
      <c r="Q135" s="136">
        <v>6.1286547344092028</v>
      </c>
    </row>
    <row r="136" spans="10:17">
      <c r="J136" s="360"/>
      <c r="K136" s="362"/>
      <c r="L136" s="307"/>
      <c r="M136" s="286" t="s">
        <v>339</v>
      </c>
      <c r="N136" s="286"/>
      <c r="O136" s="288" t="s">
        <v>365</v>
      </c>
      <c r="P136" s="288"/>
      <c r="Q136" s="136">
        <v>6.3147761194003014</v>
      </c>
    </row>
    <row r="137" spans="10:17">
      <c r="J137" s="360"/>
      <c r="K137" s="362"/>
      <c r="L137" s="307"/>
      <c r="M137" s="286" t="s">
        <v>340</v>
      </c>
      <c r="N137" s="286"/>
      <c r="O137" s="288" t="s">
        <v>366</v>
      </c>
      <c r="P137" s="288"/>
      <c r="Q137" s="136">
        <v>6.5782616707632959</v>
      </c>
    </row>
    <row r="138" spans="10:17">
      <c r="J138" s="360"/>
      <c r="K138" s="362"/>
      <c r="L138" s="307"/>
      <c r="M138" s="286" t="s">
        <v>341</v>
      </c>
      <c r="N138" s="286"/>
      <c r="O138" s="288" t="s">
        <v>367</v>
      </c>
      <c r="P138" s="288"/>
      <c r="Q138" s="136">
        <v>6.1354545454617613</v>
      </c>
    </row>
    <row r="139" spans="10:17">
      <c r="J139" s="360"/>
      <c r="K139" s="362"/>
      <c r="L139" s="307"/>
      <c r="M139" s="286" t="s">
        <v>368</v>
      </c>
      <c r="N139" s="286"/>
      <c r="O139" s="288" t="s">
        <v>369</v>
      </c>
      <c r="P139" s="288"/>
      <c r="Q139" s="136">
        <v>5.6972630922627205</v>
      </c>
    </row>
    <row r="140" spans="10:17">
      <c r="J140" s="360"/>
      <c r="K140" s="362"/>
      <c r="L140" s="307"/>
      <c r="M140" s="286" t="s">
        <v>287</v>
      </c>
      <c r="N140" s="286"/>
      <c r="O140" s="288" t="s">
        <v>287</v>
      </c>
      <c r="P140" s="288"/>
      <c r="Q140" s="136">
        <v>0</v>
      </c>
    </row>
    <row r="141" spans="10:17">
      <c r="J141" s="364" t="s">
        <v>290</v>
      </c>
      <c r="K141" s="362" t="s">
        <v>213</v>
      </c>
      <c r="L141" s="307">
        <f>heureConvert2Decimal($K$99)</f>
        <v>2.5</v>
      </c>
      <c r="M141" s="286" t="s">
        <v>342</v>
      </c>
      <c r="N141" s="286"/>
      <c r="O141" s="287" t="s">
        <v>343</v>
      </c>
      <c r="P141" s="287"/>
      <c r="Q141" s="135">
        <v>6.6144376899651709</v>
      </c>
    </row>
    <row r="142" spans="10:17">
      <c r="J142" s="364"/>
      <c r="K142" s="362"/>
      <c r="L142" s="307"/>
      <c r="M142" s="286" t="s">
        <v>330</v>
      </c>
      <c r="N142" s="286"/>
      <c r="O142" s="287" t="s">
        <v>344</v>
      </c>
      <c r="P142" s="287"/>
      <c r="Q142" s="135">
        <v>6.3952439024311944</v>
      </c>
    </row>
    <row r="143" spans="10:17">
      <c r="J143" s="364"/>
      <c r="K143" s="362"/>
      <c r="L143" s="307"/>
      <c r="M143" s="286" t="s">
        <v>331</v>
      </c>
      <c r="N143" s="286"/>
      <c r="O143" s="287" t="s">
        <v>345</v>
      </c>
      <c r="P143" s="287"/>
      <c r="Q143" s="135">
        <v>6.3513636363636365</v>
      </c>
    </row>
    <row r="144" spans="10:17">
      <c r="J144" s="364"/>
      <c r="K144" s="362"/>
      <c r="L144" s="307"/>
      <c r="M144" s="286" t="s">
        <v>332</v>
      </c>
      <c r="N144" s="286"/>
      <c r="O144" s="287" t="s">
        <v>346</v>
      </c>
      <c r="P144" s="287"/>
      <c r="Q144" s="135">
        <v>6.4439449541183293</v>
      </c>
    </row>
    <row r="145" spans="1:17">
      <c r="J145" s="364"/>
      <c r="K145" s="362"/>
      <c r="L145" s="307"/>
      <c r="M145" s="286" t="s">
        <v>333</v>
      </c>
      <c r="N145" s="286"/>
      <c r="O145" s="287" t="s">
        <v>347</v>
      </c>
      <c r="P145" s="287"/>
      <c r="Q145" s="135">
        <v>6.4318181818181825</v>
      </c>
    </row>
    <row r="146" spans="1:17">
      <c r="J146" s="364"/>
      <c r="K146" s="362"/>
      <c r="L146" s="307"/>
      <c r="M146" s="286" t="s">
        <v>334</v>
      </c>
      <c r="N146" s="286"/>
      <c r="O146" s="287" t="s">
        <v>348</v>
      </c>
      <c r="P146" s="287"/>
      <c r="Q146" s="135">
        <v>6.7947477064146549</v>
      </c>
    </row>
    <row r="147" spans="1:17">
      <c r="J147" s="364"/>
      <c r="K147" s="362"/>
      <c r="L147" s="307"/>
      <c r="M147" s="286" t="s">
        <v>335</v>
      </c>
      <c r="N147" s="286"/>
      <c r="O147" s="287" t="s">
        <v>349</v>
      </c>
      <c r="P147" s="287"/>
      <c r="Q147" s="135">
        <v>6.5131818181818186</v>
      </c>
    </row>
    <row r="148" spans="1:17">
      <c r="J148" s="364"/>
      <c r="K148" s="362"/>
      <c r="L148" s="307"/>
      <c r="M148" s="286" t="s">
        <v>336</v>
      </c>
      <c r="N148" s="286"/>
      <c r="O148" s="287" t="s">
        <v>350</v>
      </c>
      <c r="P148" s="287"/>
      <c r="Q148" s="135">
        <v>6.5062195121911097</v>
      </c>
    </row>
    <row r="149" spans="1:17">
      <c r="J149" s="364"/>
      <c r="K149" s="362"/>
      <c r="L149" s="307"/>
      <c r="M149" s="286" t="s">
        <v>337</v>
      </c>
      <c r="N149" s="286"/>
      <c r="O149" s="287" t="s">
        <v>351</v>
      </c>
      <c r="P149" s="287"/>
      <c r="Q149" s="135">
        <v>6.784452662711975</v>
      </c>
    </row>
    <row r="150" spans="1:17">
      <c r="J150" s="364"/>
      <c r="K150" s="362"/>
      <c r="L150" s="307"/>
      <c r="M150" s="286" t="s">
        <v>338</v>
      </c>
      <c r="N150" s="286"/>
      <c r="O150" s="287" t="s">
        <v>352</v>
      </c>
      <c r="P150" s="287"/>
      <c r="Q150" s="135">
        <v>6.3607563025358056</v>
      </c>
    </row>
    <row r="151" spans="1:17">
      <c r="J151" s="364"/>
      <c r="K151" s="362"/>
      <c r="L151" s="307"/>
      <c r="M151" s="286" t="s">
        <v>339</v>
      </c>
      <c r="N151" s="286"/>
      <c r="O151" s="287" t="s">
        <v>353</v>
      </c>
      <c r="P151" s="287"/>
      <c r="Q151" s="135">
        <v>6.3859090909003413</v>
      </c>
    </row>
    <row r="152" spans="1:17">
      <c r="J152" s="364"/>
      <c r="K152" s="362"/>
      <c r="L152" s="307"/>
      <c r="M152" s="286" t="s">
        <v>340</v>
      </c>
      <c r="N152" s="286"/>
      <c r="O152" s="287" t="s">
        <v>354</v>
      </c>
      <c r="P152" s="287"/>
      <c r="Q152" s="135">
        <v>6.789999999996831</v>
      </c>
    </row>
    <row r="153" spans="1:17">
      <c r="J153" s="364"/>
      <c r="K153" s="362"/>
      <c r="L153" s="307"/>
      <c r="M153" s="286" t="s">
        <v>341</v>
      </c>
      <c r="N153" s="286"/>
      <c r="O153" s="287" t="s">
        <v>355</v>
      </c>
      <c r="P153" s="287"/>
      <c r="Q153" s="135">
        <v>6.5361538461604889</v>
      </c>
    </row>
    <row r="154" spans="1:17">
      <c r="J154" s="364"/>
      <c r="K154" s="362"/>
      <c r="L154" s="307"/>
      <c r="M154" s="286" t="s">
        <v>287</v>
      </c>
      <c r="N154" s="286"/>
      <c r="O154" s="287" t="s">
        <v>287</v>
      </c>
      <c r="P154" s="287"/>
      <c r="Q154" s="135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369"/>
      <c r="B159" s="369"/>
      <c r="C159" s="369"/>
      <c r="D159" s="369"/>
      <c r="E159" s="369"/>
      <c r="F159" s="369"/>
      <c r="G159" s="369"/>
      <c r="P159"/>
      <c r="Q159"/>
    </row>
    <row r="160" spans="1:17">
      <c r="A160" s="369"/>
      <c r="B160" s="369"/>
      <c r="C160" s="369"/>
      <c r="D160" s="369"/>
      <c r="E160" s="369"/>
      <c r="F160" s="369"/>
      <c r="G160" s="369"/>
      <c r="P160"/>
      <c r="Q160"/>
    </row>
    <row r="161" spans="1:158">
      <c r="A161" s="369" t="s">
        <v>381</v>
      </c>
      <c r="B161" s="369"/>
      <c r="C161" s="369"/>
      <c r="D161" s="369"/>
      <c r="E161" s="369"/>
      <c r="F161" s="369"/>
      <c r="G161" s="369"/>
      <c r="P161"/>
      <c r="Q161"/>
    </row>
    <row r="162" spans="1:158" s="370" customFormat="1" ht="11.25">
      <c r="B162" s="371" t="s">
        <v>380</v>
      </c>
      <c r="C162" s="370">
        <v>42064.131249999999</v>
      </c>
      <c r="D162" s="370">
        <v>42064.169328703705</v>
      </c>
      <c r="E162" s="370">
        <v>42064.207407407404</v>
      </c>
      <c r="F162" s="370">
        <v>42064.245486111111</v>
      </c>
      <c r="G162" s="370">
        <v>42064.283564814818</v>
      </c>
      <c r="H162" s="370">
        <v>42064.321643518517</v>
      </c>
      <c r="I162" s="370">
        <v>42064.359722222223</v>
      </c>
      <c r="J162" s="370">
        <v>42064.406018518515</v>
      </c>
      <c r="K162" s="370">
        <v>42064.452314814815</v>
      </c>
      <c r="L162" s="370">
        <v>42064.498611111114</v>
      </c>
      <c r="M162" s="370">
        <v>42064.544907407406</v>
      </c>
      <c r="N162" s="370">
        <v>42064.591203703705</v>
      </c>
      <c r="O162" s="370">
        <v>42064.637499999997</v>
      </c>
      <c r="P162" s="370">
        <v>42064.675462962965</v>
      </c>
      <c r="Q162" s="370">
        <v>42064.713425925926</v>
      </c>
      <c r="R162" s="370">
        <v>42064.751388888886</v>
      </c>
      <c r="S162" s="370">
        <v>42064.789351851854</v>
      </c>
      <c r="T162" s="370">
        <v>42064.827314814815</v>
      </c>
      <c r="U162" s="370">
        <v>42064.865277777775</v>
      </c>
      <c r="V162" s="370">
        <v>42064.912037037036</v>
      </c>
      <c r="W162" s="370">
        <v>42064.958796296298</v>
      </c>
      <c r="X162" s="370">
        <v>42065.005555555559</v>
      </c>
      <c r="Y162" s="370">
        <v>42065.052314814813</v>
      </c>
      <c r="Z162" s="370">
        <v>42065.099074074074</v>
      </c>
      <c r="AA162" s="373">
        <v>42065.145833333336</v>
      </c>
      <c r="AB162" s="370">
        <v>42065.184027777781</v>
      </c>
      <c r="AC162" s="370">
        <v>42065.222222222219</v>
      </c>
      <c r="AD162" s="370">
        <v>42065.260416666664</v>
      </c>
      <c r="AE162" s="370">
        <v>42065.298611111109</v>
      </c>
      <c r="AF162" s="370">
        <v>42065.336805555555</v>
      </c>
      <c r="AG162" s="370">
        <v>42065.375</v>
      </c>
      <c r="AH162" s="370">
        <v>42065.421643518515</v>
      </c>
      <c r="AI162" s="370">
        <v>42065.468287037038</v>
      </c>
      <c r="AJ162" s="370">
        <v>42065.514930555553</v>
      </c>
      <c r="AK162" s="370">
        <v>42065.561574074076</v>
      </c>
      <c r="AL162" s="370">
        <v>42065.608217592591</v>
      </c>
      <c r="AM162" s="370">
        <v>42065.654861111114</v>
      </c>
      <c r="AN162" s="370">
        <v>42065.692708333336</v>
      </c>
      <c r="AO162" s="370">
        <v>42065.730555555558</v>
      </c>
      <c r="AP162" s="370">
        <v>42065.76840277778</v>
      </c>
      <c r="AQ162" s="370">
        <v>42065.806250000001</v>
      </c>
      <c r="AR162" s="370">
        <v>42065.844097222223</v>
      </c>
      <c r="AS162" s="370">
        <v>42065.881944444445</v>
      </c>
      <c r="AT162" s="370">
        <v>42065.928703703707</v>
      </c>
      <c r="AU162" s="370">
        <v>42065.975462962961</v>
      </c>
      <c r="AV162" s="370">
        <v>42066.022222222222</v>
      </c>
      <c r="AW162" s="370">
        <v>42066.068981481483</v>
      </c>
      <c r="AX162" s="370">
        <v>42066.115740740737</v>
      </c>
      <c r="AY162" s="370">
        <v>42066.162499999999</v>
      </c>
      <c r="AZ162" s="370">
        <v>42066.200694444444</v>
      </c>
      <c r="BA162" s="370">
        <v>42066.238888888889</v>
      </c>
      <c r="BB162" s="370">
        <v>42066.277083333334</v>
      </c>
      <c r="BC162" s="370">
        <v>42066.31527777778</v>
      </c>
      <c r="BD162" s="370">
        <v>42066.353472222225</v>
      </c>
      <c r="BE162" s="370">
        <v>42066.39166666667</v>
      </c>
      <c r="BF162" s="370">
        <v>42066.439004629632</v>
      </c>
      <c r="BG162" s="370">
        <v>42066.486342592594</v>
      </c>
      <c r="BH162" s="370">
        <v>42066.533680555556</v>
      </c>
      <c r="BI162" s="370">
        <v>42066.581018518518</v>
      </c>
      <c r="BJ162" s="370">
        <v>42066.62835648148</v>
      </c>
      <c r="BK162" s="370">
        <v>42066.675694444442</v>
      </c>
      <c r="BL162" s="370">
        <v>42066.713541666664</v>
      </c>
      <c r="BM162" s="370">
        <v>42066.751388888886</v>
      </c>
      <c r="BN162" s="370">
        <v>42066.789236111108</v>
      </c>
      <c r="BO162" s="370">
        <v>42066.82708333333</v>
      </c>
      <c r="BP162" s="370">
        <v>42066.864930555559</v>
      </c>
      <c r="BQ162" s="370">
        <v>42066.902777777781</v>
      </c>
      <c r="BR162" s="370">
        <v>42066.949884259258</v>
      </c>
      <c r="BS162" s="370">
        <v>42066.996990740743</v>
      </c>
      <c r="BT162" s="370">
        <v>42067.04409722222</v>
      </c>
      <c r="BU162" s="370">
        <v>42067.091203703705</v>
      </c>
      <c r="BV162" s="370">
        <v>42067.138310185182</v>
      </c>
      <c r="BW162" s="370">
        <v>42067.185416666667</v>
      </c>
      <c r="BX162" s="370">
        <v>42067.223611111112</v>
      </c>
      <c r="BY162" s="370">
        <v>42067.261805555558</v>
      </c>
      <c r="BZ162" s="370">
        <v>42067.3</v>
      </c>
      <c r="CA162" s="370">
        <v>42067.338194444441</v>
      </c>
      <c r="CB162" s="370">
        <v>42067.376388888886</v>
      </c>
      <c r="CC162" s="370">
        <v>42067.414583333331</v>
      </c>
      <c r="CD162" s="370">
        <v>42067.463194444441</v>
      </c>
      <c r="CE162" s="370">
        <v>42067.511805555558</v>
      </c>
      <c r="CF162" s="370">
        <v>42067.560416666667</v>
      </c>
      <c r="CG162" s="370">
        <v>42067.609027777777</v>
      </c>
      <c r="CH162" s="370">
        <v>42067.657638888886</v>
      </c>
      <c r="CI162" s="370">
        <v>42067.706250000003</v>
      </c>
      <c r="CJ162" s="370">
        <v>42067.744212962964</v>
      </c>
      <c r="CK162" s="370">
        <v>42067.782175925924</v>
      </c>
      <c r="CL162" s="370">
        <v>42067.820138888892</v>
      </c>
      <c r="CM162" s="370">
        <v>42067.858101851853</v>
      </c>
      <c r="CN162" s="370">
        <v>42067.896064814813</v>
      </c>
      <c r="CO162" s="370">
        <v>42067.934027777781</v>
      </c>
      <c r="CP162" s="370">
        <v>42067.981828703705</v>
      </c>
      <c r="CQ162" s="370">
        <v>42068.029629629629</v>
      </c>
      <c r="CR162" s="370">
        <v>42068.077430555553</v>
      </c>
      <c r="CS162" s="370">
        <v>42068.125231481485</v>
      </c>
      <c r="CT162" s="370">
        <v>42068.173032407409</v>
      </c>
      <c r="CU162" s="370">
        <v>42068.220833333333</v>
      </c>
      <c r="CV162" s="370">
        <v>42068.259953703702</v>
      </c>
      <c r="CW162" s="370">
        <v>42068.299074074072</v>
      </c>
      <c r="CX162" s="370">
        <v>42068.338194444441</v>
      </c>
      <c r="CY162" s="370">
        <v>42068.377314814818</v>
      </c>
      <c r="CZ162" s="370">
        <v>42068.416435185187</v>
      </c>
      <c r="DA162" s="370">
        <v>42068.455555555556</v>
      </c>
      <c r="DB162" s="370">
        <v>42068.505671296298</v>
      </c>
      <c r="DC162" s="370">
        <v>42068.555787037039</v>
      </c>
      <c r="DD162" s="370">
        <v>42068.605902777781</v>
      </c>
      <c r="DE162" s="370">
        <v>42068.656018518515</v>
      </c>
      <c r="DF162" s="370">
        <v>42068.706134259257</v>
      </c>
      <c r="DG162" s="370">
        <v>42068.756249999999</v>
      </c>
      <c r="DH162" s="370">
        <v>42068.797569444447</v>
      </c>
      <c r="DI162" s="370">
        <v>42068.838888888888</v>
      </c>
      <c r="DJ162" s="370">
        <v>42068.880208333336</v>
      </c>
      <c r="DK162" s="370">
        <v>42068.921527777777</v>
      </c>
      <c r="DL162" s="370">
        <v>42068.962847222225</v>
      </c>
      <c r="DM162" s="370">
        <v>42069.004166666666</v>
      </c>
      <c r="DN162" s="370">
        <v>42069.050694444442</v>
      </c>
      <c r="DO162" s="370">
        <v>42069.097222222219</v>
      </c>
      <c r="DP162" s="370">
        <v>42069.143750000003</v>
      </c>
      <c r="DQ162" s="370">
        <v>42069.19027777778</v>
      </c>
      <c r="DR162" s="370">
        <v>42069.236805555556</v>
      </c>
      <c r="DS162" s="370">
        <v>42069.283333333333</v>
      </c>
      <c r="DT162" s="370">
        <v>42069.32916666667</v>
      </c>
      <c r="DU162" s="370">
        <v>42069.375</v>
      </c>
      <c r="DV162" s="370">
        <v>42069.42083333333</v>
      </c>
      <c r="DW162" s="370">
        <v>42069.466666666667</v>
      </c>
      <c r="DX162" s="370">
        <v>42069.512499999997</v>
      </c>
      <c r="DY162" s="370">
        <v>42069.558333333334</v>
      </c>
      <c r="DZ162" s="370">
        <v>42069.605439814812</v>
      </c>
      <c r="EA162" s="370">
        <v>42069.652546296296</v>
      </c>
      <c r="EB162" s="370">
        <v>42069.699652777781</v>
      </c>
      <c r="EC162" s="370">
        <v>42069.746759259258</v>
      </c>
      <c r="ED162" s="370">
        <v>42069.793865740743</v>
      </c>
      <c r="EE162" s="370">
        <v>42069.84097222222</v>
      </c>
      <c r="EF162" s="370">
        <v>42069.884027777778</v>
      </c>
      <c r="EG162" s="370">
        <v>42069.927083333336</v>
      </c>
      <c r="EH162" s="370">
        <v>42069.970138888886</v>
      </c>
      <c r="EI162" s="370">
        <v>42070.013194444444</v>
      </c>
      <c r="EJ162" s="370">
        <v>42070.056250000001</v>
      </c>
      <c r="EK162" s="370">
        <v>42070.099305555559</v>
      </c>
      <c r="EL162" s="370">
        <v>42070.145138888889</v>
      </c>
      <c r="EM162" s="370">
        <v>42070.190972222219</v>
      </c>
      <c r="EN162" s="370">
        <v>42070.236805555556</v>
      </c>
      <c r="EO162" s="370">
        <v>42070.282638888886</v>
      </c>
      <c r="EP162" s="370">
        <v>42070.328472222223</v>
      </c>
      <c r="EQ162" s="370">
        <v>42070.374305555553</v>
      </c>
      <c r="ER162" s="370">
        <v>42070.416435185187</v>
      </c>
      <c r="ES162" s="370">
        <v>42070.458564814813</v>
      </c>
      <c r="ET162" s="370">
        <v>42070.500694444447</v>
      </c>
      <c r="EU162" s="370">
        <v>42070.542824074073</v>
      </c>
      <c r="EV162" s="370">
        <v>42070.584953703707</v>
      </c>
      <c r="EW162" s="370">
        <v>42070.627083333333</v>
      </c>
      <c r="EX162" s="370">
        <v>42070.673495370371</v>
      </c>
      <c r="EY162" s="370">
        <v>42070.719907407409</v>
      </c>
      <c r="EZ162" s="370">
        <v>42070.766319444447</v>
      </c>
      <c r="FA162" s="370">
        <v>42070.812731481485</v>
      </c>
      <c r="FB162" s="370">
        <v>42070.859143518515</v>
      </c>
    </row>
    <row r="163" spans="1:158" s="374" customFormat="1" ht="11.25">
      <c r="B163" s="374" t="s">
        <v>379</v>
      </c>
      <c r="C163" s="374">
        <v>395883.15</v>
      </c>
      <c r="D163" s="374">
        <v>395884.06388888892</v>
      </c>
      <c r="E163" s="374">
        <v>395884.97777777782</v>
      </c>
      <c r="F163" s="374">
        <v>395885.89166666672</v>
      </c>
      <c r="G163" s="374">
        <v>395886.80555555556</v>
      </c>
      <c r="H163" s="374">
        <v>395887.71944444446</v>
      </c>
      <c r="I163" s="374">
        <v>395888.63333333336</v>
      </c>
      <c r="J163" s="374">
        <v>395889.74444444448</v>
      </c>
      <c r="K163" s="374">
        <v>395890.85555555555</v>
      </c>
      <c r="L163" s="374">
        <v>395891.96666666667</v>
      </c>
      <c r="M163" s="374">
        <v>395893.0777777778</v>
      </c>
      <c r="N163" s="374">
        <v>395894.18888888886</v>
      </c>
      <c r="O163" s="374">
        <v>395895.3</v>
      </c>
      <c r="P163" s="374">
        <v>395896.2111111111</v>
      </c>
      <c r="Q163" s="374">
        <v>395897.12222222221</v>
      </c>
      <c r="R163" s="374">
        <v>395898.03333333333</v>
      </c>
      <c r="S163" s="374">
        <v>395898.94444444444</v>
      </c>
      <c r="T163" s="374">
        <v>395899.85555555555</v>
      </c>
      <c r="U163" s="374">
        <v>395900.76666666666</v>
      </c>
      <c r="V163" s="374">
        <v>395901.88888888888</v>
      </c>
      <c r="W163" s="374">
        <v>395903.01111111109</v>
      </c>
      <c r="X163" s="374">
        <v>395904.1333333333</v>
      </c>
      <c r="Y163" s="374">
        <v>395905.25555555557</v>
      </c>
      <c r="Z163" s="374">
        <v>395906.37777777779</v>
      </c>
      <c r="AA163" s="375">
        <v>395907.5</v>
      </c>
      <c r="AB163" s="374">
        <v>395908.41666666669</v>
      </c>
      <c r="AC163" s="374">
        <v>395909.33333333331</v>
      </c>
      <c r="AD163" s="374">
        <v>395910.25</v>
      </c>
      <c r="AE163" s="374">
        <v>395911.16666666669</v>
      </c>
      <c r="AF163" s="374">
        <v>395912.08333333331</v>
      </c>
      <c r="AG163" s="374">
        <v>395913</v>
      </c>
      <c r="AH163" s="374">
        <v>395914.11944444443</v>
      </c>
      <c r="AI163" s="374">
        <v>395915.23888888891</v>
      </c>
      <c r="AJ163" s="374">
        <v>395916.35833333334</v>
      </c>
      <c r="AK163" s="374">
        <v>395917.47777777776</v>
      </c>
      <c r="AL163" s="374">
        <v>395918.59722222225</v>
      </c>
      <c r="AM163" s="374">
        <v>395919.71666666667</v>
      </c>
      <c r="AN163" s="374">
        <v>395920.625</v>
      </c>
      <c r="AO163" s="374">
        <v>395921.53333333333</v>
      </c>
      <c r="AP163" s="374">
        <v>395922.44166666665</v>
      </c>
      <c r="AQ163" s="374">
        <v>395923.35000000003</v>
      </c>
      <c r="AR163" s="374">
        <v>395924.25833333336</v>
      </c>
      <c r="AS163" s="374">
        <v>395925.16666666669</v>
      </c>
      <c r="AT163" s="374">
        <v>395926.2888888889</v>
      </c>
      <c r="AU163" s="374">
        <v>395927.41111111111</v>
      </c>
      <c r="AV163" s="374">
        <v>395928.53333333333</v>
      </c>
      <c r="AW163" s="374">
        <v>395929.6555555556</v>
      </c>
      <c r="AX163" s="374">
        <v>395930.77777777781</v>
      </c>
      <c r="AY163" s="374">
        <v>395931.9</v>
      </c>
      <c r="AZ163" s="374">
        <v>395932.81666666671</v>
      </c>
      <c r="BA163" s="374">
        <v>395933.73333333334</v>
      </c>
      <c r="BB163" s="374">
        <v>395934.65</v>
      </c>
      <c r="BC163" s="374">
        <v>395935.56666666671</v>
      </c>
      <c r="BD163" s="374">
        <v>395936.48333333334</v>
      </c>
      <c r="BE163" s="374">
        <v>395937.4</v>
      </c>
      <c r="BF163" s="374">
        <v>395938.53611111111</v>
      </c>
      <c r="BG163" s="374">
        <v>395939.67222222226</v>
      </c>
      <c r="BH163" s="374">
        <v>395940.80833333335</v>
      </c>
      <c r="BI163" s="374">
        <v>395941.94444444444</v>
      </c>
      <c r="BJ163" s="374">
        <v>395943.08055555559</v>
      </c>
      <c r="BK163" s="374">
        <v>395944.21666666667</v>
      </c>
      <c r="BL163" s="374">
        <v>395945.125</v>
      </c>
      <c r="BM163" s="374">
        <v>395946.03333333333</v>
      </c>
      <c r="BN163" s="374">
        <v>395946.94166666665</v>
      </c>
      <c r="BO163" s="374">
        <v>395947.85000000003</v>
      </c>
      <c r="BP163" s="374">
        <v>395948.75833333336</v>
      </c>
      <c r="BQ163" s="374">
        <v>395949.66666666669</v>
      </c>
      <c r="BR163" s="374">
        <v>395950.79722222226</v>
      </c>
      <c r="BS163" s="374">
        <v>395951.92777777778</v>
      </c>
      <c r="BT163" s="374">
        <v>395953.05833333335</v>
      </c>
      <c r="BU163" s="374">
        <v>395954.18888888892</v>
      </c>
      <c r="BV163" s="374">
        <v>395955.31944444444</v>
      </c>
      <c r="BW163" s="374">
        <v>395956.45</v>
      </c>
      <c r="BX163" s="374">
        <v>395957.3666666667</v>
      </c>
      <c r="BY163" s="374">
        <v>395958.28333333333</v>
      </c>
      <c r="BZ163" s="374">
        <v>395959.2</v>
      </c>
      <c r="CA163" s="374">
        <v>395960.1166666667</v>
      </c>
      <c r="CB163" s="374">
        <v>395961.03333333333</v>
      </c>
      <c r="CC163" s="374">
        <v>395961.95</v>
      </c>
      <c r="CD163" s="374">
        <v>395963.1166666667</v>
      </c>
      <c r="CE163" s="374">
        <v>395964.28333333333</v>
      </c>
      <c r="CF163" s="374">
        <v>395965.45</v>
      </c>
      <c r="CG163" s="374">
        <v>395966.6166666667</v>
      </c>
      <c r="CH163" s="374">
        <v>395967.78333333333</v>
      </c>
      <c r="CI163" s="374">
        <v>395968.95</v>
      </c>
      <c r="CJ163" s="374">
        <v>395969.86111111112</v>
      </c>
      <c r="CK163" s="374">
        <v>395970.77222222224</v>
      </c>
      <c r="CL163" s="374">
        <v>395971.68333333335</v>
      </c>
      <c r="CM163" s="374">
        <v>395972.59444444446</v>
      </c>
      <c r="CN163" s="374">
        <v>395973.50555555557</v>
      </c>
      <c r="CO163" s="374">
        <v>395974.41666666669</v>
      </c>
      <c r="CP163" s="374">
        <v>395975.56388888892</v>
      </c>
      <c r="CQ163" s="374">
        <v>395976.7111111111</v>
      </c>
      <c r="CR163" s="374">
        <v>395977.85833333334</v>
      </c>
      <c r="CS163" s="374">
        <v>395979.00555555557</v>
      </c>
      <c r="CT163" s="374">
        <v>395980.15277777775</v>
      </c>
      <c r="CU163" s="374">
        <v>395981.3</v>
      </c>
      <c r="CV163" s="374">
        <v>395982.23888888885</v>
      </c>
      <c r="CW163" s="374">
        <v>395983.17777777778</v>
      </c>
      <c r="CX163" s="374">
        <v>395984.1166666667</v>
      </c>
      <c r="CY163" s="374">
        <v>395985.05555555556</v>
      </c>
      <c r="CZ163" s="374">
        <v>395985.99444444443</v>
      </c>
      <c r="DA163" s="374">
        <v>395986.93333333335</v>
      </c>
      <c r="DB163" s="374">
        <v>395988.13611111115</v>
      </c>
      <c r="DC163" s="374">
        <v>395989.33888888889</v>
      </c>
      <c r="DD163" s="374">
        <v>395990.54166666669</v>
      </c>
      <c r="DE163" s="374">
        <v>395991.74444444448</v>
      </c>
      <c r="DF163" s="374">
        <v>395992.94722222222</v>
      </c>
      <c r="DG163" s="374">
        <v>395994.15</v>
      </c>
      <c r="DH163" s="374">
        <v>395995.14166666666</v>
      </c>
      <c r="DI163" s="374">
        <v>395996.13333333336</v>
      </c>
      <c r="DJ163" s="374">
        <v>395997.125</v>
      </c>
      <c r="DK163" s="374">
        <v>395998.11666666664</v>
      </c>
      <c r="DL163" s="374">
        <v>395999.10833333334</v>
      </c>
      <c r="DM163" s="374">
        <v>396000.1</v>
      </c>
      <c r="DN163" s="374">
        <v>396001.21666666667</v>
      </c>
      <c r="DO163" s="374">
        <v>396002.33333333331</v>
      </c>
      <c r="DP163" s="374">
        <v>396003.44999999995</v>
      </c>
      <c r="DQ163" s="374">
        <v>396004.56666666665</v>
      </c>
      <c r="DR163" s="374">
        <v>396005.68333333335</v>
      </c>
      <c r="DS163" s="374">
        <v>396006.8</v>
      </c>
      <c r="DT163" s="374">
        <v>396007.9</v>
      </c>
      <c r="DU163" s="374">
        <v>396009</v>
      </c>
      <c r="DV163" s="374">
        <v>396010.1</v>
      </c>
      <c r="DW163" s="374">
        <v>396011.2</v>
      </c>
      <c r="DX163" s="374">
        <v>396012.30000000005</v>
      </c>
      <c r="DY163" s="374">
        <v>396013.4</v>
      </c>
      <c r="DZ163" s="374">
        <v>396014.5305555556</v>
      </c>
      <c r="EA163" s="374">
        <v>396015.66111111111</v>
      </c>
      <c r="EB163" s="374">
        <v>396016.79166666669</v>
      </c>
      <c r="EC163" s="374">
        <v>396017.92222222226</v>
      </c>
      <c r="ED163" s="374">
        <v>396019.05277777778</v>
      </c>
      <c r="EE163" s="374">
        <v>396020.18333333335</v>
      </c>
      <c r="EF163" s="374">
        <v>396021.21666666667</v>
      </c>
      <c r="EG163" s="374">
        <v>396022.25</v>
      </c>
      <c r="EH163" s="374">
        <v>396023.28333333333</v>
      </c>
      <c r="EI163" s="374">
        <v>396024.31666666671</v>
      </c>
      <c r="EJ163" s="374">
        <v>396025.35000000003</v>
      </c>
      <c r="EK163" s="374">
        <v>396026.38333333336</v>
      </c>
      <c r="EL163" s="374">
        <v>396027.48333333334</v>
      </c>
      <c r="EM163" s="374">
        <v>396028.58333333337</v>
      </c>
      <c r="EN163" s="374">
        <v>396029.68333333335</v>
      </c>
      <c r="EO163" s="374">
        <v>396030.78333333333</v>
      </c>
      <c r="EP163" s="374">
        <v>396031.88333333336</v>
      </c>
      <c r="EQ163" s="374">
        <v>396032.98333333334</v>
      </c>
      <c r="ER163" s="374">
        <v>396033.99444444443</v>
      </c>
      <c r="ES163" s="374">
        <v>396035.00555555557</v>
      </c>
      <c r="ET163" s="374">
        <v>396036.01666666666</v>
      </c>
      <c r="EU163" s="374">
        <v>396037.02777777775</v>
      </c>
      <c r="EV163" s="374">
        <v>396038.0388888889</v>
      </c>
      <c r="EW163" s="374">
        <v>396039.05</v>
      </c>
      <c r="EX163" s="374">
        <v>396040.1638888889</v>
      </c>
      <c r="EY163" s="374">
        <v>396041.27777777775</v>
      </c>
      <c r="EZ163" s="374">
        <v>396042.39166666666</v>
      </c>
      <c r="FA163" s="374">
        <v>396043.50555555557</v>
      </c>
      <c r="FB163" s="374">
        <v>396044.61944444443</v>
      </c>
    </row>
    <row r="164" spans="1:158" s="374" customFormat="1" ht="11.25">
      <c r="B164" s="374" t="s">
        <v>64</v>
      </c>
      <c r="C164" s="374">
        <v>2.64</v>
      </c>
      <c r="D164" s="374">
        <v>3.4033333333495395</v>
      </c>
      <c r="E164" s="374">
        <v>4.9300000000486177</v>
      </c>
      <c r="F164" s="374">
        <v>7.2200000000729272</v>
      </c>
      <c r="G164" s="374">
        <v>9.5099999999513809</v>
      </c>
      <c r="H164" s="374">
        <v>11.03666666665046</v>
      </c>
      <c r="I164" s="374">
        <v>11.8</v>
      </c>
      <c r="J164" s="374">
        <v>11.05749999997407</v>
      </c>
      <c r="K164" s="374">
        <v>9.5725000000259328</v>
      </c>
      <c r="L164" s="374">
        <v>7.3450000000000006</v>
      </c>
      <c r="M164" s="374">
        <v>5.1174999999740702</v>
      </c>
      <c r="N164" s="374">
        <v>3.632500000025932</v>
      </c>
      <c r="O164" s="374">
        <v>2.89</v>
      </c>
      <c r="P164" s="374">
        <v>3.56</v>
      </c>
      <c r="Q164" s="374">
        <v>4.9000000000000004</v>
      </c>
      <c r="R164" s="374">
        <v>6.91</v>
      </c>
      <c r="S164" s="374">
        <v>8.92</v>
      </c>
      <c r="T164" s="374">
        <v>10.26</v>
      </c>
      <c r="U164" s="374">
        <v>10.93</v>
      </c>
      <c r="V164" s="374">
        <v>10.280000000005618</v>
      </c>
      <c r="W164" s="374">
        <v>8.9800000000224767</v>
      </c>
      <c r="X164" s="374">
        <v>7.0300000000505714</v>
      </c>
      <c r="Y164" s="374">
        <v>5.0799999999775238</v>
      </c>
      <c r="Z164" s="374">
        <v>3.7799999999943812</v>
      </c>
      <c r="AA164" s="375">
        <v>3.13</v>
      </c>
      <c r="AB164" s="374">
        <v>3.7516666666929837</v>
      </c>
      <c r="AC164" s="374">
        <v>4.9949999999736834</v>
      </c>
      <c r="AD164" s="374">
        <v>6.86</v>
      </c>
      <c r="AE164" s="374">
        <v>8.7250000000263164</v>
      </c>
      <c r="AF164" s="374">
        <v>9.968333333307017</v>
      </c>
      <c r="AG164" s="374">
        <v>10.59</v>
      </c>
      <c r="AH164" s="374">
        <v>9.9933333333436742</v>
      </c>
      <c r="AI164" s="374">
        <v>8.7999999999689749</v>
      </c>
      <c r="AJ164" s="374">
        <v>7.01</v>
      </c>
      <c r="AK164" s="374">
        <v>5.2200000000310238</v>
      </c>
      <c r="AL164" s="374">
        <v>4.0266666666563236</v>
      </c>
      <c r="AM164" s="374">
        <v>3.43</v>
      </c>
      <c r="AN164" s="374">
        <v>4.0033333333272099</v>
      </c>
      <c r="AO164" s="374">
        <v>5.1499999999755071</v>
      </c>
      <c r="AP164" s="374">
        <v>6.8699999999448904</v>
      </c>
      <c r="AQ164" s="374">
        <v>8.590000000024494</v>
      </c>
      <c r="AR164" s="374">
        <v>9.7366666666727895</v>
      </c>
      <c r="AS164" s="374">
        <v>10.31</v>
      </c>
      <c r="AT164" s="374">
        <v>9.7608333333380806</v>
      </c>
      <c r="AU164" s="374">
        <v>8.6625000000189907</v>
      </c>
      <c r="AV164" s="374">
        <v>7.0150000000427273</v>
      </c>
      <c r="AW164" s="374">
        <v>5.3674999999810105</v>
      </c>
      <c r="AX164" s="374">
        <v>4.2691666666619197</v>
      </c>
      <c r="AY164" s="374">
        <v>3.72</v>
      </c>
      <c r="AZ164" s="374">
        <v>4.2433333333554879</v>
      </c>
      <c r="BA164" s="374">
        <v>5.2899999999778462</v>
      </c>
      <c r="BB164" s="374">
        <v>6.86</v>
      </c>
      <c r="BC164" s="374">
        <v>8.4300000000221544</v>
      </c>
      <c r="BD164" s="374">
        <v>9.4766666666445136</v>
      </c>
      <c r="BE164" s="374">
        <v>10</v>
      </c>
      <c r="BF164" s="374">
        <v>9.5500000000076852</v>
      </c>
      <c r="BG164" s="374">
        <v>8.649999999976945</v>
      </c>
      <c r="BH164" s="374">
        <v>7.3</v>
      </c>
      <c r="BI164" s="374">
        <v>5.9500000000230546</v>
      </c>
      <c r="BJ164" s="374">
        <v>5.0499999999923144</v>
      </c>
      <c r="BK164" s="374">
        <v>4.5999999999999996</v>
      </c>
      <c r="BL164" s="374">
        <v>5.0174999999955405</v>
      </c>
      <c r="BM164" s="374">
        <v>5.8524999999821636</v>
      </c>
      <c r="BN164" s="374">
        <v>7.1049999999598681</v>
      </c>
      <c r="BO164" s="374">
        <v>8.3575000000178363</v>
      </c>
      <c r="BP164" s="374">
        <v>9.1925000000044577</v>
      </c>
      <c r="BQ164" s="374">
        <v>9.61</v>
      </c>
      <c r="BR164" s="374">
        <v>9.1741666666517059</v>
      </c>
      <c r="BS164" s="374">
        <v>8.3025000000149589</v>
      </c>
      <c r="BT164" s="374">
        <v>6.9949999999999992</v>
      </c>
      <c r="BU164" s="374">
        <v>5.6874999999850404</v>
      </c>
      <c r="BV164" s="374">
        <v>4.8158333333482926</v>
      </c>
      <c r="BW164" s="374">
        <v>4.38</v>
      </c>
      <c r="BX164" s="374">
        <v>4.7916666666840939</v>
      </c>
      <c r="BY164" s="374">
        <v>5.6149999999825733</v>
      </c>
      <c r="BZ164" s="374">
        <v>6.85</v>
      </c>
      <c r="CA164" s="374">
        <v>8.0850000000174269</v>
      </c>
      <c r="CB164" s="374">
        <v>8.9083333333159072</v>
      </c>
      <c r="CC164" s="374">
        <v>9.32</v>
      </c>
      <c r="CD164" s="374">
        <v>8.9358333333205557</v>
      </c>
      <c r="CE164" s="374">
        <v>8.1675000000127778</v>
      </c>
      <c r="CF164" s="374">
        <v>7.0149999999999997</v>
      </c>
      <c r="CG164" s="374">
        <v>5.8624999999872225</v>
      </c>
      <c r="CH164" s="374">
        <v>5.0941666666794445</v>
      </c>
      <c r="CI164" s="374">
        <v>4.71</v>
      </c>
      <c r="CJ164" s="374">
        <v>5.0533333333333337</v>
      </c>
      <c r="CK164" s="374">
        <v>5.74</v>
      </c>
      <c r="CL164" s="374">
        <v>6.77</v>
      </c>
      <c r="CM164" s="374">
        <v>7.8</v>
      </c>
      <c r="CN164" s="374">
        <v>8.4866666666666664</v>
      </c>
      <c r="CO164" s="374">
        <v>8.83</v>
      </c>
      <c r="CP164" s="374">
        <v>8.5524999999906139</v>
      </c>
      <c r="CQ164" s="374">
        <v>7.9975000000093868</v>
      </c>
      <c r="CR164" s="374">
        <v>7.165</v>
      </c>
      <c r="CS164" s="374">
        <v>6.3324999999906133</v>
      </c>
      <c r="CT164" s="374">
        <v>5.7775000000093861</v>
      </c>
      <c r="CU164" s="374">
        <v>5.5</v>
      </c>
      <c r="CV164" s="374">
        <v>5.7574999999920182</v>
      </c>
      <c r="CW164" s="374">
        <v>6.2725</v>
      </c>
      <c r="CX164" s="374">
        <v>7.0450000000239461</v>
      </c>
      <c r="CY164" s="374">
        <v>7.8174999999999999</v>
      </c>
      <c r="CZ164" s="374">
        <v>8.3324999999840355</v>
      </c>
      <c r="DA164" s="374">
        <v>8.59</v>
      </c>
      <c r="DB164" s="374">
        <v>8.3091666666576067</v>
      </c>
      <c r="DC164" s="374">
        <v>7.7475000000090608</v>
      </c>
      <c r="DD164" s="374">
        <v>6.9050000000000002</v>
      </c>
      <c r="DE164" s="374">
        <v>6.0624999999909397</v>
      </c>
      <c r="DF164" s="374">
        <v>5.5008333333423938</v>
      </c>
      <c r="DG164" s="374">
        <v>5.22</v>
      </c>
      <c r="DH164" s="374">
        <v>5.4699999999951086</v>
      </c>
      <c r="DI164" s="374">
        <v>5.9700000000146742</v>
      </c>
      <c r="DJ164" s="374">
        <v>6.72</v>
      </c>
      <c r="DK164" s="374">
        <v>7.4699999999853262</v>
      </c>
      <c r="DL164" s="374">
        <v>7.9700000000048918</v>
      </c>
      <c r="DM164" s="374">
        <v>8.2200000000000006</v>
      </c>
      <c r="DN164" s="374">
        <v>7.9899999999880116</v>
      </c>
      <c r="DO164" s="374">
        <v>7.53</v>
      </c>
      <c r="DP164" s="374">
        <v>6.8400000000179837</v>
      </c>
      <c r="DQ164" s="374">
        <v>6.15</v>
      </c>
      <c r="DR164" s="374">
        <v>5.6899999999940052</v>
      </c>
      <c r="DS164" s="374">
        <v>5.46</v>
      </c>
      <c r="DT164" s="374">
        <v>5.7025000000128321</v>
      </c>
      <c r="DU164" s="374">
        <v>6.1875</v>
      </c>
      <c r="DV164" s="374">
        <v>6.9149999999807514</v>
      </c>
      <c r="DW164" s="374">
        <v>7.6424999999999992</v>
      </c>
      <c r="DX164" s="374">
        <v>8.1275000000064157</v>
      </c>
      <c r="DY164" s="374">
        <v>8.3699999999999992</v>
      </c>
      <c r="DZ164" s="374">
        <v>8.1558333333259814</v>
      </c>
      <c r="EA164" s="374">
        <v>7.7275000000073506</v>
      </c>
      <c r="EB164" s="374">
        <v>7.0849999999999991</v>
      </c>
      <c r="EC164" s="374">
        <v>6.4424999999926484</v>
      </c>
      <c r="ED164" s="374">
        <v>6.0141666666740177</v>
      </c>
      <c r="EE164" s="374">
        <v>5.8</v>
      </c>
      <c r="EF164" s="374">
        <v>6.0324999999978166</v>
      </c>
      <c r="EG164" s="374">
        <v>6.4974999999912688</v>
      </c>
      <c r="EH164" s="374">
        <v>7.1949999999803547</v>
      </c>
      <c r="EI164" s="374">
        <v>7.8925000000087309</v>
      </c>
      <c r="EJ164" s="374">
        <v>8.3575000000021831</v>
      </c>
      <c r="EK164" s="374">
        <v>8.59</v>
      </c>
      <c r="EL164" s="374">
        <v>8.2900000000052909</v>
      </c>
      <c r="EM164" s="374">
        <v>7.6899999999841251</v>
      </c>
      <c r="EN164" s="374">
        <v>6.79</v>
      </c>
      <c r="EO164" s="374">
        <v>5.8900000000158741</v>
      </c>
      <c r="EP164" s="374">
        <v>5.2899999999947083</v>
      </c>
      <c r="EQ164" s="374">
        <v>4.99</v>
      </c>
      <c r="ER164" s="374">
        <v>5.3399999999932835</v>
      </c>
      <c r="ES164" s="374">
        <v>6.0400000000201493</v>
      </c>
      <c r="ET164" s="374">
        <v>7.09</v>
      </c>
      <c r="EU164" s="374">
        <v>8.1399999999798514</v>
      </c>
      <c r="EV164" s="374">
        <v>8.8400000000067163</v>
      </c>
      <c r="EW164" s="374">
        <v>9.19</v>
      </c>
      <c r="EX164" s="374">
        <v>8.7674999999852812</v>
      </c>
      <c r="EY164" s="374">
        <v>7.9225000000147183</v>
      </c>
      <c r="EZ164" s="374">
        <v>6.6550000000000002</v>
      </c>
      <c r="FA164" s="374">
        <v>5.3874999999852822</v>
      </c>
      <c r="FB164" s="374">
        <v>4.5425000000147193</v>
      </c>
    </row>
    <row r="165" spans="1:158" s="369" customFormat="1" ht="11.25">
      <c r="AA165" s="372"/>
    </row>
    <row r="166" spans="1:158">
      <c r="A166" s="376" t="s">
        <v>385</v>
      </c>
      <c r="B166" t="s">
        <v>383</v>
      </c>
      <c r="C166" s="92">
        <f>C162</f>
        <v>42064.131249999999</v>
      </c>
      <c r="P166"/>
      <c r="Q166"/>
    </row>
    <row r="167" spans="1:158">
      <c r="A167" s="376"/>
      <c r="B167" t="s">
        <v>384</v>
      </c>
      <c r="C167" s="92">
        <f>MAX(162:162)</f>
        <v>42070.859143518515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382</v>
      </c>
      <c r="B171">
        <f>Maree!$D$69</f>
        <v>7.45</v>
      </c>
      <c r="P171"/>
      <c r="Q171"/>
    </row>
    <row r="172" spans="1:158">
      <c r="A172" s="367"/>
      <c r="B172" t="s">
        <v>386</v>
      </c>
      <c r="C172">
        <v>75</v>
      </c>
      <c r="D172">
        <f>C172+1</f>
        <v>76</v>
      </c>
      <c r="E172" s="134">
        <f t="shared" ref="E172:AG173" si="30">D172+1</f>
        <v>77</v>
      </c>
      <c r="F172" s="134">
        <f t="shared" si="30"/>
        <v>78</v>
      </c>
      <c r="G172" s="134">
        <f t="shared" si="30"/>
        <v>79</v>
      </c>
      <c r="H172" s="134">
        <f t="shared" si="30"/>
        <v>80</v>
      </c>
      <c r="I172" s="134">
        <f t="shared" si="30"/>
        <v>81</v>
      </c>
      <c r="J172" s="134">
        <f t="shared" si="30"/>
        <v>82</v>
      </c>
      <c r="K172" s="134">
        <f t="shared" si="30"/>
        <v>83</v>
      </c>
      <c r="L172" s="134">
        <f t="shared" si="30"/>
        <v>84</v>
      </c>
      <c r="M172" s="134">
        <f t="shared" si="30"/>
        <v>85</v>
      </c>
      <c r="N172" s="134">
        <f t="shared" si="30"/>
        <v>86</v>
      </c>
      <c r="O172" s="134">
        <f t="shared" si="30"/>
        <v>87</v>
      </c>
      <c r="P172" s="134">
        <f t="shared" si="30"/>
        <v>88</v>
      </c>
      <c r="Q172" s="134">
        <f t="shared" si="30"/>
        <v>89</v>
      </c>
      <c r="R172" s="134">
        <f t="shared" si="30"/>
        <v>90</v>
      </c>
      <c r="S172" s="134">
        <f t="shared" si="30"/>
        <v>91</v>
      </c>
      <c r="T172" s="134">
        <f t="shared" si="30"/>
        <v>92</v>
      </c>
      <c r="U172" s="134">
        <f t="shared" si="30"/>
        <v>93</v>
      </c>
      <c r="V172" s="134">
        <f t="shared" si="30"/>
        <v>94</v>
      </c>
      <c r="W172" s="134">
        <f t="shared" si="30"/>
        <v>95</v>
      </c>
      <c r="X172" s="134">
        <f t="shared" si="30"/>
        <v>96</v>
      </c>
      <c r="Y172" s="134">
        <f t="shared" si="30"/>
        <v>97</v>
      </c>
      <c r="Z172" s="134">
        <f t="shared" si="30"/>
        <v>98</v>
      </c>
      <c r="AA172" s="134">
        <f t="shared" si="30"/>
        <v>99</v>
      </c>
      <c r="AB172" s="134">
        <f t="shared" si="30"/>
        <v>100</v>
      </c>
      <c r="AC172" s="134">
        <f t="shared" si="30"/>
        <v>101</v>
      </c>
      <c r="AD172" s="134">
        <f t="shared" si="30"/>
        <v>102</v>
      </c>
      <c r="AE172" s="134">
        <f t="shared" si="30"/>
        <v>103</v>
      </c>
      <c r="AF172" s="134">
        <f t="shared" si="30"/>
        <v>104</v>
      </c>
      <c r="AG172" s="134">
        <f t="shared" si="30"/>
        <v>105</v>
      </c>
    </row>
    <row r="173" spans="1:158">
      <c r="B173" s="368" t="s">
        <v>380</v>
      </c>
      <c r="C173" s="367" cm="1">
        <f t="array" aca="1" ref="C173" ca="1">INDIRECT(ADDRESS(C172,8))</f>
        <v>42064.249305555553</v>
      </c>
      <c r="D173" s="367" cm="1">
        <f t="array" aca="1" ref="D173" ca="1">INDIRECT(ADDRESS(D172,8))</f>
        <v>42064.496423611112</v>
      </c>
      <c r="E173" s="367" cm="1">
        <f t="array" aca="1" ref="E173" ca="1">INDIRECT(ADDRESS(E172,8))</f>
        <v>42064.76158564815</v>
      </c>
      <c r="F173" s="367" cm="1">
        <f t="array" aca="1" ref="F173" ca="1">INDIRECT(ADDRESS(F172,8))</f>
        <v>42064.995486111111</v>
      </c>
      <c r="G173" s="367" cm="1">
        <f t="array" aca="1" ref="G173" ca="1">INDIRECT(ADDRESS(G172,8))</f>
        <v>42065.272499999999</v>
      </c>
      <c r="H173" s="367" cm="1">
        <f t="array" aca="1" ref="H173" ca="1">INDIRECT(ADDRESS(H172,8))</f>
        <v>42065.503460648149</v>
      </c>
      <c r="I173" s="367" cm="1">
        <f t="array" aca="1" ref="I173" ca="1">INDIRECT(ADDRESS(I172,8))</f>
        <v>42065.781168981484</v>
      </c>
      <c r="J173" s="367" cm="1">
        <f t="array" aca="1" ref="J173" ca="1">INDIRECT(ADDRESS(J172,8))</f>
        <v>42066.009872685187</v>
      </c>
      <c r="K173" s="367" cm="1">
        <f t="array" aca="1" ref="K173" ca="1">INDIRECT(ADDRESS(K172,8))</f>
        <v>42066.291435185187</v>
      </c>
      <c r="L173" s="367" cm="1">
        <f t="array" aca="1" ref="L173" ca="1">INDIRECT(ADDRESS(L172,8))</f>
        <v>42066.528425925928</v>
      </c>
      <c r="M173" s="367" cm="1">
        <f t="array" aca="1" ref="M173" ca="1">INDIRECT(ADDRESS(M172,8))</f>
        <v>42066.799664351849</v>
      </c>
      <c r="N173" s="367" cm="1">
        <f t="array" aca="1" ref="N173" ca="1">INDIRECT(ADDRESS(N172,8))</f>
        <v>42067.027708333335</v>
      </c>
      <c r="O173" s="367" cm="1">
        <f t="array" aca="1" ref="O173" ca="1">INDIRECT(ADDRESS(O172,8))</f>
        <v>42067.318553240744</v>
      </c>
      <c r="P173" s="367" cm="1">
        <f t="array" aca="1" ref="P173" ca="1">INDIRECT(ADDRESS(P172,8))</f>
        <v>42067.542071759257</v>
      </c>
      <c r="Q173" s="367" cm="1">
        <f t="array" aca="1" ref="Q173" ca="1">INDIRECT(ADDRESS(Q172,8))</f>
        <v>42067.845196759263</v>
      </c>
      <c r="R173" s="367" cm="1">
        <f t="array" aca="1" ref="R173" ca="1">INDIRECT(ADDRESS(R172,8))</f>
        <v>42068.061064814814</v>
      </c>
      <c r="S173" s="367" cm="1">
        <f t="array" aca="1" ref="S173" ca="1">INDIRECT(ADDRESS(S172,8))</f>
        <v>42068.358703703707</v>
      </c>
      <c r="T173" s="367" cm="1">
        <f t="array" aca="1" ref="T173" ca="1">INDIRECT(ADDRESS(T172,8))</f>
        <v>42068.573483796295</v>
      </c>
      <c r="U173" s="367" cm="1">
        <f t="array" aca="1" ref="U173" ca="1">INDIRECT(ADDRESS(U172,8))</f>
        <v>42068.920428240737</v>
      </c>
      <c r="V173" s="367" cm="1">
        <f t="array" aca="1" ref="V173" ca="1">INDIRECT(ADDRESS(V172,8))</f>
        <v>42069.10261574074</v>
      </c>
      <c r="W173" s="367" cm="1">
        <f t="array" aca="1" ref="W173" ca="1">INDIRECT(ADDRESS(W172,8))</f>
        <v>42069.45453703704</v>
      </c>
      <c r="X173" s="367" cm="1">
        <f t="array" aca="1" ref="X173" ca="1">INDIRECT(ADDRESS(X172,8))</f>
        <v>42069.672893518517</v>
      </c>
      <c r="Y173" s="367" cm="1">
        <f t="array" aca="1" ref="Y173" ca="1">INDIRECT(ADDRESS(Y172,8))</f>
        <v>42069.985879629632</v>
      </c>
      <c r="Z173" s="367" cm="1">
        <f t="array" aca="1" ref="Z173" ca="1">INDIRECT(ADDRESS(Z172,8))</f>
        <v>42070.203194444446</v>
      </c>
      <c r="AA173" s="367" cm="1">
        <f t="array" aca="1" ref="AA173" ca="1">INDIRECT(ADDRESS(AA172,8))</f>
        <v>42070.515138888892</v>
      </c>
      <c r="AB173" s="367" cm="1">
        <f t="array" aca="1" ref="AB173" ca="1">INDIRECT(ADDRESS(AB172,8))</f>
        <v>42070.737210648149</v>
      </c>
      <c r="AC173" s="367" cm="1">
        <f t="array" aca="1" ref="AC173" ca="1">INDIRECT(ADDRESS(AC172,8))</f>
        <v>42070.737210648149</v>
      </c>
      <c r="AD173" s="367" cm="1">
        <f t="array" aca="1" ref="AD173" ca="1">INDIRECT(ADDRESS(AD172,8))</f>
        <v>42070.737210648149</v>
      </c>
      <c r="AE173" s="367" cm="1">
        <f t="array" aca="1" ref="AE173" ca="1">INDIRECT(ADDRESS(AE172,8))</f>
        <v>42070.737210648149</v>
      </c>
      <c r="AF173" s="367" cm="1">
        <f t="array" aca="1" ref="AF173" ca="1">INDIRECT(ADDRESS(AF172,8))</f>
        <v>42070.737210648149</v>
      </c>
      <c r="AG173" s="367" cm="1">
        <f t="array" aca="1" ref="AG173" ca="1">INDIRECT(ADDRESS(AG172,8))</f>
        <v>42070.737210648149</v>
      </c>
    </row>
    <row r="174" spans="1:158">
      <c r="B174" s="134" t="s">
        <v>64</v>
      </c>
      <c r="C174">
        <f>$B$171</f>
        <v>7.45</v>
      </c>
      <c r="D174" s="134">
        <f t="shared" ref="D174:AG174" si="31">$B$171</f>
        <v>7.45</v>
      </c>
      <c r="E174" s="134">
        <f t="shared" si="31"/>
        <v>7.45</v>
      </c>
      <c r="F174" s="134">
        <f t="shared" si="31"/>
        <v>7.45</v>
      </c>
      <c r="G174" s="134">
        <f t="shared" si="31"/>
        <v>7.45</v>
      </c>
      <c r="H174" s="134">
        <f t="shared" si="31"/>
        <v>7.45</v>
      </c>
      <c r="I174" s="134">
        <f t="shared" si="31"/>
        <v>7.45</v>
      </c>
      <c r="J174" s="134">
        <f t="shared" si="31"/>
        <v>7.45</v>
      </c>
      <c r="K174" s="134">
        <f t="shared" si="31"/>
        <v>7.45</v>
      </c>
      <c r="L174" s="134">
        <f t="shared" si="31"/>
        <v>7.45</v>
      </c>
      <c r="M174" s="134">
        <f t="shared" si="31"/>
        <v>7.45</v>
      </c>
      <c r="N174" s="134">
        <f t="shared" si="31"/>
        <v>7.45</v>
      </c>
      <c r="O174" s="134">
        <f t="shared" si="31"/>
        <v>7.45</v>
      </c>
      <c r="P174" s="134">
        <f t="shared" si="31"/>
        <v>7.45</v>
      </c>
      <c r="Q174" s="134">
        <f t="shared" si="31"/>
        <v>7.45</v>
      </c>
      <c r="R174" s="134">
        <f t="shared" si="31"/>
        <v>7.45</v>
      </c>
      <c r="S174" s="134">
        <f t="shared" si="31"/>
        <v>7.45</v>
      </c>
      <c r="T174" s="134">
        <f t="shared" si="31"/>
        <v>7.45</v>
      </c>
      <c r="U174" s="134">
        <f t="shared" si="31"/>
        <v>7.45</v>
      </c>
      <c r="V174" s="134">
        <f t="shared" si="31"/>
        <v>7.45</v>
      </c>
      <c r="W174" s="134">
        <f t="shared" si="31"/>
        <v>7.45</v>
      </c>
      <c r="X174" s="134">
        <f t="shared" si="31"/>
        <v>7.45</v>
      </c>
      <c r="Y174" s="134">
        <f t="shared" si="31"/>
        <v>7.45</v>
      </c>
      <c r="Z174" s="134">
        <f t="shared" si="31"/>
        <v>7.45</v>
      </c>
      <c r="AA174" s="134">
        <f t="shared" si="31"/>
        <v>7.45</v>
      </c>
      <c r="AB174" s="134">
        <f t="shared" si="31"/>
        <v>7.45</v>
      </c>
      <c r="AC174" s="134">
        <f t="shared" si="31"/>
        <v>7.45</v>
      </c>
      <c r="AD174" s="134">
        <f t="shared" si="31"/>
        <v>7.45</v>
      </c>
      <c r="AE174" s="134">
        <f t="shared" si="31"/>
        <v>7.45</v>
      </c>
      <c r="AF174" s="134">
        <f t="shared" si="31"/>
        <v>7.45</v>
      </c>
      <c r="AG174" s="134">
        <f t="shared" si="31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J80:K80"/>
    <mergeCell ref="L80:M80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J72:O73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A76:B76"/>
    <mergeCell ref="A77:B77"/>
    <mergeCell ref="A75:B75"/>
    <mergeCell ref="A74:B74"/>
    <mergeCell ref="A73:B73"/>
    <mergeCell ref="A80:B80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D92:E92"/>
    <mergeCell ref="F92:G92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D78:E78"/>
    <mergeCell ref="F74:G74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F91:G91"/>
    <mergeCell ref="D79:E79"/>
    <mergeCell ref="D80:E80"/>
    <mergeCell ref="D81:E81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</mergeCells>
  <conditionalFormatting sqref="H38:H64">
    <cfRule type="cellIs" dxfId="4" priority="8" operator="equal">
      <formula>"Y"</formula>
    </cfRule>
  </conditionalFormatting>
  <conditionalFormatting sqref="AF38:AJ38">
    <cfRule type="cellIs" dxfId="3" priority="6" operator="equal">
      <formula>FALSE</formula>
    </cfRule>
  </conditionalFormatting>
  <conditionalFormatting sqref="AL38:AL64">
    <cfRule type="cellIs" dxfId="2" priority="5" operator="equal">
      <formula>FALSE</formula>
    </cfRule>
  </conditionalFormatting>
  <conditionalFormatting sqref="I38:I64">
    <cfRule type="cellIs" dxfId="1" priority="3" operator="equal">
      <formula>"Y"</formula>
    </cfRule>
  </conditionalFormatting>
  <conditionalFormatting sqref="AF39:AJ64"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06222-A6A5-487B-AD60-1C81C8452026}"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Nav</vt:lpstr>
      <vt:lpstr>Maree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2024-09-10T20:33:01Z</dcterms:modified>
</cp:coreProperties>
</file>