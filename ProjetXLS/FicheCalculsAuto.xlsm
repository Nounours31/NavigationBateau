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19B341CA-33FE-434F-8791-CCDA370C57A7}" xr6:coauthVersionLast="47" xr6:coauthVersionMax="47" xr10:uidLastSave="{00000000-0000-0000-0000-000000000000}"/>
  <bookViews>
    <workbookView xWindow="-120" yWindow="-120" windowWidth="29040" windowHeight="15840" tabRatio="872" firstSheet="1" activeTab="2" xr2:uid="{00000000-000D-0000-FFFF-FFFF00000000}"/>
  </bookViews>
  <sheets>
    <sheet name="Outils" sheetId="15" r:id="rId1"/>
    <sheet name="Droite de hauteur-soleil" sheetId="1" r:id="rId2"/>
    <sheet name="Meridienne Longiture a Estime" sheetId="16" r:id="rId3"/>
    <sheet name="Meridienne Longitude par paire" sheetId="13" r:id="rId4"/>
    <sheet name="Meridienne" sheetId="17" r:id="rId5"/>
    <sheet name="Droite de hauteur-lune" sheetId="11" r:id="rId6"/>
    <sheet name="Droite de hauteur-etoileplanete" sheetId="12" r:id="rId7"/>
    <sheet name="Latitude Polaire" sheetId="10" r:id="rId8"/>
    <sheet name="Nav" sheetId="3" r:id="rId9"/>
    <sheet name="Maree" sheetId="4" r:id="rId10"/>
    <sheet name="Maree-backend" sheetId="6" r:id="rId11"/>
  </sheets>
  <functionGroups builtInGroupCount="19"/>
  <definedNames>
    <definedName name="_xlnm._FilterDatabase" localSheetId="9" hidden="1">Maree!$C$9:$D$9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58" i="16" l="1"/>
  <c r="W56" i="16"/>
  <c r="AC113" i="17"/>
  <c r="Q109" i="17"/>
  <c r="AD148" i="17"/>
  <c r="AD147" i="17"/>
  <c r="J95" i="17"/>
  <c r="O79" i="17"/>
  <c r="O78" i="17"/>
  <c r="AD58" i="17"/>
  <c r="F58" i="17"/>
  <c r="AD56" i="17"/>
  <c r="AD52" i="17"/>
  <c r="AD50" i="17"/>
  <c r="AD49" i="17"/>
  <c r="AD41" i="17"/>
  <c r="AD36" i="17"/>
  <c r="P30" i="17"/>
  <c r="M28" i="17" s="1"/>
  <c r="P26" i="17"/>
  <c r="M24" i="17" s="1"/>
  <c r="J23" i="17"/>
  <c r="O83" i="17" s="1"/>
  <c r="AD84" i="17" s="1"/>
  <c r="AD85" i="17" s="1"/>
  <c r="J22" i="17"/>
  <c r="AD83" i="17" s="1"/>
  <c r="AD86" i="17" s="1"/>
  <c r="J19" i="17"/>
  <c r="AD68" i="17" s="1"/>
  <c r="AD69" i="17" s="1"/>
  <c r="O68" i="17" s="1"/>
  <c r="AD10" i="17"/>
  <c r="AD9" i="17"/>
  <c r="I35" i="16"/>
  <c r="AD35" i="16" s="1"/>
  <c r="J35" i="16"/>
  <c r="AD5" i="16"/>
  <c r="C44" i="16"/>
  <c r="F31" i="16"/>
  <c r="E40" i="16" s="1"/>
  <c r="AD10" i="16"/>
  <c r="P26" i="1"/>
  <c r="F7" i="15"/>
  <c r="F6" i="15"/>
  <c r="AD171" i="1" s="1"/>
  <c r="M146" i="3"/>
  <c r="M147" i="3" s="1"/>
  <c r="M141" i="3"/>
  <c r="M142" i="3" s="1"/>
  <c r="M136" i="3"/>
  <c r="AD108" i="11"/>
  <c r="F77" i="3"/>
  <c r="AC73" i="3" s="1"/>
  <c r="AF55" i="3"/>
  <c r="G146" i="17" a="1"/>
  <c r="F60" i="17" a="1"/>
  <c r="G147" i="17" a="1"/>
  <c r="R101" i="17" a="1"/>
  <c r="AE86" i="17" a="1"/>
  <c r="AE49" i="17" a="1"/>
  <c r="J28" i="17" a="1"/>
  <c r="J24" i="17" a="1"/>
  <c r="J16" i="17" a="1"/>
  <c r="E69" i="3" a="1"/>
  <c r="F123" i="3" a="1"/>
  <c r="G169" i="1" a="1"/>
  <c r="S124" i="3" a="1"/>
  <c r="J16" i="1" a="1"/>
  <c r="U68" i="17" a="1"/>
  <c r="AD59" i="17" a="1"/>
  <c r="AD8" i="17" a="1"/>
  <c r="S125" i="3" a="1"/>
  <c r="S134" i="3" a="1"/>
  <c r="S129" i="3" a="1"/>
  <c r="N75" i="3" a="1"/>
  <c r="N79" i="3" a="1"/>
  <c r="S122" i="3" a="1"/>
  <c r="F128" i="3" a="1"/>
  <c r="O101" i="17" a="1"/>
  <c r="J20" i="17" a="1"/>
  <c r="F124" i="3" a="1"/>
  <c r="S130" i="3" a="1"/>
  <c r="F127" i="3" a="1"/>
  <c r="S123" i="3" a="1"/>
  <c r="E71" i="3" a="1"/>
  <c r="F126" i="3" a="1"/>
  <c r="S133" i="3" a="1"/>
  <c r="S132" i="3" a="1"/>
  <c r="F21" i="16"/>
  <c r="J21" i="17" a="1"/>
  <c r="G170" i="1" a="1"/>
  <c r="AD37" i="17" a="1"/>
  <c r="S30" i="17" a="1"/>
  <c r="S26" i="17" a="1"/>
  <c r="J17" i="17" a="1"/>
  <c r="AD11" i="17" a="1"/>
  <c r="S131" i="3" a="1"/>
  <c r="E39" i="3" a="1"/>
  <c r="S128" i="3" a="1"/>
  <c r="S126" i="3" a="1"/>
  <c r="O21" i="16"/>
  <c r="E7" i="17" a="1"/>
  <c r="F122" i="3" a="1"/>
  <c r="AD42" i="17" a="1"/>
  <c r="AB96" i="3" a="1"/>
  <c r="E7" i="1" a="1"/>
  <c r="AB97" i="3" a="1"/>
  <c r="F125" i="3" a="1"/>
  <c r="F15" i="16"/>
  <c r="AD57" i="17" a="1"/>
  <c r="S127" i="3" a="1"/>
  <c r="O15" i="16"/>
  <c r="AE50" i="17" a="1"/>
  <c r="F27" i="16"/>
  <c r="O27" i="16" s="1" a="1"/>
  <c r="O31" i="16" a="1"/>
  <c r="AD11" i="16" a="1"/>
  <c r="AD36" i="16" a="1"/>
  <c r="AD6" i="16" a="1"/>
  <c r="AD80" i="17" l="1"/>
  <c r="AE50" i="17"/>
  <c r="AD57" i="17"/>
  <c r="AD42" i="17"/>
  <c r="F41" i="17" s="1"/>
  <c r="E7" i="17"/>
  <c r="AD11" i="17"/>
  <c r="J17" i="17"/>
  <c r="S26" i="17"/>
  <c r="S30" i="17"/>
  <c r="AD37" i="17"/>
  <c r="F36" i="17" s="1"/>
  <c r="S113" i="17" s="1"/>
  <c r="J21" i="17"/>
  <c r="J20" i="17"/>
  <c r="O101" i="17"/>
  <c r="AD8" i="17"/>
  <c r="AD59" i="17"/>
  <c r="U68" i="17"/>
  <c r="J16" i="17"/>
  <c r="J24" i="17"/>
  <c r="J28" i="17"/>
  <c r="AE49" i="17"/>
  <c r="AE86" i="17"/>
  <c r="AD87" i="17" s="1"/>
  <c r="O84" i="17" s="1"/>
  <c r="R101" i="17"/>
  <c r="G147" i="17"/>
  <c r="F60" i="17"/>
  <c r="G146" i="17"/>
  <c r="AD36" i="16"/>
  <c r="F35" i="16" s="1"/>
  <c r="E43" i="16" s="1"/>
  <c r="O31" i="16"/>
  <c r="E39" i="16"/>
  <c r="K39" i="16" s="1"/>
  <c r="O27" i="16"/>
  <c r="AD6" i="16"/>
  <c r="F5" i="16" s="1"/>
  <c r="AD11" i="16"/>
  <c r="F10" i="16" s="1"/>
  <c r="E51" i="16" s="1"/>
  <c r="K51" i="16" s="1"/>
  <c r="AD170" i="1"/>
  <c r="S134" i="3"/>
  <c r="S133" i="3"/>
  <c r="S132" i="3"/>
  <c r="S131" i="3"/>
  <c r="J147" i="3"/>
  <c r="J142" i="3"/>
  <c r="M137" i="3"/>
  <c r="J137" i="3" s="1"/>
  <c r="S124" i="3"/>
  <c r="S126" i="3"/>
  <c r="S128" i="3"/>
  <c r="S130" i="3"/>
  <c r="S123" i="3"/>
  <c r="S127" i="3"/>
  <c r="S125" i="3"/>
  <c r="S129" i="3"/>
  <c r="S122" i="3"/>
  <c r="F125" i="3"/>
  <c r="F126" i="3"/>
  <c r="F123" i="3"/>
  <c r="F128" i="3"/>
  <c r="F124" i="3"/>
  <c r="F127" i="3"/>
  <c r="F122" i="3"/>
  <c r="G169" i="1"/>
  <c r="G170" i="1"/>
  <c r="E7" i="1"/>
  <c r="J16" i="1"/>
  <c r="AB96" i="3"/>
  <c r="I96" i="3" s="1"/>
  <c r="AB97" i="3"/>
  <c r="N79" i="3"/>
  <c r="N75" i="3"/>
  <c r="E71" i="3"/>
  <c r="E69" i="3"/>
  <c r="E39" i="3"/>
  <c r="AC33" i="3"/>
  <c r="AC32" i="3"/>
  <c r="J19" i="1"/>
  <c r="AJ68" i="13"/>
  <c r="AJ66" i="13"/>
  <c r="AJ62" i="13"/>
  <c r="AJ60" i="13"/>
  <c r="AJ59" i="13"/>
  <c r="AJ109" i="13"/>
  <c r="P83" i="13"/>
  <c r="M81" i="13" s="1"/>
  <c r="P79" i="13"/>
  <c r="M77" i="13" s="1"/>
  <c r="I76" i="13"/>
  <c r="O109" i="13" s="1"/>
  <c r="AJ39" i="13"/>
  <c r="AJ44" i="13" s="1"/>
  <c r="AK44" i="13" s="1"/>
  <c r="AJ53" i="13" s="1"/>
  <c r="AK53" i="13" s="1"/>
  <c r="AJ38" i="13"/>
  <c r="AJ45" i="13" s="1"/>
  <c r="AJ37" i="13"/>
  <c r="AJ46" i="13" s="1"/>
  <c r="AJ36" i="13"/>
  <c r="AJ47" i="13" s="1"/>
  <c r="AJ35" i="13"/>
  <c r="AJ48" i="13" s="1"/>
  <c r="AJ29" i="13"/>
  <c r="AJ28" i="13"/>
  <c r="P17" i="17" a="1"/>
  <c r="I123" i="3" a="1"/>
  <c r="AJ67" i="13" a="1"/>
  <c r="E35" i="3" a="1"/>
  <c r="I77" i="13" a="1"/>
  <c r="U50" i="17" a="1"/>
  <c r="G36" i="13" a="1"/>
  <c r="AK59" i="13" a="1"/>
  <c r="U52" i="17" a="1"/>
  <c r="U60" i="17" a="1"/>
  <c r="AJ69" i="13" a="1"/>
  <c r="S83" i="13" a="1"/>
  <c r="N71" i="3" a="1"/>
  <c r="V132" i="3" a="1"/>
  <c r="S9" i="3" a="1"/>
  <c r="V124" i="3" a="1"/>
  <c r="V131" i="3" a="1"/>
  <c r="E33" i="3" a="1"/>
  <c r="AL38" i="13" a="1"/>
  <c r="J11" i="3" a="1"/>
  <c r="V133" i="3" a="1"/>
  <c r="V130" i="3" a="1"/>
  <c r="N69" i="3" a="1"/>
  <c r="P60" i="17" a="1"/>
  <c r="O36" i="17" a="1"/>
  <c r="P16" i="17" a="1"/>
  <c r="S79" i="13" a="1"/>
  <c r="G38" i="13" a="1"/>
  <c r="V134" i="3" a="1"/>
  <c r="AK60" i="13" a="1"/>
  <c r="V125" i="3" a="1"/>
  <c r="AL36" i="13" a="1"/>
  <c r="I122" i="3" a="1"/>
  <c r="AL37" i="13" a="1"/>
  <c r="I81" i="13" a="1"/>
  <c r="P27" i="17" a="1"/>
  <c r="V127" i="3" a="1"/>
  <c r="I127" i="3" a="1"/>
  <c r="G37" i="13" a="1"/>
  <c r="V129" i="3" a="1"/>
  <c r="V122" i="3" a="1"/>
  <c r="P20" i="17" a="1"/>
  <c r="V126" i="3" a="1"/>
  <c r="E41" i="3" a="1"/>
  <c r="O41" i="17" a="1"/>
  <c r="P21" i="17" a="1"/>
  <c r="P31" i="17" a="1"/>
  <c r="AL35" i="13" a="1"/>
  <c r="I124" i="3" a="1"/>
  <c r="O98" i="3" a="1"/>
  <c r="I126" i="3" a="1"/>
  <c r="J9" i="13" a="1"/>
  <c r="V123" i="3" a="1"/>
  <c r="U84" i="17" a="1"/>
  <c r="V128" i="3" a="1"/>
  <c r="I128" i="3" a="1"/>
  <c r="G35" i="13" a="1"/>
  <c r="G9" i="3" a="1"/>
  <c r="I125" i="3" a="1"/>
  <c r="O10" i="16" a="1"/>
  <c r="O5" i="16" a="1"/>
  <c r="O35" i="16" a="1"/>
  <c r="U84" i="17" l="1"/>
  <c r="P31" i="17"/>
  <c r="P21" i="17"/>
  <c r="O41" i="17"/>
  <c r="P20" i="17"/>
  <c r="P27" i="17"/>
  <c r="P16" i="17"/>
  <c r="O36" i="17"/>
  <c r="P60" i="17"/>
  <c r="U60" i="17"/>
  <c r="U52" i="17"/>
  <c r="U50" i="17"/>
  <c r="P17" i="17"/>
  <c r="O91" i="17"/>
  <c r="O82" i="17"/>
  <c r="O66" i="17"/>
  <c r="E137" i="17"/>
  <c r="O67" i="17"/>
  <c r="W52" i="16"/>
  <c r="W54" i="16" s="1"/>
  <c r="O74" i="17"/>
  <c r="E136" i="17"/>
  <c r="AD51" i="17"/>
  <c r="V101" i="17"/>
  <c r="E11" i="17"/>
  <c r="M18" i="17"/>
  <c r="O35" i="16"/>
  <c r="M45" i="16"/>
  <c r="L43" i="16"/>
  <c r="W48" i="16" s="1"/>
  <c r="E44" i="16"/>
  <c r="O10" i="16"/>
  <c r="O5" i="16"/>
  <c r="V134" i="3"/>
  <c r="V133" i="3"/>
  <c r="V132" i="3"/>
  <c r="V131" i="3"/>
  <c r="V123" i="3"/>
  <c r="V130" i="3"/>
  <c r="V125" i="3"/>
  <c r="V127" i="3"/>
  <c r="V126" i="3"/>
  <c r="V128" i="3"/>
  <c r="V129" i="3"/>
  <c r="V124" i="3"/>
  <c r="V122" i="3"/>
  <c r="I127" i="3"/>
  <c r="I124" i="3"/>
  <c r="I128" i="3"/>
  <c r="I123" i="3"/>
  <c r="I126" i="3"/>
  <c r="I125" i="3"/>
  <c r="I122" i="3"/>
  <c r="I97" i="3"/>
  <c r="AB98" i="3"/>
  <c r="I98" i="3" s="1"/>
  <c r="O98" i="3"/>
  <c r="J11" i="3"/>
  <c r="N69" i="3"/>
  <c r="N71" i="3"/>
  <c r="E33" i="3"/>
  <c r="AE46" i="3" s="1"/>
  <c r="AF46" i="3" s="1"/>
  <c r="AG46" i="3" s="1"/>
  <c r="AD46" i="3" s="1"/>
  <c r="E41" i="3"/>
  <c r="E35" i="3"/>
  <c r="S9" i="3"/>
  <c r="S11" i="3" s="1"/>
  <c r="G9" i="3"/>
  <c r="AJ67" i="13"/>
  <c r="AK60" i="13"/>
  <c r="AK59" i="13"/>
  <c r="AJ69" i="13"/>
  <c r="J9" i="13"/>
  <c r="I81" i="13"/>
  <c r="I77" i="13"/>
  <c r="S79" i="13"/>
  <c r="S83" i="13"/>
  <c r="AL39" i="13" a="1"/>
  <c r="AL39" i="13" s="1"/>
  <c r="R44" i="13"/>
  <c r="P44" i="13" a="1"/>
  <c r="P44" i="13" s="1"/>
  <c r="E48" i="13"/>
  <c r="AK48" i="13"/>
  <c r="E47" i="13"/>
  <c r="AK47" i="13"/>
  <c r="E46" i="13"/>
  <c r="AK46" i="13"/>
  <c r="AK45" i="13"/>
  <c r="E45" i="13"/>
  <c r="E44" i="13"/>
  <c r="T44" i="13" a="1"/>
  <c r="T44" i="13" s="1"/>
  <c r="AQ44" i="13" a="1"/>
  <c r="AQ44" i="13" s="1"/>
  <c r="AL38" i="13"/>
  <c r="AL36" i="13"/>
  <c r="AL37" i="13"/>
  <c r="AL35" i="13"/>
  <c r="R39" i="13"/>
  <c r="G36" i="13"/>
  <c r="G37" i="13"/>
  <c r="G38" i="13"/>
  <c r="G35" i="13"/>
  <c r="AM29" i="13"/>
  <c r="AM28" i="13" s="1"/>
  <c r="AQ45" i="13" a="1"/>
  <c r="AQ46" i="13" a="1"/>
  <c r="G39" i="13" a="1"/>
  <c r="T39" i="13" a="1"/>
  <c r="L39" i="13" a="1"/>
  <c r="U62" i="13" a="1"/>
  <c r="P70" i="13" a="1"/>
  <c r="W101" i="17" a="1"/>
  <c r="J9" i="3" a="1"/>
  <c r="N33" i="3" a="1"/>
  <c r="V9" i="3" a="1"/>
  <c r="N39" i="3" a="1"/>
  <c r="U67" i="17" a="1"/>
  <c r="I7" i="17" a="1"/>
  <c r="E12" i="17" a="1"/>
  <c r="N35" i="3" a="1"/>
  <c r="P84" i="13" a="1"/>
  <c r="P80" i="13" a="1"/>
  <c r="U66" i="17" a="1"/>
  <c r="J18" i="17" a="1"/>
  <c r="N41" i="3" a="1"/>
  <c r="Y54" i="16"/>
  <c r="U60" i="13" a="1"/>
  <c r="U74" i="17" a="1"/>
  <c r="U70" i="13" a="1"/>
  <c r="U74" i="17" l="1"/>
  <c r="J18" i="17"/>
  <c r="U66" i="17"/>
  <c r="E12" i="17"/>
  <c r="I7" i="17"/>
  <c r="U67" i="17"/>
  <c r="W101" i="17"/>
  <c r="J100" i="17"/>
  <c r="M63" i="17"/>
  <c r="O70" i="17"/>
  <c r="I58" i="17"/>
  <c r="AD60" i="17" s="1"/>
  <c r="I50" i="17"/>
  <c r="AD53" i="17" s="1"/>
  <c r="AD54" i="17" s="1"/>
  <c r="F50" i="17" s="1"/>
  <c r="AD67" i="17"/>
  <c r="L100" i="17"/>
  <c r="W50" i="16"/>
  <c r="AD61" i="3"/>
  <c r="AD62" i="3" s="1"/>
  <c r="AD56" i="3"/>
  <c r="AD58" i="3" s="1"/>
  <c r="AD55" i="3"/>
  <c r="AE55" i="3" s="1"/>
  <c r="J9" i="3"/>
  <c r="V9" i="3"/>
  <c r="AD45" i="3"/>
  <c r="AE47" i="3"/>
  <c r="AF47" i="3" s="1"/>
  <c r="AG47" i="3" s="1"/>
  <c r="AD47" i="3" s="1"/>
  <c r="AD48" i="3" s="1"/>
  <c r="AD44" i="3"/>
  <c r="AD35" i="3"/>
  <c r="AE35" i="3" s="1"/>
  <c r="AD36" i="3"/>
  <c r="N35" i="3"/>
  <c r="AD37" i="3"/>
  <c r="AE37" i="3" s="1"/>
  <c r="N33" i="3"/>
  <c r="N41" i="3"/>
  <c r="N39" i="3"/>
  <c r="AJ61" i="13"/>
  <c r="U70" i="13"/>
  <c r="P70" i="13"/>
  <c r="U62" i="13"/>
  <c r="U60" i="13"/>
  <c r="P80" i="13"/>
  <c r="P84" i="13"/>
  <c r="R47" i="13"/>
  <c r="AJ50" i="13"/>
  <c r="AK50" i="13" s="1"/>
  <c r="T47" i="13" a="1"/>
  <c r="T47" i="13" s="1"/>
  <c r="AQ46" i="13"/>
  <c r="AR46" i="13" s="1"/>
  <c r="AS46" i="13" s="1"/>
  <c r="AQ45" i="13"/>
  <c r="AP45" i="13" s="1"/>
  <c r="AQ47" i="13" a="1"/>
  <c r="AQ47" i="13" s="1"/>
  <c r="AP47" i="13" s="1"/>
  <c r="P47" i="13" a="1"/>
  <c r="P47" i="13" s="1"/>
  <c r="AR44" i="13"/>
  <c r="AS44" i="13" s="1"/>
  <c r="L39" i="13"/>
  <c r="T39" i="13"/>
  <c r="G39" i="13"/>
  <c r="AP44" i="13"/>
  <c r="AK35" i="13"/>
  <c r="AM35" i="13"/>
  <c r="AN35" i="13" s="1"/>
  <c r="R35" i="13" s="1"/>
  <c r="AK36" i="13"/>
  <c r="AM36" i="13"/>
  <c r="AN36" i="13" s="1"/>
  <c r="R36" i="13" s="1"/>
  <c r="AK37" i="13"/>
  <c r="AM37" i="13"/>
  <c r="AN37" i="13" s="1"/>
  <c r="R37" i="13" s="1"/>
  <c r="AK38" i="13"/>
  <c r="AM38" i="13"/>
  <c r="AN38" i="13" s="1"/>
  <c r="R38" i="13" s="1"/>
  <c r="AK39" i="13"/>
  <c r="AM39" i="13"/>
  <c r="AN39" i="13" s="1"/>
  <c r="AJ107" i="13"/>
  <c r="AJ108" i="13" s="1"/>
  <c r="AJ19" i="13"/>
  <c r="AJ14" i="13"/>
  <c r="D142" i="13"/>
  <c r="D141" i="13"/>
  <c r="O105" i="13"/>
  <c r="O104" i="13"/>
  <c r="J8" i="13"/>
  <c r="AJ91" i="13" s="1"/>
  <c r="AJ92" i="13" s="1"/>
  <c r="O94" i="13" s="1"/>
  <c r="O81" i="10"/>
  <c r="O80" i="10"/>
  <c r="AD55" i="10"/>
  <c r="AD53" i="10"/>
  <c r="AD49" i="10"/>
  <c r="AD47" i="10"/>
  <c r="AD46" i="10"/>
  <c r="AD34" i="10"/>
  <c r="AD29" i="10"/>
  <c r="AD24" i="10"/>
  <c r="O85" i="10"/>
  <c r="AD86" i="10" s="1"/>
  <c r="J18" i="10"/>
  <c r="M38" i="10" s="1"/>
  <c r="J15" i="10"/>
  <c r="AD69" i="10" s="1"/>
  <c r="AD70" i="10" s="1"/>
  <c r="O70" i="10" s="1"/>
  <c r="AD10" i="10"/>
  <c r="AD9" i="10"/>
  <c r="E7" i="10"/>
  <c r="AD46" i="12"/>
  <c r="AD36" i="12"/>
  <c r="N125" i="13" a="1"/>
  <c r="U94" i="13" a="1"/>
  <c r="K26" i="13" a="1"/>
  <c r="J16" i="10" a="1"/>
  <c r="T35" i="13" a="1"/>
  <c r="AD35" i="10" a="1"/>
  <c r="R125" i="13" a="1"/>
  <c r="P18" i="17" a="1"/>
  <c r="AD54" i="10" a="1"/>
  <c r="AJ15" i="13" a="1"/>
  <c r="AD25" i="10" a="1"/>
  <c r="AD30" i="10" a="1"/>
  <c r="AD8" i="10" a="1"/>
  <c r="AJ20" i="13" a="1"/>
  <c r="N101" i="10" a="1"/>
  <c r="AK109" i="13" a="1"/>
  <c r="AD11" i="10" a="1"/>
  <c r="R101" i="10" a="1"/>
  <c r="AE46" i="10" a="1"/>
  <c r="AD47" i="12" a="1"/>
  <c r="T38" i="13" a="1"/>
  <c r="AE47" i="10" a="1"/>
  <c r="T37" i="13" a="1"/>
  <c r="N39" i="10" a="1"/>
  <c r="U70" i="10" a="1"/>
  <c r="T36" i="13" a="1"/>
  <c r="AQ48" i="13" a="1"/>
  <c r="F54" i="17" a="1"/>
  <c r="U70" i="17" a="1"/>
  <c r="L101" i="17" a="1"/>
  <c r="J17" i="10" a="1"/>
  <c r="M74" i="13" a="1"/>
  <c r="AD56" i="10" a="1"/>
  <c r="Y50" i="16"/>
  <c r="L101" i="17" l="1"/>
  <c r="U70" i="17"/>
  <c r="F54" i="17"/>
  <c r="P18" i="17"/>
  <c r="AD78" i="17"/>
  <c r="AD79" i="17" s="1"/>
  <c r="AD81" i="17" s="1"/>
  <c r="O80" i="17" s="1"/>
  <c r="R70" i="17"/>
  <c r="AD74" i="17" s="1"/>
  <c r="O75" i="17" s="1"/>
  <c r="F45" i="17"/>
  <c r="S114" i="17" s="1"/>
  <c r="O103" i="17"/>
  <c r="AD64" i="3"/>
  <c r="U60" i="3" s="1"/>
  <c r="AE63" i="3"/>
  <c r="AD63" i="3" s="1"/>
  <c r="AD59" i="3"/>
  <c r="AE44" i="3"/>
  <c r="AD49" i="3" s="1"/>
  <c r="AD50" i="3" s="1"/>
  <c r="AE36" i="3"/>
  <c r="AD38" i="3" s="1"/>
  <c r="AD39" i="3" s="1"/>
  <c r="AD51" i="3"/>
  <c r="AD40" i="3"/>
  <c r="AQ48" i="13"/>
  <c r="AR48" i="13" s="1"/>
  <c r="AS48" i="13" s="1"/>
  <c r="AJ51" i="13"/>
  <c r="AK51" i="13" s="1"/>
  <c r="AP46" i="13"/>
  <c r="AR45" i="13"/>
  <c r="AS45" i="13" s="1"/>
  <c r="AJ52" i="13" s="1"/>
  <c r="AK52" i="13" s="1"/>
  <c r="AR47" i="13"/>
  <c r="AS47" i="13" s="1"/>
  <c r="R46" i="13"/>
  <c r="T38" i="13"/>
  <c r="T36" i="13"/>
  <c r="T37" i="13"/>
  <c r="T35" i="13"/>
  <c r="AJ103" i="13"/>
  <c r="M74" i="13"/>
  <c r="AK109" i="13"/>
  <c r="AJ110" i="13" s="1"/>
  <c r="O110" i="13" s="1"/>
  <c r="K26" i="13"/>
  <c r="AJ20" i="13"/>
  <c r="F19" i="13" s="1"/>
  <c r="J17" i="10"/>
  <c r="AD82" i="10"/>
  <c r="U94" i="13"/>
  <c r="AJ15" i="13"/>
  <c r="R125" i="13"/>
  <c r="N125" i="13"/>
  <c r="R101" i="10"/>
  <c r="N101" i="10"/>
  <c r="U70" i="10"/>
  <c r="AD85" i="10"/>
  <c r="AE47" i="10"/>
  <c r="AD25" i="10"/>
  <c r="F24" i="10" s="1"/>
  <c r="AD56" i="10"/>
  <c r="AE46" i="10"/>
  <c r="AD11" i="10"/>
  <c r="J16" i="10"/>
  <c r="O69" i="10" s="1"/>
  <c r="N39" i="10"/>
  <c r="AD54" i="10"/>
  <c r="AD8" i="10"/>
  <c r="AD30" i="10"/>
  <c r="F29" i="10" s="1"/>
  <c r="AD35" i="10"/>
  <c r="N34" i="10" s="1"/>
  <c r="M61" i="10"/>
  <c r="AD47" i="12"/>
  <c r="N46" i="12" s="1"/>
  <c r="T142" i="12"/>
  <c r="D130" i="12"/>
  <c r="D129" i="12"/>
  <c r="O93" i="12"/>
  <c r="O92" i="12"/>
  <c r="J79" i="12"/>
  <c r="I75" i="12"/>
  <c r="AD67" i="12"/>
  <c r="AD65" i="12"/>
  <c r="F63" i="12"/>
  <c r="AD61" i="12"/>
  <c r="AD59" i="12"/>
  <c r="F59" i="12"/>
  <c r="AD58" i="12"/>
  <c r="AD41" i="12"/>
  <c r="P30" i="12"/>
  <c r="M28" i="12" s="1"/>
  <c r="P26" i="12"/>
  <c r="M24" i="12" s="1"/>
  <c r="J23" i="12"/>
  <c r="O97" i="12" s="1"/>
  <c r="AD98" i="12" s="1"/>
  <c r="AD99" i="12" s="1"/>
  <c r="J22" i="12"/>
  <c r="M73" i="12" s="1"/>
  <c r="J19" i="12"/>
  <c r="AD82" i="12" s="1"/>
  <c r="AD83" i="12" s="1"/>
  <c r="O82" i="12" s="1"/>
  <c r="AD10" i="12"/>
  <c r="AD9" i="12"/>
  <c r="E7" i="12"/>
  <c r="J23" i="11"/>
  <c r="O106" i="11" s="1"/>
  <c r="AD107" i="11" s="1"/>
  <c r="J23" i="1"/>
  <c r="T151" i="11"/>
  <c r="D139" i="11"/>
  <c r="D138" i="11"/>
  <c r="O102" i="11"/>
  <c r="AD103" i="11" s="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P30" i="11"/>
  <c r="P26" i="11"/>
  <c r="J22" i="11"/>
  <c r="M82" i="11" s="1"/>
  <c r="J19" i="11"/>
  <c r="AD91" i="11" s="1"/>
  <c r="AD92" i="11" s="1"/>
  <c r="O91" i="11" s="1"/>
  <c r="AD10" i="11"/>
  <c r="AD9" i="11"/>
  <c r="E7" i="11"/>
  <c r="M24" i="1"/>
  <c r="P30" i="1"/>
  <c r="AD76" i="1"/>
  <c r="AD74" i="1"/>
  <c r="AD68" i="1"/>
  <c r="AD67" i="1"/>
  <c r="AD70" i="1"/>
  <c r="AD50" i="1"/>
  <c r="AD49" i="1"/>
  <c r="AD58" i="1"/>
  <c r="AD56" i="1"/>
  <c r="AD52" i="1"/>
  <c r="AD41" i="1"/>
  <c r="AD36" i="1"/>
  <c r="T46" i="13" a="1"/>
  <c r="U103" i="17" a="1"/>
  <c r="P16" i="10" a="1"/>
  <c r="S26" i="12" a="1"/>
  <c r="O29" i="10" a="1"/>
  <c r="P9" i="13" a="1"/>
  <c r="J24" i="12" a="1"/>
  <c r="AD8" i="12" a="1"/>
  <c r="J28" i="11" a="1"/>
  <c r="J28" i="12" a="1"/>
  <c r="S26" i="1" a="1"/>
  <c r="R124" i="1" a="1"/>
  <c r="S30" i="12" a="1"/>
  <c r="J17" i="12" a="1"/>
  <c r="P57" i="10" a="1"/>
  <c r="AE59" i="12" a="1"/>
  <c r="R122" i="11" a="1"/>
  <c r="Q34" i="10" a="1"/>
  <c r="N51" i="12" a="1"/>
  <c r="Q46" i="12" a="1"/>
  <c r="J20" i="11" a="1"/>
  <c r="AD75" i="11" a="1"/>
  <c r="AE58" i="12" a="1"/>
  <c r="AD57" i="11" a="1"/>
  <c r="N113" i="12" a="1"/>
  <c r="AE88" i="10" a="1"/>
  <c r="AE50" i="11" a="1"/>
  <c r="AE68" i="11" a="1"/>
  <c r="O19" i="13" a="1"/>
  <c r="AD68" i="12" a="1"/>
  <c r="J24" i="11" a="1"/>
  <c r="AD42" i="12" a="1"/>
  <c r="AD77" i="1" a="1"/>
  <c r="S30" i="1" a="1"/>
  <c r="J17" i="11" a="1"/>
  <c r="Q39" i="10" a="1"/>
  <c r="U69" i="10" a="1"/>
  <c r="J20" i="12" a="1"/>
  <c r="AD8" i="11" a="1"/>
  <c r="O124" i="1" a="1"/>
  <c r="J16" i="11" a="1"/>
  <c r="U76" i="10" a="1"/>
  <c r="AD37" i="11" a="1"/>
  <c r="AD42" i="11" a="1"/>
  <c r="AD75" i="1" a="1"/>
  <c r="AD59" i="1" a="1"/>
  <c r="S30" i="11" a="1"/>
  <c r="O24" i="10" a="1"/>
  <c r="N122" i="11" a="1"/>
  <c r="U80" i="17" a="1"/>
  <c r="S26" i="11" a="1"/>
  <c r="U82" i="12" a="1"/>
  <c r="AD11" i="11" a="1"/>
  <c r="U49" i="10" a="1"/>
  <c r="O26" i="13" a="1"/>
  <c r="AD37" i="12" a="1"/>
  <c r="U57" i="10" a="1"/>
  <c r="AE49" i="11" a="1"/>
  <c r="U91" i="11" a="1"/>
  <c r="U75" i="17" a="1"/>
  <c r="U47" i="10" a="1"/>
  <c r="J16" i="12" a="1"/>
  <c r="AD66" i="12" a="1"/>
  <c r="Q74" i="13" a="1"/>
  <c r="AD57" i="1" a="1"/>
  <c r="AD77" i="11" a="1"/>
  <c r="AE67" i="11" a="1"/>
  <c r="AD59" i="11" a="1"/>
  <c r="R113" i="12" a="1"/>
  <c r="K45" i="17" a="1"/>
  <c r="AD11" i="12" a="1"/>
  <c r="AD42" i="1" a="1"/>
  <c r="AD37" i="1" a="1"/>
  <c r="AE68" i="1" a="1"/>
  <c r="AE67" i="1" a="1"/>
  <c r="AE50" i="1" a="1"/>
  <c r="AE49" i="1" a="1"/>
  <c r="T113" i="17" l="1"/>
  <c r="AC114" i="17"/>
  <c r="T114" i="17" s="1"/>
  <c r="O93" i="17"/>
  <c r="J65" i="17" s="1"/>
  <c r="K45" i="17"/>
  <c r="U75" i="17"/>
  <c r="U80" i="17"/>
  <c r="U103" i="17"/>
  <c r="F63" i="17"/>
  <c r="Q108" i="17" s="1"/>
  <c r="I107" i="17" s="1"/>
  <c r="O87" i="17"/>
  <c r="O89" i="17"/>
  <c r="F14" i="13"/>
  <c r="S63" i="17"/>
  <c r="AP48" i="13"/>
  <c r="AD65" i="3"/>
  <c r="AE66" i="3" s="1"/>
  <c r="AD66" i="3" s="1"/>
  <c r="I60" i="3" s="1"/>
  <c r="AD57" i="3"/>
  <c r="AF57" i="3" s="1"/>
  <c r="U46" i="3" s="1"/>
  <c r="AD52" i="3"/>
  <c r="AD41" i="3"/>
  <c r="AE41" i="3" s="1"/>
  <c r="AD42" i="3" s="1"/>
  <c r="AE42" i="3" s="1"/>
  <c r="R48" i="13"/>
  <c r="AJ49" i="13"/>
  <c r="AK49" i="13" s="1"/>
  <c r="AM50" i="13" s="1"/>
  <c r="R45" i="13"/>
  <c r="T46" i="13"/>
  <c r="Q74" i="13"/>
  <c r="O92" i="13"/>
  <c r="O26" i="13"/>
  <c r="K27" i="13"/>
  <c r="O19" i="13"/>
  <c r="E11" i="10"/>
  <c r="I47" i="10" s="1"/>
  <c r="AD50" i="10" s="1"/>
  <c r="O29" i="10"/>
  <c r="O24" i="10"/>
  <c r="P9" i="13"/>
  <c r="O93" i="13"/>
  <c r="AJ90" i="13" s="1"/>
  <c r="V125" i="13"/>
  <c r="U69" i="10"/>
  <c r="U76" i="10"/>
  <c r="AE88" i="10"/>
  <c r="AD89" i="10" s="1"/>
  <c r="O86" i="10" s="1"/>
  <c r="AD68" i="10"/>
  <c r="L100" i="10"/>
  <c r="V101" i="10"/>
  <c r="Q34" i="10"/>
  <c r="Q39" i="10"/>
  <c r="P16" i="10"/>
  <c r="U47" i="10"/>
  <c r="U57" i="10"/>
  <c r="P57" i="10"/>
  <c r="U49" i="10"/>
  <c r="F33" i="10"/>
  <c r="F38" i="10"/>
  <c r="AD48" i="10"/>
  <c r="Q46" i="12"/>
  <c r="F45" i="12"/>
  <c r="Q119" i="12" s="1"/>
  <c r="AD94" i="12"/>
  <c r="M50" i="12"/>
  <c r="N51" i="12"/>
  <c r="AE58" i="12"/>
  <c r="AD11" i="12"/>
  <c r="J20" i="12"/>
  <c r="J16" i="12"/>
  <c r="J24" i="12"/>
  <c r="J28" i="12"/>
  <c r="R113" i="12"/>
  <c r="U82" i="12"/>
  <c r="AD8" i="12"/>
  <c r="AD68" i="12"/>
  <c r="AD42" i="12"/>
  <c r="F41" i="12" s="1"/>
  <c r="AE59" i="12"/>
  <c r="J17" i="12"/>
  <c r="S26" i="12"/>
  <c r="S30" i="12"/>
  <c r="AD37" i="12"/>
  <c r="F36" i="12" s="1"/>
  <c r="AD66" i="12"/>
  <c r="N113" i="12"/>
  <c r="AD97" i="12"/>
  <c r="AD100" i="12" s="1"/>
  <c r="AE49" i="11"/>
  <c r="AE68" i="11"/>
  <c r="J24" i="11"/>
  <c r="O97" i="11" s="1"/>
  <c r="R122" i="11"/>
  <c r="AD8" i="11"/>
  <c r="AD77" i="11"/>
  <c r="J16" i="11"/>
  <c r="AD42" i="11"/>
  <c r="AD57" i="11"/>
  <c r="AE50" i="11"/>
  <c r="U91" i="11"/>
  <c r="J28" i="11"/>
  <c r="AD30" i="11" s="1"/>
  <c r="AE67" i="11"/>
  <c r="AD59" i="11"/>
  <c r="J17" i="11"/>
  <c r="S26" i="11"/>
  <c r="S30" i="11"/>
  <c r="AD37" i="11"/>
  <c r="AD75" i="11"/>
  <c r="AD11" i="11"/>
  <c r="J20" i="11"/>
  <c r="N122" i="11"/>
  <c r="AD106" i="11"/>
  <c r="AD109" i="11" s="1"/>
  <c r="R124" i="1"/>
  <c r="O124" i="1"/>
  <c r="S30" i="1"/>
  <c r="S26" i="1"/>
  <c r="AE67" i="1"/>
  <c r="AE68" i="1"/>
  <c r="AE50" i="1"/>
  <c r="AE49" i="1"/>
  <c r="AD75" i="1"/>
  <c r="AD77" i="1"/>
  <c r="AD59" i="1"/>
  <c r="AD57" i="1"/>
  <c r="AD42" i="1"/>
  <c r="F41" i="1" s="1"/>
  <c r="E160" i="1" s="1"/>
  <c r="AD37" i="1"/>
  <c r="F36" i="1" s="1"/>
  <c r="E159" i="1" s="1"/>
  <c r="T45" i="13" a="1"/>
  <c r="U93" i="17" a="1"/>
  <c r="P78" i="11" a="1"/>
  <c r="AE109" i="11" a="1"/>
  <c r="E12" i="10" a="1"/>
  <c r="U110" i="13" a="1"/>
  <c r="U60" i="1" a="1"/>
  <c r="U59" i="12" a="1"/>
  <c r="P16" i="1" a="1"/>
  <c r="P16" i="12" a="1"/>
  <c r="P31" i="11" a="1"/>
  <c r="U61" i="12" a="1"/>
  <c r="L38" i="13" a="1"/>
  <c r="T48" i="13" a="1"/>
  <c r="P20" i="11" a="1"/>
  <c r="U52" i="11" a="1"/>
  <c r="L101" i="10" a="1"/>
  <c r="U100" i="13" a="1"/>
  <c r="W125" i="13" a="1"/>
  <c r="U70" i="11" a="1"/>
  <c r="P78" i="1" a="1"/>
  <c r="W101" i="10" a="1"/>
  <c r="G7" i="10" a="1"/>
  <c r="P27" i="12" a="1"/>
  <c r="U69" i="12" a="1"/>
  <c r="O41" i="11" a="1"/>
  <c r="P16" i="11" a="1"/>
  <c r="U78" i="1" a="1"/>
  <c r="P69" i="12" a="1"/>
  <c r="U93" i="13" a="1"/>
  <c r="U68" i="11" a="1"/>
  <c r="P60" i="11" a="1"/>
  <c r="U60" i="11" a="1"/>
  <c r="U50" i="11" a="1"/>
  <c r="O14" i="13" a="1"/>
  <c r="P60" i="1" a="1"/>
  <c r="V63" i="17" a="1"/>
  <c r="G27" i="13" a="1"/>
  <c r="P17" i="11" a="1"/>
  <c r="U86" i="10" a="1"/>
  <c r="Q51" i="12" a="1"/>
  <c r="U78" i="11" a="1"/>
  <c r="P31" i="12" a="1"/>
  <c r="P20" i="12" a="1"/>
  <c r="O36" i="12" a="1"/>
  <c r="O36" i="11" a="1"/>
  <c r="L36" i="13" a="1"/>
  <c r="J33" i="10" a="1"/>
  <c r="AE100" i="12" a="1"/>
  <c r="P17" i="12" a="1"/>
  <c r="P27" i="11" a="1"/>
  <c r="O41" i="12" a="1"/>
  <c r="L37" i="13" a="1"/>
  <c r="O41" i="1" a="1"/>
  <c r="O36" i="1" a="1"/>
  <c r="U70" i="1" a="1"/>
  <c r="U68" i="1" a="1"/>
  <c r="U52" i="1" a="1"/>
  <c r="U50" i="1" a="1"/>
  <c r="AD116" i="17" l="1"/>
  <c r="AD117" i="17"/>
  <c r="AD115" i="17"/>
  <c r="AC118" i="17" s="1"/>
  <c r="M118" i="17" s="1"/>
  <c r="U93" i="17"/>
  <c r="V63" i="17"/>
  <c r="O14" i="13"/>
  <c r="V139" i="13"/>
  <c r="H135" i="13" s="1"/>
  <c r="AM51" i="13"/>
  <c r="AM52" i="13" s="1"/>
  <c r="O36" i="11"/>
  <c r="O41" i="11"/>
  <c r="F36" i="11"/>
  <c r="F41" i="11"/>
  <c r="I46" i="3"/>
  <c r="AD53" i="3"/>
  <c r="U49" i="3" s="1"/>
  <c r="I49" i="3"/>
  <c r="T48" i="13"/>
  <c r="T45" i="13"/>
  <c r="L37" i="13"/>
  <c r="L36" i="13"/>
  <c r="L38" i="13"/>
  <c r="G27" i="13"/>
  <c r="AJ30" i="13"/>
  <c r="AL44" i="13"/>
  <c r="AL45" i="13"/>
  <c r="AL48" i="13"/>
  <c r="AL47" i="13"/>
  <c r="AL46" i="13"/>
  <c r="O96" i="13"/>
  <c r="O41" i="1"/>
  <c r="O36" i="1"/>
  <c r="K151" i="1"/>
  <c r="Q143" i="1"/>
  <c r="Q131" i="1"/>
  <c r="I55" i="10"/>
  <c r="AD57" i="10" s="1"/>
  <c r="F55" i="10" s="1"/>
  <c r="E12" i="10"/>
  <c r="G7" i="10"/>
  <c r="J33" i="10"/>
  <c r="P107" i="10"/>
  <c r="H106" i="10" s="1"/>
  <c r="U110" i="13"/>
  <c r="U100" i="13"/>
  <c r="U93" i="13"/>
  <c r="W125" i="13"/>
  <c r="O117" i="13"/>
  <c r="L124" i="13"/>
  <c r="W101" i="10"/>
  <c r="U86" i="10"/>
  <c r="L101" i="10"/>
  <c r="O93" i="10"/>
  <c r="AD51" i="10"/>
  <c r="F47" i="10" s="1"/>
  <c r="Q51" i="12"/>
  <c r="F50" i="12"/>
  <c r="E11" i="12"/>
  <c r="V113" i="12"/>
  <c r="P69" i="12"/>
  <c r="U69" i="12"/>
  <c r="P20" i="12"/>
  <c r="O36" i="12"/>
  <c r="O41" i="12"/>
  <c r="U59" i="12"/>
  <c r="P16" i="12"/>
  <c r="AE100" i="12"/>
  <c r="AD101" i="12" s="1"/>
  <c r="O98" i="12" s="1"/>
  <c r="P17" i="12"/>
  <c r="P31" i="12"/>
  <c r="U61" i="12"/>
  <c r="P27" i="12"/>
  <c r="O81" i="12"/>
  <c r="Q120" i="12"/>
  <c r="Q132" i="12"/>
  <c r="K140" i="12"/>
  <c r="M18" i="12"/>
  <c r="O96" i="12"/>
  <c r="AD60" i="12"/>
  <c r="O88" i="12"/>
  <c r="E11" i="11"/>
  <c r="AE109" i="11"/>
  <c r="AD110" i="11" s="1"/>
  <c r="O107" i="11" s="1"/>
  <c r="P17" i="11"/>
  <c r="P16" i="11"/>
  <c r="U60" i="11"/>
  <c r="U78" i="11"/>
  <c r="U50" i="11"/>
  <c r="P20" i="11"/>
  <c r="U68" i="11"/>
  <c r="P31" i="11"/>
  <c r="P78" i="11"/>
  <c r="P27" i="11"/>
  <c r="U52" i="11"/>
  <c r="U70" i="11"/>
  <c r="P60" i="11"/>
  <c r="M18" i="11"/>
  <c r="O90" i="11"/>
  <c r="V124" i="1"/>
  <c r="O105" i="11"/>
  <c r="V122" i="11"/>
  <c r="AD51" i="11"/>
  <c r="AD69" i="11"/>
  <c r="U70" i="1"/>
  <c r="U68" i="1"/>
  <c r="U78" i="1"/>
  <c r="U60" i="1"/>
  <c r="P60" i="1"/>
  <c r="P78" i="1"/>
  <c r="AD69" i="1"/>
  <c r="AD51" i="1"/>
  <c r="U50" i="1"/>
  <c r="U52" i="1"/>
  <c r="P16" i="1"/>
  <c r="P46" i="13" a="1"/>
  <c r="P45" i="13" a="1"/>
  <c r="O118" i="17"/>
  <c r="U88" i="12" a="1"/>
  <c r="E12" i="11" a="1"/>
  <c r="E46" i="3" a="1"/>
  <c r="L49" i="3" a="1"/>
  <c r="G7" i="12" a="1"/>
  <c r="U107" i="11" a="1"/>
  <c r="L48" i="13" a="1"/>
  <c r="L46" i="13" a="1"/>
  <c r="L125" i="13" a="1"/>
  <c r="F51" i="10" a="1"/>
  <c r="L46" i="3" a="1"/>
  <c r="L45" i="13" a="1"/>
  <c r="H108" i="10" a="1"/>
  <c r="J18" i="12" a="1"/>
  <c r="U97" i="11" a="1"/>
  <c r="G28" i="13" a="1"/>
  <c r="P48" i="13" a="1"/>
  <c r="J18" i="11" a="1"/>
  <c r="W113" i="12" a="1"/>
  <c r="W122" i="11" a="1"/>
  <c r="W124" i="1" a="1"/>
  <c r="L44" i="13" a="1"/>
  <c r="G7" i="11" a="1"/>
  <c r="U98" i="12" a="1"/>
  <c r="U90" i="11" a="1"/>
  <c r="H50" i="13" a="1"/>
  <c r="U81" i="12" a="1"/>
  <c r="E49" i="3" a="1"/>
  <c r="E12" i="12" a="1"/>
  <c r="J17" i="1" a="1"/>
  <c r="F57" i="10" a="1"/>
  <c r="L35" i="13" a="1"/>
  <c r="L47" i="13" a="1"/>
  <c r="L35" i="13" l="1"/>
  <c r="Q129" i="11"/>
  <c r="U129" i="11" s="1"/>
  <c r="K149" i="11"/>
  <c r="Q141" i="11"/>
  <c r="U141" i="11" s="1"/>
  <c r="E49" i="3"/>
  <c r="L49" i="3"/>
  <c r="E46" i="3"/>
  <c r="L46" i="3"/>
  <c r="P48" i="13"/>
  <c r="I68" i="13"/>
  <c r="AJ70" i="13" s="1"/>
  <c r="F68" i="13" s="1"/>
  <c r="I60" i="13"/>
  <c r="AJ63" i="13" s="1"/>
  <c r="AJ64" i="13" s="1"/>
  <c r="F60" i="13" s="1"/>
  <c r="H50" i="13"/>
  <c r="O52" i="13"/>
  <c r="P45" i="13"/>
  <c r="P46" i="13"/>
  <c r="L48" i="13"/>
  <c r="L46" i="13"/>
  <c r="L45" i="13"/>
  <c r="L47" i="13"/>
  <c r="L44" i="13"/>
  <c r="G28" i="13"/>
  <c r="AM48" i="13"/>
  <c r="AN48" i="13" s="1"/>
  <c r="AO48" i="13" s="1"/>
  <c r="AM46" i="13"/>
  <c r="AN46" i="13" s="1"/>
  <c r="AO46" i="13" s="1"/>
  <c r="AM45" i="13"/>
  <c r="AN45" i="13" s="1"/>
  <c r="AO45" i="13" s="1"/>
  <c r="AM47" i="13"/>
  <c r="AN47" i="13" s="1"/>
  <c r="AO47" i="13" s="1"/>
  <c r="AM44" i="13"/>
  <c r="AN44" i="13" s="1"/>
  <c r="AO44" i="13" s="1"/>
  <c r="E12" i="12"/>
  <c r="I59" i="12"/>
  <c r="AD62" i="12" s="1"/>
  <c r="AD63" i="12" s="1"/>
  <c r="E12" i="11"/>
  <c r="I68" i="11"/>
  <c r="AD71" i="11" s="1"/>
  <c r="AD72" i="11" s="1"/>
  <c r="F68" i="11" s="1"/>
  <c r="F57" i="10"/>
  <c r="H108" i="10"/>
  <c r="F51" i="10"/>
  <c r="F42" i="10"/>
  <c r="AD62" i="10" s="1"/>
  <c r="L125" i="13"/>
  <c r="I76" i="11"/>
  <c r="AD78" i="11" s="1"/>
  <c r="F76" i="11" s="1"/>
  <c r="I67" i="12"/>
  <c r="AD69" i="12" s="1"/>
  <c r="F67" i="12" s="1"/>
  <c r="I58" i="11"/>
  <c r="AD60" i="11" s="1"/>
  <c r="F58" i="11" s="1"/>
  <c r="I50" i="11"/>
  <c r="AD53" i="11" s="1"/>
  <c r="AD54" i="11" s="1"/>
  <c r="F50" i="11" s="1"/>
  <c r="G7" i="12"/>
  <c r="W113" i="12"/>
  <c r="G7" i="11"/>
  <c r="U81" i="12"/>
  <c r="U98" i="12"/>
  <c r="J18" i="12"/>
  <c r="U88" i="12"/>
  <c r="U132" i="12"/>
  <c r="L140" i="12"/>
  <c r="U120" i="12"/>
  <c r="AD81" i="12"/>
  <c r="L112" i="12"/>
  <c r="O105" i="12"/>
  <c r="W122" i="11"/>
  <c r="U97" i="11"/>
  <c r="W124" i="1"/>
  <c r="J18" i="11"/>
  <c r="J21" i="11" s="1" a="1"/>
  <c r="J21" i="11" s="1"/>
  <c r="U90" i="11"/>
  <c r="U107" i="11"/>
  <c r="L149" i="11"/>
  <c r="AD90" i="11"/>
  <c r="L121" i="11"/>
  <c r="O114" i="11"/>
  <c r="J17" i="1"/>
  <c r="P18" i="11" a="1"/>
  <c r="F78" i="11" a="1"/>
  <c r="G47" i="13" a="1"/>
  <c r="P18" i="12" a="1"/>
  <c r="L113" i="12" a="1"/>
  <c r="K45" i="11" a="1"/>
  <c r="F54" i="11" a="1"/>
  <c r="F64" i="13" a="1"/>
  <c r="G48" i="13" a="1"/>
  <c r="L122" i="11" a="1"/>
  <c r="K45" i="12" a="1"/>
  <c r="G46" i="13" a="1"/>
  <c r="F69" i="12" a="1"/>
  <c r="F60" i="11" a="1"/>
  <c r="P17" i="1" a="1"/>
  <c r="F70" i="13" a="1"/>
  <c r="G45" i="13" a="1"/>
  <c r="H52" i="13" a="1"/>
  <c r="G44" i="13" a="1"/>
  <c r="F45" i="11" l="1"/>
  <c r="Q128" i="11" s="1"/>
  <c r="U128" i="11" s="1"/>
  <c r="F54" i="11"/>
  <c r="F63" i="11"/>
  <c r="AD83" i="11" s="1"/>
  <c r="F70" i="13"/>
  <c r="F64" i="13"/>
  <c r="F55" i="13"/>
  <c r="V138" i="13" s="1"/>
  <c r="H52" i="13"/>
  <c r="Z139" i="13"/>
  <c r="G44" i="13"/>
  <c r="G46" i="13"/>
  <c r="G47" i="13"/>
  <c r="G48" i="13"/>
  <c r="G45" i="13"/>
  <c r="L42" i="10"/>
  <c r="F69" i="12"/>
  <c r="F78" i="11"/>
  <c r="F54" i="12"/>
  <c r="AD74" i="12" s="1"/>
  <c r="AD63" i="10"/>
  <c r="I62" i="10" s="1"/>
  <c r="N62" i="10"/>
  <c r="F60" i="11"/>
  <c r="L113" i="12"/>
  <c r="K45" i="12"/>
  <c r="P18" i="12"/>
  <c r="Q131" i="12"/>
  <c r="U131" i="12" s="1"/>
  <c r="U119" i="12"/>
  <c r="J21" i="12" a="1"/>
  <c r="J21" i="12" s="1"/>
  <c r="K45" i="11"/>
  <c r="P18" i="11"/>
  <c r="L122" i="11"/>
  <c r="P17" i="1"/>
  <c r="AD91" i="1"/>
  <c r="AD92" i="1" s="1"/>
  <c r="O91" i="1" s="1"/>
  <c r="AD10" i="1"/>
  <c r="AD9" i="1"/>
  <c r="I109" i="17" a="1"/>
  <c r="K55" i="13" a="1"/>
  <c r="P21" i="11" a="1"/>
  <c r="J20" i="1" a="1"/>
  <c r="I63" i="10" a="1"/>
  <c r="U91" i="1" a="1"/>
  <c r="P21" i="12" a="1"/>
  <c r="AD11" i="1" a="1"/>
  <c r="U92" i="13" a="1"/>
  <c r="P17" i="10" a="1"/>
  <c r="AD8" i="1" a="1"/>
  <c r="I109" i="17" l="1"/>
  <c r="Q140" i="11"/>
  <c r="U140" i="11" s="1"/>
  <c r="L63" i="11"/>
  <c r="H136" i="13"/>
  <c r="Z138" i="13"/>
  <c r="K55" i="13"/>
  <c r="P17" i="10"/>
  <c r="O68" i="10"/>
  <c r="U92" i="13"/>
  <c r="L54" i="12"/>
  <c r="AJ101" i="13"/>
  <c r="AJ102" i="13" s="1"/>
  <c r="AJ104" i="13" s="1"/>
  <c r="O106" i="13" s="1"/>
  <c r="J124" i="13"/>
  <c r="O127" i="13" s="1"/>
  <c r="I63" i="10"/>
  <c r="F61" i="10"/>
  <c r="P21" i="12"/>
  <c r="O80" i="12"/>
  <c r="N74" i="12"/>
  <c r="AD75" i="12"/>
  <c r="I74" i="12" s="1"/>
  <c r="F73" i="12" s="1"/>
  <c r="P21" i="11"/>
  <c r="O89" i="11"/>
  <c r="N83" i="11"/>
  <c r="AD84" i="11"/>
  <c r="I83" i="11" s="1"/>
  <c r="F82" i="11" s="1"/>
  <c r="U91" i="1"/>
  <c r="J20" i="1"/>
  <c r="AD11" i="1"/>
  <c r="AD8" i="1"/>
  <c r="D124" i="10"/>
  <c r="D123" i="10"/>
  <c r="D26" i="4"/>
  <c r="AC26" i="4" s="1"/>
  <c r="AE26" i="4" s="1"/>
  <c r="AM9" i="4"/>
  <c r="AL9" i="4"/>
  <c r="AK9" i="4"/>
  <c r="AJ9" i="4"/>
  <c r="AI9" i="4"/>
  <c r="AH9" i="4"/>
  <c r="AG9" i="4"/>
  <c r="AF9" i="4"/>
  <c r="AE9" i="4"/>
  <c r="AM18" i="4"/>
  <c r="AL18" i="4"/>
  <c r="AK18" i="4"/>
  <c r="AJ18" i="4"/>
  <c r="AI18" i="4"/>
  <c r="AH18" i="4"/>
  <c r="AG18" i="4"/>
  <c r="AF18" i="4"/>
  <c r="AC18" i="4"/>
  <c r="AD18" i="4" s="1"/>
  <c r="AB42" i="4"/>
  <c r="G57" i="4"/>
  <c r="H57" i="4"/>
  <c r="AM72" i="4"/>
  <c r="AQ72" i="4" s="1"/>
  <c r="AM71" i="4"/>
  <c r="AQ71" i="4" s="1"/>
  <c r="AM70" i="4"/>
  <c r="AQ70" i="4" s="1"/>
  <c r="AM69" i="4"/>
  <c r="AQ69" i="4" s="1"/>
  <c r="AM68" i="4"/>
  <c r="AQ68" i="4" s="1"/>
  <c r="AM67" i="4"/>
  <c r="AQ67" i="4" s="1"/>
  <c r="AM66" i="4"/>
  <c r="AQ66" i="4" s="1"/>
  <c r="AM65" i="4"/>
  <c r="AQ65" i="4" s="1"/>
  <c r="AP65" i="4"/>
  <c r="AN65" i="4"/>
  <c r="AO65" i="4" s="1"/>
  <c r="AB40" i="4"/>
  <c r="AL40" i="4"/>
  <c r="AK40" i="4"/>
  <c r="AJ40" i="4"/>
  <c r="AI40" i="4"/>
  <c r="AH40" i="4"/>
  <c r="AG40" i="4"/>
  <c r="AF40" i="4"/>
  <c r="AE40" i="4"/>
  <c r="AM40" i="4"/>
  <c r="AD40" i="4"/>
  <c r="AC40" i="4"/>
  <c r="AH22" i="4"/>
  <c r="AK22" i="4" s="1"/>
  <c r="AH23" i="4"/>
  <c r="AK23" i="4"/>
  <c r="AH24" i="4"/>
  <c r="AK24" i="4" s="1"/>
  <c r="AH25" i="4"/>
  <c r="AK25" i="4" s="1"/>
  <c r="AH26" i="4"/>
  <c r="AK26" i="4" s="1"/>
  <c r="AH27" i="4"/>
  <c r="AK27" i="4" s="1"/>
  <c r="AH28" i="4"/>
  <c r="AK28" i="4" s="1"/>
  <c r="AH29" i="4"/>
  <c r="AK29" i="4" s="1"/>
  <c r="AH30" i="4"/>
  <c r="AK30" i="4" s="1"/>
  <c r="AH31" i="4"/>
  <c r="AK31" i="4" s="1"/>
  <c r="AD9" i="4"/>
  <c r="AM17" i="4"/>
  <c r="AL17" i="4"/>
  <c r="AK17" i="4"/>
  <c r="AJ17" i="4"/>
  <c r="AI17" i="4"/>
  <c r="AH17" i="4"/>
  <c r="AG17" i="4"/>
  <c r="AF17" i="4"/>
  <c r="AM16" i="4"/>
  <c r="AL16" i="4"/>
  <c r="AK16" i="4"/>
  <c r="AJ16" i="4"/>
  <c r="AI16" i="4"/>
  <c r="AH16" i="4"/>
  <c r="AG16" i="4"/>
  <c r="AF16" i="4"/>
  <c r="AM15" i="4"/>
  <c r="AL15" i="4"/>
  <c r="AK15" i="4"/>
  <c r="AJ15" i="4"/>
  <c r="AI15" i="4"/>
  <c r="AH15" i="4"/>
  <c r="AG15" i="4"/>
  <c r="AF15" i="4"/>
  <c r="AM14" i="4"/>
  <c r="AL14" i="4"/>
  <c r="AK14" i="4"/>
  <c r="AJ14" i="4"/>
  <c r="AI14" i="4"/>
  <c r="AH14" i="4"/>
  <c r="AG14" i="4"/>
  <c r="AF14" i="4"/>
  <c r="AM13" i="4"/>
  <c r="AL13" i="4"/>
  <c r="AK13" i="4"/>
  <c r="AJ13" i="4"/>
  <c r="AI13" i="4"/>
  <c r="AH13" i="4"/>
  <c r="AG13" i="4"/>
  <c r="AF13" i="4"/>
  <c r="AM12" i="4"/>
  <c r="AL12" i="4"/>
  <c r="AK12" i="4"/>
  <c r="AJ12" i="4"/>
  <c r="AI12" i="4"/>
  <c r="AH12" i="4"/>
  <c r="AG12" i="4"/>
  <c r="AF12" i="4"/>
  <c r="AC15" i="4"/>
  <c r="AC16" i="4" s="1"/>
  <c r="AC17" i="4" s="1"/>
  <c r="AD17" i="4" s="1"/>
  <c r="AC12" i="4"/>
  <c r="AD12" i="4" s="1"/>
  <c r="AD7" i="4"/>
  <c r="AI7" i="4" s="1"/>
  <c r="AD31" i="4"/>
  <c r="AF31" i="4" s="1"/>
  <c r="AJ31" i="4" s="1"/>
  <c r="AD30" i="4"/>
  <c r="AF30" i="4" s="1"/>
  <c r="AJ30" i="4" s="1"/>
  <c r="AD29" i="4"/>
  <c r="AF29" i="4" s="1"/>
  <c r="AJ29" i="4" s="1"/>
  <c r="AD28" i="4"/>
  <c r="AF28" i="4" s="1"/>
  <c r="AJ28" i="4" s="1"/>
  <c r="AD27" i="4"/>
  <c r="AF27" i="4" s="1"/>
  <c r="AJ27" i="4" s="1"/>
  <c r="AD26" i="4"/>
  <c r="AF26" i="4" s="1"/>
  <c r="AJ26" i="4" s="1"/>
  <c r="AD25" i="4"/>
  <c r="AF25" i="4" s="1"/>
  <c r="AJ25" i="4" s="1"/>
  <c r="AD24" i="4"/>
  <c r="AF24" i="4" s="1"/>
  <c r="AJ24" i="4" s="1"/>
  <c r="AD23" i="4"/>
  <c r="AF23" i="4" s="1"/>
  <c r="AJ23" i="4" s="1"/>
  <c r="AD22" i="4"/>
  <c r="AF22" i="4" s="1"/>
  <c r="AJ22" i="4" s="1"/>
  <c r="AC31" i="4"/>
  <c r="AE31" i="4" s="1"/>
  <c r="AC30" i="4"/>
  <c r="AE30" i="4" s="1"/>
  <c r="AC29" i="4"/>
  <c r="AE29" i="4" s="1"/>
  <c r="AC28" i="4"/>
  <c r="AE28" i="4" s="1"/>
  <c r="AC27" i="4"/>
  <c r="AE27" i="4" s="1"/>
  <c r="AC25" i="4"/>
  <c r="AE25" i="4" s="1"/>
  <c r="AC24" i="4"/>
  <c r="AE24" i="4" s="1"/>
  <c r="AC23" i="4"/>
  <c r="AE23" i="4" s="1"/>
  <c r="AC22" i="4"/>
  <c r="AE22" i="4" s="1"/>
  <c r="AB22" i="4"/>
  <c r="AG22" i="4" s="1"/>
  <c r="C23" i="4"/>
  <c r="AB23" i="4" s="1"/>
  <c r="AG23" i="4" s="1"/>
  <c r="P20" i="1" a="1"/>
  <c r="U80" i="12" a="1"/>
  <c r="U89" i="11" a="1"/>
  <c r="U96" i="13" a="1"/>
  <c r="U127" i="13" a="1"/>
  <c r="U68" i="10" a="1"/>
  <c r="I136" i="17" l="1"/>
  <c r="AD135" i="17" s="1"/>
  <c r="M136" i="17"/>
  <c r="M135" i="13"/>
  <c r="M136" i="13"/>
  <c r="I136" i="13" s="1"/>
  <c r="J121" i="13"/>
  <c r="U68" i="10"/>
  <c r="J100" i="10"/>
  <c r="O103" i="10" s="1"/>
  <c r="O72" i="10"/>
  <c r="U127" i="13"/>
  <c r="U96" i="13"/>
  <c r="P111" i="10"/>
  <c r="P119" i="10"/>
  <c r="R96" i="13"/>
  <c r="AJ97" i="13" s="1"/>
  <c r="O101" i="13" s="1"/>
  <c r="U80" i="12"/>
  <c r="Q133" i="12"/>
  <c r="Q121" i="12"/>
  <c r="O84" i="12"/>
  <c r="J112" i="12"/>
  <c r="O115" i="12" s="1"/>
  <c r="M77" i="12"/>
  <c r="U89" i="11"/>
  <c r="O93" i="11"/>
  <c r="J121" i="11"/>
  <c r="O124" i="11" s="1"/>
  <c r="M86" i="11"/>
  <c r="Q142" i="11"/>
  <c r="Q130" i="11"/>
  <c r="M18" i="1"/>
  <c r="E11" i="1"/>
  <c r="P20" i="1"/>
  <c r="AC13" i="4"/>
  <c r="AC14" i="4" s="1"/>
  <c r="AD14" i="4" s="1"/>
  <c r="AD15" i="4"/>
  <c r="AN72" i="4"/>
  <c r="AO72" i="4" s="1"/>
  <c r="AP72" i="4"/>
  <c r="AR72" i="4" s="1"/>
  <c r="AN71" i="4"/>
  <c r="AO71" i="4" s="1"/>
  <c r="AP71" i="4"/>
  <c r="AR71" i="4" s="1"/>
  <c r="AN70" i="4"/>
  <c r="AO70" i="4" s="1"/>
  <c r="AP70" i="4"/>
  <c r="AR70" i="4" s="1"/>
  <c r="AN69" i="4"/>
  <c r="AO69" i="4" s="1"/>
  <c r="AP69" i="4"/>
  <c r="AR69" i="4" s="1"/>
  <c r="AN68" i="4"/>
  <c r="AO68" i="4" s="1"/>
  <c r="AP68" i="4"/>
  <c r="AR68" i="4" s="1"/>
  <c r="AN67" i="4"/>
  <c r="AO67" i="4" s="1"/>
  <c r="AP67" i="4"/>
  <c r="AR67" i="4" s="1"/>
  <c r="AN66" i="4"/>
  <c r="AO66" i="4" s="1"/>
  <c r="AP66" i="4"/>
  <c r="AR66" i="4" s="1"/>
  <c r="AR65" i="4"/>
  <c r="AI31" i="4"/>
  <c r="AL31" i="4" s="1"/>
  <c r="AI25" i="4"/>
  <c r="AL25" i="4" s="1"/>
  <c r="AI26" i="4"/>
  <c r="AL26" i="4" s="1"/>
  <c r="AI28" i="4"/>
  <c r="AI29" i="4"/>
  <c r="AI27" i="4"/>
  <c r="AI30" i="4"/>
  <c r="AI22" i="4"/>
  <c r="AL22" i="4" s="1"/>
  <c r="AM22" i="4" s="1"/>
  <c r="AI23" i="4"/>
  <c r="AI24" i="4"/>
  <c r="AD16" i="4"/>
  <c r="C24" i="4"/>
  <c r="E31" i="6"/>
  <c r="E30" i="6"/>
  <c r="F31" i="6" s="1"/>
  <c r="G31" i="6" s="1"/>
  <c r="N5" i="6"/>
  <c r="F15" i="6"/>
  <c r="L15" i="6" s="1"/>
  <c r="E15" i="6"/>
  <c r="K15" i="6" s="1"/>
  <c r="D15" i="6"/>
  <c r="C15" i="6"/>
  <c r="F14" i="6"/>
  <c r="L14" i="6" s="1"/>
  <c r="E14" i="6"/>
  <c r="K14" i="6" s="1"/>
  <c r="D14" i="6"/>
  <c r="C14" i="6"/>
  <c r="F13" i="6"/>
  <c r="L13" i="6" s="1"/>
  <c r="E13" i="6"/>
  <c r="K13" i="6" s="1"/>
  <c r="D13" i="6"/>
  <c r="C13" i="6"/>
  <c r="F12" i="6"/>
  <c r="L12" i="6" s="1"/>
  <c r="E12" i="6"/>
  <c r="K12" i="6" s="1"/>
  <c r="D12" i="6"/>
  <c r="C12" i="6"/>
  <c r="F11" i="6"/>
  <c r="L11" i="6" s="1"/>
  <c r="E11" i="6"/>
  <c r="K11" i="6" s="1"/>
  <c r="D11" i="6"/>
  <c r="C11" i="6"/>
  <c r="F10" i="6"/>
  <c r="L10" i="6" s="1"/>
  <c r="E10" i="6"/>
  <c r="K10" i="6" s="1"/>
  <c r="D10" i="6"/>
  <c r="C10" i="6"/>
  <c r="F9" i="6"/>
  <c r="L9" i="6" s="1"/>
  <c r="E9" i="6"/>
  <c r="K9" i="6" s="1"/>
  <c r="D9" i="6"/>
  <c r="C9" i="6"/>
  <c r="F8" i="6"/>
  <c r="L8" i="6" s="1"/>
  <c r="E8" i="6"/>
  <c r="K8" i="6" s="1"/>
  <c r="D8" i="6"/>
  <c r="C8" i="6"/>
  <c r="F7" i="6"/>
  <c r="L7" i="6" s="1"/>
  <c r="E7" i="6"/>
  <c r="K7" i="6" s="1"/>
  <c r="D7" i="6"/>
  <c r="C7" i="6"/>
  <c r="E6" i="6"/>
  <c r="K6" i="6" s="1"/>
  <c r="D6" i="6"/>
  <c r="C6" i="6"/>
  <c r="F6" i="6"/>
  <c r="L6" i="6" s="1"/>
  <c r="N6" i="6"/>
  <c r="K16" i="6"/>
  <c r="L16" i="6"/>
  <c r="N4" i="6"/>
  <c r="F5" i="6"/>
  <c r="L5" i="6" s="1"/>
  <c r="E5" i="6"/>
  <c r="K5" i="6" s="1"/>
  <c r="D5" i="6"/>
  <c r="C5" i="6"/>
  <c r="F4" i="6"/>
  <c r="L4" i="6" s="1"/>
  <c r="K4" i="6"/>
  <c r="C4" i="6"/>
  <c r="O102" i="1"/>
  <c r="O101" i="1"/>
  <c r="K15" i="3"/>
  <c r="K16" i="3"/>
  <c r="O106" i="1"/>
  <c r="AD107" i="1" s="1"/>
  <c r="AD108" i="1" s="1"/>
  <c r="J22" i="1"/>
  <c r="AD106" i="1" s="1"/>
  <c r="AD109" i="1" s="1"/>
  <c r="U115" i="12" a="1"/>
  <c r="U124" i="11" a="1"/>
  <c r="U84" i="12" a="1"/>
  <c r="U101" i="13" a="1"/>
  <c r="U106" i="13" a="1"/>
  <c r="U72" i="10" a="1"/>
  <c r="U93" i="11" a="1"/>
  <c r="U103" i="10" a="1"/>
  <c r="AE109" i="1" a="1"/>
  <c r="I7" i="1" a="1"/>
  <c r="E12" i="1" a="1"/>
  <c r="AD136" i="17" l="1"/>
  <c r="AD138" i="17" s="1"/>
  <c r="R140" i="17"/>
  <c r="AE109" i="1"/>
  <c r="AD110" i="1" s="1"/>
  <c r="G112" i="3"/>
  <c r="F112" i="3"/>
  <c r="E112" i="3"/>
  <c r="J111" i="3" s="1"/>
  <c r="M111" i="3" s="1"/>
  <c r="AC72" i="3"/>
  <c r="AC75" i="3" s="1"/>
  <c r="AC76" i="3" s="1"/>
  <c r="AD76" i="3" s="1"/>
  <c r="AC78" i="3" s="1"/>
  <c r="G86" i="3" s="1"/>
  <c r="H90" i="3" s="1"/>
  <c r="G84" i="3"/>
  <c r="H89" i="3" s="1"/>
  <c r="I135" i="13"/>
  <c r="E12" i="1"/>
  <c r="O119" i="13"/>
  <c r="R72" i="10"/>
  <c r="AD76" i="10" s="1"/>
  <c r="O77" i="10" s="1"/>
  <c r="AD80" i="10"/>
  <c r="AD81" i="10" s="1"/>
  <c r="U72" i="10"/>
  <c r="U103" i="10"/>
  <c r="J97" i="10"/>
  <c r="U101" i="13"/>
  <c r="U106" i="13"/>
  <c r="O115" i="13"/>
  <c r="O113" i="13"/>
  <c r="S89" i="13"/>
  <c r="U115" i="12"/>
  <c r="U84" i="12"/>
  <c r="J109" i="12"/>
  <c r="F77" i="12"/>
  <c r="I123" i="12" s="1"/>
  <c r="R84" i="12"/>
  <c r="AD88" i="12" s="1"/>
  <c r="O89" i="12" s="1"/>
  <c r="AD92" i="12"/>
  <c r="AD93" i="12" s="1"/>
  <c r="AD95" i="12" s="1"/>
  <c r="O94" i="12" s="1"/>
  <c r="U121" i="12"/>
  <c r="AD119" i="12" s="1"/>
  <c r="AD120" i="12" s="1"/>
  <c r="L141" i="12"/>
  <c r="K141" i="12"/>
  <c r="L142" i="12" s="1"/>
  <c r="U133" i="12"/>
  <c r="U124" i="11"/>
  <c r="U93" i="11"/>
  <c r="U130" i="11"/>
  <c r="AD128" i="11" s="1"/>
  <c r="AD129" i="11" s="1"/>
  <c r="AD139" i="11" s="1"/>
  <c r="L150" i="11"/>
  <c r="U142" i="11"/>
  <c r="K150" i="11"/>
  <c r="L151" i="11" s="1"/>
  <c r="J118" i="11"/>
  <c r="R93" i="11"/>
  <c r="AD97" i="11" s="1"/>
  <c r="O98" i="11" s="1"/>
  <c r="AD101" i="11"/>
  <c r="AD102" i="11" s="1"/>
  <c r="AD104" i="11" s="1"/>
  <c r="O103" i="11" s="1"/>
  <c r="AD103" i="1"/>
  <c r="M28" i="1"/>
  <c r="I7" i="1"/>
  <c r="I31" i="6"/>
  <c r="J31" i="6" s="1"/>
  <c r="H31" i="6"/>
  <c r="AD13" i="4"/>
  <c r="AL27" i="4"/>
  <c r="AL24" i="4"/>
  <c r="AM24" i="4" s="1"/>
  <c r="AL30" i="4"/>
  <c r="AL29" i="4"/>
  <c r="AL28" i="4"/>
  <c r="AL23" i="4"/>
  <c r="AM23" i="4" s="1"/>
  <c r="C25" i="4"/>
  <c r="AB24" i="4"/>
  <c r="AG24" i="4" s="1"/>
  <c r="M15" i="6"/>
  <c r="M7" i="6"/>
  <c r="M5" i="6"/>
  <c r="M6" i="6"/>
  <c r="M12" i="6"/>
  <c r="M4" i="6"/>
  <c r="Q4" i="6" s="1"/>
  <c r="M14" i="6"/>
  <c r="M13" i="6"/>
  <c r="M8" i="6"/>
  <c r="M9" i="6"/>
  <c r="M10" i="6"/>
  <c r="M11" i="6"/>
  <c r="M16" i="6"/>
  <c r="M82" i="1"/>
  <c r="U103" i="11" a="1"/>
  <c r="P86" i="3" a="1"/>
  <c r="J28" i="1" a="1"/>
  <c r="U98" i="11" a="1"/>
  <c r="U77" i="10" a="1"/>
  <c r="U94" i="12" a="1"/>
  <c r="E60" i="3" a="1"/>
  <c r="U89" i="12" a="1"/>
  <c r="I125" i="12" a="1"/>
  <c r="J89" i="3" a="1"/>
  <c r="U119" i="13" a="1"/>
  <c r="V89" i="13" a="1"/>
  <c r="J90" i="3" a="1"/>
  <c r="P84" i="3" a="1"/>
  <c r="J24" i="1" a="1"/>
  <c r="L60" i="3" a="1"/>
  <c r="S136" i="17" l="1"/>
  <c r="AD139" i="17"/>
  <c r="AD140" i="17" s="1"/>
  <c r="S137" i="17" s="1"/>
  <c r="AG144" i="17"/>
  <c r="AD146" i="17"/>
  <c r="J89" i="3"/>
  <c r="J90" i="3"/>
  <c r="M112" i="3"/>
  <c r="J113" i="3" s="1"/>
  <c r="M113" i="3" s="1"/>
  <c r="R114" i="3" s="1"/>
  <c r="Q111" i="3"/>
  <c r="R111" i="3" s="1"/>
  <c r="P84" i="3"/>
  <c r="P86" i="3"/>
  <c r="L60" i="3"/>
  <c r="E60" i="3"/>
  <c r="J91" i="13"/>
  <c r="F89" i="13"/>
  <c r="U119" i="13"/>
  <c r="AD83" i="10"/>
  <c r="O82" i="10" s="1"/>
  <c r="U77" i="10"/>
  <c r="V89" i="13"/>
  <c r="O107" i="12"/>
  <c r="U94" i="12"/>
  <c r="U89" i="12"/>
  <c r="I125" i="12"/>
  <c r="S77" i="12"/>
  <c r="AD121" i="12"/>
  <c r="I119" i="12" s="1"/>
  <c r="AD130" i="12"/>
  <c r="AD131" i="12" s="1"/>
  <c r="AD132" i="12" s="1"/>
  <c r="I131" i="12" s="1"/>
  <c r="O103" i="12"/>
  <c r="O101" i="12"/>
  <c r="O107" i="1"/>
  <c r="O114" i="1" s="1"/>
  <c r="U103" i="11"/>
  <c r="U98" i="11"/>
  <c r="S86" i="11"/>
  <c r="O112" i="11"/>
  <c r="O110" i="11"/>
  <c r="AD130" i="11"/>
  <c r="I128" i="11" s="1"/>
  <c r="AD140" i="11"/>
  <c r="AD141" i="11" s="1"/>
  <c r="I140" i="11" s="1"/>
  <c r="O116" i="11"/>
  <c r="J28" i="1"/>
  <c r="J24" i="1"/>
  <c r="AJ10" i="4"/>
  <c r="AP8" i="4"/>
  <c r="AH10" i="4"/>
  <c r="AF10" i="4"/>
  <c r="AP11" i="4"/>
  <c r="AP9" i="4"/>
  <c r="AL10" i="4"/>
  <c r="AP10" i="4"/>
  <c r="AN22" i="4"/>
  <c r="AO22" i="4" s="1"/>
  <c r="AZ22" i="4" s="1"/>
  <c r="C26" i="4"/>
  <c r="AB25" i="4"/>
  <c r="AG25" i="4" s="1"/>
  <c r="AM25" i="4" s="1"/>
  <c r="H22" i="4"/>
  <c r="P6" i="6"/>
  <c r="Q6" i="6"/>
  <c r="P4" i="6"/>
  <c r="R4" i="6" s="1"/>
  <c r="S4" i="6" s="1"/>
  <c r="U136" i="17" a="1"/>
  <c r="I121" i="12" a="1"/>
  <c r="P27" i="1" a="1"/>
  <c r="V77" i="12" a="1"/>
  <c r="U137" i="17" a="1"/>
  <c r="P31" i="1" a="1"/>
  <c r="U82" i="10" a="1"/>
  <c r="J89" i="13" a="1"/>
  <c r="I130" i="11" a="1"/>
  <c r="I142" i="11" a="1"/>
  <c r="U107" i="12" a="1"/>
  <c r="U116" i="11" a="1"/>
  <c r="I133" i="12" a="1"/>
  <c r="V86" i="11" a="1"/>
  <c r="U137" i="17" l="1"/>
  <c r="U136" i="17"/>
  <c r="AD145" i="17"/>
  <c r="AD144" i="17"/>
  <c r="AG147" i="17" s="1"/>
  <c r="I130" i="11"/>
  <c r="J88" i="11"/>
  <c r="F86" i="11"/>
  <c r="I132" i="11" s="1"/>
  <c r="J89" i="13"/>
  <c r="V140" i="13"/>
  <c r="U82" i="10"/>
  <c r="O91" i="10"/>
  <c r="V65" i="10"/>
  <c r="O95" i="10"/>
  <c r="F65" i="10" s="1"/>
  <c r="O89" i="10"/>
  <c r="U107" i="12"/>
  <c r="I121" i="12"/>
  <c r="V77" i="12"/>
  <c r="I133" i="12"/>
  <c r="T141" i="12"/>
  <c r="T124" i="12"/>
  <c r="I142" i="11"/>
  <c r="V86" i="11"/>
  <c r="U116" i="11"/>
  <c r="T150" i="11"/>
  <c r="P27" i="1"/>
  <c r="P31" i="1"/>
  <c r="AQ10" i="4"/>
  <c r="AR10" i="4" s="1"/>
  <c r="AT10" i="4"/>
  <c r="AS10" i="4"/>
  <c r="AQ9" i="4"/>
  <c r="AR9" i="4" s="1"/>
  <c r="AT9" i="4"/>
  <c r="AS9" i="4"/>
  <c r="AQ11" i="4"/>
  <c r="AR11" i="4" s="1"/>
  <c r="AT11" i="4"/>
  <c r="AS11" i="4"/>
  <c r="AQ8" i="4"/>
  <c r="AR8" i="4" s="1"/>
  <c r="AT8" i="4"/>
  <c r="AS8" i="4"/>
  <c r="AW22" i="4"/>
  <c r="AY22" i="4"/>
  <c r="AX22" i="4"/>
  <c r="AS22" i="4"/>
  <c r="AT22" i="4"/>
  <c r="AR22" i="4"/>
  <c r="AN23" i="4"/>
  <c r="AO23" i="4" s="1"/>
  <c r="I22" i="4"/>
  <c r="C27" i="4"/>
  <c r="AB26" i="4"/>
  <c r="AG26" i="4" s="1"/>
  <c r="AM26" i="4" s="1"/>
  <c r="H23" i="4"/>
  <c r="R6" i="6"/>
  <c r="S6" i="6" s="1"/>
  <c r="T4" i="6"/>
  <c r="I134" i="11" a="1"/>
  <c r="Y65" i="10" a="1"/>
  <c r="J65" i="10" a="1"/>
  <c r="U95" i="10" a="1"/>
  <c r="AG146" i="17" l="1"/>
  <c r="AG148" i="17" s="1"/>
  <c r="I134" i="11"/>
  <c r="T133" i="11"/>
  <c r="V133" i="11" s="1"/>
  <c r="Z140" i="13"/>
  <c r="N138" i="13"/>
  <c r="J67" i="10"/>
  <c r="U95" i="10"/>
  <c r="Y65" i="10"/>
  <c r="J65" i="10"/>
  <c r="P115" i="10"/>
  <c r="V124" i="12"/>
  <c r="Y124" i="12"/>
  <c r="Y133" i="11"/>
  <c r="AU10" i="4"/>
  <c r="AK10" i="4" s="1"/>
  <c r="AU11" i="4"/>
  <c r="AM10" i="4" s="1"/>
  <c r="AU8" i="4"/>
  <c r="AG10" i="4" s="1"/>
  <c r="AQ22" i="4" s="1"/>
  <c r="AU22" i="4" s="1"/>
  <c r="J22" i="4" s="1"/>
  <c r="AU9" i="4"/>
  <c r="AI10" i="4" s="1"/>
  <c r="AR23" i="4" s="1"/>
  <c r="BA22" i="4"/>
  <c r="K22" i="4" s="1"/>
  <c r="AT23" i="4"/>
  <c r="AZ23" i="4"/>
  <c r="AY23" i="4"/>
  <c r="AW23" i="4"/>
  <c r="AX23" i="4"/>
  <c r="AS23" i="4"/>
  <c r="AQ23" i="4"/>
  <c r="AN24" i="4"/>
  <c r="AO24" i="4" s="1"/>
  <c r="I23" i="4"/>
  <c r="C28" i="4"/>
  <c r="AB27" i="4"/>
  <c r="AG27" i="4" s="1"/>
  <c r="AM27" i="4" s="1"/>
  <c r="H24" i="4"/>
  <c r="T6" i="6"/>
  <c r="N140" i="13" a="1"/>
  <c r="AD151" i="17" l="1"/>
  <c r="S147" i="17" s="1"/>
  <c r="AD150" i="17"/>
  <c r="S146" i="17" s="1"/>
  <c r="N140" i="13"/>
  <c r="AC35" i="4"/>
  <c r="AC37" i="4" s="1"/>
  <c r="E40" i="4"/>
  <c r="AC34" i="4"/>
  <c r="AC36" i="4" s="1"/>
  <c r="AC39" i="4" s="1"/>
  <c r="D40" i="4"/>
  <c r="AK65" i="4" s="1"/>
  <c r="BA23" i="4"/>
  <c r="K23" i="4" s="1"/>
  <c r="E42" i="4" s="1"/>
  <c r="AU23" i="4"/>
  <c r="J23" i="4" s="1"/>
  <c r="D42" i="4" s="1"/>
  <c r="AK66" i="4" s="1"/>
  <c r="AZ24" i="4"/>
  <c r="AY24" i="4"/>
  <c r="AX24" i="4"/>
  <c r="AW24" i="4"/>
  <c r="AS24" i="4"/>
  <c r="AT24" i="4"/>
  <c r="AR24" i="4"/>
  <c r="AQ24" i="4"/>
  <c r="AN25" i="4"/>
  <c r="AO25" i="4" s="1"/>
  <c r="I24" i="4"/>
  <c r="C29" i="4"/>
  <c r="AB28" i="4"/>
  <c r="AG28" i="4" s="1"/>
  <c r="AM28" i="4" s="1"/>
  <c r="H25" i="4"/>
  <c r="U147" i="17" a="1"/>
  <c r="U146" i="17" a="1"/>
  <c r="U146" i="17" l="1"/>
  <c r="U147" i="17"/>
  <c r="AB46" i="4"/>
  <c r="AD46" i="4" s="1"/>
  <c r="AI48" i="4"/>
  <c r="AI46" i="4"/>
  <c r="AF46" i="4"/>
  <c r="AF48" i="4"/>
  <c r="AI34" i="4"/>
  <c r="AD36" i="4" s="1"/>
  <c r="AE36" i="4" s="1"/>
  <c r="AF36" i="4" s="1"/>
  <c r="AG36" i="4" s="1"/>
  <c r="AH36" i="4" s="1"/>
  <c r="AI35" i="4"/>
  <c r="AE37" i="4" s="1"/>
  <c r="BA24" i="4"/>
  <c r="K24" i="4" s="1"/>
  <c r="E44" i="4" s="1"/>
  <c r="AB48" i="4" s="1"/>
  <c r="AU24" i="4"/>
  <c r="J24" i="4" s="1"/>
  <c r="D44" i="4" s="1"/>
  <c r="AK67" i="4" s="1"/>
  <c r="AT25" i="4"/>
  <c r="AZ25" i="4"/>
  <c r="AY25" i="4"/>
  <c r="AW25" i="4"/>
  <c r="AX25" i="4"/>
  <c r="AS25" i="4"/>
  <c r="AR25" i="4"/>
  <c r="AQ25" i="4"/>
  <c r="AN26" i="4"/>
  <c r="AO26" i="4" s="1"/>
  <c r="AX26" i="4" s="1"/>
  <c r="I25" i="4"/>
  <c r="C30" i="4"/>
  <c r="AB29" i="4"/>
  <c r="AG29" i="4" s="1"/>
  <c r="AM29" i="4" s="1"/>
  <c r="H26" i="4"/>
  <c r="I68" i="1"/>
  <c r="AD71" i="1" s="1"/>
  <c r="I76" i="1"/>
  <c r="F76" i="1" l="1"/>
  <c r="AD78" i="1"/>
  <c r="AD72" i="1"/>
  <c r="T107" i="10"/>
  <c r="AC48" i="4"/>
  <c r="AD48" i="4"/>
  <c r="AD66" i="4" s="1"/>
  <c r="AC46" i="4"/>
  <c r="AE46" i="4" s="1"/>
  <c r="AE65" i="4" s="1"/>
  <c r="AD65" i="4"/>
  <c r="AI50" i="4"/>
  <c r="AF50" i="4"/>
  <c r="AF37" i="4"/>
  <c r="AG37" i="4"/>
  <c r="AH37" i="4"/>
  <c r="BA25" i="4"/>
  <c r="K25" i="4" s="1"/>
  <c r="E46" i="4" s="1"/>
  <c r="AB50" i="4" s="1"/>
  <c r="AU25" i="4"/>
  <c r="J25" i="4" s="1"/>
  <c r="D46" i="4" s="1"/>
  <c r="AK68" i="4" s="1"/>
  <c r="AI37" i="4"/>
  <c r="AO34" i="4"/>
  <c r="AO35" i="4"/>
  <c r="AD37" i="4"/>
  <c r="AI36" i="4"/>
  <c r="AW26" i="4"/>
  <c r="AT26" i="4"/>
  <c r="AZ26" i="4"/>
  <c r="AY26" i="4"/>
  <c r="AR26" i="4"/>
  <c r="AS26" i="4"/>
  <c r="AQ26" i="4"/>
  <c r="AN27" i="4"/>
  <c r="AO27" i="4" s="1"/>
  <c r="AW27" i="4" s="1"/>
  <c r="I26" i="4"/>
  <c r="C31" i="4"/>
  <c r="AB31" i="4" s="1"/>
  <c r="AG31" i="4" s="1"/>
  <c r="AM31" i="4" s="1"/>
  <c r="H31" i="4" s="1"/>
  <c r="AB30" i="4"/>
  <c r="AG30" i="4" s="1"/>
  <c r="AM30" i="4" s="1"/>
  <c r="H27" i="4"/>
  <c r="O90" i="1"/>
  <c r="L151" i="1"/>
  <c r="O105" i="1"/>
  <c r="U90" i="1" a="1"/>
  <c r="F78" i="1" a="1"/>
  <c r="F68" i="1" l="1"/>
  <c r="F63" i="1" s="1"/>
  <c r="AD83" i="1" s="1"/>
  <c r="F78" i="1"/>
  <c r="U90" i="1"/>
  <c r="AD90" i="1"/>
  <c r="O97" i="1"/>
  <c r="AC65" i="4"/>
  <c r="AG46" i="4"/>
  <c r="AH46" i="4" s="1"/>
  <c r="AJ46" i="4" s="1"/>
  <c r="AC50" i="4"/>
  <c r="AD50" i="4"/>
  <c r="AD67" i="4" s="1"/>
  <c r="AE48" i="4"/>
  <c r="AG48" i="4" s="1"/>
  <c r="AH48" i="4" s="1"/>
  <c r="AJ48" i="4" s="1"/>
  <c r="AC66" i="4"/>
  <c r="AI52" i="4"/>
  <c r="AF52" i="4"/>
  <c r="AU34" i="4"/>
  <c r="AU36" i="4" s="1"/>
  <c r="AK37" i="4"/>
  <c r="AU26" i="4"/>
  <c r="J26" i="4" s="1"/>
  <c r="D48" i="4" s="1"/>
  <c r="AK69" i="4" s="1"/>
  <c r="BA26" i="4"/>
  <c r="K26" i="4" s="1"/>
  <c r="E48" i="4" s="1"/>
  <c r="AB52" i="4" s="1"/>
  <c r="AL37" i="4"/>
  <c r="AU35" i="4"/>
  <c r="AN37" i="4"/>
  <c r="AJ37" i="4"/>
  <c r="AM37" i="4"/>
  <c r="AO37" i="4"/>
  <c r="AO36" i="4"/>
  <c r="AJ36" i="4"/>
  <c r="AK36" i="4" s="1"/>
  <c r="AL36" i="4" s="1"/>
  <c r="AM36" i="4" s="1"/>
  <c r="AN36" i="4" s="1"/>
  <c r="AX27" i="4"/>
  <c r="AZ27" i="4"/>
  <c r="AY27" i="4"/>
  <c r="AS27" i="4"/>
  <c r="AT27" i="4"/>
  <c r="AR27" i="4"/>
  <c r="AQ27" i="4"/>
  <c r="AN28" i="4"/>
  <c r="AO28" i="4" s="1"/>
  <c r="I27" i="4"/>
  <c r="H28" i="4"/>
  <c r="L123" i="1"/>
  <c r="U143" i="1"/>
  <c r="U131" i="1"/>
  <c r="L124" i="1" a="1"/>
  <c r="U97" i="1" a="1"/>
  <c r="N83" i="1" l="1"/>
  <c r="AD84" i="1"/>
  <c r="I83" i="1" s="1"/>
  <c r="L124" i="1"/>
  <c r="U97" i="1"/>
  <c r="AC52" i="4"/>
  <c r="AD52" i="4"/>
  <c r="AD68" i="4" s="1"/>
  <c r="D41" i="4"/>
  <c r="AE66" i="4"/>
  <c r="AE50" i="4"/>
  <c r="AG50" i="4" s="1"/>
  <c r="AH50" i="4" s="1"/>
  <c r="AJ50" i="4" s="1"/>
  <c r="AC67" i="4"/>
  <c r="AL65" i="4"/>
  <c r="AF65" i="4" s="1"/>
  <c r="AI54" i="4"/>
  <c r="D43" i="4"/>
  <c r="AF54" i="4"/>
  <c r="BA34" i="4"/>
  <c r="BA36" i="4" s="1"/>
  <c r="BA27" i="4"/>
  <c r="K27" i="4" s="1"/>
  <c r="E50" i="4" s="1"/>
  <c r="AB54" i="4" s="1"/>
  <c r="AU27" i="4"/>
  <c r="J27" i="4" s="1"/>
  <c r="D50" i="4" s="1"/>
  <c r="AK70" i="4" s="1"/>
  <c r="AU37" i="4"/>
  <c r="BA35" i="4"/>
  <c r="AT37" i="4"/>
  <c r="AR37" i="4"/>
  <c r="AS37" i="4"/>
  <c r="AQ37" i="4"/>
  <c r="AP37" i="4"/>
  <c r="AP36" i="4"/>
  <c r="AQ36" i="4" s="1"/>
  <c r="AR36" i="4" s="1"/>
  <c r="AS36" i="4" s="1"/>
  <c r="AT36" i="4" s="1"/>
  <c r="AT28" i="4"/>
  <c r="AZ28" i="4"/>
  <c r="AY28" i="4"/>
  <c r="AW28" i="4"/>
  <c r="AX28" i="4"/>
  <c r="AS28" i="4"/>
  <c r="AR28" i="4"/>
  <c r="AQ28" i="4"/>
  <c r="AN29" i="4"/>
  <c r="AO29" i="4" s="1"/>
  <c r="I28" i="4"/>
  <c r="H29" i="4"/>
  <c r="J18" i="1" a="1"/>
  <c r="U107" i="1" a="1"/>
  <c r="U107" i="1" l="1"/>
  <c r="J18" i="1"/>
  <c r="AE67" i="4"/>
  <c r="AC54" i="4"/>
  <c r="AD54" i="4"/>
  <c r="AD69" i="4" s="1"/>
  <c r="AE52" i="4"/>
  <c r="AG52" i="4" s="1"/>
  <c r="AH52" i="4" s="1"/>
  <c r="AJ52" i="4" s="1"/>
  <c r="AC68" i="4"/>
  <c r="AG65" i="4"/>
  <c r="AH65" i="4" s="1"/>
  <c r="AJ65" i="4" s="1"/>
  <c r="AI56" i="4"/>
  <c r="D45" i="4"/>
  <c r="AF56" i="4"/>
  <c r="AV36" i="4"/>
  <c r="AW36" i="4" s="1"/>
  <c r="AX36" i="4" s="1"/>
  <c r="AY36" i="4" s="1"/>
  <c r="AZ36" i="4" s="1"/>
  <c r="BG34" i="4"/>
  <c r="AV37" i="4"/>
  <c r="BA28" i="4"/>
  <c r="K28" i="4" s="1"/>
  <c r="E52" i="4" s="1"/>
  <c r="AB56" i="4" s="1"/>
  <c r="AU28" i="4"/>
  <c r="J28" i="4" s="1"/>
  <c r="D52" i="4" s="1"/>
  <c r="AK71" i="4" s="1"/>
  <c r="AY37" i="4"/>
  <c r="BG35" i="4"/>
  <c r="AW37" i="4"/>
  <c r="AX37" i="4"/>
  <c r="BA37" i="4"/>
  <c r="AZ37" i="4"/>
  <c r="AT29" i="4"/>
  <c r="AZ29" i="4"/>
  <c r="AY29" i="4"/>
  <c r="AW29" i="4"/>
  <c r="AX29" i="4"/>
  <c r="AR29" i="4"/>
  <c r="AS29" i="4"/>
  <c r="AQ29" i="4"/>
  <c r="AN30" i="4"/>
  <c r="AO30" i="4" s="1"/>
  <c r="I29" i="4"/>
  <c r="H30" i="4"/>
  <c r="O97" i="3"/>
  <c r="O96" i="3"/>
  <c r="P18" i="1" a="1"/>
  <c r="J21" i="1" a="1"/>
  <c r="J21" i="1" l="1"/>
  <c r="P18" i="1"/>
  <c r="AE68" i="4"/>
  <c r="AC56" i="4"/>
  <c r="AD56" i="4"/>
  <c r="AD70" i="4" s="1"/>
  <c r="AE54" i="4"/>
  <c r="AG54" i="4" s="1"/>
  <c r="AH54" i="4" s="1"/>
  <c r="AJ54" i="4" s="1"/>
  <c r="AC69" i="4"/>
  <c r="AS65" i="4"/>
  <c r="AT65" i="4" s="1"/>
  <c r="AI58" i="4"/>
  <c r="D47" i="4"/>
  <c r="AF58" i="4"/>
  <c r="BM35" i="4"/>
  <c r="BM34" i="4"/>
  <c r="BM36" i="4" s="1"/>
  <c r="BG36" i="4"/>
  <c r="BB36" i="4"/>
  <c r="BC36" i="4" s="1"/>
  <c r="BD36" i="4" s="1"/>
  <c r="BE36" i="4" s="1"/>
  <c r="BF36" i="4" s="1"/>
  <c r="BA29" i="4"/>
  <c r="K29" i="4" s="1"/>
  <c r="AU29" i="4"/>
  <c r="J29" i="4" s="1"/>
  <c r="BF37" i="4"/>
  <c r="BE37" i="4"/>
  <c r="BG37" i="4"/>
  <c r="BD37" i="4"/>
  <c r="BC37" i="4"/>
  <c r="BB37" i="4"/>
  <c r="AZ30" i="4"/>
  <c r="AY30" i="4"/>
  <c r="AX30" i="4"/>
  <c r="AW30" i="4"/>
  <c r="AS30" i="4"/>
  <c r="AT30" i="4"/>
  <c r="AR30" i="4"/>
  <c r="AQ30" i="4"/>
  <c r="AN31" i="4"/>
  <c r="AO31" i="4" s="1"/>
  <c r="I30" i="4"/>
  <c r="I50" i="1"/>
  <c r="AD53" i="1" s="1"/>
  <c r="AD54" i="1" s="1"/>
  <c r="F50" i="1" s="1"/>
  <c r="I58" i="1"/>
  <c r="AD60" i="1" s="1"/>
  <c r="F54" i="1" a="1"/>
  <c r="F54" i="1" l="1"/>
  <c r="AE69" i="4"/>
  <c r="AL69" i="4"/>
  <c r="AE56" i="4"/>
  <c r="AE70" i="4" s="1"/>
  <c r="AC70" i="4"/>
  <c r="H41" i="4"/>
  <c r="AL66" i="4" s="1"/>
  <c r="AF66" i="4" s="1"/>
  <c r="G41" i="4"/>
  <c r="AL68" i="4"/>
  <c r="AF68" i="4" s="1"/>
  <c r="D49" i="4"/>
  <c r="BH36" i="4"/>
  <c r="BI36" i="4" s="1"/>
  <c r="BJ36" i="4" s="1"/>
  <c r="BK36" i="4" s="1"/>
  <c r="BL36" i="4" s="1"/>
  <c r="BS34" i="4"/>
  <c r="BN36" i="4" s="1"/>
  <c r="BO36" i="4" s="1"/>
  <c r="BP36" i="4" s="1"/>
  <c r="BQ36" i="4" s="1"/>
  <c r="BR36" i="4" s="1"/>
  <c r="D54" i="4"/>
  <c r="AK72" i="4" s="1"/>
  <c r="BS35" i="4"/>
  <c r="E54" i="4"/>
  <c r="BA30" i="4"/>
  <c r="K30" i="4" s="1"/>
  <c r="E56" i="4" s="1"/>
  <c r="AU30" i="4"/>
  <c r="J30" i="4" s="1"/>
  <c r="D56" i="4" s="1"/>
  <c r="BM37" i="4"/>
  <c r="BH37" i="4"/>
  <c r="BK37" i="4"/>
  <c r="BJ37" i="4"/>
  <c r="BI37" i="4"/>
  <c r="BL37" i="4"/>
  <c r="AT31" i="4"/>
  <c r="AZ31" i="4"/>
  <c r="AY31" i="4"/>
  <c r="AW31" i="4"/>
  <c r="AX31" i="4"/>
  <c r="AS31" i="4"/>
  <c r="AR31" i="4"/>
  <c r="AQ31" i="4"/>
  <c r="I31" i="4"/>
  <c r="AG56" i="4" l="1"/>
  <c r="AH56" i="4" s="1"/>
  <c r="AJ56" i="4" s="1"/>
  <c r="D51" i="4" s="1"/>
  <c r="AB60" i="4"/>
  <c r="AB58" i="4"/>
  <c r="AS66" i="4"/>
  <c r="AT66" i="4" s="1"/>
  <c r="AG66" i="4"/>
  <c r="AH66" i="4" s="1"/>
  <c r="AJ66" i="4" s="1"/>
  <c r="AS68" i="4"/>
  <c r="AT68" i="4" s="1"/>
  <c r="AG68" i="4"/>
  <c r="AH68" i="4" s="1"/>
  <c r="AJ68" i="4" s="1"/>
  <c r="AF69" i="4"/>
  <c r="AI62" i="4"/>
  <c r="AI60" i="4"/>
  <c r="AF62" i="4"/>
  <c r="AF60" i="4"/>
  <c r="BS36" i="4"/>
  <c r="BY35" i="4"/>
  <c r="BY34" i="4"/>
  <c r="BA31" i="4"/>
  <c r="K31" i="4" s="1"/>
  <c r="AU31" i="4"/>
  <c r="J31" i="4" s="1"/>
  <c r="BS37" i="4"/>
  <c r="BR37" i="4"/>
  <c r="BO37" i="4"/>
  <c r="BP37" i="4"/>
  <c r="BQ37" i="4"/>
  <c r="BN37" i="4"/>
  <c r="F58" i="1"/>
  <c r="F45" i="1" s="1"/>
  <c r="K45" i="1" a="1"/>
  <c r="F60" i="1" a="1"/>
  <c r="K45" i="1" l="1"/>
  <c r="Q142" i="1"/>
  <c r="Q130" i="1"/>
  <c r="F60" i="1"/>
  <c r="G43" i="4"/>
  <c r="AJ60" i="4"/>
  <c r="AC58" i="4"/>
  <c r="AE58" i="4" s="1"/>
  <c r="AG58" i="4" s="1"/>
  <c r="AH58" i="4" s="1"/>
  <c r="AD58" i="4"/>
  <c r="AD71" i="4" s="1"/>
  <c r="AC60" i="4"/>
  <c r="AC72" i="4" s="1"/>
  <c r="AD60" i="4"/>
  <c r="AD72" i="4" s="1"/>
  <c r="H43" i="4"/>
  <c r="AL67" i="4" s="1"/>
  <c r="AF67" i="4" s="1"/>
  <c r="AG67" i="4" s="1"/>
  <c r="AH67" i="4" s="1"/>
  <c r="AJ67" i="4" s="1"/>
  <c r="H47" i="4"/>
  <c r="G47" i="4"/>
  <c r="AS69" i="4"/>
  <c r="AT69" i="4" s="1"/>
  <c r="AG69" i="4"/>
  <c r="AH69" i="4" s="1"/>
  <c r="AJ69" i="4" s="1"/>
  <c r="AL70" i="4"/>
  <c r="AF70" i="4" s="1"/>
  <c r="CE34" i="4"/>
  <c r="CE36" i="4" s="1"/>
  <c r="AM39" i="4" s="1"/>
  <c r="AD41" i="4" s="1"/>
  <c r="D58" i="4"/>
  <c r="CE35" i="4"/>
  <c r="CE37" i="4" s="1"/>
  <c r="E58" i="4"/>
  <c r="AB62" i="4" s="1"/>
  <c r="BY36" i="4"/>
  <c r="BT36" i="4"/>
  <c r="BU36" i="4" s="1"/>
  <c r="BV36" i="4" s="1"/>
  <c r="BW36" i="4" s="1"/>
  <c r="BX36" i="4" s="1"/>
  <c r="BU37" i="4"/>
  <c r="BT37" i="4"/>
  <c r="BX37" i="4"/>
  <c r="BV37" i="4"/>
  <c r="BW37" i="4"/>
  <c r="BY37" i="4"/>
  <c r="L102" i="3" l="1"/>
  <c r="L103" i="3" s="1"/>
  <c r="U130" i="1"/>
  <c r="AD39" i="4"/>
  <c r="AE39" i="4" s="1"/>
  <c r="AF39" i="4" s="1"/>
  <c r="AG39" i="4" s="1"/>
  <c r="AH39" i="4" s="1"/>
  <c r="AI39" i="4" s="1"/>
  <c r="AE60" i="4"/>
  <c r="AE72" i="4" s="1"/>
  <c r="AJ62" i="4"/>
  <c r="AD62" i="4"/>
  <c r="AD73" i="4" s="1"/>
  <c r="AC62" i="4"/>
  <c r="AJ58" i="4"/>
  <c r="AC71" i="4"/>
  <c r="AS67" i="4"/>
  <c r="AT67" i="4" s="1"/>
  <c r="AE71" i="4"/>
  <c r="H49" i="4"/>
  <c r="G49" i="4"/>
  <c r="AS70" i="4"/>
  <c r="AT70" i="4" s="1"/>
  <c r="AG70" i="4"/>
  <c r="AH70" i="4" s="1"/>
  <c r="AJ70" i="4" s="1"/>
  <c r="BZ36" i="4"/>
  <c r="CA36" i="4" s="1"/>
  <c r="CB36" i="4" s="1"/>
  <c r="CC36" i="4" s="1"/>
  <c r="CD36" i="4" s="1"/>
  <c r="CA37" i="4"/>
  <c r="CC37" i="4"/>
  <c r="CB37" i="4"/>
  <c r="BZ37" i="4"/>
  <c r="CD37" i="4"/>
  <c r="U142" i="1"/>
  <c r="L63" i="1" l="1"/>
  <c r="AG60" i="4"/>
  <c r="AH60" i="4" s="1"/>
  <c r="AJ39" i="4"/>
  <c r="AK39" i="4" s="1"/>
  <c r="AL39" i="4" s="1"/>
  <c r="D53" i="4"/>
  <c r="G45" i="4"/>
  <c r="H45" i="4"/>
  <c r="AF73" i="4"/>
  <c r="AG73" i="4" s="1"/>
  <c r="AE62" i="4"/>
  <c r="AE73" i="4" s="1"/>
  <c r="AC73" i="4"/>
  <c r="H51" i="4"/>
  <c r="G51" i="4"/>
  <c r="AL71" i="4"/>
  <c r="AF71" i="4" s="1"/>
  <c r="D55" i="4"/>
  <c r="F72" i="1"/>
  <c r="AG62" i="4" l="1"/>
  <c r="AH62" i="4" s="1"/>
  <c r="AH73" i="4"/>
  <c r="AJ73" i="4" s="1"/>
  <c r="AS71" i="4"/>
  <c r="AT71" i="4" s="1"/>
  <c r="AL72" i="4"/>
  <c r="AF72" i="4" s="1"/>
  <c r="D57" i="4"/>
  <c r="AG71" i="4" l="1"/>
  <c r="H53" i="4"/>
  <c r="AS72" i="4"/>
  <c r="AT72" i="4" s="1"/>
  <c r="AG72" i="4"/>
  <c r="AH72" i="4" s="1"/>
  <c r="AJ72" i="4" s="1"/>
  <c r="AU65" i="4" l="1"/>
  <c r="AU66" i="4" s="1"/>
  <c r="AH71" i="4"/>
  <c r="AJ71" i="4" s="1"/>
  <c r="G53" i="4" s="1"/>
  <c r="H55" i="4"/>
  <c r="G55" i="4"/>
  <c r="T111" i="10" l="1"/>
  <c r="H110" i="10" s="1"/>
  <c r="T119" i="10"/>
  <c r="AV65" i="4"/>
  <c r="AX65" i="4" s="1"/>
  <c r="AY65" i="4" s="1"/>
  <c r="AC42" i="4" s="1"/>
  <c r="AV66" i="4"/>
  <c r="AU67" i="4"/>
  <c r="AU68" i="4" s="1"/>
  <c r="H112" i="10" a="1"/>
  <c r="H112" i="10" l="1"/>
  <c r="H114" i="10"/>
  <c r="AH108" i="10"/>
  <c r="AW65" i="4"/>
  <c r="AC43" i="4" s="1"/>
  <c r="AX66" i="4"/>
  <c r="AY66" i="4" s="1"/>
  <c r="AD42" i="4" s="1"/>
  <c r="AV67" i="4"/>
  <c r="AV68" i="4"/>
  <c r="H116" i="10" a="1"/>
  <c r="H116" i="10" l="1"/>
  <c r="F82" i="1"/>
  <c r="AI108" i="10"/>
  <c r="AS108" i="10" s="1"/>
  <c r="AG108" i="10"/>
  <c r="AX67" i="4"/>
  <c r="AY67" i="4" s="1"/>
  <c r="AE42" i="4" s="1"/>
  <c r="AW66" i="4"/>
  <c r="AW67" i="4" s="1"/>
  <c r="AW68" i="4" s="1"/>
  <c r="AJ108" i="10" l="1"/>
  <c r="AH112" i="10"/>
  <c r="AG112" i="10"/>
  <c r="AI112" i="10"/>
  <c r="AS112" i="10" s="1"/>
  <c r="AO108" i="10"/>
  <c r="AM108" i="10"/>
  <c r="AN108" i="10" s="1"/>
  <c r="AL108" i="10"/>
  <c r="AK108" i="10"/>
  <c r="AX68" i="4"/>
  <c r="AY68" i="4" s="1"/>
  <c r="AF42" i="4" s="1"/>
  <c r="AE43" i="4"/>
  <c r="AD43" i="4"/>
  <c r="AF43" i="4"/>
  <c r="Q132" i="1"/>
  <c r="Q144" i="1"/>
  <c r="L152" i="1" s="1"/>
  <c r="AJ112" i="10" l="1"/>
  <c r="AL112" i="10" s="1"/>
  <c r="AO112" i="10"/>
  <c r="AK112" i="10"/>
  <c r="AM112" i="10"/>
  <c r="AN112" i="10" s="1"/>
  <c r="T115" i="10"/>
  <c r="AQ108" i="10"/>
  <c r="AP108" i="10"/>
  <c r="U144" i="1"/>
  <c r="K152" i="1"/>
  <c r="L153" i="1" s="1"/>
  <c r="U132" i="1"/>
  <c r="AD130" i="1" s="1"/>
  <c r="AD131" i="1" l="1"/>
  <c r="AD132" i="1" s="1"/>
  <c r="I130" i="1" s="1"/>
  <c r="AP112" i="10"/>
  <c r="AQ112" i="10"/>
  <c r="P120" i="10"/>
  <c r="T120" i="10" s="1"/>
  <c r="AT108" i="10"/>
  <c r="AR108" i="10"/>
  <c r="AU108" i="10" s="1"/>
  <c r="AV108" i="10" s="1"/>
  <c r="P21" i="1" a="1"/>
  <c r="I132" i="1" a="1"/>
  <c r="AD118" i="10" l="1"/>
  <c r="H118" i="10" s="1"/>
  <c r="I132" i="1"/>
  <c r="AD141" i="1"/>
  <c r="AD142" i="1" s="1"/>
  <c r="AD143" i="1" s="1"/>
  <c r="I142" i="1" s="1"/>
  <c r="P21" i="1"/>
  <c r="O89" i="1"/>
  <c r="AT112" i="10"/>
  <c r="AR112" i="10"/>
  <c r="AU112" i="10" s="1"/>
  <c r="AV112" i="10" s="1"/>
  <c r="AP115" i="10"/>
  <c r="AW108" i="10"/>
  <c r="H120" i="10" a="1"/>
  <c r="U89" i="1" a="1"/>
  <c r="I144" i="1" a="1"/>
  <c r="H120" i="10" l="1"/>
  <c r="I144" i="1"/>
  <c r="T152" i="1"/>
  <c r="M159" i="1" s="1"/>
  <c r="U89" i="1"/>
  <c r="J123" i="1"/>
  <c r="O126" i="1" s="1"/>
  <c r="J118" i="1" s="1"/>
  <c r="M86" i="1"/>
  <c r="O93" i="1"/>
  <c r="AW112" i="10"/>
  <c r="AI120" i="10"/>
  <c r="AS120" i="10" s="1"/>
  <c r="AH120" i="10"/>
  <c r="AG120" i="10"/>
  <c r="AL115" i="10"/>
  <c r="AG115" i="10"/>
  <c r="AH115" i="10" s="1"/>
  <c r="BB108" i="10"/>
  <c r="AX108" i="10"/>
  <c r="U126" i="1" a="1"/>
  <c r="U93" i="1" a="1"/>
  <c r="T153" i="1" a="1"/>
  <c r="AD159" i="1" l="1"/>
  <c r="R163" i="1"/>
  <c r="T153" i="1"/>
  <c r="U126" i="1"/>
  <c r="U93" i="1"/>
  <c r="R93" i="1"/>
  <c r="AD97" i="1" s="1"/>
  <c r="O98" i="1" s="1"/>
  <c r="AD101" i="1"/>
  <c r="AD102" i="1" s="1"/>
  <c r="AD104" i="1" s="1"/>
  <c r="AJ120" i="10"/>
  <c r="AL120" i="10" s="1"/>
  <c r="AO120" i="10"/>
  <c r="BB112" i="10"/>
  <c r="AX112" i="10"/>
  <c r="AI115" i="10"/>
  <c r="AJ115" i="10"/>
  <c r="AK115" i="10" s="1"/>
  <c r="AM115" i="10" s="1"/>
  <c r="AY108" i="10"/>
  <c r="AZ108" i="10" s="1"/>
  <c r="BA108" i="10" s="1"/>
  <c r="BC108" i="10" s="1"/>
  <c r="U98" i="1" a="1"/>
  <c r="AD169" i="1" l="1"/>
  <c r="AG167" i="1"/>
  <c r="AM120" i="10"/>
  <c r="AN120" i="10" s="1"/>
  <c r="AK120" i="10"/>
  <c r="U98" i="1"/>
  <c r="AY112" i="10"/>
  <c r="AZ112" i="10" s="1"/>
  <c r="BA112" i="10" s="1"/>
  <c r="BC112" i="10" s="1"/>
  <c r="AQ120" i="10"/>
  <c r="AP120" i="10"/>
  <c r="AN115" i="10"/>
  <c r="AO115" i="10" s="1"/>
  <c r="AR115" i="10" s="1"/>
  <c r="AS115" i="10" s="1"/>
  <c r="O103" i="1" l="1"/>
  <c r="AT120" i="10"/>
  <c r="AR120" i="10"/>
  <c r="AU120" i="10" s="1"/>
  <c r="AV120" i="10" s="1"/>
  <c r="AQ115" i="10"/>
  <c r="AT115" i="10"/>
  <c r="AU115" i="10" s="1"/>
  <c r="I84" i="1"/>
  <c r="U103" i="1" a="1"/>
  <c r="U103" i="1" l="1"/>
  <c r="O112" i="1"/>
  <c r="O116" i="1"/>
  <c r="O110" i="1"/>
  <c r="S86" i="1"/>
  <c r="F86" i="1"/>
  <c r="I134" i="1" s="1"/>
  <c r="T135" i="1" s="1"/>
  <c r="AW120" i="10"/>
  <c r="AV115" i="10"/>
  <c r="AW115" i="10" s="1"/>
  <c r="AX115" i="10" s="1"/>
  <c r="U116" i="1" a="1"/>
  <c r="V86" i="1" a="1"/>
  <c r="I136" i="1" a="1"/>
  <c r="I136" i="1" l="1"/>
  <c r="Y135" i="1"/>
  <c r="U116" i="1"/>
  <c r="V86" i="1"/>
  <c r="BB120" i="10"/>
  <c r="AX120" i="10"/>
  <c r="AY115" i="10"/>
  <c r="J88" i="1"/>
  <c r="AY120" i="10" l="1"/>
  <c r="AZ120" i="10" l="1"/>
  <c r="BA120" i="10" s="1"/>
  <c r="BC120" i="10" s="1"/>
  <c r="V135" i="1"/>
  <c r="I159" i="1" s="1"/>
  <c r="AD158" i="1" s="1"/>
  <c r="V11" i="3" a="1"/>
  <c r="AD161" i="1" l="1"/>
  <c r="V11" i="3"/>
  <c r="S159" i="1" l="1"/>
  <c r="AD167" i="1" s="1"/>
  <c r="AD162" i="1"/>
  <c r="AD163" i="1" s="1"/>
  <c r="S160" i="1" s="1"/>
  <c r="AD168" i="1" s="1"/>
  <c r="U159" i="1" a="1"/>
  <c r="U160" i="1" a="1"/>
  <c r="AG170" i="1" l="1"/>
  <c r="AG169" i="1"/>
  <c r="U160" i="1"/>
  <c r="U159" i="1"/>
  <c r="AG171" i="1" l="1"/>
  <c r="AD173" i="1" s="1"/>
  <c r="S169" i="1" s="1"/>
  <c r="U169" i="1" a="1"/>
  <c r="AD174" i="1" l="1"/>
  <c r="S170" i="1" s="1"/>
  <c r="U169" i="1"/>
  <c r="U170" i="1" a="1"/>
  <c r="U1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<sst xmlns="http://schemas.openxmlformats.org/spreadsheetml/2006/main" count="2258" uniqueCount="620">
  <si>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</si>
  <si>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</si>
  <si>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</si>
  <si>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</si>
  <si>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</si>
  <si>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</si>
  <si>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</si>
  <si>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</si>
  <si>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</si>
  <si>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</si>
  <si>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</si>
  <si>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</si>
  <si>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</si>
  <si>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</si>
  <si>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heure deci</t>
  </si>
  <si>
    <t>Heure hexa (txt)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</si>
  <si>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</si>
  <si>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</si>
  <si>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</si>
  <si>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</si>
  <si>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</si>
  <si>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</si>
  <si>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</si>
  <si>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</si>
  <si>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</si>
  <si>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</si>
  <si>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</si>
  <si>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convertisseur horaire</t>
  </si>
  <si>
    <t>convertisseur angle</t>
  </si>
  <si>
    <t>Angle almach (txt)</t>
  </si>
  <si>
    <t>Angle deci</t>
  </si>
  <si>
    <t>Hauteur vraie</t>
  </si>
  <si>
    <t>Hauteur instrumentale</t>
  </si>
  <si>
    <t>Intercept</t>
  </si>
  <si>
    <t>°</t>
  </si>
  <si>
    <t>Check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</si>
  <si>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</si>
  <si>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</si>
  <si>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</si>
  <si>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</si>
  <si>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</si>
  <si>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</si>
  <si>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</si>
  <si>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</si>
  <si>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</si>
  <si>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</si>
  <si>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</si>
  <si>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</si>
  <si>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toto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</si>
  <si>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</si>
  <si>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</si>
  <si>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</si>
  <si>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</si>
  <si>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</si>
  <si>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</si>
  <si>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</si>
  <si>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</si>
  <si>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</si>
  <si>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</si>
  <si>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</si>
  <si>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</si>
  <si>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txt sans °</t>
  </si>
  <si>
    <t>Deg</t>
  </si>
  <si>
    <t>sec</t>
  </si>
  <si>
    <t>decimal sec</t>
  </si>
  <si>
    <t>Min</t>
  </si>
  <si>
    <t>has °</t>
  </si>
  <si>
    <t>has '</t>
  </si>
  <si>
    <t>has "</t>
  </si>
  <si>
    <t>has unit</t>
  </si>
  <si>
    <t>is decimal deg</t>
  </si>
  <si>
    <t>deg</t>
  </si>
  <si>
    <t>minutes</t>
  </si>
  <si>
    <t>txt sans ° '</t>
  </si>
  <si>
    <t>without unit ?</t>
  </si>
  <si>
    <t>txt valid ?</t>
  </si>
  <si>
    <t>is decimal sec</t>
  </si>
  <si>
    <t>decimal min</t>
  </si>
  <si>
    <t>decimal deg</t>
  </si>
  <si>
    <t>11:59</t>
  </si>
  <si>
    <t>int deg</t>
  </si>
  <si>
    <t>int min</t>
  </si>
  <si>
    <t>txt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</si>
  <si>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</si>
  <si>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</si>
  <si>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</si>
  <si>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</si>
  <si>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</si>
  <si>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</si>
  <si>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</si>
  <si>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</si>
  <si>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</si>
  <si>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</si>
  <si>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</si>
  <si>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</si>
  <si>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</si>
  <si>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</si>
  <si>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</si>
  <si>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</si>
  <si>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</si>
  <si>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</si>
  <si>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</si>
  <si>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</si>
  <si>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</si>
  <si>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</si>
  <si>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</si>
  <si>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</si>
  <si>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</si>
  <si>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</si>
  <si>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</si>
  <si>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</si>
  <si>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</si>
  <si>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</si>
  <si>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</si>
  <si>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</si>
  <si>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</si>
  <si>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</si>
  <si>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</si>
  <si>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</si>
  <si>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</si>
  <si>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</si>
  <si>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</si>
  <si>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</si>
  <si>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</si>
  <si>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</si>
  <si>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</si>
  <si>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</si>
  <si>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</si>
  <si>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</si>
  <si>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</si>
  <si>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</si>
  <si>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</si>
  <si>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</si>
  <si>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</si>
  <si>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</si>
  <si>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</si>
  <si>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</si>
  <si>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</si>
  <si>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</si>
  <si>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</si>
  <si>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23°08.5'</t>
  </si>
  <si>
    <t>329°03.9'</t>
  </si>
  <si>
    <t>344°03.8'</t>
  </si>
  <si>
    <t>Nav Pt &lt;-&gt; Pt de ref</t>
  </si>
  <si>
    <t>Conversion</t>
  </si>
  <si>
    <t>Pt
REF</t>
  </si>
  <si>
    <t>Distance (Mn)</t>
  </si>
  <si>
    <t>Pt depart -&gt; Arrivee</t>
  </si>
  <si>
    <t>Rf</t>
  </si>
  <si>
    <t>Mn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</si>
  <si>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</si>
  <si>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</si>
  <si>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</si>
  <si>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</si>
  <si>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</si>
  <si>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</si>
  <si>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</si>
  <si>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</si>
  <si>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</si>
  <si>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</si>
  <si>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</si>
  <si>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</si>
  <si>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</si>
  <si>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</si>
  <si>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</si>
  <si>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</si>
  <si>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</si>
  <si>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</si>
  <si>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val decimale</t>
  </si>
  <si>
    <t>x</t>
  </si>
  <si>
    <t>Resumé</t>
  </si>
  <si>
    <t>'</t>
  </si>
  <si>
    <t>-3'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</si>
  <si>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</si>
  <si>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</si>
  <si>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</si>
  <si>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</si>
  <si>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</si>
  <si>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</si>
  <si>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</si>
  <si>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Hauteur vrai</t>
  </si>
  <si>
    <t>Hauteur objet (en m)</t>
  </si>
  <si>
    <t>Distance (m)</t>
  </si>
  <si>
    <t>pour Nav astro</t>
  </si>
  <si>
    <t>&lt;==</t>
  </si>
  <si>
    <t>si (LHA &gt; 180)</t>
  </si>
  <si>
    <t>Zn = Z</t>
  </si>
  <si>
    <t>Zn = 180 - Z</t>
  </si>
  <si>
    <t>Methodo</t>
  </si>
  <si>
    <t>4/03/1998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</si>
  <si>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</si>
  <si>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</si>
  <si>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</si>
  <si>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</si>
  <si>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</si>
  <si>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</si>
  <si>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Coef</t>
  </si>
  <si>
    <t>Hauteur</t>
  </si>
  <si>
    <t>10:00</t>
  </si>
  <si>
    <t>16:12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</si>
  <si>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</si>
  <si>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</si>
  <si>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</si>
  <si>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</si>
  <si>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</si>
  <si>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</si>
  <si>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</si>
  <si>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</si>
  <si>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</si>
  <si>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H (hh:mm)</t>
  </si>
  <si>
    <t>-0:01</t>
  </si>
  <si>
    <t>00:12</t>
  </si>
  <si>
    <t>is PM</t>
  </si>
  <si>
    <t>is VE</t>
  </si>
  <si>
    <t>hasCoef</t>
  </si>
  <si>
    <t>is Valid PM</t>
  </si>
  <si>
    <t>is Valid BM</t>
  </si>
  <si>
    <t>-0:04</t>
  </si>
  <si>
    <t>Is Valid</t>
  </si>
  <si>
    <t>Infos Maree</t>
  </si>
  <si>
    <t>StQuay</t>
  </si>
  <si>
    <t>Has Hauteur</t>
  </si>
  <si>
    <t>Test</t>
  </si>
  <si>
    <t>from Maree</t>
  </si>
  <si>
    <t>isPM</t>
  </si>
  <si>
    <t>48°52'</t>
  </si>
  <si>
    <t>2°05'</t>
  </si>
  <si>
    <t>12.24°</t>
  </si>
  <si>
    <t>176.49°</t>
  </si>
  <si>
    <t>Horizon artificiel - Hauteur instrumentale</t>
  </si>
  <si>
    <t>Horizon artificiel - Colimation en dd°mm.mm'</t>
  </si>
  <si>
    <t>50'</t>
  </si>
  <si>
    <t>18°46'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</si>
  <si>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</si>
  <si>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</si>
  <si>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</si>
  <si>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</si>
  <si>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</si>
  <si>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</si>
  <si>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</si>
  <si>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</si>
  <si>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</si>
  <si>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</si>
  <si>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</si>
  <si>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</si>
  <si>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</si>
  <si>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</si>
  <si>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</si>
  <si>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</si>
  <si>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</si>
  <si>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</si>
  <si>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Binic</t>
  </si>
  <si>
    <t>Paimpol</t>
  </si>
  <si>
    <t>StMalo</t>
  </si>
  <si>
    <t>Type</t>
  </si>
  <si>
    <t>J-1</t>
  </si>
  <si>
    <t>J+1</t>
  </si>
  <si>
    <t>Is Valide ?</t>
  </si>
  <si>
    <t>Is PM</t>
  </si>
  <si>
    <t>HasJour</t>
  </si>
  <si>
    <t>HasHeure</t>
  </si>
  <si>
    <t>HasCoef</t>
  </si>
  <si>
    <t>HasHauteur</t>
  </si>
  <si>
    <t>Is JourValide</t>
  </si>
  <si>
    <t>Today</t>
  </si>
  <si>
    <t>IsHeure valide</t>
  </si>
  <si>
    <t>Is Hauteur valide</t>
  </si>
  <si>
    <t>Is Valide</t>
  </si>
  <si>
    <t>Is VM</t>
  </si>
  <si>
    <t>2024/12/20</t>
  </si>
  <si>
    <t>2024/12/21</t>
  </si>
  <si>
    <t>Has signe</t>
  </si>
  <si>
    <t>H</t>
  </si>
  <si>
    <t>-1:01</t>
  </si>
  <si>
    <t>VEPM</t>
  </si>
  <si>
    <t>VEBM</t>
  </si>
  <si>
    <t>MEPM</t>
  </si>
  <si>
    <t>MEBM</t>
  </si>
  <si>
    <t>Tableau</t>
  </si>
  <si>
    <t xml:space="preserve"> + 1h</t>
  </si>
  <si>
    <t>delta heure</t>
  </si>
  <si>
    <t>00:12:00</t>
  </si>
  <si>
    <t>06:12</t>
  </si>
  <si>
    <t>Marnage</t>
  </si>
  <si>
    <t>Heure Maree</t>
  </si>
  <si>
    <t>H var</t>
  </si>
  <si>
    <t>nb 1/12 ieme</t>
  </si>
  <si>
    <t>1/12 ieme</t>
  </si>
  <si>
    <t>nbHeure Maree</t>
  </si>
  <si>
    <t>Par Hauteur</t>
  </si>
  <si>
    <t>Heure Debut</t>
  </si>
  <si>
    <t>Date TXT</t>
  </si>
  <si>
    <t>Date</t>
  </si>
  <si>
    <t>is valid</t>
  </si>
  <si>
    <t>Has value</t>
  </si>
  <si>
    <t>Index Value</t>
  </si>
  <si>
    <t>Trouve ?</t>
  </si>
  <si>
    <t>08:00</t>
  </si>
  <si>
    <t>Delta Heure Maree</t>
  </si>
  <si>
    <t>Hauteur (m)</t>
  </si>
  <si>
    <t>Resultat / Recherche</t>
  </si>
  <si>
    <t>Par Heure</t>
  </si>
  <si>
    <t>Maree</t>
  </si>
  <si>
    <t>Heure passage</t>
  </si>
  <si>
    <t>Hauteur a heure de passage</t>
  </si>
  <si>
    <t>(m)</t>
  </si>
  <si>
    <t>IsValid</t>
  </si>
  <si>
    <t>Pas par defaut</t>
  </si>
  <si>
    <t>PortRef</t>
  </si>
  <si>
    <t>0:0</t>
  </si>
  <si>
    <t>Rad :</t>
  </si>
  <si>
    <t>Deg :</t>
  </si>
  <si>
    <t>Verifications + application des corrections de port</t>
  </si>
  <si>
    <t>12:24</t>
  </si>
  <si>
    <t>HP (Pi)</t>
  </si>
  <si>
    <t>0.173' soleil 
54'-60' lune 
0 pour les etoiles</t>
  </si>
  <si>
    <t>Polaire</t>
  </si>
  <si>
    <t>GHA Aries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</si>
  <si>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</si>
  <si>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</si>
  <si>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</si>
  <si>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</si>
  <si>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</si>
  <si>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</si>
  <si>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</si>
  <si>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</si>
  <si>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338°53.7</t>
  </si>
  <si>
    <t>1212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</si>
  <si>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</si>
  <si>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</si>
  <si>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</si>
  <si>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</si>
  <si>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</si>
  <si>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</si>
  <si>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</si>
  <si>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</si>
  <si>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</si>
  <si>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</si>
  <si>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</si>
  <si>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</si>
  <si>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11:50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</si>
  <si>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</si>
  <si>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</si>
  <si>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</si>
  <si>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</si>
  <si>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</si>
  <si>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</si>
  <si>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</si>
  <si>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</si>
  <si>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</si>
  <si>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</si>
  <si>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</si>
  <si>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</si>
  <si>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</si>
  <si>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</si>
  <si>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</si>
  <si>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</si>
  <si>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</si>
  <si>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</si>
  <si>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</si>
  <si>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</si>
  <si>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</si>
  <si>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</si>
  <si>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</si>
  <si>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Declinaison Etoile</t>
  </si>
  <si>
    <t>SHA Etoile</t>
  </si>
  <si>
    <t>SHA</t>
  </si>
  <si>
    <t>signe dec</t>
  </si>
  <si>
    <t>Declinaison polaire</t>
  </si>
  <si>
    <t>SHA Polaire</t>
  </si>
  <si>
    <t>-pd * s / c</t>
  </si>
  <si>
    <t>15/4/2008</t>
  </si>
  <si>
    <t>323°51.2</t>
  </si>
  <si>
    <t>29°05</t>
  </si>
  <si>
    <t>12°30</t>
  </si>
  <si>
    <t>18:48:30</t>
  </si>
  <si>
    <t>28°55</t>
  </si>
  <si>
    <t>311°38</t>
  </si>
  <si>
    <t>312°</t>
  </si>
  <si>
    <t>89°23</t>
  </si>
  <si>
    <t>The result gives the true azimuth of Polaris in minutes of arc. Divide by 60 and round appropriately for the azimuth in degrees.</t>
  </si>
  <si>
    <t>Rules to Calculate Latitude using the Sun- Noon-Sight</t>
  </si>
  <si>
    <t>1- Latitude and declination Same name but latitude is greater than declination:</t>
  </si>
  <si>
    <t>Latitude= (90o – Ho) + declination</t>
  </si>
  <si>
    <t>2- Latitude and declination Same name but declination greater than latitude:</t>
  </si>
  <si>
    <t>Latitude= Declination – (90o – Ho)</t>
  </si>
  <si>
    <t>3- Latitude and declination Contrary name:</t>
  </si>
  <si>
    <t>Latitude= (90o</t>
  </si>
  <si>
    <t>– Ho) – Declination</t>
  </si>
  <si>
    <t>Position ESTIMEE</t>
  </si>
  <si>
    <t>Heure passage soleil au meridien (greenwitch)</t>
  </si>
  <si>
    <t>Hauteur culmination</t>
  </si>
  <si>
    <t>Culmination</t>
  </si>
  <si>
    <t>Heure UTC passage au Meridien</t>
  </si>
  <si>
    <t>Heure 1</t>
  </si>
  <si>
    <t>Heure 1'</t>
  </si>
  <si>
    <t>Heure 2</t>
  </si>
  <si>
    <t>Heure 2'</t>
  </si>
  <si>
    <t>Heure 3</t>
  </si>
  <si>
    <t>Heure 3'</t>
  </si>
  <si>
    <t>Check UTC</t>
  </si>
  <si>
    <t>Heure 4</t>
  </si>
  <si>
    <t>Heure 4'</t>
  </si>
  <si>
    <t>Heure 5</t>
  </si>
  <si>
    <t>Heure 5'</t>
  </si>
  <si>
    <t>11:53</t>
  </si>
  <si>
    <t>11:54</t>
  </si>
  <si>
    <t>10:59</t>
  </si>
  <si>
    <t>Hauteur
Hi</t>
  </si>
  <si>
    <t>2°54</t>
  </si>
  <si>
    <t>2°59</t>
  </si>
  <si>
    <t>3°10</t>
  </si>
  <si>
    <t>3°20</t>
  </si>
  <si>
    <t>Check H</t>
  </si>
  <si>
    <t>C U L M I N A T I O N</t>
  </si>
  <si>
    <t>Montre Réalisation
'hh:mm:ss</t>
  </si>
  <si>
    <t>Montre estimée
'hh:mm:ss</t>
  </si>
  <si>
    <t>Heure UTC estimée culmination Locale</t>
  </si>
  <si>
    <t>Mesure Montre
'hh:mm:ss</t>
  </si>
  <si>
    <t>Reglage sextan</t>
  </si>
  <si>
    <t>14:44</t>
  </si>
  <si>
    <t>13:51</t>
  </si>
  <si>
    <t>13:48</t>
  </si>
  <si>
    <t>Reussie</t>
  </si>
  <si>
    <t>Mesure réussie ?</t>
  </si>
  <si>
    <t>Decalage UTC-&gt; montre</t>
  </si>
  <si>
    <t>Decalage Montre -&gt; UTC</t>
  </si>
  <si>
    <r>
      <t xml:space="preserve">Heure </t>
    </r>
    <r>
      <rPr>
        <b/>
        <sz val="10"/>
        <color theme="1"/>
        <rFont val="Roboto"/>
      </rPr>
      <t>montre</t>
    </r>
    <r>
      <rPr>
        <sz val="10"/>
        <color theme="1"/>
        <rFont val="Roboto"/>
      </rPr>
      <t xml:space="preserve"> estimée culmination Locale</t>
    </r>
  </si>
  <si>
    <t>Heure UTC</t>
  </si>
  <si>
    <t>En Secondes</t>
  </si>
  <si>
    <t>Heure UTC en Secondes</t>
  </si>
  <si>
    <t>Heure UTC miroir</t>
  </si>
  <si>
    <t>33°24</t>
  </si>
  <si>
    <t>06°28.7</t>
  </si>
  <si>
    <t>06°27.7</t>
  </si>
  <si>
    <t>Heure montre miroir</t>
  </si>
  <si>
    <t>---</t>
  </si>
  <si>
    <t>Is miroir Valid</t>
  </si>
  <si>
    <t>Is valid</t>
  </si>
  <si>
    <t>Decalage
/
Prevision</t>
  </si>
  <si>
    <t>Moyenne 1</t>
  </si>
  <si>
    <t>Moyenne 2</t>
  </si>
  <si>
    <t>Moyenne 3</t>
  </si>
  <si>
    <t>Nb sol:</t>
  </si>
  <si>
    <t>Sum sol:</t>
  </si>
  <si>
    <t>Mean sol:</t>
  </si>
  <si>
    <t>D T 
avant culmination</t>
  </si>
  <si>
    <t>D T
apres culmination</t>
  </si>
  <si>
    <t xml:space="preserve">Heure culmination locale UTC 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</si>
  <si>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</si>
  <si>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</si>
  <si>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</si>
  <si>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</si>
  <si>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</si>
  <si>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</si>
  <si>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</si>
  <si>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</si>
  <si>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0°03</t>
  </si>
  <si>
    <t>Moyenne 4</t>
  </si>
  <si>
    <t>Moyenne 5</t>
  </si>
  <si>
    <t>10:05:11</t>
  </si>
  <si>
    <t>14:15:33</t>
  </si>
  <si>
    <t>12:01:10</t>
  </si>
  <si>
    <t>2°15</t>
  </si>
  <si>
    <t>23°25'</t>
  </si>
  <si>
    <t>63°07</t>
  </si>
  <si>
    <t>10:20:25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</si>
  <si>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</si>
  <si>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</si>
  <si>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</si>
  <si>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</si>
  <si>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</si>
  <si>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</si>
  <si>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</si>
  <si>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</si>
  <si>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</si>
  <si>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</si>
  <si>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</si>
  <si>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</si>
  <si>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</si>
  <si>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</si>
  <si>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</si>
  <si>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</si>
  <si>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</si>
  <si>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</si>
  <si>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</si>
  <si>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</si>
  <si>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</si>
  <si>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</si>
  <si>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</si>
  <si>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</si>
  <si>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</si>
  <si>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</si>
  <si>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</si>
  <si>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</si>
  <si>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</si>
  <si>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</si>
  <si>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</si>
  <si>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</si>
  <si>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</si>
  <si>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</si>
  <si>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</si>
  <si>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</si>
  <si>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</si>
  <si>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</si>
  <si>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</si>
  <si>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</si>
  <si>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</si>
  <si>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</si>
  <si>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</si>
  <si>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r>
      <t xml:space="preserve">Lat </t>
    </r>
    <r>
      <rPr>
        <vertAlign val="subscript"/>
        <sz val="11"/>
        <color theme="1"/>
        <rFont val="Calibri"/>
        <family val="2"/>
        <scheme val="minor"/>
      </rPr>
      <t>Estimee</t>
    </r>
  </si>
  <si>
    <t>Ho-Hc</t>
  </si>
  <si>
    <t>Azimut</t>
  </si>
  <si>
    <t>21/04/2024</t>
  </si>
  <si>
    <t>20:48:51</t>
  </si>
  <si>
    <t>0°54'</t>
  </si>
  <si>
    <t>41°54'</t>
  </si>
  <si>
    <t>54.228'</t>
  </si>
  <si>
    <t>28.0'</t>
  </si>
  <si>
    <t>48°52.53'</t>
  </si>
  <si>
    <t>2°05.67'</t>
  </si>
  <si>
    <t>GHA Lune</t>
  </si>
  <si>
    <t>0°28</t>
  </si>
  <si>
    <t>2°35'</t>
  </si>
  <si>
    <t>Distance par la hauteur du sextan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</si>
  <si>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</si>
  <si>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</si>
  <si>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</si>
  <si>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</si>
  <si>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</si>
  <si>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</si>
  <si>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</si>
  <si>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</si>
  <si>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</si>
  <si>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</si>
  <si>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</si>
  <si>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</si>
  <si>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</si>
  <si>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</si>
  <si>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</si>
  <si>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</si>
  <si>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</si>
  <si>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</si>
  <si>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tan Direction1</t>
  </si>
  <si>
    <t>delta long</t>
  </si>
  <si>
    <t>sin Direction2</t>
  </si>
  <si>
    <t>cos Direction2</t>
  </si>
  <si>
    <t>y</t>
  </si>
  <si>
    <t>Lat intersection</t>
  </si>
  <si>
    <t>Long intersection</t>
  </si>
  <si>
    <t>A lat constante</t>
  </si>
  <si>
    <t xml:space="preserve">y si lat non constante </t>
  </si>
  <si>
    <t>y lat contante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</si>
  <si>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</si>
  <si>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</si>
  <si>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</si>
  <si>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</si>
  <si>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</si>
  <si>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</si>
  <si>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</si>
  <si>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</si>
  <si>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</si>
  <si>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</si>
  <si>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</si>
  <si>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</si>
  <si>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</si>
  <si>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</si>
  <si>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</si>
  <si>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+1,3'</t>
  </si>
  <si>
    <t>Estime</t>
  </si>
  <si>
    <t>Vitesse en longitude = Vitesse + |sin(cap)|</t>
  </si>
  <si>
    <t>Vitesse (Nd)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</si>
  <si>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</si>
  <si>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</si>
  <si>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</si>
  <si>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</si>
  <si>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Vitesse du soleil</t>
  </si>
  <si>
    <t>T</t>
  </si>
  <si>
    <t>Temp de nav</t>
  </si>
  <si>
    <t>(°)</t>
  </si>
  <si>
    <t>(°/h)</t>
  </si>
  <si>
    <t xml:space="preserve">T  * </t>
  </si>
  <si>
    <t>(ou)</t>
  </si>
  <si>
    <t>Heure de l'estime</t>
  </si>
  <si>
    <t xml:space="preserve">Ephemeride </t>
  </si>
  <si>
    <t>Heure Meridienne Greenwitch du jour</t>
  </si>
  <si>
    <t>12:03:06</t>
  </si>
  <si>
    <t>Longitude en angle Horaire</t>
  </si>
  <si>
    <t>Long Horaire</t>
  </si>
  <si>
    <r>
      <t xml:space="preserve">15,002 * T = Longitude Horaire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Horaire) / (15,002 - ∆ Long)</t>
    </r>
  </si>
  <si>
    <t>Latitude moyenne 
(depend de la vitesse - pour nous sert pas trop)</t>
  </si>
  <si>
    <t>Heure Meridienne Locale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</si>
  <si>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</si>
  <si>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</si>
  <si>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</si>
  <si>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54°50,1</t>
  </si>
  <si>
    <t>23°08,5</t>
  </si>
  <si>
    <t>23°08,3</t>
  </si>
  <si>
    <t>329°03,9</t>
  </si>
  <si>
    <t>344°03,8</t>
  </si>
  <si>
    <t>10:20:35</t>
  </si>
  <si>
    <t>46°00'</t>
  </si>
  <si>
    <t>6°40'</t>
  </si>
  <si>
    <t>46°06,81</t>
  </si>
  <si>
    <t>6°56,98</t>
  </si>
  <si>
    <t>Longitude Meridenne Locale</t>
  </si>
  <si>
    <t>Longitude horaire Meridenne Locale</t>
  </si>
  <si>
    <t>Meridienne</t>
  </si>
  <si>
    <t>Dz = 90 - Hv</t>
  </si>
  <si>
    <t>12:31:07</t>
  </si>
  <si>
    <t>7°00,29'</t>
  </si>
  <si>
    <t>23°08,0</t>
  </si>
  <si>
    <t>Dz + dec</t>
  </si>
  <si>
    <t>dec - Dz</t>
  </si>
  <si>
    <t>Dz - dec</t>
  </si>
  <si>
    <t>Distance azimutale = Dz</t>
  </si>
  <si>
    <t>Distance parcourue</t>
  </si>
  <si>
    <t>Temps de nav</t>
  </si>
  <si>
    <t>h</t>
  </si>
  <si>
    <t>Recherche du meridien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</si>
</sst>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0.000000"/>
    <numFmt numFmtId="166" formatCode="[$-F400]h:mm:ss\ AM/PM"/>
    <numFmt numFmtId="167" formatCode="0.0000"/>
    <numFmt numFmtId="168" formatCode="0.000"/>
    <numFmt numFmtId="169" formatCode="0.0"/>
    <numFmt numFmtId="170" formatCode="[$-F800]dddd\,\ mmmm\ dd\,\ yyyy"/>
    <numFmt numFmtId="171" formatCode="d/m/yy\ h:mm;@"/>
  </numFmts>
  <fonts count="74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3F3F76"/>
      <name val="Roboto"/>
    </font>
    <font>
      <b/>
      <sz val="11"/>
      <color rgb="FFFA7D00"/>
      <name val="Roboto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Roboto"/>
    </font>
    <font>
      <sz val="11"/>
      <color rgb="FF006100"/>
      <name val="Roboto"/>
    </font>
    <font>
      <b/>
      <sz val="11"/>
      <color rgb="FF006100"/>
      <name val="Roboto"/>
    </font>
    <font>
      <b/>
      <sz val="11"/>
      <color theme="0"/>
      <name val="Roboto"/>
    </font>
    <font>
      <sz val="10"/>
      <color theme="1"/>
      <name val="Roboto"/>
    </font>
    <font>
      <sz val="11"/>
      <color rgb="FF9C0006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/>
      <name val="Roboto"/>
    </font>
    <font>
      <b/>
      <sz val="11"/>
      <color theme="2"/>
      <name val="Roboto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8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10"/>
      <color rgb="FF3F3F3F"/>
      <name val="Roboto"/>
    </font>
    <font>
      <sz val="10"/>
      <color rgb="FF00610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color rgb="FF9C0006"/>
      <name val="Roboto"/>
    </font>
    <font>
      <b/>
      <sz val="14"/>
      <color rgb="FF006100"/>
      <name val="Calibri"/>
      <family val="2"/>
      <scheme val="minor"/>
    </font>
    <font>
      <sz val="14"/>
      <color rgb="FF006100"/>
      <name val="Roboto"/>
    </font>
    <font>
      <b/>
      <sz val="12"/>
      <color theme="1"/>
      <name val="Calibri"/>
      <family val="2"/>
      <scheme val="minor"/>
    </font>
    <font>
      <sz val="11"/>
      <color rgb="FF202122"/>
      <name val="Roboto"/>
    </font>
    <font>
      <sz val="14"/>
      <color rgb="FF0061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FC7CE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gradientFill>
        <stop position="0">
          <color theme="0"/>
        </stop>
        <stop position="1">
          <color rgb="FF00FF00"/>
        </stop>
      </gradient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4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medium">
        <color indexed="64"/>
      </top>
      <bottom/>
      <diagonal/>
    </border>
    <border>
      <left style="double">
        <color rgb="FF3F3F3F"/>
      </left>
      <right/>
      <top/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6" fillId="5" borderId="0" applyNumberFormat="0" applyBorder="0" applyAlignment="0" applyProtection="0"/>
    <xf numFmtId="0" fontId="8" fillId="6" borderId="24" applyNumberFormat="0" applyAlignment="0" applyProtection="0"/>
    <xf numFmtId="0" fontId="7" fillId="7" borderId="25" applyNumberFormat="0" applyFont="0" applyAlignment="0" applyProtection="0"/>
    <xf numFmtId="0" fontId="13" fillId="11" borderId="0" applyNumberFormat="0" applyBorder="0" applyAlignment="0" applyProtection="0"/>
    <xf numFmtId="0" fontId="14" fillId="2" borderId="40" applyNumberFormat="0" applyAlignment="0" applyProtection="0"/>
    <xf numFmtId="0" fontId="2" fillId="16" borderId="0" applyNumberFormat="0" applyBorder="0" applyAlignment="0" applyProtection="0"/>
    <xf numFmtId="0" fontId="20" fillId="17" borderId="0" applyNumberFormat="0" applyBorder="0" applyAlignment="0" applyProtection="0"/>
    <xf numFmtId="0" fontId="56" fillId="28" borderId="0" applyNumberFormat="0" applyBorder="0" applyAlignment="0" applyProtection="0"/>
    <xf numFmtId="0" fontId="7" fillId="29" borderId="0" applyNumberFormat="0" applyBorder="0" applyAlignment="0" applyProtection="0"/>
  </cellStyleXfs>
  <cellXfs count="1210">
    <xf numFmtId="0" fontId="0" fillId="0" borderId="0" xfId="0"/>
    <xf numFmtId="165" fontId="2" fillId="0" borderId="0" xfId="0" applyNumberFormat="1" applyFont="1"/>
    <xf numFmtId="0" fontId="13" fillId="11" borderId="0" xfId="6"/>
    <xf numFmtId="0" fontId="6" fillId="5" borderId="0" xfId="3"/>
    <xf numFmtId="0" fontId="1" fillId="2" borderId="1" xfId="1"/>
    <xf numFmtId="165" fontId="9" fillId="8" borderId="0" xfId="0" applyNumberFormat="1" applyFont="1" applyFill="1"/>
    <xf numFmtId="0" fontId="1" fillId="2" borderId="1" xfId="1" applyProtection="1"/>
    <xf numFmtId="165" fontId="9" fillId="0" borderId="0" xfId="0" applyNumberFormat="1" applyFont="1"/>
    <xf numFmtId="165" fontId="1" fillId="2" borderId="1" xfId="1" applyNumberFormat="1" applyProtection="1"/>
    <xf numFmtId="165" fontId="9" fillId="0" borderId="0" xfId="0" applyNumberFormat="1" applyFont="1" applyAlignment="1">
      <alignment horizontal="right"/>
    </xf>
    <xf numFmtId="165" fontId="2" fillId="9" borderId="14" xfId="0" applyNumberFormat="1" applyFont="1" applyFill="1" applyBorder="1"/>
    <xf numFmtId="165" fontId="2" fillId="9" borderId="15" xfId="0" applyNumberFormat="1" applyFont="1" applyFill="1" applyBorder="1"/>
    <xf numFmtId="165" fontId="2" fillId="9" borderId="16" xfId="0" applyNumberFormat="1" applyFont="1" applyFill="1" applyBorder="1"/>
    <xf numFmtId="0" fontId="0" fillId="7" borderId="25" xfId="5" applyFont="1" applyProtection="1"/>
    <xf numFmtId="165" fontId="2" fillId="8" borderId="15" xfId="0" applyNumberFormat="1" applyFont="1" applyFill="1" applyBorder="1"/>
    <xf numFmtId="165" fontId="2" fillId="8" borderId="0" xfId="0" applyNumberFormat="1" applyFont="1" applyFill="1"/>
    <xf numFmtId="0" fontId="2" fillId="0" borderId="0" xfId="0" applyFont="1"/>
    <xf numFmtId="0" fontId="2" fillId="0" borderId="0" xfId="0" quotePrefix="1" applyFont="1"/>
    <xf numFmtId="165" fontId="2" fillId="10" borderId="32" xfId="0" applyNumberFormat="1" applyFont="1" applyFill="1" applyBorder="1" applyAlignment="1">
      <alignment horizontal="center" vertical="center"/>
    </xf>
    <xf numFmtId="165" fontId="2" fillId="10" borderId="31" xfId="0" applyNumberFormat="1" applyFont="1" applyFill="1" applyBorder="1" applyAlignment="1">
      <alignment horizontal="center" vertical="center"/>
    </xf>
    <xf numFmtId="1" fontId="2" fillId="10" borderId="33" xfId="0" applyNumberFormat="1" applyFont="1" applyFill="1" applyBorder="1" applyAlignment="1">
      <alignment horizontal="center" vertical="center"/>
    </xf>
    <xf numFmtId="165" fontId="2" fillId="10" borderId="53" xfId="0" applyNumberFormat="1" applyFont="1" applyFill="1" applyBorder="1" applyAlignment="1">
      <alignment horizontal="center" vertical="center"/>
    </xf>
    <xf numFmtId="165" fontId="2" fillId="10" borderId="54" xfId="0" applyNumberFormat="1" applyFont="1" applyFill="1" applyBorder="1" applyAlignment="1">
      <alignment horizontal="center" vertical="center"/>
    </xf>
    <xf numFmtId="2" fontId="2" fillId="10" borderId="55" xfId="0" applyNumberFormat="1" applyFont="1" applyFill="1" applyBorder="1" applyAlignment="1">
      <alignment horizontal="center" vertical="center"/>
    </xf>
    <xf numFmtId="165" fontId="2" fillId="10" borderId="50" xfId="0" applyNumberFormat="1" applyFont="1" applyFill="1" applyBorder="1" applyAlignment="1">
      <alignment horizontal="center" vertical="center"/>
    </xf>
    <xf numFmtId="165" fontId="2" fillId="10" borderId="51" xfId="0" applyNumberFormat="1" applyFont="1" applyFill="1" applyBorder="1" applyAlignment="1">
      <alignment horizontal="center" vertical="center"/>
    </xf>
    <xf numFmtId="2" fontId="2" fillId="10" borderId="52" xfId="0" applyNumberFormat="1" applyFont="1" applyFill="1" applyBorder="1" applyAlignment="1">
      <alignment horizontal="center" vertical="center"/>
    </xf>
    <xf numFmtId="165" fontId="2" fillId="10" borderId="34" xfId="0" applyNumberFormat="1" applyFont="1" applyFill="1" applyBorder="1" applyAlignment="1">
      <alignment horizontal="center" vertical="center"/>
    </xf>
    <xf numFmtId="165" fontId="2" fillId="10" borderId="35" xfId="0" applyNumberFormat="1" applyFont="1" applyFill="1" applyBorder="1" applyAlignment="1">
      <alignment horizontal="center" vertical="center"/>
    </xf>
    <xf numFmtId="1" fontId="2" fillId="10" borderId="36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right"/>
    </xf>
    <xf numFmtId="0" fontId="2" fillId="8" borderId="0" xfId="0" applyFont="1" applyFill="1"/>
    <xf numFmtId="0" fontId="2" fillId="15" borderId="0" xfId="0" applyFont="1" applyFill="1"/>
    <xf numFmtId="0" fontId="2" fillId="0" borderId="0" xfId="0" applyFont="1" applyAlignment="1">
      <alignment horizontal="center"/>
    </xf>
    <xf numFmtId="2" fontId="2" fillId="0" borderId="0" xfId="0" applyNumberFormat="1" applyFont="1"/>
    <xf numFmtId="0" fontId="21" fillId="11" borderId="2" xfId="6" applyFont="1" applyBorder="1" applyAlignment="1">
      <alignment horizontal="center" vertical="center"/>
    </xf>
    <xf numFmtId="0" fontId="6" fillId="5" borderId="2" xfId="3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3" fillId="11" borderId="5" xfId="6" applyFont="1" applyBorder="1" applyAlignment="1">
      <alignment horizontal="center"/>
    </xf>
    <xf numFmtId="0" fontId="3" fillId="13" borderId="1" xfId="2" applyAlignment="1">
      <alignment horizontal="center"/>
    </xf>
    <xf numFmtId="0" fontId="22" fillId="11" borderId="2" xfId="6" applyFont="1" applyBorder="1" applyAlignment="1">
      <alignment horizontal="center"/>
    </xf>
    <xf numFmtId="0" fontId="0" fillId="0" borderId="0" xfId="0" quotePrefix="1"/>
    <xf numFmtId="0" fontId="3" fillId="7" borderId="2" xfId="5" applyFont="1" applyBorder="1" applyAlignment="1">
      <alignment horizontal="center" vertical="center"/>
    </xf>
    <xf numFmtId="20" fontId="3" fillId="7" borderId="2" xfId="5" quotePrefix="1" applyNumberFormat="1" applyFont="1" applyBorder="1" applyAlignment="1">
      <alignment horizontal="center" vertical="center"/>
    </xf>
    <xf numFmtId="0" fontId="3" fillId="7" borderId="2" xfId="5" quotePrefix="1" applyFont="1" applyBorder="1" applyAlignment="1">
      <alignment horizontal="center" vertical="center"/>
    </xf>
    <xf numFmtId="0" fontId="0" fillId="7" borderId="25" xfId="5" applyFont="1" applyAlignment="1">
      <alignment horizontal="center"/>
    </xf>
    <xf numFmtId="0" fontId="3" fillId="13" borderId="1" xfId="2" applyAlignment="1"/>
    <xf numFmtId="0" fontId="23" fillId="11" borderId="5" xfId="6" applyFont="1" applyBorder="1" applyAlignment="1"/>
    <xf numFmtId="0" fontId="3" fillId="7" borderId="2" xfId="5" applyFont="1" applyBorder="1" applyAlignment="1"/>
    <xf numFmtId="0" fontId="6" fillId="5" borderId="2" xfId="3" applyBorder="1" applyAlignment="1">
      <alignment horizontal="center" vertical="center"/>
    </xf>
    <xf numFmtId="14" fontId="2" fillId="0" borderId="0" xfId="0" applyNumberFormat="1" applyFont="1"/>
    <xf numFmtId="171" fontId="2" fillId="0" borderId="0" xfId="0" applyNumberFormat="1" applyFont="1"/>
    <xf numFmtId="0" fontId="2" fillId="3" borderId="0" xfId="0" applyFont="1" applyFill="1"/>
    <xf numFmtId="20" fontId="2" fillId="0" borderId="0" xfId="0" quotePrefix="1" applyNumberFormat="1" applyFont="1"/>
    <xf numFmtId="0" fontId="2" fillId="20" borderId="0" xfId="0" applyFont="1" applyFill="1"/>
    <xf numFmtId="171" fontId="2" fillId="20" borderId="0" xfId="0" applyNumberFormat="1" applyFont="1" applyFill="1"/>
    <xf numFmtId="0" fontId="2" fillId="21" borderId="0" xfId="0" applyFont="1" applyFill="1"/>
    <xf numFmtId="2" fontId="2" fillId="21" borderId="0" xfId="0" applyNumberFormat="1" applyFont="1" applyFill="1"/>
    <xf numFmtId="171" fontId="0" fillId="7" borderId="25" xfId="5" applyNumberFormat="1" applyFont="1" applyAlignment="1">
      <alignment horizontal="center"/>
    </xf>
    <xf numFmtId="0" fontId="24" fillId="7" borderId="25" xfId="5" applyFont="1" applyAlignment="1">
      <alignment horizontal="center" vertical="center"/>
    </xf>
    <xf numFmtId="0" fontId="27" fillId="2" borderId="1" xfId="1" applyFont="1"/>
    <xf numFmtId="0" fontId="0" fillId="7" borderId="89" xfId="5" applyFont="1" applyBorder="1" applyAlignment="1">
      <alignment horizontal="center"/>
    </xf>
    <xf numFmtId="0" fontId="6" fillId="5" borderId="2" xfId="3" applyBorder="1"/>
    <xf numFmtId="0" fontId="29" fillId="5" borderId="0" xfId="3" applyFont="1"/>
    <xf numFmtId="171" fontId="29" fillId="5" borderId="0" xfId="3" applyNumberFormat="1" applyFont="1"/>
    <xf numFmtId="0" fontId="10" fillId="5" borderId="2" xfId="3" applyFont="1" applyBorder="1" applyAlignment="1">
      <alignment horizontal="center" vertical="center"/>
    </xf>
    <xf numFmtId="0" fontId="6" fillId="5" borderId="5" xfId="3" applyBorder="1"/>
    <xf numFmtId="0" fontId="24" fillId="7" borderId="89" xfId="5" applyFont="1" applyBorder="1" applyAlignment="1">
      <alignment horizontal="center" vertical="center"/>
    </xf>
    <xf numFmtId="0" fontId="24" fillId="6" borderId="24" xfId="4" applyFont="1" applyAlignment="1">
      <alignment horizontal="center"/>
    </xf>
    <xf numFmtId="0" fontId="24" fillId="23" borderId="24" xfId="4" applyFont="1" applyFill="1" applyAlignment="1">
      <alignment horizontal="center"/>
    </xf>
    <xf numFmtId="171" fontId="24" fillId="2" borderId="1" xfId="1" applyNumberFormat="1" applyFont="1" applyAlignment="1">
      <alignment horizontal="center"/>
    </xf>
    <xf numFmtId="0" fontId="24" fillId="2" borderId="1" xfId="1" applyFont="1" applyAlignment="1">
      <alignment horizontal="center"/>
    </xf>
    <xf numFmtId="0" fontId="22" fillId="11" borderId="5" xfId="6" applyFont="1" applyBorder="1" applyAlignment="1"/>
    <xf numFmtId="0" fontId="24" fillId="6" borderId="42" xfId="4" applyFont="1" applyBorder="1" applyAlignment="1">
      <alignment horizontal="center"/>
    </xf>
    <xf numFmtId="17" fontId="3" fillId="13" borderId="2" xfId="2" quotePrefix="1" applyNumberFormat="1" applyBorder="1" applyAlignment="1">
      <alignment horizontal="center" vertical="center"/>
    </xf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20" fontId="3" fillId="13" borderId="2" xfId="2" quotePrefix="1" applyNumberFormat="1" applyBorder="1" applyAlignment="1">
      <alignment horizontal="center" vertical="center"/>
    </xf>
    <xf numFmtId="0" fontId="30" fillId="2" borderId="1" xfId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7" borderId="25" xfId="5" applyFont="1" applyAlignment="1" applyProtection="1">
      <alignment horizontal="center" vertical="center"/>
      <protection locked="0"/>
    </xf>
    <xf numFmtId="0" fontId="19" fillId="7" borderId="25" xfId="5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70" fontId="20" fillId="17" borderId="2" xfId="9" applyNumberFormat="1" applyBorder="1" applyAlignment="1" applyProtection="1">
      <alignment horizontal="center"/>
      <protection locked="0"/>
    </xf>
    <xf numFmtId="49" fontId="20" fillId="17" borderId="2" xfId="9" applyNumberFormat="1" applyBorder="1" applyAlignment="1" applyProtection="1">
      <alignment horizontal="center"/>
      <protection locked="0"/>
    </xf>
    <xf numFmtId="2" fontId="20" fillId="17" borderId="2" xfId="9" applyNumberFormat="1" applyBorder="1" applyAlignment="1" applyProtection="1">
      <alignment horizontal="center"/>
      <protection locked="0"/>
    </xf>
    <xf numFmtId="0" fontId="20" fillId="17" borderId="25" xfId="9" applyBorder="1" applyAlignment="1" applyProtection="1">
      <alignment horizontal="center" vertical="center"/>
      <protection locked="0"/>
    </xf>
    <xf numFmtId="0" fontId="20" fillId="17" borderId="0" xfId="9" applyAlignment="1" applyProtection="1">
      <alignment horizontal="center" vertical="center"/>
      <protection locked="0"/>
    </xf>
    <xf numFmtId="0" fontId="6" fillId="5" borderId="2" xfId="3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2" fontId="20" fillId="17" borderId="2" xfId="9" applyNumberFormat="1" applyBorder="1" applyAlignment="1" applyProtection="1">
      <alignment horizontal="center"/>
    </xf>
    <xf numFmtId="0" fontId="6" fillId="5" borderId="2" xfId="3" applyBorder="1" applyAlignment="1" applyProtection="1">
      <alignment horizontal="center"/>
    </xf>
    <xf numFmtId="0" fontId="19" fillId="0" borderId="0" xfId="0" applyFont="1" applyAlignment="1">
      <alignment horizontal="center" vertical="center"/>
    </xf>
    <xf numFmtId="0" fontId="34" fillId="0" borderId="0" xfId="0" applyFont="1"/>
    <xf numFmtId="165" fontId="19" fillId="0" borderId="0" xfId="0" applyNumberFormat="1" applyFont="1" applyAlignment="1">
      <alignment horizontal="center" vertical="center"/>
    </xf>
    <xf numFmtId="165" fontId="19" fillId="0" borderId="0" xfId="0" applyNumberFormat="1" applyFont="1"/>
    <xf numFmtId="165" fontId="41" fillId="10" borderId="32" xfId="0" applyNumberFormat="1" applyFont="1" applyFill="1" applyBorder="1" applyAlignment="1">
      <alignment horizontal="center" vertical="center"/>
    </xf>
    <xf numFmtId="1" fontId="41" fillId="10" borderId="33" xfId="0" applyNumberFormat="1" applyFont="1" applyFill="1" applyBorder="1" applyAlignment="1">
      <alignment horizontal="center" vertical="center"/>
    </xf>
    <xf numFmtId="165" fontId="41" fillId="10" borderId="34" xfId="0" applyNumberFormat="1" applyFont="1" applyFill="1" applyBorder="1" applyAlignment="1">
      <alignment horizontal="center" vertical="center"/>
    </xf>
    <xf numFmtId="165" fontId="41" fillId="10" borderId="35" xfId="0" applyNumberFormat="1" applyFont="1" applyFill="1" applyBorder="1" applyAlignment="1">
      <alignment horizontal="center" vertical="center"/>
    </xf>
    <xf numFmtId="1" fontId="41" fillId="10" borderId="36" xfId="0" applyNumberFormat="1" applyFont="1" applyFill="1" applyBorder="1" applyAlignment="1">
      <alignment horizontal="center" vertical="center"/>
    </xf>
    <xf numFmtId="165" fontId="31" fillId="2" borderId="1" xfId="1" applyNumberFormat="1" applyFont="1" applyProtection="1"/>
    <xf numFmtId="165" fontId="41" fillId="8" borderId="0" xfId="0" applyNumberFormat="1" applyFont="1" applyFill="1"/>
    <xf numFmtId="165" fontId="41" fillId="0" borderId="0" xfId="0" applyNumberFormat="1" applyFont="1"/>
    <xf numFmtId="165" fontId="19" fillId="9" borderId="14" xfId="0" applyNumberFormat="1" applyFont="1" applyFill="1" applyBorder="1"/>
    <xf numFmtId="165" fontId="19" fillId="9" borderId="15" xfId="0" applyNumberFormat="1" applyFont="1" applyFill="1" applyBorder="1"/>
    <xf numFmtId="0" fontId="19" fillId="16" borderId="8" xfId="8" applyFont="1" applyBorder="1" applyAlignment="1" applyProtection="1">
      <alignment vertical="center"/>
    </xf>
    <xf numFmtId="0" fontId="19" fillId="16" borderId="9" xfId="8" applyFont="1" applyBorder="1" applyAlignment="1" applyProtection="1">
      <alignment vertical="center"/>
    </xf>
    <xf numFmtId="0" fontId="19" fillId="16" borderId="47" xfId="8" applyFont="1" applyBorder="1" applyAlignment="1" applyProtection="1">
      <alignment vertical="center"/>
    </xf>
    <xf numFmtId="0" fontId="19" fillId="16" borderId="10" xfId="8" applyFont="1" applyBorder="1" applyAlignment="1" applyProtection="1">
      <alignment vertical="center"/>
    </xf>
    <xf numFmtId="0" fontId="41" fillId="0" borderId="0" xfId="0" applyFont="1"/>
    <xf numFmtId="165" fontId="41" fillId="10" borderId="3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65" fontId="19" fillId="4" borderId="0" xfId="0" applyNumberFormat="1" applyFont="1" applyFill="1" applyAlignment="1">
      <alignment horizontal="left"/>
    </xf>
    <xf numFmtId="165" fontId="19" fillId="4" borderId="0" xfId="0" applyNumberFormat="1" applyFont="1" applyFill="1" applyAlignment="1">
      <alignment horizontal="center"/>
    </xf>
    <xf numFmtId="165" fontId="47" fillId="0" borderId="0" xfId="0" applyNumberFormat="1" applyFont="1" applyAlignment="1">
      <alignment horizontal="center" vertical="center"/>
    </xf>
    <xf numFmtId="165" fontId="46" fillId="7" borderId="25" xfId="5" applyNumberFormat="1" applyFont="1" applyProtection="1"/>
    <xf numFmtId="165" fontId="19" fillId="0" borderId="47" xfId="0" applyNumberFormat="1" applyFont="1" applyBorder="1"/>
    <xf numFmtId="165" fontId="19" fillId="0" borderId="47" xfId="0" quotePrefix="1" applyNumberFormat="1" applyFont="1" applyBorder="1"/>
    <xf numFmtId="165" fontId="19" fillId="0" borderId="0" xfId="0" quotePrefix="1" applyNumberFormat="1" applyFont="1"/>
    <xf numFmtId="165" fontId="19" fillId="0" borderId="46" xfId="0" quotePrefix="1" applyNumberFormat="1" applyFont="1" applyBorder="1"/>
    <xf numFmtId="2" fontId="36" fillId="11" borderId="0" xfId="6" applyNumberFormat="1" applyFont="1" applyProtection="1"/>
    <xf numFmtId="2" fontId="36" fillId="11" borderId="0" xfId="6" quotePrefix="1" applyNumberFormat="1" applyFont="1" applyProtection="1"/>
    <xf numFmtId="168" fontId="35" fillId="13" borderId="1" xfId="2" quotePrefix="1" applyNumberFormat="1" applyFont="1" applyProtection="1">
      <protection locked="0"/>
    </xf>
    <xf numFmtId="165" fontId="19" fillId="0" borderId="45" xfId="0" quotePrefix="1" applyNumberFormat="1" applyFont="1" applyBorder="1"/>
    <xf numFmtId="165" fontId="19" fillId="0" borderId="67" xfId="0" applyNumberFormat="1" applyFont="1" applyBorder="1" applyAlignment="1">
      <alignment horizontal="center"/>
    </xf>
    <xf numFmtId="165" fontId="19" fillId="9" borderId="67" xfId="0" applyNumberFormat="1" applyFont="1" applyFill="1" applyBorder="1"/>
    <xf numFmtId="165" fontId="19" fillId="0" borderId="0" xfId="0" quotePrefix="1" applyNumberFormat="1" applyFont="1" applyAlignment="1">
      <alignment horizontal="center"/>
    </xf>
    <xf numFmtId="168" fontId="31" fillId="2" borderId="5" xfId="1" applyNumberFormat="1" applyFont="1" applyBorder="1" applyAlignment="1" applyProtection="1"/>
    <xf numFmtId="165" fontId="31" fillId="2" borderId="6" xfId="1" applyNumberFormat="1" applyFont="1" applyBorder="1" applyAlignment="1" applyProtection="1"/>
    <xf numFmtId="169" fontId="31" fillId="2" borderId="5" xfId="1" applyNumberFormat="1" applyFont="1" applyBorder="1" applyAlignment="1" applyProtection="1"/>
    <xf numFmtId="165" fontId="41" fillId="10" borderId="109" xfId="0" applyNumberFormat="1" applyFont="1" applyFill="1" applyBorder="1" applyAlignment="1">
      <alignment horizontal="center" vertical="center"/>
    </xf>
    <xf numFmtId="165" fontId="41" fillId="10" borderId="2" xfId="0" quotePrefix="1" applyNumberFormat="1" applyFont="1" applyFill="1" applyBorder="1" applyAlignment="1">
      <alignment horizontal="center" vertical="center"/>
    </xf>
    <xf numFmtId="1" fontId="41" fillId="10" borderId="2" xfId="0" applyNumberFormat="1" applyFont="1" applyFill="1" applyBorder="1" applyAlignment="1">
      <alignment horizontal="center" vertical="center"/>
    </xf>
    <xf numFmtId="2" fontId="49" fillId="10" borderId="110" xfId="0" applyNumberFormat="1" applyFont="1" applyFill="1" applyBorder="1" applyAlignment="1">
      <alignment horizontal="center"/>
    </xf>
    <xf numFmtId="165" fontId="41" fillId="10" borderId="35" xfId="0" quotePrefix="1" applyNumberFormat="1" applyFont="1" applyFill="1" applyBorder="1" applyAlignment="1">
      <alignment horizontal="center" vertical="center"/>
    </xf>
    <xf numFmtId="1" fontId="41" fillId="10" borderId="35" xfId="0" applyNumberFormat="1" applyFont="1" applyFill="1" applyBorder="1" applyAlignment="1">
      <alignment horizontal="center" vertical="center"/>
    </xf>
    <xf numFmtId="2" fontId="49" fillId="10" borderId="36" xfId="0" applyNumberFormat="1" applyFont="1" applyFill="1" applyBorder="1" applyAlignment="1">
      <alignment horizontal="center"/>
    </xf>
    <xf numFmtId="168" fontId="36" fillId="11" borderId="5" xfId="6" applyNumberFormat="1" applyFont="1" applyBorder="1" applyAlignment="1" applyProtection="1"/>
    <xf numFmtId="165" fontId="6" fillId="5" borderId="15" xfId="3" applyNumberFormat="1" applyBorder="1" applyAlignment="1" applyProtection="1"/>
    <xf numFmtId="165" fontId="19" fillId="0" borderId="0" xfId="0" applyNumberFormat="1" applyFont="1" applyAlignment="1">
      <alignment horizontal="center"/>
    </xf>
    <xf numFmtId="165" fontId="19" fillId="26" borderId="15" xfId="0" applyNumberFormat="1" applyFont="1" applyFill="1" applyBorder="1"/>
    <xf numFmtId="165" fontId="6" fillId="3" borderId="0" xfId="3" applyNumberFormat="1" applyFill="1" applyProtection="1"/>
    <xf numFmtId="165" fontId="6" fillId="3" borderId="15" xfId="3" applyNumberFormat="1" applyFill="1" applyBorder="1" applyAlignment="1" applyProtection="1"/>
    <xf numFmtId="166" fontId="6" fillId="3" borderId="0" xfId="3" applyNumberFormat="1" applyFill="1" applyProtection="1"/>
    <xf numFmtId="165" fontId="6" fillId="3" borderId="16" xfId="3" applyNumberFormat="1" applyFill="1" applyBorder="1" applyAlignment="1" applyProtection="1"/>
    <xf numFmtId="165" fontId="6" fillId="3" borderId="0" xfId="3" applyNumberFormat="1" applyFill="1" applyAlignment="1" applyProtection="1">
      <alignment horizontal="right" vertical="center"/>
    </xf>
    <xf numFmtId="0" fontId="6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24" fillId="12" borderId="2" xfId="0" applyFont="1" applyFill="1" applyBorder="1" applyAlignment="1">
      <alignment horizontal="right"/>
    </xf>
    <xf numFmtId="0" fontId="24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31" fillId="2" borderId="6" xfId="1" quotePrefix="1" applyFont="1" applyBorder="1" applyProtection="1"/>
    <xf numFmtId="0" fontId="0" fillId="7" borderId="25" xfId="5" quotePrefix="1" applyFont="1" applyProtection="1"/>
    <xf numFmtId="165" fontId="19" fillId="9" borderId="22" xfId="0" applyNumberFormat="1" applyFont="1" applyFill="1" applyBorder="1"/>
    <xf numFmtId="165" fontId="41" fillId="0" borderId="0" xfId="0" applyNumberFormat="1" applyFont="1" applyAlignment="1">
      <alignment horizontal="right"/>
    </xf>
    <xf numFmtId="2" fontId="19" fillId="10" borderId="70" xfId="0" applyNumberFormat="1" applyFont="1" applyFill="1" applyBorder="1"/>
    <xf numFmtId="2" fontId="19" fillId="10" borderId="69" xfId="0" applyNumberFormat="1" applyFont="1" applyFill="1" applyBorder="1"/>
    <xf numFmtId="165" fontId="19" fillId="0" borderId="0" xfId="0" applyNumberFormat="1" applyFont="1" applyAlignment="1">
      <alignment horizontal="right"/>
    </xf>
    <xf numFmtId="165" fontId="51" fillId="11" borderId="2" xfId="6" applyNumberFormat="1" applyFont="1" applyBorder="1" applyAlignment="1" applyProtection="1">
      <alignment vertical="center"/>
    </xf>
    <xf numFmtId="0" fontId="51" fillId="11" borderId="0" xfId="6" applyFont="1" applyProtection="1"/>
    <xf numFmtId="0" fontId="54" fillId="5" borderId="0" xfId="3" applyFont="1" applyProtection="1"/>
    <xf numFmtId="0" fontId="53" fillId="2" borderId="40" xfId="7" applyFont="1" applyProtection="1"/>
    <xf numFmtId="165" fontId="19" fillId="10" borderId="113" xfId="0" applyNumberFormat="1" applyFont="1" applyFill="1" applyBorder="1" applyAlignment="1">
      <alignment horizontal="center" vertical="center"/>
    </xf>
    <xf numFmtId="165" fontId="19" fillId="10" borderId="11" xfId="0" quotePrefix="1" applyNumberFormat="1" applyFont="1" applyFill="1" applyBorder="1" applyAlignment="1">
      <alignment horizontal="center" vertical="center"/>
    </xf>
    <xf numFmtId="1" fontId="19" fillId="10" borderId="11" xfId="0" applyNumberFormat="1" applyFont="1" applyFill="1" applyBorder="1" applyAlignment="1">
      <alignment horizontal="center" vertical="center"/>
    </xf>
    <xf numFmtId="165" fontId="19" fillId="10" borderId="76" xfId="0" applyNumberFormat="1" applyFont="1" applyFill="1" applyBorder="1" applyAlignment="1">
      <alignment horizontal="center" vertical="center"/>
    </xf>
    <xf numFmtId="165" fontId="19" fillId="10" borderId="67" xfId="0" quotePrefix="1" applyNumberFormat="1" applyFont="1" applyFill="1" applyBorder="1" applyAlignment="1">
      <alignment horizontal="center" vertical="center"/>
    </xf>
    <xf numFmtId="1" fontId="19" fillId="10" borderId="67" xfId="0" applyNumberFormat="1" applyFont="1" applyFill="1" applyBorder="1" applyAlignment="1">
      <alignment horizontal="center" vertical="center"/>
    </xf>
    <xf numFmtId="165" fontId="19" fillId="3" borderId="15" xfId="0" applyNumberFormat="1" applyFont="1" applyFill="1" applyBorder="1"/>
    <xf numFmtId="165" fontId="31" fillId="3" borderId="1" xfId="1" applyNumberFormat="1" applyFont="1" applyFill="1" applyProtection="1"/>
    <xf numFmtId="165" fontId="1" fillId="3" borderId="1" xfId="1" applyNumberFormat="1" applyFill="1" applyProtection="1"/>
    <xf numFmtId="165" fontId="38" fillId="6" borderId="125" xfId="4" applyNumberFormat="1" applyFont="1" applyBorder="1" applyAlignment="1" applyProtection="1"/>
    <xf numFmtId="0" fontId="0" fillId="3" borderId="0" xfId="0" applyFill="1"/>
    <xf numFmtId="0" fontId="19" fillId="0" borderId="0" xfId="0" applyFont="1"/>
    <xf numFmtId="0" fontId="19" fillId="0" borderId="0" xfId="0" quotePrefix="1" applyFont="1"/>
    <xf numFmtId="0" fontId="19" fillId="7" borderId="25" xfId="5" applyFont="1" applyAlignment="1" applyProtection="1">
      <alignment horizontal="center" vertical="center"/>
    </xf>
    <xf numFmtId="165" fontId="19" fillId="9" borderId="16" xfId="0" applyNumberFormat="1" applyFont="1" applyFill="1" applyBorder="1"/>
    <xf numFmtId="165" fontId="19" fillId="10" borderId="32" xfId="0" applyNumberFormat="1" applyFont="1" applyFill="1" applyBorder="1" applyAlignment="1">
      <alignment horizontal="center" vertical="center"/>
    </xf>
    <xf numFmtId="165" fontId="19" fillId="10" borderId="31" xfId="0" applyNumberFormat="1" applyFont="1" applyFill="1" applyBorder="1" applyAlignment="1">
      <alignment horizontal="center" vertical="center"/>
    </xf>
    <xf numFmtId="1" fontId="19" fillId="10" borderId="33" xfId="0" applyNumberFormat="1" applyFont="1" applyFill="1" applyBorder="1" applyAlignment="1">
      <alignment horizontal="center" vertical="center"/>
    </xf>
    <xf numFmtId="165" fontId="19" fillId="10" borderId="34" xfId="0" applyNumberFormat="1" applyFont="1" applyFill="1" applyBorder="1" applyAlignment="1">
      <alignment horizontal="center" vertical="center"/>
    </xf>
    <xf numFmtId="165" fontId="19" fillId="10" borderId="35" xfId="0" applyNumberFormat="1" applyFont="1" applyFill="1" applyBorder="1" applyAlignment="1">
      <alignment horizontal="center" vertical="center"/>
    </xf>
    <xf numFmtId="1" fontId="19" fillId="10" borderId="36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2" fontId="51" fillId="11" borderId="0" xfId="6" applyNumberFormat="1" applyFont="1" applyProtection="1"/>
    <xf numFmtId="2" fontId="51" fillId="11" borderId="0" xfId="6" quotePrefix="1" applyNumberFormat="1" applyFont="1" applyProtection="1"/>
    <xf numFmtId="168" fontId="32" fillId="13" borderId="1" xfId="2" quotePrefix="1" applyNumberFormat="1" applyFont="1" applyProtection="1">
      <protection locked="0"/>
    </xf>
    <xf numFmtId="165" fontId="19" fillId="10" borderId="2" xfId="0" quotePrefix="1" applyNumberFormat="1" applyFont="1" applyFill="1" applyBorder="1" applyAlignment="1">
      <alignment horizontal="center" vertical="center"/>
    </xf>
    <xf numFmtId="1" fontId="19" fillId="10" borderId="2" xfId="0" applyNumberFormat="1" applyFont="1" applyFill="1" applyBorder="1" applyAlignment="1">
      <alignment horizontal="center" vertical="center"/>
    </xf>
    <xf numFmtId="165" fontId="19" fillId="10" borderId="35" xfId="0" quotePrefix="1" applyNumberFormat="1" applyFont="1" applyFill="1" applyBorder="1" applyAlignment="1">
      <alignment horizontal="center" vertical="center"/>
    </xf>
    <xf numFmtId="1" fontId="19" fillId="10" borderId="35" xfId="0" applyNumberFormat="1" applyFont="1" applyFill="1" applyBorder="1" applyAlignment="1">
      <alignment horizontal="center" vertical="center"/>
    </xf>
    <xf numFmtId="165" fontId="19" fillId="10" borderId="109" xfId="0" applyNumberFormat="1" applyFont="1" applyFill="1" applyBorder="1" applyAlignment="1">
      <alignment horizontal="center" vertical="center"/>
    </xf>
    <xf numFmtId="165" fontId="54" fillId="3" borderId="0" xfId="3" applyNumberFormat="1" applyFont="1" applyFill="1" applyProtection="1"/>
    <xf numFmtId="165" fontId="54" fillId="3" borderId="15" xfId="3" applyNumberFormat="1" applyFont="1" applyFill="1" applyBorder="1" applyAlignment="1" applyProtection="1"/>
    <xf numFmtId="0" fontId="33" fillId="2" borderId="1" xfId="1" applyFont="1" applyProtection="1"/>
    <xf numFmtId="165" fontId="54" fillId="26" borderId="15" xfId="3" applyNumberFormat="1" applyFont="1" applyFill="1" applyBorder="1" applyAlignment="1" applyProtection="1"/>
    <xf numFmtId="165" fontId="54" fillId="26" borderId="22" xfId="3" applyNumberFormat="1" applyFont="1" applyFill="1" applyBorder="1" applyAlignment="1" applyProtection="1"/>
    <xf numFmtId="0" fontId="33" fillId="2" borderId="1" xfId="1" applyFont="1" applyAlignment="1" applyProtection="1">
      <alignment horizontal="center" vertical="center"/>
    </xf>
    <xf numFmtId="166" fontId="54" fillId="3" borderId="0" xfId="3" applyNumberFormat="1" applyFont="1" applyFill="1" applyProtection="1"/>
    <xf numFmtId="0" fontId="19" fillId="3" borderId="0" xfId="0" applyFont="1" applyFill="1"/>
    <xf numFmtId="0" fontId="33" fillId="2" borderId="1" xfId="1" applyFont="1"/>
    <xf numFmtId="0" fontId="19" fillId="12" borderId="2" xfId="0" applyFont="1" applyFill="1" applyBorder="1"/>
    <xf numFmtId="165" fontId="54" fillId="3" borderId="16" xfId="3" applyNumberFormat="1" applyFont="1" applyFill="1" applyBorder="1" applyAlignment="1" applyProtection="1"/>
    <xf numFmtId="0" fontId="54" fillId="3" borderId="0" xfId="3" applyFont="1" applyFill="1" applyProtection="1"/>
    <xf numFmtId="0" fontId="19" fillId="7" borderId="25" xfId="5" quotePrefix="1" applyFont="1" applyProtection="1"/>
    <xf numFmtId="0" fontId="19" fillId="7" borderId="25" xfId="5" applyFont="1" applyProtection="1"/>
    <xf numFmtId="0" fontId="19" fillId="27" borderId="0" xfId="0" applyFont="1" applyFill="1"/>
    <xf numFmtId="165" fontId="54" fillId="5" borderId="14" xfId="3" applyNumberFormat="1" applyFont="1" applyBorder="1" applyAlignment="1" applyProtection="1">
      <alignment horizontal="center" vertical="center"/>
    </xf>
    <xf numFmtId="165" fontId="54" fillId="5" borderId="15" xfId="3" applyNumberFormat="1" applyFont="1" applyBorder="1" applyAlignment="1" applyProtection="1">
      <alignment horizontal="center" vertical="center"/>
    </xf>
    <xf numFmtId="165" fontId="54" fillId="5" borderId="16" xfId="3" applyNumberFormat="1" applyFont="1" applyBorder="1" applyAlignment="1" applyProtection="1">
      <alignment horizontal="center" vertical="center"/>
    </xf>
    <xf numFmtId="0" fontId="59" fillId="2" borderId="1" xfId="1" applyFont="1" applyProtection="1"/>
    <xf numFmtId="1" fontId="59" fillId="2" borderId="1" xfId="1" applyNumberFormat="1" applyFont="1" applyAlignment="1" applyProtection="1">
      <alignment horizontal="center" vertical="center"/>
    </xf>
    <xf numFmtId="165" fontId="57" fillId="6" borderId="15" xfId="4" applyNumberFormat="1" applyFont="1" applyBorder="1" applyAlignment="1" applyProtection="1">
      <alignment horizontal="left"/>
    </xf>
    <xf numFmtId="165" fontId="57" fillId="6" borderId="0" xfId="4" applyNumberFormat="1" applyFont="1" applyBorder="1" applyAlignment="1" applyProtection="1">
      <alignment horizontal="center"/>
    </xf>
    <xf numFmtId="165" fontId="59" fillId="2" borderId="1" xfId="1" applyNumberFormat="1" applyFont="1" applyProtection="1"/>
    <xf numFmtId="0" fontId="59" fillId="2" borderId="1" xfId="1" quotePrefix="1" applyFont="1" applyProtection="1"/>
    <xf numFmtId="0" fontId="59" fillId="2" borderId="6" xfId="1" quotePrefix="1" applyFont="1" applyBorder="1" applyProtection="1"/>
    <xf numFmtId="165" fontId="54" fillId="5" borderId="54" xfId="3" applyNumberFormat="1" applyFont="1" applyBorder="1" applyAlignment="1" applyProtection="1">
      <alignment horizontal="center" vertical="center"/>
    </xf>
    <xf numFmtId="165" fontId="54" fillId="5" borderId="55" xfId="3" applyNumberFormat="1" applyFont="1" applyBorder="1" applyAlignment="1" applyProtection="1">
      <alignment horizontal="center" vertical="center"/>
    </xf>
    <xf numFmtId="165" fontId="54" fillId="5" borderId="53" xfId="3" applyNumberFormat="1" applyFont="1" applyBorder="1" applyAlignment="1" applyProtection="1">
      <alignment horizontal="center" vertical="center"/>
    </xf>
    <xf numFmtId="165" fontId="19" fillId="29" borderId="47" xfId="11" applyNumberFormat="1" applyFont="1" applyBorder="1" applyAlignment="1" applyProtection="1">
      <alignment vertical="center"/>
    </xf>
    <xf numFmtId="165" fontId="19" fillId="29" borderId="4" xfId="11" applyNumberFormat="1" applyFont="1" applyBorder="1" applyAlignment="1" applyProtection="1">
      <alignment vertical="center"/>
    </xf>
    <xf numFmtId="165" fontId="19" fillId="29" borderId="10" xfId="11" applyNumberFormat="1" applyFont="1" applyBorder="1" applyAlignment="1" applyProtection="1">
      <alignment vertical="center"/>
    </xf>
    <xf numFmtId="165" fontId="19" fillId="29" borderId="12" xfId="11" applyNumberFormat="1" applyFont="1" applyBorder="1" applyAlignment="1" applyProtection="1">
      <alignment vertical="center"/>
    </xf>
    <xf numFmtId="0" fontId="19" fillId="31" borderId="2" xfId="0" applyFont="1" applyFill="1" applyBorder="1" applyAlignment="1">
      <alignment horizontal="center" vertical="center"/>
    </xf>
    <xf numFmtId="165" fontId="19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165" fontId="54" fillId="3" borderId="0" xfId="3" applyNumberFormat="1" applyFont="1" applyFill="1" applyAlignment="1" applyProtection="1">
      <alignment vertical="center"/>
    </xf>
    <xf numFmtId="49" fontId="19" fillId="0" borderId="0" xfId="0" applyNumberFormat="1" applyFont="1"/>
    <xf numFmtId="0" fontId="19" fillId="31" borderId="2" xfId="0" quotePrefix="1" applyFont="1" applyFill="1" applyBorder="1" applyAlignment="1">
      <alignment horizontal="center"/>
    </xf>
    <xf numFmtId="1" fontId="33" fillId="2" borderId="1" xfId="1" applyNumberFormat="1" applyFont="1"/>
    <xf numFmtId="165" fontId="33" fillId="2" borderId="1" xfId="1" applyNumberFormat="1" applyFont="1"/>
    <xf numFmtId="0" fontId="33" fillId="2" borderId="1" xfId="1" applyFont="1" applyAlignment="1" applyProtection="1">
      <alignment horizontal="center"/>
    </xf>
    <xf numFmtId="165" fontId="33" fillId="2" borderId="1" xfId="1" applyNumberFormat="1" applyFont="1" applyAlignment="1" applyProtection="1">
      <alignment horizontal="center"/>
    </xf>
    <xf numFmtId="1" fontId="33" fillId="2" borderId="1" xfId="1" applyNumberFormat="1" applyFont="1" applyAlignment="1" applyProtection="1">
      <alignment horizontal="center"/>
    </xf>
    <xf numFmtId="0" fontId="33" fillId="2" borderId="1" xfId="1" applyFont="1" applyAlignment="1">
      <alignment horizontal="center"/>
    </xf>
    <xf numFmtId="0" fontId="33" fillId="2" borderId="13" xfId="1" applyFont="1" applyBorder="1" applyAlignment="1" applyProtection="1">
      <alignment horizontal="center" vertical="center"/>
    </xf>
    <xf numFmtId="0" fontId="19" fillId="16" borderId="7" xfId="8" applyFont="1" applyBorder="1" applyAlignment="1" applyProtection="1">
      <alignment vertical="center" wrapText="1"/>
    </xf>
    <xf numFmtId="0" fontId="19" fillId="16" borderId="8" xfId="8" applyFont="1" applyBorder="1" applyAlignment="1" applyProtection="1">
      <alignment vertical="center" wrapText="1"/>
    </xf>
    <xf numFmtId="0" fontId="33" fillId="35" borderId="1" xfId="1" applyFont="1" applyFill="1" applyAlignment="1" applyProtection="1">
      <alignment horizontal="center" vertical="center"/>
    </xf>
    <xf numFmtId="0" fontId="33" fillId="35" borderId="1" xfId="1" applyFont="1" applyFill="1" applyAlignment="1" applyProtection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165" fontId="5" fillId="2" borderId="1" xfId="1" applyNumberFormat="1" applyFont="1" applyProtection="1"/>
    <xf numFmtId="0" fontId="17" fillId="5" borderId="2" xfId="3" applyFont="1" applyBorder="1"/>
    <xf numFmtId="0" fontId="17" fillId="5" borderId="30" xfId="3" applyFont="1" applyBorder="1"/>
    <xf numFmtId="0" fontId="17" fillId="5" borderId="7" xfId="3" applyFont="1" applyBorder="1"/>
    <xf numFmtId="0" fontId="17" fillId="5" borderId="9" xfId="3" applyFont="1" applyBorder="1"/>
    <xf numFmtId="0" fontId="17" fillId="5" borderId="10" xfId="3" applyFont="1" applyBorder="1"/>
    <xf numFmtId="0" fontId="17" fillId="5" borderId="12" xfId="3" applyFont="1" applyBorder="1"/>
    <xf numFmtId="0" fontId="17" fillId="5" borderId="73" xfId="3" applyFont="1" applyBorder="1"/>
    <xf numFmtId="0" fontId="64" fillId="15" borderId="0" xfId="0" applyFont="1" applyFill="1"/>
    <xf numFmtId="0" fontId="16" fillId="5" borderId="0" xfId="3" applyFont="1"/>
    <xf numFmtId="0" fontId="5" fillId="2" borderId="1" xfId="1" applyFont="1"/>
    <xf numFmtId="165" fontId="5" fillId="2" borderId="1" xfId="1" applyNumberFormat="1" applyFont="1" applyAlignment="1" applyProtection="1"/>
    <xf numFmtId="0" fontId="1" fillId="2" borderId="13" xfId="1" applyBorder="1"/>
    <xf numFmtId="0" fontId="13" fillId="11" borderId="2" xfId="6" applyBorder="1"/>
    <xf numFmtId="0" fontId="16" fillId="5" borderId="0" xfId="3" applyFont="1" applyAlignment="1">
      <alignment horizontal="center"/>
    </xf>
    <xf numFmtId="165" fontId="2" fillId="26" borderId="15" xfId="0" applyNumberFormat="1" applyFont="1" applyFill="1" applyBorder="1"/>
    <xf numFmtId="165" fontId="5" fillId="26" borderId="1" xfId="1" applyNumberFormat="1" applyFont="1" applyFill="1" applyAlignment="1" applyProtection="1"/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2" xfId="0" applyNumberFormat="1" applyFont="1" applyBorder="1"/>
    <xf numFmtId="0" fontId="0" fillId="0" borderId="2" xfId="0" applyBorder="1"/>
    <xf numFmtId="0" fontId="2" fillId="0" borderId="30" xfId="0" applyFont="1" applyBorder="1" applyAlignment="1">
      <alignment horizontal="center" vertical="center"/>
    </xf>
    <xf numFmtId="165" fontId="2" fillId="0" borderId="30" xfId="0" applyNumberFormat="1" applyFont="1" applyBorder="1"/>
    <xf numFmtId="0" fontId="0" fillId="0" borderId="30" xfId="0" applyBorder="1"/>
    <xf numFmtId="0" fontId="16" fillId="5" borderId="0" xfId="3" applyFont="1" applyBorder="1" applyAlignment="1">
      <alignment horizontal="center"/>
    </xf>
    <xf numFmtId="165" fontId="0" fillId="0" borderId="0" xfId="0" applyNumberFormat="1"/>
    <xf numFmtId="0" fontId="0" fillId="8" borderId="0" xfId="0" applyFill="1"/>
    <xf numFmtId="0" fontId="0" fillId="0" borderId="0" xfId="0" applyAlignment="1">
      <alignment horizontal="center"/>
    </xf>
    <xf numFmtId="0" fontId="6" fillId="5" borderId="0" xfId="3" applyAlignment="1">
      <alignment horizontal="center" vertical="center"/>
    </xf>
    <xf numFmtId="0" fontId="6" fillId="5" borderId="0" xfId="3" applyBorder="1"/>
    <xf numFmtId="0" fontId="6" fillId="5" borderId="0" xfId="3" quotePrefix="1" applyAlignment="1"/>
    <xf numFmtId="0" fontId="6" fillId="5" borderId="2" xfId="3" quotePrefix="1" applyBorder="1" applyAlignment="1"/>
    <xf numFmtId="0" fontId="6" fillId="5" borderId="2" xfId="3" applyBorder="1" applyAlignment="1"/>
    <xf numFmtId="0" fontId="13" fillId="11" borderId="0" xfId="6" applyAlignment="1"/>
    <xf numFmtId="0" fontId="13" fillId="11" borderId="2" xfId="6" applyBorder="1" applyAlignment="1"/>
    <xf numFmtId="0" fontId="0" fillId="7" borderId="25" xfId="5" quotePrefix="1" applyFont="1" applyAlignment="1" applyProtection="1">
      <alignment horizontal="center"/>
    </xf>
    <xf numFmtId="0" fontId="2" fillId="3" borderId="2" xfId="0" applyFont="1" applyFill="1" applyBorder="1" applyAlignment="1">
      <alignment horizontal="center"/>
    </xf>
    <xf numFmtId="165" fontId="6" fillId="33" borderId="15" xfId="3" applyNumberFormat="1" applyFill="1" applyBorder="1" applyAlignment="1" applyProtection="1"/>
    <xf numFmtId="165" fontId="19" fillId="33" borderId="15" xfId="0" applyNumberFormat="1" applyFont="1" applyFill="1" applyBorder="1" applyAlignment="1">
      <alignment horizontal="center"/>
    </xf>
    <xf numFmtId="165" fontId="19" fillId="33" borderId="15" xfId="0" applyNumberFormat="1" applyFont="1" applyFill="1" applyBorder="1"/>
    <xf numFmtId="165" fontId="19" fillId="9" borderId="0" xfId="0" applyNumberFormat="1" applyFont="1" applyFill="1"/>
    <xf numFmtId="0" fontId="34" fillId="9" borderId="0" xfId="0" applyFont="1" applyFill="1"/>
    <xf numFmtId="165" fontId="19" fillId="0" borderId="2" xfId="0" quotePrefix="1" applyNumberFormat="1" applyFont="1" applyBorder="1"/>
    <xf numFmtId="165" fontId="19" fillId="9" borderId="2" xfId="0" applyNumberFormat="1" applyFont="1" applyFill="1" applyBorder="1"/>
    <xf numFmtId="165" fontId="19" fillId="9" borderId="2" xfId="0" quotePrefix="1" applyNumberFormat="1" applyFont="1" applyFill="1" applyBorder="1"/>
    <xf numFmtId="168" fontId="35" fillId="13" borderId="13" xfId="2" quotePrefix="1" applyNumberFormat="1" applyFont="1" applyBorder="1" applyAlignment="1" applyProtection="1">
      <alignment horizontal="center"/>
      <protection locked="0"/>
    </xf>
    <xf numFmtId="165" fontId="19" fillId="0" borderId="0" xfId="5" quotePrefix="1" applyNumberFormat="1" applyFont="1" applyFill="1" applyBorder="1" applyAlignment="1" applyProtection="1"/>
    <xf numFmtId="165" fontId="28" fillId="36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9" fillId="7" borderId="25" xfId="5" applyFont="1" applyAlignment="1">
      <alignment vertical="center"/>
    </xf>
    <xf numFmtId="0" fontId="19" fillId="7" borderId="2" xfId="5" applyFont="1" applyBorder="1" applyAlignment="1">
      <alignment vertical="center"/>
    </xf>
    <xf numFmtId="165" fontId="19" fillId="7" borderId="25" xfId="5" applyNumberFormat="1" applyFont="1" applyProtection="1"/>
    <xf numFmtId="0" fontId="0" fillId="37" borderId="14" xfId="0" applyFill="1" applyBorder="1"/>
    <xf numFmtId="0" fontId="0" fillId="37" borderId="15" xfId="0" applyFill="1" applyBorder="1"/>
    <xf numFmtId="0" fontId="0" fillId="37" borderId="16" xfId="0" applyFill="1" applyBorder="1"/>
    <xf numFmtId="165" fontId="3" fillId="13" borderId="1" xfId="2" applyNumberFormat="1" applyAlignment="1" applyProtection="1"/>
    <xf numFmtId="165" fontId="19" fillId="8" borderId="15" xfId="0" applyNumberFormat="1" applyFont="1" applyFill="1" applyBorder="1"/>
    <xf numFmtId="0" fontId="19" fillId="8" borderId="0" xfId="0" applyFont="1" applyFill="1"/>
    <xf numFmtId="0" fontId="2" fillId="35" borderId="2" xfId="0" applyFont="1" applyFill="1" applyBorder="1" applyAlignment="1">
      <alignment horizontal="center"/>
    </xf>
    <xf numFmtId="0" fontId="1" fillId="2" borderId="1" xfId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8" fillId="0" borderId="0" xfId="0" applyFont="1"/>
    <xf numFmtId="0" fontId="27" fillId="2" borderId="1" xfId="1" applyFont="1" applyProtection="1"/>
    <xf numFmtId="165" fontId="40" fillId="5" borderId="53" xfId="3" applyNumberFormat="1" applyFont="1" applyBorder="1" applyAlignment="1" applyProtection="1">
      <alignment horizontal="center" vertical="center"/>
    </xf>
    <xf numFmtId="165" fontId="40" fillId="5" borderId="54" xfId="3" applyNumberFormat="1" applyFont="1" applyBorder="1" applyAlignment="1" applyProtection="1">
      <alignment horizontal="center" vertical="center"/>
    </xf>
    <xf numFmtId="165" fontId="40" fillId="5" borderId="55" xfId="3" applyNumberFormat="1" applyFont="1" applyBorder="1" applyAlignment="1" applyProtection="1">
      <alignment horizontal="center" vertical="center"/>
    </xf>
    <xf numFmtId="165" fontId="1" fillId="2" borderId="1" xfId="1" applyNumberFormat="1" applyAlignment="1" applyProtection="1">
      <alignment horizontal="center"/>
    </xf>
    <xf numFmtId="165" fontId="8" fillId="6" borderId="24" xfId="4" applyNumberFormat="1" applyAlignment="1" applyProtection="1">
      <alignment horizontal="center"/>
    </xf>
    <xf numFmtId="165" fontId="28" fillId="36" borderId="2" xfId="0" applyNumberFormat="1" applyFont="1" applyFill="1" applyBorder="1" applyAlignment="1">
      <alignment horizontal="left" vertical="center"/>
    </xf>
    <xf numFmtId="165" fontId="19" fillId="7" borderId="2" xfId="5" quotePrefix="1" applyNumberFormat="1" applyFont="1" applyBorder="1" applyAlignment="1" applyProtection="1">
      <alignment horizontal="left"/>
    </xf>
    <xf numFmtId="165" fontId="19" fillId="7" borderId="2" xfId="5" applyNumberFormat="1" applyFont="1" applyBorder="1" applyAlignment="1" applyProtection="1">
      <alignment horizontal="left"/>
    </xf>
    <xf numFmtId="169" fontId="31" fillId="2" borderId="5" xfId="1" applyNumberFormat="1" applyFont="1" applyBorder="1" applyAlignment="1" applyProtection="1">
      <alignment horizontal="center"/>
    </xf>
    <xf numFmtId="169" fontId="31" fillId="2" borderId="23" xfId="1" applyNumberFormat="1" applyFont="1" applyBorder="1" applyAlignment="1" applyProtection="1">
      <alignment horizontal="center"/>
    </xf>
    <xf numFmtId="165" fontId="19" fillId="7" borderId="2" xfId="5" applyNumberFormat="1" applyFont="1" applyBorder="1" applyAlignment="1" applyProtection="1">
      <alignment horizontal="center"/>
    </xf>
    <xf numFmtId="165" fontId="19" fillId="7" borderId="25" xfId="5" applyNumberFormat="1" applyFont="1" applyAlignment="1" applyProtection="1">
      <alignment horizontal="left" vertical="center"/>
    </xf>
    <xf numFmtId="165" fontId="3" fillId="13" borderId="1" xfId="2" applyNumberFormat="1" applyAlignment="1" applyProtection="1">
      <alignment horizontal="center"/>
      <protection locked="0"/>
    </xf>
    <xf numFmtId="165" fontId="37" fillId="5" borderId="2" xfId="3" applyNumberFormat="1" applyFont="1" applyBorder="1" applyAlignment="1" applyProtection="1">
      <alignment horizontal="right"/>
    </xf>
    <xf numFmtId="165" fontId="19" fillId="36" borderId="2" xfId="0" applyNumberFormat="1" applyFont="1" applyFill="1" applyBorder="1" applyAlignment="1">
      <alignment horizontal="center" vertical="center"/>
    </xf>
    <xf numFmtId="165" fontId="28" fillId="36" borderId="2" xfId="0" applyNumberFormat="1" applyFont="1" applyFill="1" applyBorder="1" applyAlignment="1">
      <alignment horizontal="center" vertical="center"/>
    </xf>
    <xf numFmtId="165" fontId="19" fillId="0" borderId="11" xfId="0" applyNumberFormat="1" applyFont="1" applyBorder="1" applyAlignment="1">
      <alignment horizontal="center"/>
    </xf>
    <xf numFmtId="165" fontId="36" fillId="11" borderId="2" xfId="6" applyNumberFormat="1" applyFont="1" applyBorder="1" applyAlignment="1" applyProtection="1">
      <alignment horizontal="center"/>
    </xf>
    <xf numFmtId="165" fontId="31" fillId="2" borderId="1" xfId="1" applyNumberFormat="1" applyFont="1" applyAlignment="1" applyProtection="1">
      <alignment horizontal="center"/>
    </xf>
    <xf numFmtId="165" fontId="19" fillId="7" borderId="84" xfId="5" quotePrefix="1" applyNumberFormat="1" applyFont="1" applyBorder="1" applyAlignment="1" applyProtection="1">
      <alignment horizontal="left"/>
    </xf>
    <xf numFmtId="165" fontId="19" fillId="7" borderId="85" xfId="5" quotePrefix="1" applyNumberFormat="1" applyFont="1" applyBorder="1" applyAlignment="1" applyProtection="1">
      <alignment horizontal="left"/>
    </xf>
    <xf numFmtId="165" fontId="19" fillId="7" borderId="86" xfId="5" quotePrefix="1" applyNumberFormat="1" applyFont="1" applyBorder="1" applyAlignment="1" applyProtection="1">
      <alignment horizontal="left"/>
    </xf>
    <xf numFmtId="165" fontId="31" fillId="2" borderId="8" xfId="1" applyNumberFormat="1" applyFont="1" applyBorder="1" applyAlignment="1" applyProtection="1">
      <alignment horizontal="center" vertical="center"/>
    </xf>
    <xf numFmtId="165" fontId="31" fillId="2" borderId="9" xfId="1" applyNumberFormat="1" applyFont="1" applyBorder="1" applyAlignment="1" applyProtection="1">
      <alignment horizontal="center" vertical="center"/>
    </xf>
    <xf numFmtId="165" fontId="31" fillId="2" borderId="11" xfId="1" applyNumberFormat="1" applyFont="1" applyBorder="1" applyAlignment="1" applyProtection="1">
      <alignment horizontal="center" vertical="center"/>
    </xf>
    <xf numFmtId="165" fontId="31" fillId="2" borderId="12" xfId="1" applyNumberFormat="1" applyFont="1" applyBorder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/>
    </xf>
    <xf numFmtId="165" fontId="38" fillId="6" borderId="42" xfId="4" applyNumberFormat="1" applyFont="1" applyBorder="1" applyAlignment="1" applyProtection="1">
      <alignment horizontal="center" vertical="center"/>
    </xf>
    <xf numFmtId="165" fontId="38" fillId="6" borderId="24" xfId="4" applyNumberFormat="1" applyFont="1" applyAlignment="1" applyProtection="1">
      <alignment horizontal="center" vertical="center"/>
    </xf>
    <xf numFmtId="165" fontId="31" fillId="2" borderId="2" xfId="1" applyNumberFormat="1" applyFont="1" applyBorder="1" applyAlignment="1" applyProtection="1">
      <alignment horizontal="center" vertical="center"/>
    </xf>
    <xf numFmtId="165" fontId="38" fillId="6" borderId="24" xfId="4" applyNumberFormat="1" applyFont="1" applyAlignment="1" applyProtection="1">
      <alignment horizontal="center"/>
    </xf>
    <xf numFmtId="165" fontId="36" fillId="11" borderId="5" xfId="6" applyNumberFormat="1" applyFont="1" applyBorder="1" applyAlignment="1" applyProtection="1">
      <alignment horizontal="center"/>
    </xf>
    <xf numFmtId="165" fontId="36" fillId="11" borderId="23" xfId="6" applyNumberFormat="1" applyFont="1" applyBorder="1" applyAlignment="1" applyProtection="1">
      <alignment horizontal="center"/>
    </xf>
    <xf numFmtId="165" fontId="36" fillId="11" borderId="94" xfId="6" applyNumberFormat="1" applyFont="1" applyBorder="1" applyAlignment="1" applyProtection="1">
      <alignment horizontal="center"/>
    </xf>
    <xf numFmtId="165" fontId="45" fillId="14" borderId="41" xfId="4" applyNumberFormat="1" applyFont="1" applyFill="1" applyBorder="1" applyAlignment="1" applyProtection="1">
      <alignment horizontal="center"/>
    </xf>
    <xf numFmtId="165" fontId="45" fillId="14" borderId="42" xfId="4" applyNumberFormat="1" applyFont="1" applyFill="1" applyBorder="1" applyAlignment="1" applyProtection="1">
      <alignment horizontal="center"/>
    </xf>
    <xf numFmtId="165" fontId="19" fillId="9" borderId="2" xfId="0" applyNumberFormat="1" applyFont="1" applyFill="1" applyBorder="1" applyAlignment="1">
      <alignment horizontal="left"/>
    </xf>
    <xf numFmtId="165" fontId="19" fillId="0" borderId="2" xfId="0" applyNumberFormat="1" applyFont="1" applyBorder="1" applyAlignment="1">
      <alignment horizontal="left"/>
    </xf>
    <xf numFmtId="165" fontId="19" fillId="0" borderId="0" xfId="0" quotePrefix="1" applyNumberFormat="1" applyFont="1" applyAlignment="1">
      <alignment horizontal="center" vertical="center"/>
    </xf>
    <xf numFmtId="167" fontId="31" fillId="2" borderId="5" xfId="1" applyNumberFormat="1" applyFont="1" applyBorder="1" applyAlignment="1" applyProtection="1">
      <alignment horizontal="center" vertical="center"/>
    </xf>
    <xf numFmtId="167" fontId="31" fillId="2" borderId="23" xfId="1" applyNumberFormat="1" applyFont="1" applyBorder="1" applyAlignment="1" applyProtection="1">
      <alignment horizontal="center" vertical="center"/>
    </xf>
    <xf numFmtId="167" fontId="31" fillId="2" borderId="6" xfId="1" applyNumberFormat="1" applyFont="1" applyBorder="1" applyAlignment="1" applyProtection="1">
      <alignment horizontal="center" vertical="center"/>
    </xf>
    <xf numFmtId="165" fontId="38" fillId="6" borderId="98" xfId="4" applyNumberFormat="1" applyFont="1" applyBorder="1" applyAlignment="1" applyProtection="1">
      <alignment horizontal="center"/>
    </xf>
    <xf numFmtId="165" fontId="38" fillId="6" borderId="41" xfId="4" applyNumberFormat="1" applyFont="1" applyBorder="1" applyAlignment="1" applyProtection="1">
      <alignment horizontal="center"/>
    </xf>
    <xf numFmtId="165" fontId="38" fillId="6" borderId="42" xfId="4" applyNumberFormat="1" applyFont="1" applyBorder="1" applyAlignment="1" applyProtection="1">
      <alignment horizontal="center"/>
    </xf>
    <xf numFmtId="0" fontId="35" fillId="13" borderId="114" xfId="2" quotePrefix="1" applyFont="1" applyBorder="1" applyAlignment="1" applyProtection="1">
      <alignment horizontal="center"/>
      <protection locked="0"/>
    </xf>
    <xf numFmtId="0" fontId="35" fillId="13" borderId="115" xfId="2" quotePrefix="1" applyFont="1" applyBorder="1" applyAlignment="1" applyProtection="1">
      <alignment horizontal="center"/>
      <protection locked="0"/>
    </xf>
    <xf numFmtId="0" fontId="35" fillId="13" borderId="116" xfId="2" quotePrefix="1" applyFont="1" applyBorder="1" applyAlignment="1" applyProtection="1">
      <alignment horizontal="center"/>
      <protection locked="0"/>
    </xf>
    <xf numFmtId="165" fontId="31" fillId="2" borderId="117" xfId="1" applyNumberFormat="1" applyFont="1" applyBorder="1" applyAlignment="1" applyProtection="1">
      <alignment horizontal="center"/>
    </xf>
    <xf numFmtId="165" fontId="31" fillId="2" borderId="115" xfId="1" applyNumberFormat="1" applyFont="1" applyBorder="1" applyAlignment="1" applyProtection="1">
      <alignment horizontal="center"/>
    </xf>
    <xf numFmtId="165" fontId="31" fillId="2" borderId="118" xfId="1" applyNumberFormat="1" applyFont="1" applyBorder="1" applyAlignment="1" applyProtection="1">
      <alignment horizontal="center"/>
    </xf>
    <xf numFmtId="0" fontId="28" fillId="18" borderId="119" xfId="8" applyFont="1" applyFill="1" applyBorder="1" applyAlignment="1" applyProtection="1">
      <alignment horizontal="right"/>
    </xf>
    <xf numFmtId="0" fontId="28" fillId="18" borderId="120" xfId="8" applyFont="1" applyFill="1" applyBorder="1" applyAlignment="1" applyProtection="1">
      <alignment horizontal="right"/>
    </xf>
    <xf numFmtId="0" fontId="28" fillId="18" borderId="121" xfId="8" applyFont="1" applyFill="1" applyBorder="1" applyAlignment="1" applyProtection="1">
      <alignment horizontal="right"/>
    </xf>
    <xf numFmtId="0" fontId="3" fillId="13" borderId="1" xfId="2" applyAlignment="1" applyProtection="1">
      <alignment horizontal="center"/>
      <protection locked="0"/>
    </xf>
    <xf numFmtId="165" fontId="36" fillId="11" borderId="2" xfId="6" applyNumberFormat="1" applyFont="1" applyBorder="1" applyAlignment="1" applyProtection="1">
      <alignment horizontal="center" vertical="center"/>
    </xf>
    <xf numFmtId="165" fontId="19" fillId="16" borderId="7" xfId="8" applyNumberFormat="1" applyFont="1" applyBorder="1" applyAlignment="1" applyProtection="1">
      <alignment horizontal="center" wrapText="1"/>
    </xf>
    <xf numFmtId="165" fontId="19" fillId="16" borderId="8" xfId="8" applyNumberFormat="1" applyFont="1" applyBorder="1" applyAlignment="1" applyProtection="1">
      <alignment horizontal="center" wrapText="1"/>
    </xf>
    <xf numFmtId="165" fontId="19" fillId="16" borderId="9" xfId="8" applyNumberFormat="1" applyFont="1" applyBorder="1" applyAlignment="1" applyProtection="1">
      <alignment horizontal="center" wrapText="1"/>
    </xf>
    <xf numFmtId="165" fontId="19" fillId="16" borderId="47" xfId="8" applyNumberFormat="1" applyFont="1" applyBorder="1" applyAlignment="1" applyProtection="1">
      <alignment horizontal="center" wrapText="1"/>
    </xf>
    <xf numFmtId="165" fontId="19" fillId="16" borderId="11" xfId="8" applyNumberFormat="1" applyFont="1" applyBorder="1" applyAlignment="1" applyProtection="1">
      <alignment horizontal="center" wrapText="1"/>
    </xf>
    <xf numFmtId="165" fontId="19" fillId="16" borderId="12" xfId="8" applyNumberFormat="1" applyFont="1" applyBorder="1" applyAlignment="1" applyProtection="1">
      <alignment horizontal="center" wrapText="1"/>
    </xf>
    <xf numFmtId="165" fontId="19" fillId="16" borderId="0" xfId="8" applyNumberFormat="1" applyFont="1" applyBorder="1" applyAlignment="1" applyProtection="1">
      <alignment horizontal="center" wrapText="1"/>
    </xf>
    <xf numFmtId="165" fontId="19" fillId="16" borderId="4" xfId="8" applyNumberFormat="1" applyFont="1" applyBorder="1" applyAlignment="1" applyProtection="1">
      <alignment horizontal="center" wrapText="1"/>
    </xf>
    <xf numFmtId="165" fontId="19" fillId="16" borderId="7" xfId="8" applyNumberFormat="1" applyFont="1" applyBorder="1" applyAlignment="1" applyProtection="1">
      <alignment horizontal="center" vertical="center"/>
    </xf>
    <xf numFmtId="165" fontId="19" fillId="16" borderId="8" xfId="8" applyNumberFormat="1" applyFont="1" applyBorder="1" applyAlignment="1" applyProtection="1">
      <alignment horizontal="center" vertical="center"/>
    </xf>
    <xf numFmtId="165" fontId="19" fillId="16" borderId="9" xfId="8" applyNumberFormat="1" applyFont="1" applyBorder="1" applyAlignment="1" applyProtection="1">
      <alignment horizontal="center" vertical="center"/>
    </xf>
    <xf numFmtId="165" fontId="19" fillId="16" borderId="10" xfId="8" applyNumberFormat="1" applyFont="1" applyBorder="1" applyAlignment="1" applyProtection="1">
      <alignment horizontal="center" vertical="center"/>
    </xf>
    <xf numFmtId="165" fontId="19" fillId="16" borderId="11" xfId="8" applyNumberFormat="1" applyFont="1" applyBorder="1" applyAlignment="1" applyProtection="1">
      <alignment horizontal="center" vertical="center"/>
    </xf>
    <xf numFmtId="165" fontId="19" fillId="16" borderId="12" xfId="8" applyNumberFormat="1" applyFont="1" applyBorder="1" applyAlignment="1" applyProtection="1">
      <alignment horizontal="center" vertical="center"/>
    </xf>
    <xf numFmtId="165" fontId="19" fillId="16" borderId="7" xfId="8" applyNumberFormat="1" applyFont="1" applyBorder="1" applyAlignment="1" applyProtection="1">
      <alignment horizontal="center" vertical="center" wrapText="1"/>
    </xf>
    <xf numFmtId="165" fontId="19" fillId="16" borderId="8" xfId="8" applyNumberFormat="1" applyFont="1" applyBorder="1" applyAlignment="1" applyProtection="1">
      <alignment horizontal="center" vertical="center" wrapText="1"/>
    </xf>
    <xf numFmtId="165" fontId="19" fillId="16" borderId="9" xfId="8" applyNumberFormat="1" applyFont="1" applyBorder="1" applyAlignment="1" applyProtection="1">
      <alignment horizontal="center" vertical="center" wrapText="1"/>
    </xf>
    <xf numFmtId="165" fontId="19" fillId="16" borderId="10" xfId="8" applyNumberFormat="1" applyFont="1" applyBorder="1" applyAlignment="1" applyProtection="1">
      <alignment horizontal="center" vertical="center" wrapText="1"/>
    </xf>
    <xf numFmtId="165" fontId="19" fillId="16" borderId="11" xfId="8" applyNumberFormat="1" applyFont="1" applyBorder="1" applyAlignment="1" applyProtection="1">
      <alignment horizontal="center" vertical="center" wrapText="1"/>
    </xf>
    <xf numFmtId="165" fontId="19" fillId="16" borderId="12" xfId="8" applyNumberFormat="1" applyFont="1" applyBorder="1" applyAlignment="1" applyProtection="1">
      <alignment horizontal="center" vertical="center" wrapText="1"/>
    </xf>
    <xf numFmtId="165" fontId="19" fillId="7" borderId="82" xfId="5" applyNumberFormat="1" applyFont="1" applyBorder="1" applyAlignment="1" applyProtection="1">
      <alignment horizontal="left"/>
    </xf>
    <xf numFmtId="165" fontId="19" fillId="7" borderId="93" xfId="5" applyNumberFormat="1" applyFont="1" applyBorder="1" applyAlignment="1" applyProtection="1">
      <alignment horizontal="left"/>
    </xf>
    <xf numFmtId="165" fontId="19" fillId="7" borderId="81" xfId="5" applyNumberFormat="1" applyFont="1" applyBorder="1" applyAlignment="1" applyProtection="1">
      <alignment horizontal="left"/>
    </xf>
    <xf numFmtId="165" fontId="19" fillId="7" borderId="83" xfId="5" applyNumberFormat="1" applyFont="1" applyBorder="1" applyAlignment="1" applyProtection="1">
      <alignment horizontal="left"/>
    </xf>
    <xf numFmtId="165" fontId="19" fillId="7" borderId="91" xfId="5" applyNumberFormat="1" applyFont="1" applyBorder="1" applyAlignment="1" applyProtection="1">
      <alignment horizontal="left"/>
    </xf>
    <xf numFmtId="165" fontId="19" fillId="7" borderId="92" xfId="5" applyNumberFormat="1" applyFont="1" applyBorder="1" applyAlignment="1" applyProtection="1">
      <alignment horizontal="left"/>
    </xf>
    <xf numFmtId="165" fontId="19" fillId="7" borderId="89" xfId="5" applyNumberFormat="1" applyFont="1" applyBorder="1" applyAlignment="1" applyProtection="1">
      <alignment horizontal="center"/>
    </xf>
    <xf numFmtId="165" fontId="19" fillId="7" borderId="90" xfId="5" applyNumberFormat="1" applyFont="1" applyBorder="1" applyAlignment="1" applyProtection="1">
      <alignment horizontal="center"/>
    </xf>
    <xf numFmtId="165" fontId="19" fillId="7" borderId="87" xfId="5" applyNumberFormat="1" applyFont="1" applyBorder="1" applyAlignment="1" applyProtection="1">
      <alignment horizontal="center"/>
    </xf>
    <xf numFmtId="165" fontId="19" fillId="7" borderId="88" xfId="5" applyNumberFormat="1" applyFont="1" applyBorder="1" applyAlignment="1" applyProtection="1">
      <alignment horizontal="center"/>
    </xf>
    <xf numFmtId="0" fontId="34" fillId="0" borderId="0" xfId="0" applyFont="1"/>
    <xf numFmtId="165" fontId="43" fillId="19" borderId="0" xfId="0" applyNumberFormat="1" applyFont="1" applyFill="1" applyAlignment="1">
      <alignment horizontal="center" vertical="center"/>
    </xf>
    <xf numFmtId="165" fontId="19" fillId="16" borderId="10" xfId="8" applyNumberFormat="1" applyFont="1" applyBorder="1" applyAlignment="1" applyProtection="1">
      <alignment horizontal="center"/>
    </xf>
    <xf numFmtId="165" fontId="19" fillId="16" borderId="12" xfId="8" applyNumberFormat="1" applyFont="1" applyBorder="1" applyAlignment="1" applyProtection="1">
      <alignment horizontal="center"/>
    </xf>
    <xf numFmtId="165" fontId="19" fillId="16" borderId="47" xfId="8" applyNumberFormat="1" applyFont="1" applyBorder="1" applyAlignment="1" applyProtection="1">
      <alignment horizontal="center" vertical="center"/>
    </xf>
    <xf numFmtId="165" fontId="19" fillId="16" borderId="4" xfId="8" applyNumberFormat="1" applyFont="1" applyBorder="1" applyAlignment="1" applyProtection="1">
      <alignment horizontal="center" vertical="center"/>
    </xf>
    <xf numFmtId="165" fontId="31" fillId="2" borderId="20" xfId="1" applyNumberFormat="1" applyFont="1" applyBorder="1" applyAlignment="1" applyProtection="1">
      <alignment horizontal="center" vertical="center"/>
    </xf>
    <xf numFmtId="165" fontId="31" fillId="2" borderId="0" xfId="1" applyNumberFormat="1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</xf>
    <xf numFmtId="0" fontId="35" fillId="13" borderId="0" xfId="2" quotePrefix="1" applyFont="1" applyBorder="1" applyAlignment="1" applyProtection="1">
      <alignment horizontal="center" vertical="center"/>
    </xf>
    <xf numFmtId="165" fontId="42" fillId="19" borderId="0" xfId="0" applyNumberFormat="1" applyFont="1" applyFill="1" applyAlignment="1">
      <alignment horizontal="center" vertical="center"/>
    </xf>
    <xf numFmtId="165" fontId="46" fillId="9" borderId="15" xfId="0" applyNumberFormat="1" applyFont="1" applyFill="1" applyBorder="1" applyAlignment="1">
      <alignment horizontal="center"/>
    </xf>
    <xf numFmtId="0" fontId="19" fillId="16" borderId="0" xfId="8" applyFont="1" applyBorder="1" applyAlignment="1" applyProtection="1">
      <alignment horizontal="right" vertical="center"/>
    </xf>
    <xf numFmtId="0" fontId="19" fillId="16" borderId="39" xfId="8" applyFont="1" applyBorder="1" applyAlignment="1" applyProtection="1">
      <alignment horizontal="right" vertical="center"/>
    </xf>
    <xf numFmtId="165" fontId="31" fillId="2" borderId="122" xfId="1" applyNumberFormat="1" applyFont="1" applyBorder="1" applyAlignment="1" applyProtection="1">
      <alignment horizontal="center"/>
    </xf>
    <xf numFmtId="165" fontId="19" fillId="16" borderId="2" xfId="8" applyNumberFormat="1" applyFont="1" applyBorder="1" applyAlignment="1" applyProtection="1">
      <alignment horizontal="center" vertical="center" wrapText="1"/>
    </xf>
    <xf numFmtId="0" fontId="35" fillId="13" borderId="13" xfId="2" applyFont="1" applyBorder="1" applyAlignment="1" applyProtection="1">
      <alignment horizontal="center" vertical="center"/>
      <protection locked="0"/>
    </xf>
    <xf numFmtId="0" fontId="35" fillId="13" borderId="19" xfId="2" quotePrefix="1" applyFont="1" applyBorder="1" applyAlignment="1" applyProtection="1">
      <alignment horizontal="center"/>
      <protection locked="0"/>
    </xf>
    <xf numFmtId="0" fontId="35" fillId="13" borderId="20" xfId="2" applyFont="1" applyBorder="1" applyAlignment="1" applyProtection="1">
      <alignment horizontal="center"/>
      <protection locked="0"/>
    </xf>
    <xf numFmtId="0" fontId="35" fillId="13" borderId="21" xfId="2" applyFont="1" applyBorder="1" applyAlignment="1" applyProtection="1">
      <alignment horizontal="center"/>
      <protection locked="0"/>
    </xf>
    <xf numFmtId="165" fontId="35" fillId="13" borderId="13" xfId="2" applyNumberFormat="1" applyFont="1" applyBorder="1" applyAlignment="1" applyProtection="1">
      <alignment horizontal="center" vertical="center"/>
      <protection locked="0"/>
    </xf>
    <xf numFmtId="165" fontId="35" fillId="13" borderId="1" xfId="2" applyNumberFormat="1" applyFont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vertical="center"/>
    </xf>
    <xf numFmtId="165" fontId="35" fillId="13" borderId="1" xfId="2" quotePrefix="1" applyNumberFormat="1" applyFont="1" applyAlignment="1" applyProtection="1">
      <alignment horizontal="center" vertical="center"/>
      <protection locked="0"/>
    </xf>
    <xf numFmtId="165" fontId="19" fillId="16" borderId="2" xfId="8" applyNumberFormat="1" applyFont="1" applyBorder="1" applyAlignment="1" applyProtection="1">
      <alignment horizontal="center" wrapText="1"/>
    </xf>
    <xf numFmtId="165" fontId="28" fillId="3" borderId="5" xfId="0" applyNumberFormat="1" applyFont="1" applyFill="1" applyBorder="1" applyAlignment="1">
      <alignment horizontal="center"/>
    </xf>
    <xf numFmtId="165" fontId="28" fillId="3" borderId="23" xfId="0" applyNumberFormat="1" applyFont="1" applyFill="1" applyBorder="1" applyAlignment="1">
      <alignment horizontal="center"/>
    </xf>
    <xf numFmtId="165" fontId="19" fillId="0" borderId="0" xfId="0" applyNumberFormat="1" applyFont="1" applyAlignment="1">
      <alignment horizontal="center"/>
    </xf>
    <xf numFmtId="165" fontId="36" fillId="11" borderId="6" xfId="6" applyNumberFormat="1" applyFont="1" applyBorder="1" applyAlignment="1" applyProtection="1">
      <alignment horizontal="center"/>
    </xf>
    <xf numFmtId="165" fontId="28" fillId="3" borderId="6" xfId="0" applyNumberFormat="1" applyFont="1" applyFill="1" applyBorder="1" applyAlignment="1">
      <alignment horizontal="center"/>
    </xf>
    <xf numFmtId="165" fontId="36" fillId="11" borderId="47" xfId="6" applyNumberFormat="1" applyFont="1" applyBorder="1" applyAlignment="1" applyProtection="1">
      <alignment horizontal="center" vertical="center"/>
    </xf>
    <xf numFmtId="0" fontId="31" fillId="2" borderId="1" xfId="1" applyFont="1" applyAlignment="1" applyProtection="1">
      <alignment horizontal="center"/>
    </xf>
    <xf numFmtId="0" fontId="37" fillId="5" borderId="31" xfId="3" applyFont="1" applyBorder="1" applyAlignment="1" applyProtection="1">
      <alignment horizontal="center"/>
    </xf>
    <xf numFmtId="165" fontId="31" fillId="2" borderId="5" xfId="1" applyNumberFormat="1" applyFont="1" applyBorder="1" applyAlignment="1" applyProtection="1">
      <alignment horizontal="right"/>
    </xf>
    <xf numFmtId="0" fontId="31" fillId="2" borderId="23" xfId="1" applyFont="1" applyBorder="1" applyAlignment="1" applyProtection="1">
      <alignment horizontal="right"/>
    </xf>
    <xf numFmtId="2" fontId="36" fillId="11" borderId="0" xfId="6" quotePrefix="1" applyNumberFormat="1" applyFont="1" applyAlignment="1" applyProtection="1">
      <alignment horizontal="center"/>
    </xf>
    <xf numFmtId="2" fontId="36" fillId="11" borderId="39" xfId="6" quotePrefix="1" applyNumberFormat="1" applyFont="1" applyBorder="1" applyAlignment="1" applyProtection="1">
      <alignment horizontal="center"/>
    </xf>
    <xf numFmtId="0" fontId="0" fillId="7" borderId="80" xfId="5" quotePrefix="1" applyFont="1" applyBorder="1" applyAlignment="1" applyProtection="1">
      <alignment horizontal="center"/>
    </xf>
    <xf numFmtId="0" fontId="0" fillId="7" borderId="142" xfId="5" quotePrefix="1" applyFont="1" applyBorder="1" applyAlignment="1" applyProtection="1">
      <alignment horizontal="center"/>
    </xf>
    <xf numFmtId="165" fontId="35" fillId="13" borderId="37" xfId="2" quotePrefix="1" applyNumberFormat="1" applyFont="1" applyBorder="1" applyAlignment="1" applyProtection="1">
      <alignment horizontal="center"/>
      <protection locked="0"/>
    </xf>
    <xf numFmtId="165" fontId="35" fillId="13" borderId="3" xfId="2" quotePrefix="1" applyNumberFormat="1" applyFont="1" applyBorder="1" applyAlignment="1" applyProtection="1">
      <alignment horizontal="center"/>
      <protection locked="0"/>
    </xf>
    <xf numFmtId="165" fontId="40" fillId="5" borderId="7" xfId="3" applyNumberFormat="1" applyFont="1" applyBorder="1" applyAlignment="1" applyProtection="1">
      <alignment horizontal="center" vertical="center"/>
    </xf>
    <xf numFmtId="165" fontId="40" fillId="5" borderId="8" xfId="3" applyNumberFormat="1" applyFont="1" applyBorder="1" applyAlignment="1" applyProtection="1">
      <alignment horizontal="center" vertical="center"/>
    </xf>
    <xf numFmtId="165" fontId="40" fillId="5" borderId="9" xfId="3" applyNumberFormat="1" applyFont="1" applyBorder="1" applyAlignment="1" applyProtection="1">
      <alignment horizontal="center" vertical="center"/>
    </xf>
    <xf numFmtId="165" fontId="40" fillId="5" borderId="47" xfId="3" applyNumberFormat="1" applyFont="1" applyBorder="1" applyAlignment="1" applyProtection="1">
      <alignment horizontal="center" vertical="center"/>
    </xf>
    <xf numFmtId="165" fontId="40" fillId="5" borderId="0" xfId="3" applyNumberFormat="1" applyFont="1" applyBorder="1" applyAlignment="1" applyProtection="1">
      <alignment horizontal="center" vertical="center"/>
    </xf>
    <xf numFmtId="165" fontId="40" fillId="5" borderId="4" xfId="3" applyNumberFormat="1" applyFont="1" applyBorder="1" applyAlignment="1" applyProtection="1">
      <alignment horizontal="center" vertical="center"/>
    </xf>
    <xf numFmtId="165" fontId="40" fillId="5" borderId="10" xfId="3" applyNumberFormat="1" applyFont="1" applyBorder="1" applyAlignment="1" applyProtection="1">
      <alignment horizontal="center" vertical="center"/>
    </xf>
    <xf numFmtId="165" fontId="40" fillId="5" borderId="11" xfId="3" applyNumberFormat="1" applyFont="1" applyBorder="1" applyAlignment="1" applyProtection="1">
      <alignment horizontal="center" vertical="center"/>
    </xf>
    <xf numFmtId="165" fontId="40" fillId="5" borderId="12" xfId="3" applyNumberFormat="1" applyFont="1" applyBorder="1" applyAlignment="1" applyProtection="1">
      <alignment horizontal="center" vertical="center"/>
    </xf>
    <xf numFmtId="165" fontId="37" fillId="5" borderId="2" xfId="3" applyNumberFormat="1" applyFont="1" applyBorder="1" applyAlignment="1" applyProtection="1">
      <alignment horizontal="center"/>
    </xf>
    <xf numFmtId="165" fontId="31" fillId="2" borderId="7" xfId="1" applyNumberFormat="1" applyFont="1" applyBorder="1" applyAlignment="1" applyProtection="1">
      <alignment horizontal="right" vertical="center"/>
    </xf>
    <xf numFmtId="165" fontId="31" fillId="2" borderId="8" xfId="1" applyNumberFormat="1" applyFont="1" applyBorder="1" applyAlignment="1" applyProtection="1">
      <alignment horizontal="right" vertical="center"/>
    </xf>
    <xf numFmtId="165" fontId="31" fillId="2" borderId="10" xfId="1" applyNumberFormat="1" applyFont="1" applyBorder="1" applyAlignment="1" applyProtection="1">
      <alignment horizontal="right" vertical="center"/>
    </xf>
    <xf numFmtId="165" fontId="31" fillId="2" borderId="11" xfId="1" applyNumberFormat="1" applyFont="1" applyBorder="1" applyAlignment="1" applyProtection="1">
      <alignment horizontal="right" vertical="center"/>
    </xf>
    <xf numFmtId="0" fontId="31" fillId="2" borderId="9" xfId="1" quotePrefix="1" applyFont="1" applyBorder="1" applyAlignment="1" applyProtection="1">
      <alignment horizontal="left" vertical="center"/>
    </xf>
    <xf numFmtId="0" fontId="31" fillId="2" borderId="12" xfId="1" quotePrefix="1" applyFont="1" applyBorder="1" applyAlignment="1" applyProtection="1">
      <alignment horizontal="left" vertical="center"/>
    </xf>
    <xf numFmtId="0" fontId="37" fillId="5" borderId="10" xfId="3" applyFont="1" applyBorder="1" applyAlignment="1" applyProtection="1">
      <alignment horizontal="center"/>
    </xf>
    <xf numFmtId="0" fontId="37" fillId="5" borderId="11" xfId="3" applyFont="1" applyBorder="1" applyAlignment="1" applyProtection="1">
      <alignment horizontal="center"/>
    </xf>
    <xf numFmtId="0" fontId="37" fillId="5" borderId="12" xfId="3" applyFont="1" applyBorder="1" applyAlignment="1" applyProtection="1">
      <alignment horizontal="center"/>
    </xf>
    <xf numFmtId="165" fontId="37" fillId="5" borderId="43" xfId="3" applyNumberFormat="1" applyFont="1" applyBorder="1" applyAlignment="1" applyProtection="1">
      <alignment horizontal="right"/>
    </xf>
    <xf numFmtId="165" fontId="37" fillId="5" borderId="23" xfId="3" applyNumberFormat="1" applyFont="1" applyBorder="1" applyAlignment="1" applyProtection="1">
      <alignment horizontal="right"/>
    </xf>
    <xf numFmtId="165" fontId="37" fillId="5" borderId="6" xfId="3" applyNumberFormat="1" applyFont="1" applyBorder="1" applyAlignment="1" applyProtection="1">
      <alignment horizontal="right"/>
    </xf>
    <xf numFmtId="1" fontId="35" fillId="13" borderId="1" xfId="2" quotePrefix="1" applyNumberFormat="1" applyFont="1" applyAlignment="1" applyProtection="1">
      <alignment horizontal="center"/>
      <protection locked="0"/>
    </xf>
    <xf numFmtId="1" fontId="35" fillId="13" borderId="1" xfId="2" applyNumberFormat="1" applyFont="1" applyAlignment="1" applyProtection="1">
      <alignment horizontal="center"/>
      <protection locked="0"/>
    </xf>
    <xf numFmtId="165" fontId="37" fillId="5" borderId="78" xfId="3" applyNumberFormat="1" applyFont="1" applyBorder="1" applyAlignment="1" applyProtection="1">
      <alignment horizontal="right"/>
    </xf>
    <xf numFmtId="165" fontId="37" fillId="5" borderId="11" xfId="3" applyNumberFormat="1" applyFont="1" applyBorder="1" applyAlignment="1" applyProtection="1">
      <alignment horizontal="right"/>
    </xf>
    <xf numFmtId="165" fontId="37" fillId="5" borderId="12" xfId="3" applyNumberFormat="1" applyFont="1" applyBorder="1" applyAlignment="1" applyProtection="1">
      <alignment horizontal="right"/>
    </xf>
    <xf numFmtId="165" fontId="31" fillId="2" borderId="13" xfId="1" applyNumberFormat="1" applyFont="1" applyBorder="1" applyAlignment="1" applyProtection="1">
      <alignment horizontal="center"/>
    </xf>
    <xf numFmtId="0" fontId="34" fillId="3" borderId="5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4" fillId="3" borderId="6" xfId="0" applyFont="1" applyFill="1" applyBorder="1" applyAlignment="1">
      <alignment horizontal="center"/>
    </xf>
    <xf numFmtId="165" fontId="31" fillId="2" borderId="3" xfId="1" applyNumberFormat="1" applyFont="1" applyBorder="1" applyAlignment="1" applyProtection="1">
      <alignment horizontal="center"/>
    </xf>
    <xf numFmtId="0" fontId="34" fillId="12" borderId="2" xfId="0" applyFont="1" applyFill="1" applyBorder="1" applyAlignment="1">
      <alignment horizontal="left" vertical="center"/>
    </xf>
    <xf numFmtId="165" fontId="46" fillId="7" borderId="22" xfId="5" applyNumberFormat="1" applyFont="1" applyBorder="1" applyAlignment="1" applyProtection="1">
      <alignment horizontal="center"/>
    </xf>
    <xf numFmtId="0" fontId="36" fillId="11" borderId="5" xfId="6" applyFont="1" applyBorder="1" applyAlignment="1" applyProtection="1">
      <alignment horizontal="left"/>
    </xf>
    <xf numFmtId="0" fontId="36" fillId="11" borderId="23" xfId="6" applyFont="1" applyBorder="1" applyAlignment="1" applyProtection="1">
      <alignment horizontal="left"/>
    </xf>
    <xf numFmtId="0" fontId="36" fillId="11" borderId="6" xfId="6" applyFont="1" applyBorder="1" applyAlignment="1" applyProtection="1">
      <alignment horizontal="left"/>
    </xf>
    <xf numFmtId="165" fontId="37" fillId="5" borderId="31" xfId="3" applyNumberFormat="1" applyFont="1" applyBorder="1" applyAlignment="1" applyProtection="1">
      <alignment horizontal="center"/>
    </xf>
    <xf numFmtId="165" fontId="36" fillId="11" borderId="7" xfId="6" applyNumberFormat="1" applyFont="1" applyBorder="1" applyAlignment="1" applyProtection="1">
      <alignment horizontal="center" vertical="center"/>
    </xf>
    <xf numFmtId="165" fontId="36" fillId="11" borderId="8" xfId="6" applyNumberFormat="1" applyFont="1" applyBorder="1" applyAlignment="1" applyProtection="1">
      <alignment horizontal="center" vertical="center"/>
    </xf>
    <xf numFmtId="165" fontId="36" fillId="11" borderId="9" xfId="6" applyNumberFormat="1" applyFont="1" applyBorder="1" applyAlignment="1" applyProtection="1">
      <alignment horizontal="center" vertical="center"/>
    </xf>
    <xf numFmtId="165" fontId="36" fillId="11" borderId="0" xfId="6" applyNumberFormat="1" applyFont="1" applyBorder="1" applyAlignment="1" applyProtection="1">
      <alignment horizontal="center" vertical="center"/>
    </xf>
    <xf numFmtId="165" fontId="36" fillId="11" borderId="4" xfId="6" applyNumberFormat="1" applyFont="1" applyBorder="1" applyAlignment="1" applyProtection="1">
      <alignment horizontal="center" vertical="center"/>
    </xf>
    <xf numFmtId="165" fontId="35" fillId="13" borderId="99" xfId="2" applyNumberFormat="1" applyFont="1" applyBorder="1" applyAlignment="1" applyProtection="1">
      <alignment horizontal="center" vertical="center"/>
      <protection locked="0"/>
    </xf>
    <xf numFmtId="165" fontId="35" fillId="13" borderId="8" xfId="2" applyNumberFormat="1" applyFont="1" applyBorder="1" applyAlignment="1" applyProtection="1">
      <alignment horizontal="center" vertical="center"/>
      <protection locked="0"/>
    </xf>
    <xf numFmtId="165" fontId="35" fillId="13" borderId="17" xfId="2" applyNumberFormat="1" applyFont="1" applyBorder="1" applyAlignment="1" applyProtection="1">
      <alignment horizontal="center" vertical="center"/>
      <protection locked="0"/>
    </xf>
    <xf numFmtId="165" fontId="35" fillId="13" borderId="45" xfId="2" applyNumberFormat="1" applyFont="1" applyBorder="1" applyAlignment="1" applyProtection="1">
      <alignment horizontal="center" vertical="center"/>
      <protection locked="0"/>
    </xf>
    <xf numFmtId="165" fontId="31" fillId="2" borderId="13" xfId="1" applyNumberFormat="1" applyFont="1" applyBorder="1" applyAlignment="1" applyProtection="1">
      <alignment horizontal="center" vertical="center"/>
    </xf>
    <xf numFmtId="165" fontId="31" fillId="2" borderId="1" xfId="1" applyNumberFormat="1" applyFont="1" applyAlignment="1" applyProtection="1">
      <alignment horizontal="center" vertical="center"/>
    </xf>
    <xf numFmtId="165" fontId="31" fillId="2" borderId="44" xfId="1" applyNumberFormat="1" applyFont="1" applyBorder="1" applyAlignment="1" applyProtection="1">
      <alignment horizontal="center"/>
    </xf>
    <xf numFmtId="165" fontId="36" fillId="11" borderId="15" xfId="6" applyNumberFormat="1" applyFont="1" applyBorder="1" applyAlignment="1" applyProtection="1">
      <alignment horizontal="center"/>
    </xf>
    <xf numFmtId="0" fontId="39" fillId="7" borderId="25" xfId="5" applyFont="1" applyAlignment="1" applyProtection="1">
      <alignment horizontal="center"/>
    </xf>
    <xf numFmtId="0" fontId="39" fillId="7" borderId="79" xfId="5" applyFont="1" applyBorder="1" applyAlignment="1" applyProtection="1">
      <alignment horizontal="center"/>
    </xf>
    <xf numFmtId="165" fontId="36" fillId="11" borderId="1" xfId="6" quotePrefix="1" applyNumberFormat="1" applyFont="1" applyBorder="1" applyAlignment="1" applyProtection="1">
      <alignment horizontal="center"/>
    </xf>
    <xf numFmtId="165" fontId="36" fillId="11" borderId="1" xfId="6" applyNumberFormat="1" applyFont="1" applyBorder="1" applyAlignment="1" applyProtection="1">
      <alignment horizontal="center"/>
    </xf>
    <xf numFmtId="0" fontId="39" fillId="7" borderId="25" xfId="5" applyFont="1" applyProtection="1"/>
    <xf numFmtId="0" fontId="37" fillId="5" borderId="7" xfId="3" applyFont="1" applyBorder="1" applyAlignment="1" applyProtection="1">
      <alignment horizontal="center"/>
    </xf>
    <xf numFmtId="0" fontId="37" fillId="5" borderId="8" xfId="3" applyFont="1" applyBorder="1" applyAlignment="1" applyProtection="1">
      <alignment horizontal="center"/>
    </xf>
    <xf numFmtId="0" fontId="37" fillId="5" borderId="9" xfId="3" applyFont="1" applyBorder="1" applyAlignment="1" applyProtection="1">
      <alignment horizontal="center"/>
    </xf>
    <xf numFmtId="0" fontId="37" fillId="5" borderId="47" xfId="3" applyFont="1" applyBorder="1" applyAlignment="1" applyProtection="1">
      <alignment horizontal="center"/>
    </xf>
    <xf numFmtId="0" fontId="37" fillId="5" borderId="0" xfId="3" applyFont="1" applyBorder="1" applyAlignment="1" applyProtection="1">
      <alignment horizontal="center"/>
    </xf>
    <xf numFmtId="0" fontId="37" fillId="5" borderId="4" xfId="3" applyFont="1" applyBorder="1" applyAlignment="1" applyProtection="1">
      <alignment horizontal="center"/>
    </xf>
    <xf numFmtId="0" fontId="44" fillId="5" borderId="5" xfId="3" applyFont="1" applyBorder="1" applyAlignment="1" applyProtection="1">
      <alignment horizontal="center" vertical="center"/>
    </xf>
    <xf numFmtId="0" fontId="44" fillId="5" borderId="23" xfId="3" applyFont="1" applyBorder="1" applyAlignment="1" applyProtection="1">
      <alignment horizontal="center" vertical="center"/>
    </xf>
    <xf numFmtId="0" fontId="44" fillId="5" borderId="6" xfId="3" applyFont="1" applyBorder="1" applyAlignment="1" applyProtection="1">
      <alignment horizontal="center" vertical="center"/>
    </xf>
    <xf numFmtId="164" fontId="19" fillId="16" borderId="95" xfId="8" applyNumberFormat="1" applyFont="1" applyBorder="1" applyAlignment="1" applyProtection="1">
      <alignment horizontal="center" vertical="center" wrapText="1"/>
    </xf>
    <xf numFmtId="164" fontId="19" fillId="16" borderId="96" xfId="8" applyNumberFormat="1" applyFont="1" applyBorder="1" applyAlignment="1" applyProtection="1">
      <alignment horizontal="center" vertical="center" wrapText="1"/>
    </xf>
    <xf numFmtId="164" fontId="19" fillId="16" borderId="97" xfId="8" applyNumberFormat="1" applyFont="1" applyBorder="1" applyAlignment="1" applyProtection="1">
      <alignment horizontal="center" vertical="center" wrapText="1"/>
    </xf>
    <xf numFmtId="164" fontId="19" fillId="16" borderId="10" xfId="8" applyNumberFormat="1" applyFont="1" applyBorder="1" applyAlignment="1" applyProtection="1">
      <alignment horizontal="center" vertical="center" wrapText="1"/>
    </xf>
    <xf numFmtId="164" fontId="19" fillId="16" borderId="11" xfId="8" applyNumberFormat="1" applyFont="1" applyBorder="1" applyAlignment="1" applyProtection="1">
      <alignment horizontal="center" vertical="center" wrapText="1"/>
    </xf>
    <xf numFmtId="164" fontId="19" fillId="16" borderId="12" xfId="8" applyNumberFormat="1" applyFont="1" applyBorder="1" applyAlignment="1" applyProtection="1">
      <alignment horizontal="center" vertical="center" wrapText="1"/>
    </xf>
    <xf numFmtId="0" fontId="38" fillId="6" borderId="24" xfId="4" applyFont="1" applyAlignment="1" applyProtection="1">
      <alignment horizontal="center" vertical="center"/>
    </xf>
    <xf numFmtId="0" fontId="35" fillId="13" borderId="2" xfId="2" applyFont="1" applyBorder="1" applyAlignment="1" applyProtection="1">
      <alignment horizontal="center"/>
      <protection locked="0"/>
    </xf>
    <xf numFmtId="0" fontId="31" fillId="2" borderId="1" xfId="1" applyFont="1" applyAlignment="1" applyProtection="1">
      <alignment horizontal="center" vertical="center"/>
    </xf>
    <xf numFmtId="0" fontId="19" fillId="16" borderId="1" xfId="8" applyFont="1" applyBorder="1" applyAlignment="1" applyProtection="1">
      <alignment horizontal="center" vertical="center"/>
    </xf>
    <xf numFmtId="165" fontId="38" fillId="6" borderId="49" xfId="4" applyNumberFormat="1" applyFont="1" applyBorder="1" applyAlignment="1" applyProtection="1">
      <alignment horizontal="center"/>
    </xf>
    <xf numFmtId="0" fontId="35" fillId="13" borderId="1" xfId="2" quotePrefix="1" applyFont="1" applyAlignment="1" applyProtection="1">
      <alignment horizontal="center"/>
      <protection locked="0"/>
    </xf>
    <xf numFmtId="0" fontId="35" fillId="13" borderId="1" xfId="2" applyFont="1" applyAlignment="1" applyProtection="1">
      <alignment horizontal="center"/>
      <protection locked="0"/>
    </xf>
    <xf numFmtId="0" fontId="37" fillId="5" borderId="2" xfId="3" applyFont="1" applyBorder="1" applyAlignment="1" applyProtection="1">
      <alignment horizontal="center"/>
    </xf>
    <xf numFmtId="49" fontId="35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6" borderId="2" xfId="8" applyNumberFormat="1" applyFont="1" applyBorder="1" applyAlignment="1" applyProtection="1">
      <alignment horizontal="center" vertical="center" wrapText="1"/>
    </xf>
    <xf numFmtId="165" fontId="19" fillId="16" borderId="1" xfId="8" applyNumberFormat="1" applyFont="1" applyBorder="1" applyAlignment="1" applyProtection="1">
      <alignment horizontal="center" vertical="center"/>
    </xf>
    <xf numFmtId="0" fontId="28" fillId="18" borderId="30" xfId="8" applyFont="1" applyFill="1" applyBorder="1" applyAlignment="1" applyProtection="1">
      <alignment horizontal="right"/>
    </xf>
    <xf numFmtId="49" fontId="35" fillId="13" borderId="18" xfId="2" quotePrefix="1" applyNumberFormat="1" applyFont="1" applyBorder="1" applyAlignment="1" applyProtection="1">
      <alignment horizontal="center"/>
      <protection locked="0"/>
    </xf>
    <xf numFmtId="49" fontId="35" fillId="13" borderId="13" xfId="2" applyNumberFormat="1" applyFont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</xf>
    <xf numFmtId="0" fontId="35" fillId="13" borderId="23" xfId="2" applyFont="1" applyBorder="1" applyAlignment="1" applyProtection="1">
      <alignment horizontal="center"/>
    </xf>
    <xf numFmtId="0" fontId="35" fillId="13" borderId="6" xfId="2" applyFont="1" applyBorder="1" applyAlignment="1" applyProtection="1">
      <alignment horizontal="center"/>
    </xf>
    <xf numFmtId="0" fontId="19" fillId="16" borderId="7" xfId="8" applyFont="1" applyBorder="1" applyAlignment="1" applyProtection="1">
      <alignment horizontal="right" vertical="center"/>
    </xf>
    <xf numFmtId="0" fontId="19" fillId="16" borderId="8" xfId="8" applyFont="1" applyBorder="1" applyAlignment="1" applyProtection="1">
      <alignment horizontal="right" vertical="center"/>
    </xf>
    <xf numFmtId="0" fontId="19" fillId="16" borderId="9" xfId="8" applyFont="1" applyBorder="1" applyAlignment="1" applyProtection="1">
      <alignment horizontal="right" vertical="center"/>
    </xf>
    <xf numFmtId="0" fontId="19" fillId="16" borderId="47" xfId="8" applyFont="1" applyBorder="1" applyAlignment="1" applyProtection="1">
      <alignment horizontal="right" vertical="center"/>
    </xf>
    <xf numFmtId="0" fontId="19" fillId="16" borderId="4" xfId="8" applyFont="1" applyBorder="1" applyAlignment="1" applyProtection="1">
      <alignment horizontal="right" vertical="center"/>
    </xf>
    <xf numFmtId="0" fontId="19" fillId="16" borderId="10" xfId="8" applyFont="1" applyBorder="1" applyAlignment="1" applyProtection="1">
      <alignment horizontal="right" vertical="center"/>
    </xf>
    <xf numFmtId="0" fontId="19" fillId="16" borderId="11" xfId="8" applyFont="1" applyBorder="1" applyAlignment="1" applyProtection="1">
      <alignment horizontal="right" vertical="center"/>
    </xf>
    <xf numFmtId="0" fontId="19" fillId="16" borderId="12" xfId="8" applyFont="1" applyBorder="1" applyAlignment="1" applyProtection="1">
      <alignment horizontal="right" vertical="center"/>
    </xf>
    <xf numFmtId="165" fontId="31" fillId="2" borderId="7" xfId="1" applyNumberFormat="1" applyFont="1" applyBorder="1" applyAlignment="1" applyProtection="1">
      <alignment horizontal="center" vertical="center"/>
    </xf>
    <xf numFmtId="165" fontId="31" fillId="2" borderId="47" xfId="1" applyNumberFormat="1" applyFont="1" applyBorder="1" applyAlignment="1" applyProtection="1">
      <alignment horizontal="center" vertical="center"/>
    </xf>
    <xf numFmtId="165" fontId="31" fillId="2" borderId="4" xfId="1" applyNumberFormat="1" applyFont="1" applyBorder="1" applyAlignment="1" applyProtection="1">
      <alignment horizontal="center" vertical="center"/>
    </xf>
    <xf numFmtId="165" fontId="31" fillId="2" borderId="46" xfId="1" applyNumberFormat="1" applyFont="1" applyBorder="1" applyAlignment="1" applyProtection="1">
      <alignment horizontal="center" vertical="center"/>
    </xf>
    <xf numFmtId="165" fontId="31" fillId="2" borderId="45" xfId="1" applyNumberFormat="1" applyFont="1" applyBorder="1" applyAlignment="1" applyProtection="1">
      <alignment horizontal="center" vertical="center"/>
    </xf>
    <xf numFmtId="165" fontId="31" fillId="2" borderId="48" xfId="1" applyNumberFormat="1" applyFont="1" applyBorder="1" applyAlignment="1" applyProtection="1">
      <alignment horizontal="center" vertical="center"/>
    </xf>
    <xf numFmtId="0" fontId="35" fillId="13" borderId="7" xfId="2" quotePrefix="1" applyFont="1" applyBorder="1" applyAlignment="1" applyProtection="1">
      <alignment horizontal="center" vertical="center"/>
      <protection locked="0"/>
    </xf>
    <xf numFmtId="0" fontId="35" fillId="13" borderId="8" xfId="2" quotePrefix="1" applyFont="1" applyBorder="1" applyAlignment="1" applyProtection="1">
      <alignment horizontal="center" vertical="center"/>
      <protection locked="0"/>
    </xf>
    <xf numFmtId="0" fontId="35" fillId="13" borderId="47" xfId="2" quotePrefix="1" applyFont="1" applyBorder="1" applyAlignment="1" applyProtection="1">
      <alignment horizontal="center" vertical="center"/>
      <protection locked="0"/>
    </xf>
    <xf numFmtId="0" fontId="35" fillId="13" borderId="0" xfId="2" quotePrefix="1" applyFont="1" applyBorder="1" applyAlignment="1" applyProtection="1">
      <alignment horizontal="center" vertical="center"/>
      <protection locked="0"/>
    </xf>
    <xf numFmtId="0" fontId="35" fillId="13" borderId="10" xfId="2" quotePrefix="1" applyFont="1" applyBorder="1" applyAlignment="1" applyProtection="1">
      <alignment horizontal="center" vertical="center"/>
      <protection locked="0"/>
    </xf>
    <xf numFmtId="0" fontId="35" fillId="13" borderId="11" xfId="2" quotePrefix="1" applyFont="1" applyBorder="1" applyAlignment="1" applyProtection="1">
      <alignment horizontal="center" vertical="center"/>
      <protection locked="0"/>
    </xf>
    <xf numFmtId="0" fontId="44" fillId="5" borderId="2" xfId="3" applyFont="1" applyBorder="1" applyAlignment="1" applyProtection="1">
      <alignment horizontal="center" vertical="center"/>
    </xf>
    <xf numFmtId="0" fontId="35" fillId="13" borderId="7" xfId="2" quotePrefix="1" applyFont="1" applyBorder="1" applyAlignment="1" applyProtection="1">
      <alignment horizontal="center" vertical="center"/>
    </xf>
    <xf numFmtId="0" fontId="35" fillId="13" borderId="8" xfId="2" quotePrefix="1" applyFont="1" applyBorder="1" applyAlignment="1" applyProtection="1">
      <alignment horizontal="center" vertical="center"/>
    </xf>
    <xf numFmtId="0" fontId="35" fillId="13" borderId="47" xfId="2" quotePrefix="1" applyFont="1" applyBorder="1" applyAlignment="1" applyProtection="1">
      <alignment horizontal="center" vertical="center"/>
    </xf>
    <xf numFmtId="0" fontId="35" fillId="13" borderId="10" xfId="2" quotePrefix="1" applyFont="1" applyBorder="1" applyAlignment="1" applyProtection="1">
      <alignment horizontal="center" vertical="center"/>
    </xf>
    <xf numFmtId="0" fontId="35" fillId="13" borderId="11" xfId="2" quotePrefix="1" applyFont="1" applyBorder="1" applyAlignment="1" applyProtection="1">
      <alignment horizontal="center" vertical="center"/>
    </xf>
    <xf numFmtId="49" fontId="35" fillId="13" borderId="31" xfId="2" quotePrefix="1" applyNumberFormat="1" applyFont="1" applyBorder="1" applyAlignment="1" applyProtection="1">
      <alignment horizontal="center" vertical="center"/>
      <protection locked="0"/>
    </xf>
    <xf numFmtId="1" fontId="35" fillId="13" borderId="13" xfId="2" applyNumberFormat="1" applyFont="1" applyBorder="1" applyAlignment="1" applyProtection="1">
      <alignment horizontal="center" vertical="center"/>
      <protection locked="0"/>
    </xf>
    <xf numFmtId="1" fontId="35" fillId="13" borderId="17" xfId="2" applyNumberFormat="1" applyFont="1" applyBorder="1" applyAlignment="1" applyProtection="1">
      <alignment horizontal="center" vertical="center"/>
      <protection locked="0"/>
    </xf>
    <xf numFmtId="0" fontId="31" fillId="2" borderId="44" xfId="1" applyFont="1" applyBorder="1" applyAlignment="1" applyProtection="1">
      <alignment horizontal="center"/>
    </xf>
    <xf numFmtId="0" fontId="31" fillId="2" borderId="38" xfId="1" applyFont="1" applyBorder="1" applyAlignment="1" applyProtection="1">
      <alignment horizontal="center"/>
    </xf>
    <xf numFmtId="0" fontId="31" fillId="2" borderId="3" xfId="1" applyFont="1" applyBorder="1" applyAlignment="1" applyProtection="1">
      <alignment horizontal="center"/>
    </xf>
    <xf numFmtId="165" fontId="31" fillId="2" borderId="38" xfId="1" applyNumberFormat="1" applyFont="1" applyBorder="1" applyAlignment="1" applyProtection="1">
      <alignment horizontal="center"/>
    </xf>
    <xf numFmtId="165" fontId="46" fillId="7" borderId="80" xfId="5" applyNumberFormat="1" applyFont="1" applyBorder="1" applyAlignment="1" applyProtection="1">
      <alignment horizontal="center"/>
    </xf>
    <xf numFmtId="165" fontId="46" fillId="7" borderId="0" xfId="5" applyNumberFormat="1" applyFont="1" applyBorder="1" applyAlignment="1" applyProtection="1">
      <alignment horizontal="center"/>
    </xf>
    <xf numFmtId="0" fontId="38" fillId="6" borderId="24" xfId="4" applyFont="1" applyAlignment="1" applyProtection="1">
      <alignment horizontal="center"/>
    </xf>
    <xf numFmtId="0" fontId="38" fillId="6" borderId="49" xfId="4" applyFont="1" applyBorder="1" applyAlignment="1" applyProtection="1">
      <alignment horizontal="center"/>
    </xf>
    <xf numFmtId="165" fontId="31" fillId="2" borderId="29" xfId="1" applyNumberFormat="1" applyFont="1" applyBorder="1" applyAlignment="1" applyProtection="1">
      <alignment horizontal="center"/>
    </xf>
    <xf numFmtId="165" fontId="31" fillId="2" borderId="124" xfId="1" applyNumberFormat="1" applyFont="1" applyBorder="1" applyAlignment="1" applyProtection="1">
      <alignment horizontal="center"/>
    </xf>
    <xf numFmtId="165" fontId="31" fillId="2" borderId="15" xfId="1" applyNumberFormat="1" applyFont="1" applyBorder="1" applyAlignment="1" applyProtection="1">
      <alignment horizontal="center"/>
    </xf>
    <xf numFmtId="165" fontId="31" fillId="2" borderId="108" xfId="1" applyNumberFormat="1" applyFont="1" applyBorder="1" applyAlignment="1" applyProtection="1">
      <alignment horizontal="center"/>
    </xf>
    <xf numFmtId="165" fontId="38" fillId="6" borderId="125" xfId="4" applyNumberFormat="1" applyFont="1" applyBorder="1" applyAlignment="1" applyProtection="1">
      <alignment horizontal="left"/>
    </xf>
    <xf numFmtId="165" fontId="35" fillId="13" borderId="19" xfId="2" applyNumberFormat="1" applyFont="1" applyBorder="1" applyAlignment="1" applyProtection="1">
      <alignment horizontal="center" vertical="center"/>
      <protection locked="0"/>
    </xf>
    <xf numFmtId="165" fontId="35" fillId="13" borderId="20" xfId="2" applyNumberFormat="1" applyFont="1" applyBorder="1" applyAlignment="1" applyProtection="1">
      <alignment horizontal="center" vertical="center"/>
      <protection locked="0"/>
    </xf>
    <xf numFmtId="0" fontId="35" fillId="13" borderId="17" xfId="2" applyFont="1" applyBorder="1" applyAlignment="1" applyProtection="1">
      <alignment horizontal="center" vertical="center"/>
      <protection locked="0"/>
    </xf>
    <xf numFmtId="0" fontId="35" fillId="13" borderId="45" xfId="2" applyFont="1" applyBorder="1" applyAlignment="1" applyProtection="1">
      <alignment horizontal="center" vertical="center"/>
      <protection locked="0"/>
    </xf>
    <xf numFmtId="0" fontId="35" fillId="13" borderId="18" xfId="2" applyFont="1" applyBorder="1" applyAlignment="1" applyProtection="1">
      <alignment horizontal="center" vertical="center"/>
      <protection locked="0"/>
    </xf>
    <xf numFmtId="49" fontId="35" fillId="13" borderId="8" xfId="2" quotePrefix="1" applyNumberFormat="1" applyFont="1" applyBorder="1" applyAlignment="1" applyProtection="1">
      <alignment horizontal="center" vertical="center"/>
      <protection locked="0"/>
    </xf>
    <xf numFmtId="49" fontId="35" fillId="13" borderId="27" xfId="2" quotePrefix="1" applyNumberFormat="1" applyFont="1" applyBorder="1" applyAlignment="1" applyProtection="1">
      <alignment horizontal="center" vertical="center"/>
      <protection locked="0"/>
    </xf>
    <xf numFmtId="49" fontId="35" fillId="13" borderId="45" xfId="2" quotePrefix="1" applyNumberFormat="1" applyFont="1" applyBorder="1" applyAlignment="1" applyProtection="1">
      <alignment horizontal="center" vertical="center"/>
      <protection locked="0"/>
    </xf>
    <xf numFmtId="49" fontId="35" fillId="13" borderId="107" xfId="2" quotePrefix="1" applyNumberFormat="1" applyFont="1" applyBorder="1" applyAlignment="1" applyProtection="1">
      <alignment horizontal="center" vertical="center"/>
      <protection locked="0"/>
    </xf>
    <xf numFmtId="49" fontId="35" fillId="13" borderId="20" xfId="2" quotePrefix="1" applyNumberFormat="1" applyFont="1" applyBorder="1" applyAlignment="1" applyProtection="1">
      <alignment horizontal="center" vertical="center"/>
      <protection locked="0"/>
    </xf>
    <xf numFmtId="49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37" fillId="5" borderId="15" xfId="3" applyNumberFormat="1" applyFont="1" applyBorder="1" applyAlignment="1" applyProtection="1">
      <alignment horizontal="center"/>
    </xf>
    <xf numFmtId="0" fontId="35" fillId="13" borderId="123" xfId="2" applyFont="1" applyBorder="1" applyAlignment="1" applyProtection="1">
      <alignment horizontal="center" vertical="center"/>
      <protection locked="0"/>
    </xf>
    <xf numFmtId="0" fontId="34" fillId="12" borderId="30" xfId="0" applyFont="1" applyFill="1" applyBorder="1" applyAlignment="1">
      <alignment horizontal="left" vertical="center"/>
    </xf>
    <xf numFmtId="165" fontId="36" fillId="11" borderId="2" xfId="6" quotePrefix="1" applyNumberFormat="1" applyFont="1" applyBorder="1" applyAlignment="1" applyProtection="1">
      <alignment horizontal="center"/>
    </xf>
    <xf numFmtId="165" fontId="19" fillId="9" borderId="15" xfId="0" applyNumberFormat="1" applyFont="1" applyFill="1" applyBorder="1" applyAlignment="1">
      <alignment horizontal="center"/>
    </xf>
    <xf numFmtId="0" fontId="0" fillId="7" borderId="143" xfId="5" quotePrefix="1" applyFont="1" applyBorder="1" applyAlignment="1" applyProtection="1">
      <alignment horizontal="center"/>
    </xf>
    <xf numFmtId="0" fontId="0" fillId="7" borderId="144" xfId="5" quotePrefix="1" applyFont="1" applyBorder="1" applyAlignment="1" applyProtection="1">
      <alignment horizontal="center"/>
    </xf>
    <xf numFmtId="0" fontId="1" fillId="2" borderId="1" xfId="1" applyAlignment="1" applyProtection="1">
      <alignment horizontal="center"/>
    </xf>
    <xf numFmtId="165" fontId="19" fillId="9" borderId="108" xfId="0" applyNumberFormat="1" applyFont="1" applyFill="1" applyBorder="1" applyAlignment="1">
      <alignment horizontal="center"/>
    </xf>
    <xf numFmtId="165" fontId="19" fillId="7" borderId="111" xfId="5" applyNumberFormat="1" applyFont="1" applyBorder="1" applyAlignment="1" applyProtection="1">
      <alignment horizontal="center"/>
    </xf>
    <xf numFmtId="165" fontId="19" fillId="7" borderId="31" xfId="5" applyNumberFormat="1" applyFont="1" applyBorder="1" applyAlignment="1" applyProtection="1">
      <alignment horizontal="center"/>
    </xf>
    <xf numFmtId="0" fontId="48" fillId="5" borderId="5" xfId="3" applyFont="1" applyBorder="1" applyAlignment="1" applyProtection="1">
      <alignment horizontal="center" vertical="center"/>
    </xf>
    <xf numFmtId="0" fontId="48" fillId="5" borderId="23" xfId="3" applyFont="1" applyBorder="1" applyAlignment="1" applyProtection="1">
      <alignment horizontal="center" vertical="center"/>
    </xf>
    <xf numFmtId="0" fontId="48" fillId="5" borderId="6" xfId="3" applyFont="1" applyBorder="1" applyAlignment="1" applyProtection="1">
      <alignment horizontal="center" vertical="center"/>
    </xf>
    <xf numFmtId="0" fontId="39" fillId="7" borderId="77" xfId="5" applyFont="1" applyBorder="1" applyAlignment="1" applyProtection="1">
      <alignment horizontal="center"/>
    </xf>
    <xf numFmtId="165" fontId="36" fillId="11" borderId="10" xfId="6" applyNumberFormat="1" applyFont="1" applyBorder="1" applyAlignment="1" applyProtection="1">
      <alignment horizontal="center" vertical="center"/>
    </xf>
    <xf numFmtId="165" fontId="36" fillId="11" borderId="12" xfId="6" applyNumberFormat="1" applyFont="1" applyBorder="1" applyAlignment="1" applyProtection="1">
      <alignment horizontal="center" vertical="center"/>
    </xf>
    <xf numFmtId="0" fontId="8" fillId="6" borderId="98" xfId="4" applyBorder="1" applyAlignment="1" applyProtection="1">
      <alignment horizontal="center"/>
    </xf>
    <xf numFmtId="0" fontId="8" fillId="6" borderId="41" xfId="4" applyBorder="1" applyAlignment="1" applyProtection="1">
      <alignment horizontal="center"/>
    </xf>
    <xf numFmtId="0" fontId="8" fillId="6" borderId="42" xfId="4" applyBorder="1" applyAlignment="1" applyProtection="1">
      <alignment horizontal="center"/>
    </xf>
    <xf numFmtId="0" fontId="19" fillId="31" borderId="2" xfId="8" applyFont="1" applyFill="1" applyBorder="1" applyAlignment="1" applyProtection="1">
      <alignment horizontal="right"/>
    </xf>
    <xf numFmtId="165" fontId="38" fillId="6" borderId="61" xfId="4" applyNumberFormat="1" applyFont="1" applyBorder="1" applyAlignment="1" applyProtection="1">
      <alignment horizontal="center"/>
    </xf>
    <xf numFmtId="165" fontId="38" fillId="6" borderId="62" xfId="4" applyNumberFormat="1" applyFont="1" applyBorder="1" applyAlignment="1" applyProtection="1">
      <alignment horizontal="center"/>
    </xf>
    <xf numFmtId="0" fontId="19" fillId="16" borderId="0" xfId="8" applyFont="1" applyBorder="1" applyAlignment="1" applyProtection="1">
      <alignment horizontal="right" vertical="center" wrapText="1"/>
    </xf>
    <xf numFmtId="0" fontId="19" fillId="16" borderId="4" xfId="8" applyFont="1" applyBorder="1" applyAlignment="1" applyProtection="1">
      <alignment horizontal="right" vertical="center" wrapText="1"/>
    </xf>
    <xf numFmtId="0" fontId="19" fillId="16" borderId="11" xfId="8" applyFont="1" applyBorder="1" applyAlignment="1" applyProtection="1">
      <alignment horizontal="right" vertical="center" wrapText="1"/>
    </xf>
    <xf numFmtId="0" fontId="19" fillId="16" borderId="12" xfId="8" applyFont="1" applyBorder="1" applyAlignment="1" applyProtection="1">
      <alignment horizontal="right" vertical="center" wrapText="1"/>
    </xf>
    <xf numFmtId="49" fontId="35" fillId="13" borderId="13" xfId="2" applyNumberFormat="1" applyFont="1" applyBorder="1" applyAlignment="1" applyProtection="1">
      <alignment horizontal="center" vertical="center"/>
      <protection locked="0"/>
    </xf>
    <xf numFmtId="49" fontId="35" fillId="13" borderId="1" xfId="2" applyNumberFormat="1" applyFont="1" applyAlignment="1" applyProtection="1">
      <alignment horizontal="center" vertical="center"/>
      <protection locked="0"/>
    </xf>
    <xf numFmtId="165" fontId="35" fillId="13" borderId="18" xfId="2" applyNumberFormat="1" applyFont="1" applyBorder="1" applyAlignment="1" applyProtection="1">
      <alignment horizontal="center" vertical="center"/>
      <protection locked="0"/>
    </xf>
    <xf numFmtId="165" fontId="35" fillId="13" borderId="3" xfId="2" applyNumberFormat="1" applyFont="1" applyBorder="1" applyAlignment="1" applyProtection="1">
      <alignment horizontal="center" vertical="center"/>
      <protection locked="0"/>
    </xf>
    <xf numFmtId="49" fontId="35" fillId="13" borderId="1" xfId="2" quotePrefix="1" applyNumberFormat="1" applyFont="1" applyAlignment="1" applyProtection="1">
      <alignment horizontal="center" vertical="center"/>
      <protection locked="0"/>
    </xf>
    <xf numFmtId="0" fontId="0" fillId="12" borderId="2" xfId="0" applyFill="1" applyBorder="1" applyAlignment="1">
      <alignment horizontal="center" vertical="center"/>
    </xf>
    <xf numFmtId="165" fontId="19" fillId="16" borderId="0" xfId="8" applyNumberFormat="1" applyFont="1" applyAlignment="1" applyProtection="1">
      <alignment horizontal="center"/>
    </xf>
    <xf numFmtId="165" fontId="19" fillId="16" borderId="39" xfId="8" applyNumberFormat="1" applyFont="1" applyBorder="1" applyAlignment="1" applyProtection="1">
      <alignment horizontal="center"/>
    </xf>
    <xf numFmtId="0" fontId="19" fillId="31" borderId="10" xfId="8" applyFont="1" applyFill="1" applyBorder="1" applyAlignment="1" applyProtection="1">
      <alignment horizontal="right"/>
    </xf>
    <xf numFmtId="0" fontId="19" fillId="31" borderId="11" xfId="8" applyFont="1" applyFill="1" applyBorder="1" applyAlignment="1" applyProtection="1">
      <alignment horizontal="right"/>
    </xf>
    <xf numFmtId="0" fontId="19" fillId="31" borderId="12" xfId="8" applyFont="1" applyFill="1" applyBorder="1" applyAlignment="1" applyProtection="1">
      <alignment horizontal="right"/>
    </xf>
    <xf numFmtId="0" fontId="19" fillId="16" borderId="2" xfId="8" applyFont="1" applyBorder="1" applyAlignment="1" applyProtection="1">
      <alignment horizontal="right"/>
    </xf>
    <xf numFmtId="165" fontId="31" fillId="2" borderId="5" xfId="1" applyNumberFormat="1" applyFont="1" applyBorder="1" applyAlignment="1" applyProtection="1">
      <alignment horizontal="center"/>
    </xf>
    <xf numFmtId="165" fontId="31" fillId="2" borderId="23" xfId="1" applyNumberFormat="1" applyFont="1" applyBorder="1" applyAlignment="1" applyProtection="1">
      <alignment horizontal="center"/>
    </xf>
    <xf numFmtId="165" fontId="31" fillId="2" borderId="6" xfId="1" applyNumberFormat="1" applyFont="1" applyBorder="1" applyAlignment="1" applyProtection="1">
      <alignment horizontal="center"/>
    </xf>
    <xf numFmtId="165" fontId="40" fillId="5" borderId="14" xfId="3" applyNumberFormat="1" applyFont="1" applyBorder="1" applyAlignment="1" applyProtection="1">
      <alignment horizontal="center" vertical="center"/>
    </xf>
    <xf numFmtId="165" fontId="40" fillId="5" borderId="15" xfId="3" applyNumberFormat="1" applyFont="1" applyBorder="1" applyAlignment="1" applyProtection="1">
      <alignment horizontal="center" vertical="center"/>
    </xf>
    <xf numFmtId="165" fontId="40" fillId="5" borderId="16" xfId="3" applyNumberFormat="1" applyFont="1" applyBorder="1" applyAlignment="1" applyProtection="1">
      <alignment horizontal="center" vertical="center"/>
    </xf>
    <xf numFmtId="0" fontId="19" fillId="24" borderId="30" xfId="8" applyFont="1" applyFill="1" applyBorder="1" applyAlignment="1" applyProtection="1">
      <alignment horizontal="right"/>
    </xf>
    <xf numFmtId="0" fontId="19" fillId="16" borderId="7" xfId="8" applyFont="1" applyBorder="1" applyAlignment="1" applyProtection="1">
      <alignment horizontal="center" vertical="center" wrapText="1"/>
    </xf>
    <xf numFmtId="0" fontId="19" fillId="16" borderId="8" xfId="8" applyFont="1" applyBorder="1" applyAlignment="1" applyProtection="1">
      <alignment horizontal="center" vertical="center" wrapText="1"/>
    </xf>
    <xf numFmtId="165" fontId="31" fillId="2" borderId="17" xfId="1" applyNumberFormat="1" applyFont="1" applyBorder="1" applyAlignment="1" applyProtection="1">
      <alignment horizontal="center"/>
    </xf>
    <xf numFmtId="165" fontId="31" fillId="2" borderId="45" xfId="1" applyNumberFormat="1" applyFont="1" applyBorder="1" applyAlignment="1" applyProtection="1">
      <alignment horizontal="center"/>
    </xf>
    <xf numFmtId="165" fontId="31" fillId="2" borderId="18" xfId="1" applyNumberFormat="1" applyFont="1" applyBorder="1" applyAlignment="1" applyProtection="1">
      <alignment horizontal="center"/>
    </xf>
    <xf numFmtId="165" fontId="35" fillId="13" borderId="8" xfId="2" quotePrefix="1" applyNumberFormat="1" applyFont="1" applyBorder="1" applyAlignment="1" applyProtection="1">
      <alignment horizontal="center" vertical="center"/>
      <protection locked="0"/>
    </xf>
    <xf numFmtId="165" fontId="35" fillId="13" borderId="61" xfId="2" quotePrefix="1" applyNumberFormat="1" applyFont="1" applyBorder="1" applyAlignment="1" applyProtection="1">
      <alignment horizontal="center" vertical="center"/>
      <protection locked="0"/>
    </xf>
    <xf numFmtId="165" fontId="35" fillId="13" borderId="13" xfId="2" quotePrefix="1" applyNumberFormat="1" applyFont="1" applyBorder="1" applyAlignment="1" applyProtection="1">
      <alignment horizontal="center" vertical="center"/>
      <protection locked="0"/>
    </xf>
    <xf numFmtId="165" fontId="35" fillId="13" borderId="19" xfId="2" quotePrefix="1" applyNumberFormat="1" applyFont="1" applyBorder="1" applyAlignment="1" applyProtection="1">
      <alignment horizontal="center" vertical="center"/>
      <protection locked="0"/>
    </xf>
    <xf numFmtId="165" fontId="35" fillId="13" borderId="106" xfId="2" applyNumberFormat="1" applyFont="1" applyBorder="1" applyAlignment="1" applyProtection="1">
      <alignment horizontal="center" vertical="center"/>
      <protection locked="0"/>
    </xf>
    <xf numFmtId="165" fontId="35" fillId="13" borderId="107" xfId="2" applyNumberFormat="1" applyFont="1" applyBorder="1" applyAlignment="1" applyProtection="1">
      <alignment horizontal="center" vertical="center"/>
      <protection locked="0"/>
    </xf>
    <xf numFmtId="165" fontId="69" fillId="7" borderId="5" xfId="5" applyNumberFormat="1" applyFont="1" applyBorder="1" applyAlignment="1" applyProtection="1">
      <alignment horizontal="center" vertical="center"/>
    </xf>
    <xf numFmtId="165" fontId="69" fillId="7" borderId="23" xfId="5" applyNumberFormat="1" applyFont="1" applyBorder="1" applyAlignment="1" applyProtection="1">
      <alignment horizontal="center" vertical="center"/>
    </xf>
    <xf numFmtId="165" fontId="69" fillId="7" borderId="6" xfId="5" applyNumberFormat="1" applyFont="1" applyBorder="1" applyAlignment="1" applyProtection="1">
      <alignment horizontal="center" vertical="center"/>
    </xf>
    <xf numFmtId="165" fontId="36" fillId="11" borderId="31" xfId="6" applyNumberFormat="1" applyFont="1" applyBorder="1" applyAlignment="1" applyProtection="1">
      <alignment horizontal="center"/>
    </xf>
    <xf numFmtId="165" fontId="50" fillId="3" borderId="132" xfId="4" applyNumberFormat="1" applyFont="1" applyFill="1" applyBorder="1" applyAlignment="1" applyProtection="1">
      <alignment horizontal="center" vertical="center"/>
    </xf>
    <xf numFmtId="165" fontId="50" fillId="3" borderId="59" xfId="4" applyNumberFormat="1" applyFont="1" applyFill="1" applyBorder="1" applyAlignment="1" applyProtection="1">
      <alignment horizontal="center" vertical="center"/>
    </xf>
    <xf numFmtId="165" fontId="50" fillId="3" borderId="60" xfId="4" applyNumberFormat="1" applyFont="1" applyFill="1" applyBorder="1" applyAlignment="1" applyProtection="1">
      <alignment horizontal="center" vertical="center"/>
    </xf>
    <xf numFmtId="165" fontId="50" fillId="3" borderId="133" xfId="4" applyNumberFormat="1" applyFont="1" applyFill="1" applyBorder="1" applyAlignment="1" applyProtection="1">
      <alignment horizontal="center" vertical="center"/>
    </xf>
    <xf numFmtId="165" fontId="50" fillId="3" borderId="61" xfId="4" applyNumberFormat="1" applyFont="1" applyFill="1" applyBorder="1" applyAlignment="1" applyProtection="1">
      <alignment horizontal="center" vertical="center"/>
    </xf>
    <xf numFmtId="165" fontId="50" fillId="3" borderId="62" xfId="4" applyNumberFormat="1" applyFont="1" applyFill="1" applyBorder="1" applyAlignment="1" applyProtection="1">
      <alignment horizontal="center" vertical="center"/>
    </xf>
    <xf numFmtId="0" fontId="19" fillId="16" borderId="57" xfId="8" applyFont="1" applyBorder="1" applyAlignment="1" applyProtection="1">
      <alignment horizontal="center" vertical="center"/>
    </xf>
    <xf numFmtId="0" fontId="19" fillId="16" borderId="22" xfId="8" applyFont="1" applyBorder="1" applyAlignment="1" applyProtection="1">
      <alignment horizontal="center" vertical="center"/>
    </xf>
    <xf numFmtId="0" fontId="19" fillId="16" borderId="17" xfId="8" applyFont="1" applyBorder="1" applyAlignment="1" applyProtection="1">
      <alignment horizontal="center" vertical="center"/>
    </xf>
    <xf numFmtId="0" fontId="19" fillId="16" borderId="45" xfId="8" applyFont="1" applyBorder="1" applyAlignment="1" applyProtection="1">
      <alignment horizontal="center" vertical="center"/>
    </xf>
    <xf numFmtId="0" fontId="31" fillId="2" borderId="29" xfId="1" applyFont="1" applyBorder="1" applyAlignment="1" applyProtection="1">
      <alignment horizontal="center" vertical="center"/>
    </xf>
    <xf numFmtId="165" fontId="35" fillId="13" borderId="105" xfId="2" applyNumberFormat="1" applyFont="1" applyBorder="1" applyAlignment="1" applyProtection="1">
      <alignment horizontal="center" vertical="center"/>
      <protection locked="0"/>
    </xf>
    <xf numFmtId="165" fontId="35" fillId="13" borderId="0" xfId="2" applyNumberFormat="1" applyFont="1" applyBorder="1" applyAlignment="1" applyProtection="1">
      <alignment horizontal="center" vertical="center"/>
      <protection locked="0"/>
    </xf>
    <xf numFmtId="165" fontId="27" fillId="2" borderId="1" xfId="1" applyNumberFormat="1" applyFont="1" applyAlignment="1" applyProtection="1">
      <alignment horizontal="center" vertical="center"/>
    </xf>
    <xf numFmtId="0" fontId="27" fillId="2" borderId="1" xfId="1" applyFont="1" applyAlignment="1" applyProtection="1">
      <alignment horizontal="center" vertical="center"/>
    </xf>
    <xf numFmtId="165" fontId="73" fillId="6" borderId="24" xfId="4" applyNumberFormat="1" applyFont="1" applyAlignment="1" applyProtection="1">
      <alignment horizontal="center" vertical="center"/>
    </xf>
    <xf numFmtId="165" fontId="46" fillId="38" borderId="2" xfId="8" applyNumberFormat="1" applyFont="1" applyFill="1" applyBorder="1" applyAlignment="1" applyProtection="1">
      <alignment horizontal="center" vertical="center" wrapText="1"/>
    </xf>
    <xf numFmtId="165" fontId="72" fillId="13" borderId="1" xfId="2" applyNumberFormat="1" applyFont="1" applyAlignment="1" applyProtection="1">
      <alignment horizontal="center" vertical="center"/>
      <protection locked="0"/>
    </xf>
    <xf numFmtId="165" fontId="72" fillId="13" borderId="1" xfId="2" quotePrefix="1" applyNumberFormat="1" applyFont="1" applyAlignment="1" applyProtection="1">
      <alignment horizontal="center" vertical="center"/>
      <protection locked="0"/>
    </xf>
    <xf numFmtId="0" fontId="19" fillId="12" borderId="30" xfId="0" applyFont="1" applyFill="1" applyBorder="1" applyAlignment="1">
      <alignment horizontal="center" vertical="center"/>
    </xf>
    <xf numFmtId="0" fontId="19" fillId="12" borderId="31" xfId="0" applyFont="1" applyFill="1" applyBorder="1" applyAlignment="1">
      <alignment horizontal="center" vertical="center"/>
    </xf>
    <xf numFmtId="165" fontId="28" fillId="16" borderId="7" xfId="8" applyNumberFormat="1" applyFont="1" applyBorder="1" applyAlignment="1" applyProtection="1">
      <alignment horizontal="center" vertical="center"/>
    </xf>
    <xf numFmtId="165" fontId="28" fillId="16" borderId="8" xfId="8" applyNumberFormat="1" applyFont="1" applyBorder="1" applyAlignment="1" applyProtection="1">
      <alignment horizontal="center" vertical="center"/>
    </xf>
    <xf numFmtId="165" fontId="28" fillId="16" borderId="9" xfId="8" applyNumberFormat="1" applyFont="1" applyBorder="1" applyAlignment="1" applyProtection="1">
      <alignment horizontal="center" vertical="center"/>
    </xf>
    <xf numFmtId="165" fontId="28" fillId="16" borderId="10" xfId="8" applyNumberFormat="1" applyFont="1" applyBorder="1" applyAlignment="1" applyProtection="1">
      <alignment horizontal="center" vertical="center"/>
    </xf>
    <xf numFmtId="165" fontId="28" fillId="16" borderId="11" xfId="8" applyNumberFormat="1" applyFont="1" applyBorder="1" applyAlignment="1" applyProtection="1">
      <alignment horizontal="center" vertical="center"/>
    </xf>
    <xf numFmtId="165" fontId="28" fillId="16" borderId="12" xfId="8" applyNumberFormat="1" applyFont="1" applyBorder="1" applyAlignment="1" applyProtection="1">
      <alignment horizontal="center" vertical="center"/>
    </xf>
    <xf numFmtId="0" fontId="19" fillId="16" borderId="5" xfId="8" applyFont="1" applyBorder="1" applyAlignment="1" applyProtection="1">
      <alignment horizontal="center"/>
    </xf>
    <xf numFmtId="0" fontId="19" fillId="16" borderId="23" xfId="8" applyFont="1" applyBorder="1" applyAlignment="1" applyProtection="1">
      <alignment horizontal="center"/>
    </xf>
    <xf numFmtId="0" fontId="19" fillId="16" borderId="0" xfId="8" applyFont="1" applyBorder="1" applyAlignment="1" applyProtection="1">
      <alignment horizontal="center" vertical="center" wrapText="1"/>
    </xf>
    <xf numFmtId="0" fontId="19" fillId="16" borderId="11" xfId="8" applyFont="1" applyBorder="1" applyAlignment="1" applyProtection="1">
      <alignment horizontal="center" vertical="center" wrapText="1"/>
    </xf>
    <xf numFmtId="0" fontId="19" fillId="16" borderId="7" xfId="8" applyFont="1" applyBorder="1" applyAlignment="1" applyProtection="1">
      <alignment horizontal="center" vertical="center"/>
    </xf>
    <xf numFmtId="0" fontId="19" fillId="16" borderId="8" xfId="8" applyFont="1" applyBorder="1" applyAlignment="1" applyProtection="1">
      <alignment horizontal="center" vertical="center"/>
    </xf>
    <xf numFmtId="0" fontId="19" fillId="16" borderId="47" xfId="8" applyFont="1" applyBorder="1" applyAlignment="1" applyProtection="1">
      <alignment horizontal="center" vertical="center"/>
    </xf>
    <xf numFmtId="0" fontId="19" fillId="16" borderId="0" xfId="8" applyFont="1" applyBorder="1" applyAlignment="1" applyProtection="1">
      <alignment horizontal="center" vertical="center"/>
    </xf>
    <xf numFmtId="0" fontId="19" fillId="16" borderId="10" xfId="8" applyFont="1" applyBorder="1" applyAlignment="1" applyProtection="1">
      <alignment horizontal="center" vertical="center"/>
    </xf>
    <xf numFmtId="0" fontId="19" fillId="16" borderId="11" xfId="8" applyFont="1" applyBorder="1" applyAlignment="1" applyProtection="1">
      <alignment horizontal="center" vertical="center"/>
    </xf>
    <xf numFmtId="165" fontId="57" fillId="6" borderId="98" xfId="4" applyNumberFormat="1" applyFont="1" applyBorder="1" applyAlignment="1" applyProtection="1">
      <alignment horizontal="center"/>
    </xf>
    <xf numFmtId="165" fontId="57" fillId="6" borderId="41" xfId="4" applyNumberFormat="1" applyFont="1" applyBorder="1" applyAlignment="1" applyProtection="1">
      <alignment horizontal="center"/>
    </xf>
    <xf numFmtId="165" fontId="57" fillId="6" borderId="42" xfId="4" applyNumberFormat="1" applyFont="1" applyBorder="1" applyAlignment="1" applyProtection="1">
      <alignment horizontal="center"/>
    </xf>
    <xf numFmtId="0" fontId="49" fillId="5" borderId="7" xfId="3" applyFont="1" applyBorder="1" applyAlignment="1" applyProtection="1">
      <alignment horizontal="center" vertical="center"/>
    </xf>
    <xf numFmtId="0" fontId="49" fillId="5" borderId="8" xfId="3" applyFont="1" applyBorder="1" applyAlignment="1" applyProtection="1">
      <alignment horizontal="center" vertical="center"/>
    </xf>
    <xf numFmtId="0" fontId="49" fillId="5" borderId="9" xfId="3" applyFont="1" applyBorder="1" applyAlignment="1" applyProtection="1">
      <alignment horizontal="center" vertical="center"/>
    </xf>
    <xf numFmtId="0" fontId="49" fillId="5" borderId="5" xfId="3" applyFont="1" applyBorder="1" applyAlignment="1" applyProtection="1">
      <alignment horizontal="center" vertical="center"/>
    </xf>
    <xf numFmtId="0" fontId="49" fillId="5" borderId="23" xfId="3" applyFont="1" applyBorder="1" applyAlignment="1" applyProtection="1">
      <alignment horizontal="center" vertical="center"/>
    </xf>
    <xf numFmtId="0" fontId="49" fillId="5" borderId="6" xfId="3" applyFont="1" applyBorder="1" applyAlignment="1" applyProtection="1">
      <alignment horizontal="center" vertical="center"/>
    </xf>
    <xf numFmtId="165" fontId="57" fillId="6" borderId="128" xfId="4" applyNumberFormat="1" applyFont="1" applyBorder="1" applyAlignment="1" applyProtection="1">
      <alignment horizontal="left"/>
    </xf>
    <xf numFmtId="165" fontId="57" fillId="6" borderId="15" xfId="4" applyNumberFormat="1" applyFont="1" applyBorder="1" applyAlignment="1" applyProtection="1">
      <alignment horizontal="left"/>
    </xf>
    <xf numFmtId="165" fontId="57" fillId="6" borderId="129" xfId="4" applyNumberFormat="1" applyFont="1" applyBorder="1" applyAlignment="1" applyProtection="1">
      <alignment horizontal="left"/>
    </xf>
    <xf numFmtId="165" fontId="59" fillId="2" borderId="124" xfId="1" applyNumberFormat="1" applyFont="1" applyBorder="1" applyAlignment="1" applyProtection="1">
      <alignment horizontal="center"/>
    </xf>
    <xf numFmtId="165" fontId="59" fillId="2" borderId="15" xfId="1" applyNumberFormat="1" applyFont="1" applyBorder="1" applyAlignment="1" applyProtection="1">
      <alignment horizontal="center"/>
    </xf>
    <xf numFmtId="165" fontId="59" fillId="2" borderId="129" xfId="1" applyNumberFormat="1" applyFont="1" applyBorder="1" applyAlignment="1" applyProtection="1">
      <alignment horizontal="center"/>
    </xf>
    <xf numFmtId="165" fontId="28" fillId="34" borderId="47" xfId="10" applyNumberFormat="1" applyFont="1" applyFill="1" applyBorder="1" applyAlignment="1" applyProtection="1">
      <alignment horizontal="center" vertical="center"/>
    </xf>
    <xf numFmtId="165" fontId="28" fillId="34" borderId="0" xfId="10" applyNumberFormat="1" applyFont="1" applyFill="1" applyBorder="1" applyAlignment="1" applyProtection="1">
      <alignment horizontal="center" vertical="center"/>
    </xf>
    <xf numFmtId="165" fontId="28" fillId="34" borderId="4" xfId="10" applyNumberFormat="1" applyFont="1" applyFill="1" applyBorder="1" applyAlignment="1" applyProtection="1">
      <alignment horizontal="center" vertical="center"/>
    </xf>
    <xf numFmtId="164" fontId="28" fillId="30" borderId="105" xfId="1" applyNumberFormat="1" applyFont="1" applyFill="1" applyBorder="1" applyAlignment="1" applyProtection="1">
      <alignment horizontal="center" vertical="center" wrapText="1"/>
    </xf>
    <xf numFmtId="164" fontId="28" fillId="30" borderId="0" xfId="1" applyNumberFormat="1" applyFont="1" applyFill="1" applyBorder="1" applyAlignment="1" applyProtection="1">
      <alignment horizontal="center" vertical="center" wrapText="1"/>
    </xf>
    <xf numFmtId="164" fontId="28" fillId="30" borderId="71" xfId="1" applyNumberFormat="1" applyFont="1" applyFill="1" applyBorder="1" applyAlignment="1" applyProtection="1">
      <alignment horizontal="center" vertical="center" wrapText="1"/>
    </xf>
    <xf numFmtId="0" fontId="33" fillId="2" borderId="2" xfId="1" applyNumberFormat="1" applyFont="1" applyBorder="1" applyAlignment="1" applyProtection="1">
      <alignment horizontal="center" vertical="center"/>
      <protection locked="0"/>
    </xf>
    <xf numFmtId="0" fontId="60" fillId="17" borderId="2" xfId="9" applyFont="1" applyBorder="1" applyAlignment="1">
      <alignment horizontal="center" wrapText="1"/>
    </xf>
    <xf numFmtId="0" fontId="60" fillId="17" borderId="2" xfId="9" applyFont="1" applyBorder="1" applyAlignment="1">
      <alignment horizontal="center"/>
    </xf>
    <xf numFmtId="0" fontId="61" fillId="5" borderId="1" xfId="3" applyFont="1" applyBorder="1" applyAlignment="1">
      <alignment horizontal="center" vertical="center"/>
    </xf>
    <xf numFmtId="0" fontId="61" fillId="5" borderId="37" xfId="3" applyFont="1" applyBorder="1" applyAlignment="1">
      <alignment horizontal="center" vertical="center"/>
    </xf>
    <xf numFmtId="0" fontId="61" fillId="5" borderId="29" xfId="3" applyFont="1" applyBorder="1" applyAlignment="1">
      <alignment horizontal="center" vertical="center"/>
    </xf>
    <xf numFmtId="0" fontId="61" fillId="5" borderId="19" xfId="3" applyFont="1" applyBorder="1" applyAlignment="1">
      <alignment horizontal="center" vertical="center"/>
    </xf>
    <xf numFmtId="165" fontId="19" fillId="16" borderId="5" xfId="8" applyNumberFormat="1" applyFont="1" applyBorder="1" applyAlignment="1" applyProtection="1">
      <alignment horizontal="center"/>
    </xf>
    <xf numFmtId="165" fontId="19" fillId="16" borderId="6" xfId="8" applyNumberFormat="1" applyFont="1" applyBorder="1" applyAlignment="1" applyProtection="1">
      <alignment horizontal="center"/>
    </xf>
    <xf numFmtId="165" fontId="19" fillId="16" borderId="5" xfId="8" applyNumberFormat="1" applyFont="1" applyBorder="1" applyAlignment="1" applyProtection="1">
      <alignment horizontal="center" vertical="center"/>
    </xf>
    <xf numFmtId="165" fontId="19" fillId="16" borderId="6" xfId="8" applyNumberFormat="1" applyFont="1" applyBorder="1" applyAlignment="1" applyProtection="1">
      <alignment horizontal="center" vertical="center"/>
    </xf>
    <xf numFmtId="165" fontId="19" fillId="29" borderId="47" xfId="11" applyNumberFormat="1" applyFont="1" applyBorder="1" applyAlignment="1" applyProtection="1">
      <alignment horizontal="center" vertical="center"/>
    </xf>
    <xf numFmtId="165" fontId="19" fillId="29" borderId="4" xfId="11" applyNumberFormat="1" applyFont="1" applyBorder="1" applyAlignment="1" applyProtection="1">
      <alignment horizontal="center" vertical="center"/>
    </xf>
    <xf numFmtId="165" fontId="19" fillId="29" borderId="10" xfId="11" applyNumberFormat="1" applyFont="1" applyBorder="1" applyAlignment="1" applyProtection="1">
      <alignment horizontal="center" vertical="center"/>
    </xf>
    <xf numFmtId="165" fontId="19" fillId="29" borderId="12" xfId="11" applyNumberFormat="1" applyFont="1" applyBorder="1" applyAlignment="1" applyProtection="1">
      <alignment horizontal="center" vertical="center"/>
    </xf>
    <xf numFmtId="49" fontId="58" fillId="13" borderId="1" xfId="2" applyNumberFormat="1" applyFont="1" applyAlignment="1" applyProtection="1">
      <alignment horizontal="center" vertical="center"/>
    </xf>
    <xf numFmtId="49" fontId="58" fillId="13" borderId="1" xfId="2" quotePrefix="1" applyNumberFormat="1" applyFont="1" applyAlignment="1" applyProtection="1">
      <alignment horizontal="center" vertical="center"/>
    </xf>
    <xf numFmtId="0" fontId="57" fillId="6" borderId="5" xfId="4" quotePrefix="1" applyNumberFormat="1" applyFont="1" applyBorder="1" applyAlignment="1" applyProtection="1">
      <alignment horizontal="center" vertical="center"/>
      <protection locked="0"/>
    </xf>
    <xf numFmtId="0" fontId="57" fillId="6" borderId="23" xfId="4" quotePrefix="1" applyNumberFormat="1" applyFont="1" applyBorder="1" applyAlignment="1" applyProtection="1">
      <alignment horizontal="center" vertical="center"/>
      <protection locked="0"/>
    </xf>
    <xf numFmtId="0" fontId="57" fillId="6" borderId="6" xfId="4" quotePrefix="1" applyNumberFormat="1" applyFont="1" applyBorder="1" applyAlignment="1" applyProtection="1">
      <alignment horizontal="center" vertical="center"/>
      <protection locked="0"/>
    </xf>
    <xf numFmtId="165" fontId="19" fillId="32" borderId="2" xfId="0" applyNumberFormat="1" applyFont="1" applyFill="1" applyBorder="1" applyAlignment="1">
      <alignment horizontal="center" vertical="center" wrapText="1"/>
    </xf>
    <xf numFmtId="165" fontId="19" fillId="32" borderId="5" xfId="0" applyNumberFormat="1" applyFont="1" applyFill="1" applyBorder="1" applyAlignment="1">
      <alignment horizontal="center" vertical="center" wrapText="1"/>
    </xf>
    <xf numFmtId="167" fontId="32" fillId="13" borderId="1" xfId="2" applyNumberFormat="1" applyFont="1" applyAlignment="1" applyProtection="1">
      <alignment horizontal="center"/>
    </xf>
    <xf numFmtId="167" fontId="32" fillId="13" borderId="37" xfId="2" applyNumberFormat="1" applyFont="1" applyBorder="1" applyAlignment="1" applyProtection="1">
      <alignment horizontal="center"/>
    </xf>
    <xf numFmtId="165" fontId="19" fillId="0" borderId="130" xfId="0" applyNumberFormat="1" applyFont="1" applyBorder="1" applyAlignment="1">
      <alignment horizontal="center" vertical="center" wrapText="1"/>
    </xf>
    <xf numFmtId="165" fontId="19" fillId="0" borderId="22" xfId="0" applyNumberFormat="1" applyFont="1" applyBorder="1" applyAlignment="1">
      <alignment horizontal="center" vertical="center" wrapText="1"/>
    </xf>
    <xf numFmtId="165" fontId="19" fillId="0" borderId="131" xfId="0" applyNumberFormat="1" applyFont="1" applyBorder="1" applyAlignment="1">
      <alignment horizontal="center" vertical="center" wrapText="1"/>
    </xf>
    <xf numFmtId="165" fontId="19" fillId="0" borderId="11" xfId="0" applyNumberFormat="1" applyFont="1" applyBorder="1" applyAlignment="1">
      <alignment horizontal="center" vertical="center" wrapText="1"/>
    </xf>
    <xf numFmtId="167" fontId="54" fillId="5" borderId="5" xfId="3" applyNumberFormat="1" applyFont="1" applyBorder="1" applyAlignment="1" applyProtection="1">
      <alignment horizontal="center"/>
    </xf>
    <xf numFmtId="167" fontId="54" fillId="5" borderId="6" xfId="3" applyNumberFormat="1" applyFont="1" applyBorder="1" applyAlignment="1" applyProtection="1">
      <alignment horizontal="center"/>
    </xf>
    <xf numFmtId="165" fontId="28" fillId="30" borderId="1" xfId="1" applyNumberFormat="1" applyFont="1" applyFill="1" applyAlignment="1" applyProtection="1">
      <alignment horizontal="center" vertical="center" wrapText="1"/>
    </xf>
    <xf numFmtId="167" fontId="59" fillId="2" borderId="5" xfId="1" applyNumberFormat="1" applyFont="1" applyBorder="1" applyAlignment="1" applyProtection="1">
      <alignment horizontal="center" vertical="center"/>
    </xf>
    <xf numFmtId="167" fontId="59" fillId="2" borderId="6" xfId="1" applyNumberFormat="1" applyFont="1" applyBorder="1" applyAlignment="1" applyProtection="1">
      <alignment horizontal="center" vertical="center"/>
    </xf>
    <xf numFmtId="49" fontId="32" fillId="13" borderId="5" xfId="2" applyNumberFormat="1" applyFont="1" applyBorder="1" applyAlignment="1" applyProtection="1">
      <alignment horizontal="center" vertical="center"/>
      <protection locked="0"/>
    </xf>
    <xf numFmtId="49" fontId="32" fillId="13" borderId="23" xfId="2" applyNumberFormat="1" applyFont="1" applyBorder="1" applyAlignment="1" applyProtection="1">
      <alignment horizontal="center" vertical="center"/>
      <protection locked="0"/>
    </xf>
    <xf numFmtId="49" fontId="32" fillId="13" borderId="6" xfId="2" applyNumberFormat="1" applyFont="1" applyBorder="1" applyAlignment="1" applyProtection="1">
      <alignment horizontal="center" vertical="center"/>
      <protection locked="0"/>
    </xf>
    <xf numFmtId="49" fontId="32" fillId="13" borderId="5" xfId="2" quotePrefix="1" applyNumberFormat="1" applyFont="1" applyBorder="1" applyAlignment="1" applyProtection="1">
      <alignment horizontal="center" vertical="center"/>
      <protection locked="0"/>
    </xf>
    <xf numFmtId="49" fontId="32" fillId="13" borderId="23" xfId="2" quotePrefix="1" applyNumberFormat="1" applyFont="1" applyBorder="1" applyAlignment="1" applyProtection="1">
      <alignment horizontal="center" vertical="center"/>
      <protection locked="0"/>
    </xf>
    <xf numFmtId="49" fontId="32" fillId="13" borderId="6" xfId="2" quotePrefix="1" applyNumberFormat="1" applyFont="1" applyBorder="1" applyAlignment="1" applyProtection="1">
      <alignment horizontal="center" vertical="center"/>
      <protection locked="0"/>
    </xf>
    <xf numFmtId="0" fontId="57" fillId="6" borderId="24" xfId="4" applyFont="1" applyAlignment="1" applyProtection="1">
      <alignment horizontal="center"/>
    </xf>
    <xf numFmtId="0" fontId="57" fillId="6" borderId="98" xfId="4" applyFont="1" applyBorder="1" applyAlignment="1" applyProtection="1">
      <alignment horizontal="center"/>
    </xf>
    <xf numFmtId="165" fontId="57" fillId="6" borderId="24" xfId="4" applyNumberFormat="1" applyFont="1" applyAlignment="1" applyProtection="1">
      <alignment horizontal="center" vertical="center"/>
    </xf>
    <xf numFmtId="165" fontId="57" fillId="6" borderId="98" xfId="4" applyNumberFormat="1" applyFont="1" applyBorder="1" applyAlignment="1" applyProtection="1">
      <alignment horizontal="center" vertical="center"/>
    </xf>
    <xf numFmtId="164" fontId="19" fillId="16" borderId="7" xfId="8" applyNumberFormat="1" applyFont="1" applyBorder="1" applyAlignment="1" applyProtection="1">
      <alignment horizontal="center" vertical="center" wrapText="1"/>
    </xf>
    <xf numFmtId="164" fontId="19" fillId="16" borderId="8" xfId="8" applyNumberFormat="1" applyFont="1" applyBorder="1" applyAlignment="1" applyProtection="1">
      <alignment horizontal="center" vertical="center" wrapText="1"/>
    </xf>
    <xf numFmtId="164" fontId="19" fillId="16" borderId="9" xfId="8" applyNumberFormat="1" applyFont="1" applyBorder="1" applyAlignment="1" applyProtection="1">
      <alignment horizontal="center" vertical="center" wrapText="1"/>
    </xf>
    <xf numFmtId="164" fontId="19" fillId="16" borderId="126" xfId="8" applyNumberFormat="1" applyFont="1" applyBorder="1" applyAlignment="1" applyProtection="1">
      <alignment horizontal="center" vertical="center" wrapText="1"/>
    </xf>
    <xf numFmtId="164" fontId="19" fillId="16" borderId="22" xfId="8" applyNumberFormat="1" applyFont="1" applyBorder="1" applyAlignment="1" applyProtection="1">
      <alignment horizontal="center" vertical="center" wrapText="1"/>
    </xf>
    <xf numFmtId="164" fontId="19" fillId="16" borderId="127" xfId="8" applyNumberFormat="1" applyFont="1" applyBorder="1" applyAlignment="1" applyProtection="1">
      <alignment horizontal="center" vertical="center" wrapText="1"/>
    </xf>
    <xf numFmtId="165" fontId="19" fillId="16" borderId="126" xfId="8" applyNumberFormat="1" applyFont="1" applyBorder="1" applyAlignment="1" applyProtection="1">
      <alignment horizontal="center" vertical="center"/>
    </xf>
    <xf numFmtId="165" fontId="19" fillId="16" borderId="127" xfId="8" applyNumberFormat="1" applyFont="1" applyBorder="1" applyAlignment="1" applyProtection="1">
      <alignment horizontal="center" vertical="center"/>
    </xf>
    <xf numFmtId="165" fontId="57" fillId="6" borderId="126" xfId="4" applyNumberFormat="1" applyFont="1" applyBorder="1" applyAlignment="1" applyProtection="1">
      <alignment horizontal="center" vertical="center"/>
    </xf>
    <xf numFmtId="165" fontId="57" fillId="6" borderId="22" xfId="4" applyNumberFormat="1" applyFont="1" applyBorder="1" applyAlignment="1" applyProtection="1">
      <alignment horizontal="center" vertical="center"/>
    </xf>
    <xf numFmtId="165" fontId="57" fillId="6" borderId="127" xfId="4" applyNumberFormat="1" applyFont="1" applyBorder="1" applyAlignment="1" applyProtection="1">
      <alignment horizontal="center" vertical="center"/>
    </xf>
    <xf numFmtId="165" fontId="57" fillId="6" borderId="10" xfId="4" applyNumberFormat="1" applyFont="1" applyBorder="1" applyAlignment="1" applyProtection="1">
      <alignment horizontal="center" vertical="center"/>
    </xf>
    <xf numFmtId="165" fontId="57" fillId="6" borderId="11" xfId="4" applyNumberFormat="1" applyFont="1" applyBorder="1" applyAlignment="1" applyProtection="1">
      <alignment horizontal="center" vertical="center"/>
    </xf>
    <xf numFmtId="165" fontId="57" fillId="6" borderId="12" xfId="4" applyNumberFormat="1" applyFont="1" applyBorder="1" applyAlignment="1" applyProtection="1">
      <alignment horizontal="center" vertical="center"/>
    </xf>
    <xf numFmtId="0" fontId="32" fillId="13" borderId="23" xfId="2" quotePrefix="1" applyNumberFormat="1" applyFont="1" applyBorder="1" applyAlignment="1" applyProtection="1">
      <alignment horizontal="center" vertical="center"/>
      <protection locked="0"/>
    </xf>
    <xf numFmtId="0" fontId="32" fillId="13" borderId="6" xfId="2" quotePrefix="1" applyNumberFormat="1" applyFont="1" applyBorder="1" applyAlignment="1" applyProtection="1">
      <alignment horizontal="center" vertical="center"/>
      <protection locked="0"/>
    </xf>
    <xf numFmtId="0" fontId="28" fillId="2" borderId="5" xfId="1" applyNumberFormat="1" applyFont="1" applyBorder="1" applyAlignment="1" applyProtection="1">
      <alignment horizontal="center" vertical="center"/>
    </xf>
    <xf numFmtId="0" fontId="28" fillId="2" borderId="6" xfId="1" applyNumberFormat="1" applyFont="1" applyBorder="1" applyAlignment="1" applyProtection="1">
      <alignment horizontal="center" vertical="center"/>
    </xf>
    <xf numFmtId="165" fontId="59" fillId="9" borderId="56" xfId="1" applyNumberFormat="1" applyFont="1" applyFill="1" applyBorder="1" applyAlignment="1" applyProtection="1">
      <alignment horizontal="center"/>
    </xf>
    <xf numFmtId="165" fontId="54" fillId="9" borderId="15" xfId="3" applyNumberFormat="1" applyFont="1" applyFill="1" applyBorder="1" applyAlignment="1" applyProtection="1">
      <alignment horizontal="center"/>
    </xf>
    <xf numFmtId="165" fontId="51" fillId="9" borderId="15" xfId="6" applyNumberFormat="1" applyFont="1" applyFill="1" applyBorder="1" applyAlignment="1" applyProtection="1">
      <alignment horizontal="center"/>
    </xf>
    <xf numFmtId="165" fontId="54" fillId="5" borderId="2" xfId="3" applyNumberFormat="1" applyFont="1" applyBorder="1" applyAlignment="1" applyProtection="1">
      <alignment horizontal="center"/>
    </xf>
    <xf numFmtId="165" fontId="51" fillId="11" borderId="2" xfId="6" applyNumberFormat="1" applyFont="1" applyBorder="1" applyAlignment="1" applyProtection="1">
      <alignment horizontal="center"/>
    </xf>
    <xf numFmtId="0" fontId="32" fillId="13" borderId="123" xfId="2" applyFont="1" applyBorder="1" applyAlignment="1" applyProtection="1">
      <alignment horizontal="center" vertical="center"/>
      <protection locked="0"/>
    </xf>
    <xf numFmtId="167" fontId="54" fillId="5" borderId="2" xfId="3" applyNumberFormat="1" applyFont="1" applyBorder="1" applyAlignment="1" applyProtection="1">
      <alignment horizontal="center"/>
    </xf>
    <xf numFmtId="165" fontId="59" fillId="2" borderId="20" xfId="1" applyNumberFormat="1" applyFont="1" applyBorder="1" applyAlignment="1" applyProtection="1">
      <alignment horizontal="center" vertical="center"/>
    </xf>
    <xf numFmtId="165" fontId="59" fillId="2" borderId="0" xfId="1" applyNumberFormat="1" applyFont="1" applyBorder="1" applyAlignment="1" applyProtection="1">
      <alignment horizontal="center" vertical="center"/>
    </xf>
    <xf numFmtId="0" fontId="32" fillId="13" borderId="20" xfId="2" quotePrefix="1" applyFont="1" applyBorder="1" applyAlignment="1" applyProtection="1">
      <alignment horizontal="center" vertical="center"/>
    </xf>
    <xf numFmtId="0" fontId="32" fillId="13" borderId="0" xfId="2" quotePrefix="1" applyFont="1" applyBorder="1" applyAlignment="1" applyProtection="1">
      <alignment horizontal="center" vertical="center"/>
    </xf>
    <xf numFmtId="165" fontId="19" fillId="16" borderId="2" xfId="8" applyNumberFormat="1" applyFont="1" applyBorder="1" applyAlignment="1" applyProtection="1">
      <alignment horizontal="left"/>
    </xf>
    <xf numFmtId="165" fontId="19" fillId="16" borderId="30" xfId="8" applyNumberFormat="1" applyFont="1" applyBorder="1" applyAlignment="1" applyProtection="1">
      <alignment horizontal="left" vertical="center"/>
    </xf>
    <xf numFmtId="165" fontId="19" fillId="16" borderId="2" xfId="8" applyNumberFormat="1" applyFont="1" applyBorder="1" applyAlignment="1" applyProtection="1">
      <alignment horizontal="center"/>
    </xf>
    <xf numFmtId="165" fontId="57" fillId="6" borderId="24" xfId="4" applyNumberFormat="1" applyFont="1" applyAlignment="1" applyProtection="1">
      <alignment horizontal="center"/>
    </xf>
    <xf numFmtId="0" fontId="59" fillId="2" borderId="44" xfId="1" applyFont="1" applyBorder="1" applyAlignment="1" applyProtection="1">
      <alignment horizontal="center"/>
    </xf>
    <xf numFmtId="0" fontId="59" fillId="2" borderId="38" xfId="1" applyFont="1" applyBorder="1" applyAlignment="1" applyProtection="1">
      <alignment horizontal="center"/>
    </xf>
    <xf numFmtId="0" fontId="59" fillId="2" borderId="3" xfId="1" applyFont="1" applyBorder="1" applyAlignment="1" applyProtection="1">
      <alignment horizontal="center"/>
    </xf>
    <xf numFmtId="0" fontId="32" fillId="13" borderId="1" xfId="2" applyFont="1" applyAlignment="1" applyProtection="1">
      <alignment horizontal="center"/>
      <protection locked="0"/>
    </xf>
    <xf numFmtId="0" fontId="19" fillId="16" borderId="10" xfId="8" applyFont="1" applyBorder="1" applyAlignment="1" applyProtection="1">
      <alignment horizontal="right"/>
    </xf>
    <xf numFmtId="0" fontId="19" fillId="16" borderId="11" xfId="8" applyFont="1" applyBorder="1" applyAlignment="1" applyProtection="1">
      <alignment horizontal="right"/>
    </xf>
    <xf numFmtId="0" fontId="19" fillId="16" borderId="12" xfId="8" applyFont="1" applyBorder="1" applyAlignment="1" applyProtection="1">
      <alignment horizontal="right"/>
    </xf>
    <xf numFmtId="165" fontId="59" fillId="2" borderId="1" xfId="1" applyNumberFormat="1" applyFont="1" applyAlignment="1" applyProtection="1">
      <alignment horizontal="center"/>
    </xf>
    <xf numFmtId="0" fontId="59" fillId="2" borderId="1" xfId="1" applyFont="1" applyAlignment="1" applyProtection="1">
      <alignment horizontal="center"/>
    </xf>
    <xf numFmtId="0" fontId="32" fillId="13" borderId="1" xfId="2" quotePrefix="1" applyFont="1" applyAlignment="1" applyProtection="1">
      <alignment horizontal="center"/>
      <protection locked="0"/>
    </xf>
    <xf numFmtId="49" fontId="32" fillId="13" borderId="2" xfId="2" quotePrefix="1" applyNumberFormat="1" applyFont="1" applyBorder="1" applyAlignment="1" applyProtection="1">
      <alignment horizontal="center"/>
    </xf>
    <xf numFmtId="49" fontId="32" fillId="13" borderId="2" xfId="2" applyNumberFormat="1" applyFont="1" applyBorder="1" applyAlignment="1" applyProtection="1">
      <alignment horizontal="center"/>
    </xf>
    <xf numFmtId="165" fontId="59" fillId="2" borderId="1" xfId="1" applyNumberFormat="1" applyFont="1" applyAlignment="1" applyProtection="1">
      <alignment horizontal="center" vertical="center"/>
    </xf>
    <xf numFmtId="0" fontId="59" fillId="2" borderId="1" xfId="1" applyFont="1" applyAlignment="1" applyProtection="1">
      <alignment horizontal="center" vertical="center"/>
    </xf>
    <xf numFmtId="165" fontId="32" fillId="13" borderId="1" xfId="2" applyNumberFormat="1" applyFont="1" applyAlignment="1" applyProtection="1">
      <alignment horizontal="center" vertical="center"/>
      <protection locked="0"/>
    </xf>
    <xf numFmtId="165" fontId="32" fillId="13" borderId="1" xfId="2" quotePrefix="1" applyNumberFormat="1" applyFont="1" applyAlignment="1" applyProtection="1">
      <alignment horizontal="center" vertical="center"/>
      <protection locked="0"/>
    </xf>
    <xf numFmtId="165" fontId="59" fillId="2" borderId="21" xfId="1" applyNumberFormat="1" applyFont="1" applyBorder="1" applyAlignment="1" applyProtection="1">
      <alignment horizontal="center" vertical="center"/>
    </xf>
    <xf numFmtId="165" fontId="59" fillId="2" borderId="29" xfId="1" applyNumberFormat="1" applyFont="1" applyBorder="1" applyAlignment="1" applyProtection="1">
      <alignment horizontal="center" vertical="center"/>
    </xf>
    <xf numFmtId="165" fontId="19" fillId="7" borderId="81" xfId="5" applyNumberFormat="1" applyFont="1" applyBorder="1" applyAlignment="1" applyProtection="1">
      <alignment horizontal="center"/>
    </xf>
    <xf numFmtId="165" fontId="19" fillId="7" borderId="25" xfId="5" applyNumberFormat="1" applyFont="1" applyAlignment="1" applyProtection="1">
      <alignment horizontal="center"/>
    </xf>
    <xf numFmtId="0" fontId="19" fillId="3" borderId="30" xfId="0" applyFont="1" applyFill="1" applyBorder="1" applyAlignment="1">
      <alignment horizontal="center" vertical="center"/>
    </xf>
    <xf numFmtId="165" fontId="19" fillId="16" borderId="126" xfId="8" applyNumberFormat="1" applyFont="1" applyBorder="1" applyAlignment="1" applyProtection="1">
      <alignment horizontal="center" vertical="center" wrapText="1"/>
    </xf>
    <xf numFmtId="1" fontId="32" fillId="13" borderId="2" xfId="2" applyNumberFormat="1" applyFont="1" applyBorder="1" applyAlignment="1" applyProtection="1">
      <alignment horizontal="center" vertical="center"/>
      <protection locked="0"/>
    </xf>
    <xf numFmtId="165" fontId="19" fillId="33" borderId="2" xfId="0" applyNumberFormat="1" applyFont="1" applyFill="1" applyBorder="1" applyAlignment="1">
      <alignment horizontal="center" vertical="center"/>
    </xf>
    <xf numFmtId="165" fontId="19" fillId="16" borderId="2" xfId="8" applyNumberFormat="1" applyFont="1" applyBorder="1" applyAlignment="1" applyProtection="1">
      <alignment horizontal="left" vertical="center"/>
    </xf>
    <xf numFmtId="165" fontId="19" fillId="0" borderId="2" xfId="0" applyNumberFormat="1" applyFont="1" applyBorder="1" applyAlignment="1">
      <alignment horizontal="center" vertical="center" wrapText="1"/>
    </xf>
    <xf numFmtId="165" fontId="19" fillId="0" borderId="2" xfId="0" applyNumberFormat="1" applyFont="1" applyBorder="1" applyAlignment="1">
      <alignment horizontal="center" vertical="center"/>
    </xf>
    <xf numFmtId="165" fontId="59" fillId="2" borderId="122" xfId="1" applyNumberFormat="1" applyFont="1" applyBorder="1" applyAlignment="1" applyProtection="1">
      <alignment horizontal="center"/>
    </xf>
    <xf numFmtId="0" fontId="46" fillId="7" borderId="25" xfId="5" applyFont="1" applyAlignment="1" applyProtection="1">
      <alignment horizontal="center"/>
    </xf>
    <xf numFmtId="0" fontId="46" fillId="7" borderId="79" xfId="5" applyFont="1" applyBorder="1" applyAlignment="1" applyProtection="1">
      <alignment horizontal="center"/>
    </xf>
    <xf numFmtId="165" fontId="59" fillId="2" borderId="2" xfId="1" applyNumberFormat="1" applyFont="1" applyBorder="1" applyAlignment="1" applyProtection="1">
      <alignment horizontal="center"/>
    </xf>
    <xf numFmtId="165" fontId="51" fillId="11" borderId="1" xfId="6" quotePrefix="1" applyNumberFormat="1" applyFont="1" applyBorder="1" applyAlignment="1" applyProtection="1">
      <alignment horizontal="center"/>
    </xf>
    <xf numFmtId="165" fontId="51" fillId="11" borderId="1" xfId="6" applyNumberFormat="1" applyFont="1" applyBorder="1" applyAlignment="1" applyProtection="1">
      <alignment horizontal="center"/>
    </xf>
    <xf numFmtId="0" fontId="61" fillId="5" borderId="2" xfId="3" applyFont="1" applyBorder="1" applyAlignment="1">
      <alignment horizontal="center" vertical="center"/>
    </xf>
    <xf numFmtId="0" fontId="61" fillId="5" borderId="5" xfId="3" applyFont="1" applyBorder="1" applyAlignment="1">
      <alignment horizontal="center" vertical="center"/>
    </xf>
    <xf numFmtId="165" fontId="19" fillId="0" borderId="6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63" fillId="10" borderId="1" xfId="1" applyFont="1" applyFill="1" applyAlignment="1">
      <alignment horizontal="center" vertical="center"/>
    </xf>
    <xf numFmtId="165" fontId="54" fillId="5" borderId="43" xfId="3" applyNumberFormat="1" applyFont="1" applyBorder="1" applyAlignment="1" applyProtection="1">
      <alignment horizontal="right"/>
    </xf>
    <xf numFmtId="165" fontId="54" fillId="5" borderId="23" xfId="3" applyNumberFormat="1" applyFont="1" applyBorder="1" applyAlignment="1" applyProtection="1">
      <alignment horizontal="right"/>
    </xf>
    <xf numFmtId="165" fontId="54" fillId="5" borderId="6" xfId="3" applyNumberFormat="1" applyFont="1" applyBorder="1" applyAlignment="1" applyProtection="1">
      <alignment horizontal="right"/>
    </xf>
    <xf numFmtId="165" fontId="54" fillId="5" borderId="31" xfId="3" applyNumberFormat="1" applyFont="1" applyBorder="1" applyAlignment="1" applyProtection="1">
      <alignment horizontal="center"/>
    </xf>
    <xf numFmtId="0" fontId="46" fillId="7" borderId="77" xfId="5" applyFont="1" applyBorder="1" applyAlignment="1" applyProtection="1">
      <alignment horizontal="center"/>
    </xf>
    <xf numFmtId="165" fontId="54" fillId="5" borderId="2" xfId="3" applyNumberFormat="1" applyFont="1" applyBorder="1" applyAlignment="1" applyProtection="1">
      <alignment horizontal="right"/>
    </xf>
    <xf numFmtId="165" fontId="59" fillId="2" borderId="44" xfId="1" applyNumberFormat="1" applyFont="1" applyBorder="1" applyAlignment="1" applyProtection="1">
      <alignment horizontal="center"/>
    </xf>
    <xf numFmtId="165" fontId="59" fillId="2" borderId="3" xfId="1" applyNumberFormat="1" applyFont="1" applyBorder="1" applyAlignment="1" applyProtection="1">
      <alignment horizontal="center"/>
    </xf>
    <xf numFmtId="0" fontId="46" fillId="7" borderId="25" xfId="5" applyFont="1" applyProtection="1"/>
    <xf numFmtId="0" fontId="19" fillId="12" borderId="2" xfId="0" applyFont="1" applyFill="1" applyBorder="1" applyAlignment="1">
      <alignment horizontal="left" vertical="center"/>
    </xf>
    <xf numFmtId="0" fontId="19" fillId="12" borderId="30" xfId="0" applyFont="1" applyFill="1" applyBorder="1" applyAlignment="1">
      <alignment horizontal="left" vertical="center"/>
    </xf>
    <xf numFmtId="165" fontId="59" fillId="2" borderId="29" xfId="1" applyNumberFormat="1" applyFont="1" applyBorder="1" applyAlignment="1" applyProtection="1">
      <alignment horizontal="center"/>
    </xf>
    <xf numFmtId="0" fontId="54" fillId="5" borderId="7" xfId="3" applyFont="1" applyBorder="1" applyAlignment="1" applyProtection="1">
      <alignment horizontal="center"/>
    </xf>
    <xf numFmtId="0" fontId="54" fillId="5" borderId="8" xfId="3" applyFont="1" applyBorder="1" applyAlignment="1" applyProtection="1">
      <alignment horizontal="center"/>
    </xf>
    <xf numFmtId="0" fontId="54" fillId="5" borderId="9" xfId="3" applyFont="1" applyBorder="1" applyAlignment="1" applyProtection="1">
      <alignment horizontal="center"/>
    </xf>
    <xf numFmtId="165" fontId="59" fillId="2" borderId="8" xfId="1" applyNumberFormat="1" applyFont="1" applyBorder="1" applyAlignment="1" applyProtection="1">
      <alignment horizontal="right" vertical="center"/>
    </xf>
    <xf numFmtId="165" fontId="59" fillId="2" borderId="11" xfId="1" applyNumberFormat="1" applyFont="1" applyBorder="1" applyAlignment="1" applyProtection="1">
      <alignment horizontal="right" vertical="center"/>
    </xf>
    <xf numFmtId="0" fontId="59" fillId="2" borderId="9" xfId="1" quotePrefix="1" applyFont="1" applyBorder="1" applyAlignment="1" applyProtection="1">
      <alignment horizontal="left" vertical="center"/>
    </xf>
    <xf numFmtId="0" fontId="59" fillId="2" borderId="12" xfId="1" quotePrefix="1" applyFont="1" applyBorder="1" applyAlignment="1" applyProtection="1">
      <alignment horizontal="left" vertical="center"/>
    </xf>
    <xf numFmtId="0" fontId="54" fillId="5" borderId="10" xfId="3" applyFont="1" applyBorder="1" applyAlignment="1" applyProtection="1">
      <alignment horizontal="center"/>
    </xf>
    <xf numFmtId="0" fontId="54" fillId="5" borderId="11" xfId="3" applyFont="1" applyBorder="1" applyAlignment="1" applyProtection="1">
      <alignment horizontal="center"/>
    </xf>
    <xf numFmtId="0" fontId="54" fillId="5" borderId="12" xfId="3" applyFont="1" applyBorder="1" applyAlignment="1" applyProtection="1">
      <alignment horizontal="center"/>
    </xf>
    <xf numFmtId="0" fontId="54" fillId="5" borderId="31" xfId="3" applyFont="1" applyBorder="1" applyAlignment="1" applyProtection="1">
      <alignment horizontal="center"/>
    </xf>
    <xf numFmtId="165" fontId="59" fillId="2" borderId="5" xfId="1" applyNumberFormat="1" applyFont="1" applyBorder="1" applyAlignment="1" applyProtection="1">
      <alignment horizontal="right"/>
    </xf>
    <xf numFmtId="0" fontId="59" fillId="2" borderId="23" xfId="1" applyFont="1" applyBorder="1" applyAlignment="1" applyProtection="1">
      <alignment horizontal="right"/>
    </xf>
    <xf numFmtId="1" fontId="32" fillId="13" borderId="1" xfId="2" quotePrefix="1" applyNumberFormat="1" applyFont="1" applyAlignment="1" applyProtection="1">
      <alignment horizontal="center"/>
      <protection locked="0"/>
    </xf>
    <xf numFmtId="1" fontId="32" fillId="13" borderId="1" xfId="2" applyNumberFormat="1" applyFont="1" applyAlignment="1" applyProtection="1">
      <alignment horizontal="center"/>
      <protection locked="0"/>
    </xf>
    <xf numFmtId="0" fontId="51" fillId="11" borderId="5" xfId="6" applyFont="1" applyBorder="1" applyAlignment="1" applyProtection="1">
      <alignment horizontal="left"/>
    </xf>
    <xf numFmtId="0" fontId="51" fillId="11" borderId="23" xfId="6" applyFont="1" applyBorder="1" applyAlignment="1" applyProtection="1">
      <alignment horizontal="left"/>
    </xf>
    <xf numFmtId="0" fontId="51" fillId="11" borderId="6" xfId="6" applyFont="1" applyBorder="1" applyAlignment="1" applyProtection="1">
      <alignment horizontal="left"/>
    </xf>
    <xf numFmtId="165" fontId="51" fillId="11" borderId="7" xfId="6" applyNumberFormat="1" applyFont="1" applyBorder="1" applyAlignment="1" applyProtection="1">
      <alignment horizontal="center" vertical="center"/>
    </xf>
    <xf numFmtId="165" fontId="51" fillId="11" borderId="9" xfId="6" applyNumberFormat="1" applyFont="1" applyBorder="1" applyAlignment="1" applyProtection="1">
      <alignment horizontal="center" vertical="center"/>
    </xf>
    <xf numFmtId="165" fontId="51" fillId="11" borderId="10" xfId="6" applyNumberFormat="1" applyFont="1" applyBorder="1" applyAlignment="1" applyProtection="1">
      <alignment horizontal="center" vertical="center"/>
    </xf>
    <xf numFmtId="165" fontId="51" fillId="11" borderId="12" xfId="6" applyNumberFormat="1" applyFont="1" applyBorder="1" applyAlignment="1" applyProtection="1">
      <alignment horizontal="center" vertical="center"/>
    </xf>
    <xf numFmtId="165" fontId="59" fillId="2" borderId="7" xfId="1" applyNumberFormat="1" applyFont="1" applyBorder="1" applyAlignment="1" applyProtection="1">
      <alignment horizontal="right" vertical="center"/>
    </xf>
    <xf numFmtId="165" fontId="59" fillId="2" borderId="10" xfId="1" applyNumberFormat="1" applyFont="1" applyBorder="1" applyAlignment="1" applyProtection="1">
      <alignment horizontal="right" vertical="center"/>
    </xf>
    <xf numFmtId="0" fontId="54" fillId="5" borderId="47" xfId="3" applyFont="1" applyBorder="1" applyAlignment="1" applyProtection="1">
      <alignment horizontal="center"/>
    </xf>
    <xf numFmtId="0" fontId="54" fillId="5" borderId="0" xfId="3" applyFont="1" applyBorder="1" applyAlignment="1" applyProtection="1">
      <alignment horizontal="center"/>
    </xf>
    <xf numFmtId="0" fontId="54" fillId="5" borderId="4" xfId="3" applyFont="1" applyBorder="1" applyAlignment="1" applyProtection="1">
      <alignment horizontal="center"/>
    </xf>
    <xf numFmtId="165" fontId="54" fillId="5" borderId="78" xfId="3" applyNumberFormat="1" applyFont="1" applyBorder="1" applyAlignment="1" applyProtection="1">
      <alignment horizontal="right"/>
    </xf>
    <xf numFmtId="165" fontId="54" fillId="5" borderId="11" xfId="3" applyNumberFormat="1" applyFont="1" applyBorder="1" applyAlignment="1" applyProtection="1">
      <alignment horizontal="right"/>
    </xf>
    <xf numFmtId="165" fontId="54" fillId="5" borderId="12" xfId="3" applyNumberFormat="1" applyFont="1" applyBorder="1" applyAlignment="1" applyProtection="1">
      <alignment horizontal="right"/>
    </xf>
    <xf numFmtId="165" fontId="59" fillId="2" borderId="13" xfId="1" applyNumberFormat="1" applyFont="1" applyBorder="1" applyAlignment="1" applyProtection="1">
      <alignment horizontal="center"/>
    </xf>
    <xf numFmtId="165" fontId="51" fillId="11" borderId="2" xfId="6" quotePrefix="1" applyNumberFormat="1" applyFont="1" applyBorder="1" applyAlignment="1" applyProtection="1">
      <alignment horizontal="center"/>
    </xf>
    <xf numFmtId="165" fontId="59" fillId="2" borderId="2" xfId="1" applyNumberFormat="1" applyFont="1" applyBorder="1" applyAlignment="1" applyProtection="1">
      <alignment horizontal="center" vertical="center"/>
    </xf>
    <xf numFmtId="165" fontId="51" fillId="11" borderId="73" xfId="6" applyNumberFormat="1" applyFont="1" applyBorder="1" applyAlignment="1" applyProtection="1">
      <alignment horizontal="center" vertical="center"/>
    </xf>
    <xf numFmtId="165" fontId="51" fillId="11" borderId="5" xfId="6" applyNumberFormat="1" applyFont="1" applyBorder="1" applyAlignment="1" applyProtection="1">
      <alignment horizontal="center"/>
    </xf>
    <xf numFmtId="165" fontId="51" fillId="11" borderId="23" xfId="6" applyNumberFormat="1" applyFont="1" applyBorder="1" applyAlignment="1" applyProtection="1">
      <alignment horizontal="center"/>
    </xf>
    <xf numFmtId="165" fontId="51" fillId="11" borderId="6" xfId="6" applyNumberFormat="1" applyFont="1" applyBorder="1" applyAlignment="1" applyProtection="1">
      <alignment horizontal="center"/>
    </xf>
    <xf numFmtId="0" fontId="19" fillId="3" borderId="5" xfId="0" applyFont="1" applyFill="1" applyBorder="1" applyAlignment="1">
      <alignment horizontal="center"/>
    </xf>
    <xf numFmtId="0" fontId="19" fillId="3" borderId="23" xfId="0" applyFont="1" applyFill="1" applyBorder="1" applyAlignment="1">
      <alignment horizontal="center"/>
    </xf>
    <xf numFmtId="0" fontId="19" fillId="3" borderId="6" xfId="0" applyFont="1" applyFill="1" applyBorder="1" applyAlignment="1">
      <alignment horizontal="center"/>
    </xf>
    <xf numFmtId="165" fontId="32" fillId="13" borderId="1" xfId="2" quotePrefix="1" applyNumberFormat="1" applyFont="1" applyAlignment="1" applyProtection="1">
      <alignment horizontal="center"/>
      <protection locked="0"/>
    </xf>
    <xf numFmtId="165" fontId="28" fillId="7" borderId="2" xfId="5" quotePrefix="1" applyNumberFormat="1" applyFont="1" applyBorder="1" applyAlignment="1" applyProtection="1">
      <alignment horizontal="left"/>
    </xf>
    <xf numFmtId="0" fontId="19" fillId="0" borderId="0" xfId="0" applyFont="1"/>
    <xf numFmtId="165" fontId="32" fillId="13" borderId="22" xfId="2" quotePrefix="1" applyNumberFormat="1" applyFont="1" applyBorder="1" applyAlignment="1" applyProtection="1">
      <alignment horizontal="center" vertical="center"/>
      <protection locked="0"/>
    </xf>
    <xf numFmtId="165" fontId="32" fillId="13" borderId="58" xfId="2" quotePrefix="1" applyNumberFormat="1" applyFont="1" applyBorder="1" applyAlignment="1" applyProtection="1">
      <alignment horizontal="center" vertical="center"/>
      <protection locked="0"/>
    </xf>
    <xf numFmtId="165" fontId="32" fillId="13" borderId="45" xfId="2" quotePrefix="1" applyNumberFormat="1" applyFont="1" applyBorder="1" applyAlignment="1" applyProtection="1">
      <alignment horizontal="center" vertical="center"/>
      <protection locked="0"/>
    </xf>
    <xf numFmtId="165" fontId="32" fillId="13" borderId="18" xfId="2" quotePrefix="1" applyNumberFormat="1" applyFont="1" applyBorder="1" applyAlignment="1" applyProtection="1">
      <alignment horizontal="center" vertical="center"/>
      <protection locked="0"/>
    </xf>
    <xf numFmtId="165" fontId="32" fillId="7" borderId="25" xfId="5" applyNumberFormat="1" applyFont="1" applyAlignment="1" applyProtection="1">
      <alignment horizontal="center" vertical="center"/>
      <protection locked="0"/>
    </xf>
    <xf numFmtId="0" fontId="57" fillId="6" borderId="132" xfId="4" applyFont="1" applyBorder="1" applyAlignment="1" applyProtection="1">
      <alignment horizontal="center" vertical="center"/>
    </xf>
    <xf numFmtId="0" fontId="57" fillId="6" borderId="59" xfId="4" applyFont="1" applyBorder="1" applyAlignment="1" applyProtection="1">
      <alignment horizontal="center" vertical="center"/>
    </xf>
    <xf numFmtId="0" fontId="57" fillId="6" borderId="60" xfId="4" applyFont="1" applyBorder="1" applyAlignment="1" applyProtection="1">
      <alignment horizontal="center" vertical="center"/>
    </xf>
    <xf numFmtId="0" fontId="57" fillId="6" borderId="133" xfId="4" applyFont="1" applyBorder="1" applyAlignment="1" applyProtection="1">
      <alignment horizontal="center" vertical="center"/>
    </xf>
    <xf numFmtId="0" fontId="57" fillId="6" borderId="61" xfId="4" applyFont="1" applyBorder="1" applyAlignment="1" applyProtection="1">
      <alignment horizontal="center" vertical="center"/>
    </xf>
    <xf numFmtId="0" fontId="57" fillId="6" borderId="62" xfId="4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165" fontId="51" fillId="11" borderId="47" xfId="6" applyNumberFormat="1" applyFont="1" applyBorder="1" applyAlignment="1" applyProtection="1">
      <alignment horizontal="center" vertical="center"/>
    </xf>
    <xf numFmtId="165" fontId="62" fillId="5" borderId="7" xfId="3" applyNumberFormat="1" applyFont="1" applyBorder="1" applyAlignment="1" applyProtection="1">
      <alignment horizontal="center" vertical="center"/>
    </xf>
    <xf numFmtId="165" fontId="62" fillId="5" borderId="8" xfId="3" applyNumberFormat="1" applyFont="1" applyBorder="1" applyAlignment="1" applyProtection="1">
      <alignment horizontal="center" vertical="center"/>
    </xf>
    <xf numFmtId="165" fontId="62" fillId="5" borderId="47" xfId="3" applyNumberFormat="1" applyFont="1" applyBorder="1" applyAlignment="1" applyProtection="1">
      <alignment horizontal="center" vertical="center"/>
    </xf>
    <xf numFmtId="165" fontId="62" fillId="5" borderId="0" xfId="3" applyNumberFormat="1" applyFont="1" applyBorder="1" applyAlignment="1" applyProtection="1">
      <alignment horizontal="center" vertical="center"/>
    </xf>
    <xf numFmtId="165" fontId="62" fillId="5" borderId="10" xfId="3" applyNumberFormat="1" applyFont="1" applyBorder="1" applyAlignment="1" applyProtection="1">
      <alignment horizontal="center" vertical="center"/>
    </xf>
    <xf numFmtId="165" fontId="62" fillId="5" borderId="11" xfId="3" applyNumberFormat="1" applyFont="1" applyBorder="1" applyAlignment="1" applyProtection="1">
      <alignment horizontal="center" vertical="center"/>
    </xf>
    <xf numFmtId="165" fontId="35" fillId="13" borderId="18" xfId="2" quotePrefix="1" applyNumberFormat="1" applyFont="1" applyBorder="1" applyAlignment="1" applyProtection="1">
      <alignment horizontal="center"/>
      <protection locked="0"/>
    </xf>
    <xf numFmtId="165" fontId="35" fillId="13" borderId="13" xfId="2" applyNumberFormat="1" applyFont="1" applyBorder="1" applyAlignment="1" applyProtection="1">
      <alignment horizontal="center"/>
      <protection locked="0"/>
    </xf>
    <xf numFmtId="165" fontId="50" fillId="24" borderId="1" xfId="1" applyNumberFormat="1" applyFont="1" applyFill="1" applyAlignment="1" applyProtection="1">
      <alignment horizontal="center"/>
    </xf>
    <xf numFmtId="0" fontId="50" fillId="24" borderId="1" xfId="1" applyFont="1" applyFill="1" applyAlignment="1" applyProtection="1">
      <alignment horizontal="center"/>
    </xf>
    <xf numFmtId="165" fontId="35" fillId="25" borderId="19" xfId="2" quotePrefix="1" applyNumberFormat="1" applyFont="1" applyFill="1" applyBorder="1" applyAlignment="1" applyProtection="1">
      <alignment horizontal="center"/>
      <protection locked="0"/>
    </xf>
    <xf numFmtId="0" fontId="35" fillId="25" borderId="20" xfId="2" applyFont="1" applyFill="1" applyBorder="1" applyAlignment="1" applyProtection="1">
      <alignment horizontal="center"/>
      <protection locked="0"/>
    </xf>
    <xf numFmtId="0" fontId="35" fillId="25" borderId="21" xfId="2" applyFont="1" applyFill="1" applyBorder="1" applyAlignment="1" applyProtection="1">
      <alignment horizontal="center"/>
      <protection locked="0"/>
    </xf>
    <xf numFmtId="0" fontId="35" fillId="13" borderId="5" xfId="2" applyFont="1" applyBorder="1" applyAlignment="1" applyProtection="1">
      <alignment horizontal="center"/>
      <protection locked="0"/>
    </xf>
    <xf numFmtId="0" fontId="35" fillId="13" borderId="23" xfId="2" applyFont="1" applyBorder="1" applyAlignment="1" applyProtection="1">
      <alignment horizontal="center"/>
      <protection locked="0"/>
    </xf>
    <xf numFmtId="0" fontId="35" fillId="13" borderId="6" xfId="2" applyFont="1" applyBorder="1" applyAlignment="1" applyProtection="1">
      <alignment horizontal="center"/>
      <protection locked="0"/>
    </xf>
    <xf numFmtId="165" fontId="19" fillId="16" borderId="10" xfId="8" applyNumberFormat="1" applyFont="1" applyBorder="1" applyAlignment="1" applyProtection="1">
      <alignment horizontal="center" wrapText="1"/>
    </xf>
    <xf numFmtId="165" fontId="35" fillId="13" borderId="100" xfId="2" applyNumberFormat="1" applyFont="1" applyBorder="1" applyAlignment="1" applyProtection="1">
      <alignment horizontal="center" vertical="center"/>
      <protection locked="0"/>
    </xf>
    <xf numFmtId="165" fontId="35" fillId="13" borderId="39" xfId="2" applyNumberFormat="1" applyFont="1" applyBorder="1" applyAlignment="1" applyProtection="1">
      <alignment horizontal="center" vertical="center"/>
      <protection locked="0"/>
    </xf>
    <xf numFmtId="165" fontId="35" fillId="13" borderId="103" xfId="2" applyNumberFormat="1" applyFont="1" applyBorder="1" applyAlignment="1" applyProtection="1">
      <alignment horizontal="center" vertical="center"/>
      <protection locked="0"/>
    </xf>
    <xf numFmtId="165" fontId="35" fillId="13" borderId="99" xfId="2" quotePrefix="1" applyNumberFormat="1" applyFont="1" applyBorder="1" applyAlignment="1" applyProtection="1">
      <alignment horizontal="center" vertical="center"/>
      <protection locked="0"/>
    </xf>
    <xf numFmtId="165" fontId="35" fillId="13" borderId="27" xfId="2" quotePrefix="1" applyNumberFormat="1" applyFont="1" applyBorder="1" applyAlignment="1" applyProtection="1">
      <alignment horizontal="center" vertical="center"/>
      <protection locked="0"/>
    </xf>
    <xf numFmtId="165" fontId="35" fillId="13" borderId="17" xfId="2" quotePrefix="1" applyNumberFormat="1" applyFont="1" applyBorder="1" applyAlignment="1" applyProtection="1">
      <alignment horizontal="center" vertical="center"/>
      <protection locked="0"/>
    </xf>
    <xf numFmtId="165" fontId="35" fillId="13" borderId="45" xfId="2" quotePrefix="1" applyNumberFormat="1" applyFont="1" applyBorder="1" applyAlignment="1" applyProtection="1">
      <alignment horizontal="center" vertical="center"/>
      <protection locked="0"/>
    </xf>
    <xf numFmtId="165" fontId="35" fillId="13" borderId="107" xfId="2" quotePrefix="1" applyNumberFormat="1" applyFont="1" applyBorder="1" applyAlignment="1" applyProtection="1">
      <alignment horizontal="center" vertical="center"/>
      <protection locked="0"/>
    </xf>
    <xf numFmtId="165" fontId="35" fillId="13" borderId="21" xfId="2" applyNumberFormat="1" applyFont="1" applyBorder="1" applyAlignment="1" applyProtection="1">
      <alignment horizontal="center" vertical="center"/>
      <protection locked="0"/>
    </xf>
    <xf numFmtId="165" fontId="35" fillId="13" borderId="29" xfId="2" applyNumberFormat="1" applyFont="1" applyBorder="1" applyAlignment="1" applyProtection="1">
      <alignment horizontal="center" vertical="center"/>
      <protection locked="0"/>
    </xf>
    <xf numFmtId="165" fontId="35" fillId="13" borderId="20" xfId="2" quotePrefix="1" applyNumberFormat="1" applyFont="1" applyBorder="1" applyAlignment="1" applyProtection="1">
      <alignment horizontal="center" vertical="center"/>
      <protection locked="0"/>
    </xf>
    <xf numFmtId="165" fontId="35" fillId="13" borderId="106" xfId="2" quotePrefix="1" applyNumberFormat="1" applyFont="1" applyBorder="1" applyAlignment="1" applyProtection="1">
      <alignment horizontal="center" vertical="center"/>
      <protection locked="0"/>
    </xf>
    <xf numFmtId="165" fontId="35" fillId="13" borderId="100" xfId="2" quotePrefix="1" applyNumberFormat="1" applyFont="1" applyBorder="1" applyAlignment="1" applyProtection="1">
      <alignment horizontal="center" vertical="center"/>
      <protection locked="0"/>
    </xf>
    <xf numFmtId="165" fontId="35" fillId="13" borderId="101" xfId="2" quotePrefix="1" applyNumberFormat="1" applyFont="1" applyBorder="1" applyAlignment="1" applyProtection="1">
      <alignment horizontal="center" vertical="center"/>
      <protection locked="0"/>
    </xf>
    <xf numFmtId="165" fontId="35" fillId="13" borderId="102" xfId="2" quotePrefix="1" applyNumberFormat="1" applyFont="1" applyBorder="1" applyAlignment="1" applyProtection="1">
      <alignment horizontal="center" vertical="center"/>
      <protection locked="0"/>
    </xf>
    <xf numFmtId="165" fontId="35" fillId="13" borderId="104" xfId="2" applyNumberFormat="1" applyFont="1" applyBorder="1" applyAlignment="1" applyProtection="1">
      <alignment horizontal="center" vertical="center"/>
      <protection locked="0"/>
    </xf>
    <xf numFmtId="0" fontId="0" fillId="7" borderId="25" xfId="5" quotePrefix="1" applyFont="1" applyAlignment="1" applyProtection="1">
      <alignment horizontal="center"/>
    </xf>
    <xf numFmtId="165" fontId="35" fillId="13" borderId="1" xfId="2" quotePrefix="1" applyNumberFormat="1" applyFont="1" applyAlignment="1" applyProtection="1">
      <alignment horizontal="center"/>
      <protection locked="0"/>
    </xf>
    <xf numFmtId="0" fontId="0" fillId="7" borderId="2" xfId="5" applyFont="1" applyBorder="1" applyAlignment="1">
      <alignment horizontal="center" vertical="center"/>
    </xf>
    <xf numFmtId="0" fontId="38" fillId="6" borderId="42" xfId="4" applyFont="1" applyBorder="1" applyAlignment="1" applyProtection="1">
      <alignment horizontal="center" vertical="center"/>
    </xf>
    <xf numFmtId="165" fontId="19" fillId="16" borderId="0" xfId="8" applyNumberFormat="1" applyFont="1" applyBorder="1" applyAlignment="1" applyProtection="1">
      <alignment horizontal="center"/>
    </xf>
    <xf numFmtId="165" fontId="35" fillId="13" borderId="2" xfId="2" quotePrefix="1" applyNumberFormat="1" applyFont="1" applyBorder="1" applyAlignment="1" applyProtection="1">
      <alignment horizontal="center" vertical="center"/>
      <protection locked="0"/>
    </xf>
    <xf numFmtId="165" fontId="35" fillId="13" borderId="2" xfId="2" applyNumberFormat="1" applyFont="1" applyBorder="1" applyAlignment="1" applyProtection="1">
      <alignment horizontal="center" vertical="center"/>
      <protection locked="0"/>
    </xf>
    <xf numFmtId="165" fontId="38" fillId="6" borderId="59" xfId="4" applyNumberFormat="1" applyFont="1" applyBorder="1" applyAlignment="1" applyProtection="1">
      <alignment horizontal="center" vertical="center"/>
    </xf>
    <xf numFmtId="165" fontId="38" fillId="6" borderId="60" xfId="4" applyNumberFormat="1" applyFont="1" applyBorder="1" applyAlignment="1" applyProtection="1">
      <alignment horizontal="center" vertical="center"/>
    </xf>
    <xf numFmtId="165" fontId="38" fillId="6" borderId="61" xfId="4" applyNumberFormat="1" applyFont="1" applyBorder="1" applyAlignment="1" applyProtection="1">
      <alignment horizontal="center" vertical="center"/>
    </xf>
    <xf numFmtId="165" fontId="38" fillId="6" borderId="62" xfId="4" applyNumberFormat="1" applyFont="1" applyBorder="1" applyAlignment="1" applyProtection="1">
      <alignment horizontal="center" vertical="center"/>
    </xf>
    <xf numFmtId="165" fontId="37" fillId="5" borderId="22" xfId="3" applyNumberFormat="1" applyFont="1" applyBorder="1" applyAlignment="1" applyProtection="1">
      <alignment horizontal="center"/>
    </xf>
    <xf numFmtId="165" fontId="36" fillId="11" borderId="22" xfId="6" applyNumberFormat="1" applyFont="1" applyBorder="1" applyAlignment="1" applyProtection="1">
      <alignment horizontal="center"/>
    </xf>
    <xf numFmtId="165" fontId="46" fillId="7" borderId="2" xfId="5" applyNumberFormat="1" applyFont="1" applyBorder="1" applyAlignment="1" applyProtection="1">
      <alignment horizontal="center"/>
    </xf>
    <xf numFmtId="165" fontId="52" fillId="6" borderId="24" xfId="4" applyNumberFormat="1" applyFont="1" applyAlignment="1" applyProtection="1">
      <alignment horizontal="center"/>
    </xf>
    <xf numFmtId="165" fontId="33" fillId="2" borderId="2" xfId="1" applyNumberFormat="1" applyFont="1" applyBorder="1" applyAlignment="1" applyProtection="1">
      <alignment horizontal="center" vertical="center"/>
    </xf>
    <xf numFmtId="165" fontId="29" fillId="5" borderId="112" xfId="3" applyNumberFormat="1" applyFont="1" applyBorder="1" applyAlignment="1" applyProtection="1">
      <alignment horizontal="center" vertical="center"/>
    </xf>
    <xf numFmtId="165" fontId="29" fillId="5" borderId="22" xfId="3" applyNumberFormat="1" applyFont="1" applyBorder="1" applyAlignment="1" applyProtection="1">
      <alignment horizontal="center" vertical="center"/>
    </xf>
    <xf numFmtId="165" fontId="29" fillId="5" borderId="63" xfId="3" applyNumberFormat="1" applyFont="1" applyBorder="1" applyAlignment="1" applyProtection="1">
      <alignment horizontal="center" vertical="center"/>
    </xf>
    <xf numFmtId="165" fontId="29" fillId="5" borderId="7" xfId="3" applyNumberFormat="1" applyFont="1" applyBorder="1" applyAlignment="1" applyProtection="1">
      <alignment horizontal="center" vertical="center"/>
    </xf>
    <xf numFmtId="165" fontId="29" fillId="5" borderId="8" xfId="3" applyNumberFormat="1" applyFont="1" applyBorder="1" applyAlignment="1" applyProtection="1">
      <alignment horizontal="center" vertical="center"/>
    </xf>
    <xf numFmtId="165" fontId="29" fillId="5" borderId="47" xfId="3" applyNumberFormat="1" applyFont="1" applyBorder="1" applyAlignment="1" applyProtection="1">
      <alignment horizontal="center" vertical="center"/>
    </xf>
    <xf numFmtId="165" fontId="29" fillId="5" borderId="0" xfId="3" applyNumberFormat="1" applyFont="1" applyBorder="1" applyAlignment="1" applyProtection="1">
      <alignment horizontal="center" vertical="center"/>
    </xf>
    <xf numFmtId="165" fontId="29" fillId="5" borderId="10" xfId="3" applyNumberFormat="1" applyFont="1" applyBorder="1" applyAlignment="1" applyProtection="1">
      <alignment horizontal="center" vertical="center"/>
    </xf>
    <xf numFmtId="165" fontId="29" fillId="5" borderId="11" xfId="3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5" fontId="29" fillId="5" borderId="7" xfId="3" applyNumberFormat="1" applyFont="1" applyBorder="1" applyAlignment="1" applyProtection="1">
      <alignment horizontal="center" vertical="center" wrapText="1"/>
    </xf>
    <xf numFmtId="0" fontId="19" fillId="0" borderId="0" xfId="0" quotePrefix="1" applyFont="1"/>
    <xf numFmtId="165" fontId="55" fillId="6" borderId="24" xfId="4" applyNumberFormat="1" applyFont="1" applyAlignment="1" applyProtection="1">
      <alignment horizontal="center"/>
    </xf>
    <xf numFmtId="165" fontId="46" fillId="7" borderId="2" xfId="5" quotePrefix="1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0" fontId="35" fillId="13" borderId="20" xfId="2" quotePrefix="1" applyFont="1" applyBorder="1" applyAlignment="1" applyProtection="1">
      <alignment horizontal="center" vertical="center"/>
      <protection locked="0"/>
    </xf>
    <xf numFmtId="165" fontId="1" fillId="2" borderId="1" xfId="1" applyNumberFormat="1" applyAlignment="1" applyProtection="1">
      <alignment horizontal="center" vertical="center"/>
    </xf>
    <xf numFmtId="165" fontId="19" fillId="9" borderId="120" xfId="0" applyNumberFormat="1" applyFont="1" applyFill="1" applyBorder="1" applyAlignment="1">
      <alignment horizontal="center"/>
    </xf>
    <xf numFmtId="165" fontId="8" fillId="6" borderId="98" xfId="4" applyNumberFormat="1" applyBorder="1" applyAlignment="1" applyProtection="1">
      <alignment horizontal="center"/>
    </xf>
    <xf numFmtId="165" fontId="8" fillId="6" borderId="41" xfId="4" applyNumberFormat="1" applyBorder="1" applyAlignment="1" applyProtection="1">
      <alignment horizontal="center"/>
    </xf>
    <xf numFmtId="165" fontId="8" fillId="6" borderId="42" xfId="4" applyNumberFormat="1" applyBorder="1" applyAlignment="1" applyProtection="1">
      <alignment horizontal="center"/>
    </xf>
    <xf numFmtId="0" fontId="2" fillId="35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 vertical="center"/>
    </xf>
    <xf numFmtId="20" fontId="32" fillId="13" borderId="7" xfId="2" quotePrefix="1" applyNumberFormat="1" applyFont="1" applyBorder="1" applyAlignment="1" applyProtection="1">
      <alignment horizontal="center" vertical="center"/>
      <protection locked="0"/>
    </xf>
    <xf numFmtId="20" fontId="32" fillId="13" borderId="8" xfId="2" quotePrefix="1" applyNumberFormat="1" applyFont="1" applyBorder="1" applyAlignment="1" applyProtection="1">
      <alignment horizontal="center" vertical="center"/>
      <protection locked="0"/>
    </xf>
    <xf numFmtId="20" fontId="32" fillId="13" borderId="9" xfId="2" quotePrefix="1" applyNumberFormat="1" applyFont="1" applyBorder="1" applyAlignment="1" applyProtection="1">
      <alignment horizontal="center" vertical="center"/>
      <protection locked="0"/>
    </xf>
    <xf numFmtId="165" fontId="59" fillId="2" borderId="7" xfId="1" applyNumberFormat="1" applyFont="1" applyBorder="1" applyAlignment="1" applyProtection="1">
      <alignment horizontal="center" vertical="center"/>
    </xf>
    <xf numFmtId="165" fontId="59" fillId="2" borderId="8" xfId="1" applyNumberFormat="1" applyFont="1" applyBorder="1" applyAlignment="1" applyProtection="1">
      <alignment horizontal="center" vertical="center"/>
    </xf>
    <xf numFmtId="165" fontId="59" fillId="2" borderId="27" xfId="1" applyNumberFormat="1" applyFont="1" applyBorder="1" applyAlignment="1" applyProtection="1">
      <alignment horizontal="center" vertical="center"/>
    </xf>
    <xf numFmtId="165" fontId="57" fillId="6" borderId="41" xfId="4" applyNumberFormat="1" applyFont="1" applyBorder="1" applyAlignment="1" applyProtection="1">
      <alignment horizontal="center" vertical="center"/>
    </xf>
    <xf numFmtId="165" fontId="57" fillId="6" borderId="42" xfId="4" applyNumberFormat="1" applyFont="1" applyBorder="1" applyAlignment="1" applyProtection="1">
      <alignment horizontal="center" vertical="center"/>
    </xf>
    <xf numFmtId="0" fontId="58" fillId="13" borderId="5" xfId="2" applyFont="1" applyBorder="1" applyAlignment="1" applyProtection="1">
      <alignment horizontal="center" vertical="center"/>
    </xf>
    <xf numFmtId="0" fontId="58" fillId="13" borderId="23" xfId="2" applyFont="1" applyBorder="1" applyAlignment="1" applyProtection="1">
      <alignment horizontal="center" vertical="center"/>
    </xf>
    <xf numFmtId="0" fontId="58" fillId="13" borderId="6" xfId="2" applyFont="1" applyBorder="1" applyAlignment="1" applyProtection="1">
      <alignment horizontal="center" vertical="center"/>
    </xf>
    <xf numFmtId="165" fontId="33" fillId="2" borderId="5" xfId="1" applyNumberFormat="1" applyFont="1" applyBorder="1" applyAlignment="1" applyProtection="1">
      <alignment horizontal="center" vertical="center"/>
    </xf>
    <xf numFmtId="165" fontId="33" fillId="2" borderId="23" xfId="1" applyNumberFormat="1" applyFont="1" applyBorder="1" applyAlignment="1" applyProtection="1">
      <alignment horizontal="center" vertical="center"/>
    </xf>
    <xf numFmtId="165" fontId="33" fillId="2" borderId="26" xfId="1" applyNumberFormat="1" applyFont="1" applyBorder="1" applyAlignment="1" applyProtection="1">
      <alignment horizontal="center" vertical="center"/>
    </xf>
    <xf numFmtId="0" fontId="52" fillId="6" borderId="24" xfId="4" applyFont="1" applyAlignment="1" applyProtection="1">
      <alignment horizontal="center"/>
    </xf>
    <xf numFmtId="20" fontId="32" fillId="13" borderId="37" xfId="2" quotePrefix="1" applyNumberFormat="1" applyFont="1" applyBorder="1" applyAlignment="1" applyProtection="1">
      <alignment horizontal="center" vertical="center"/>
      <protection locked="0"/>
    </xf>
    <xf numFmtId="20" fontId="32" fillId="13" borderId="38" xfId="2" quotePrefix="1" applyNumberFormat="1" applyFont="1" applyBorder="1" applyAlignment="1" applyProtection="1">
      <alignment horizontal="center" vertical="center"/>
      <protection locked="0"/>
    </xf>
    <xf numFmtId="20" fontId="32" fillId="13" borderId="3" xfId="2" quotePrefix="1" applyNumberFormat="1" applyFont="1" applyBorder="1" applyAlignment="1" applyProtection="1">
      <alignment horizontal="center" vertical="center"/>
      <protection locked="0"/>
    </xf>
    <xf numFmtId="165" fontId="59" fillId="2" borderId="37" xfId="1" applyNumberFormat="1" applyFont="1" applyBorder="1" applyAlignment="1" applyProtection="1">
      <alignment horizontal="center" vertical="center"/>
    </xf>
    <xf numFmtId="165" fontId="59" fillId="2" borderId="38" xfId="1" applyNumberFormat="1" applyFont="1" applyBorder="1" applyAlignment="1" applyProtection="1">
      <alignment horizontal="center" vertical="center"/>
    </xf>
    <xf numFmtId="165" fontId="59" fillId="2" borderId="145" xfId="1" applyNumberFormat="1" applyFont="1" applyBorder="1" applyAlignment="1" applyProtection="1">
      <alignment horizontal="center" vertical="center"/>
    </xf>
    <xf numFmtId="165" fontId="16" fillId="5" borderId="2" xfId="3" applyNumberFormat="1" applyFont="1" applyBorder="1" applyAlignment="1" applyProtection="1">
      <alignment horizontal="center" vertical="center"/>
    </xf>
    <xf numFmtId="0" fontId="17" fillId="3" borderId="5" xfId="3" applyFont="1" applyFill="1" applyBorder="1" applyAlignment="1">
      <alignment horizontal="center"/>
    </xf>
    <xf numFmtId="0" fontId="17" fillId="3" borderId="23" xfId="3" applyFont="1" applyFill="1" applyBorder="1" applyAlignment="1">
      <alignment horizontal="center"/>
    </xf>
    <xf numFmtId="0" fontId="17" fillId="3" borderId="6" xfId="3" applyFont="1" applyFill="1" applyBorder="1" applyAlignment="1">
      <alignment horizontal="center"/>
    </xf>
    <xf numFmtId="165" fontId="16" fillId="5" borderId="7" xfId="3" applyNumberFormat="1" applyFont="1" applyBorder="1" applyAlignment="1">
      <alignment horizontal="center" vertical="center"/>
    </xf>
    <xf numFmtId="0" fontId="16" fillId="5" borderId="8" xfId="3" applyFont="1" applyBorder="1" applyAlignment="1">
      <alignment horizontal="center" vertical="center"/>
    </xf>
    <xf numFmtId="0" fontId="16" fillId="5" borderId="9" xfId="3" applyFont="1" applyBorder="1" applyAlignment="1">
      <alignment horizontal="center" vertical="center"/>
    </xf>
    <xf numFmtId="0" fontId="16" fillId="5" borderId="10" xfId="3" applyFont="1" applyBorder="1" applyAlignment="1">
      <alignment horizontal="center" vertical="center"/>
    </xf>
    <xf numFmtId="0" fontId="16" fillId="5" borderId="11" xfId="3" applyFont="1" applyBorder="1" applyAlignment="1">
      <alignment horizontal="center" vertical="center"/>
    </xf>
    <xf numFmtId="0" fontId="16" fillId="5" borderId="12" xfId="3" applyFont="1" applyBorder="1" applyAlignment="1">
      <alignment horizontal="center" vertical="center"/>
    </xf>
    <xf numFmtId="20" fontId="16" fillId="5" borderId="2" xfId="3" quotePrefix="1" applyNumberFormat="1" applyFont="1" applyBorder="1" applyAlignment="1" applyProtection="1">
      <alignment horizontal="center" vertical="center"/>
      <protection locked="0"/>
    </xf>
    <xf numFmtId="165" fontId="5" fillId="2" borderId="21" xfId="1" applyNumberFormat="1" applyFont="1" applyBorder="1" applyAlignment="1" applyProtection="1">
      <alignment horizontal="center"/>
    </xf>
    <xf numFmtId="0" fontId="5" fillId="2" borderId="29" xfId="1" applyFont="1" applyBorder="1" applyAlignment="1" applyProtection="1">
      <alignment horizontal="center"/>
    </xf>
    <xf numFmtId="0" fontId="4" fillId="13" borderId="19" xfId="2" quotePrefix="1" applyFont="1" applyBorder="1" applyAlignment="1" applyProtection="1">
      <alignment horizontal="center"/>
      <protection locked="0"/>
    </xf>
    <xf numFmtId="0" fontId="4" fillId="13" borderId="20" xfId="2" applyFont="1" applyBorder="1" applyAlignment="1" applyProtection="1">
      <alignment horizontal="center"/>
      <protection locked="0"/>
    </xf>
    <xf numFmtId="0" fontId="4" fillId="13" borderId="21" xfId="2" applyFont="1" applyBorder="1" applyAlignment="1" applyProtection="1">
      <alignment horizontal="center"/>
      <protection locked="0"/>
    </xf>
    <xf numFmtId="0" fontId="2" fillId="0" borderId="0" xfId="0" applyFont="1"/>
    <xf numFmtId="165" fontId="18" fillId="6" borderId="0" xfId="4" applyNumberFormat="1" applyFont="1" applyBorder="1" applyAlignment="1" applyProtection="1">
      <alignment horizontal="center" vertical="center"/>
    </xf>
    <xf numFmtId="165" fontId="18" fillId="6" borderId="71" xfId="4" applyNumberFormat="1" applyFont="1" applyBorder="1" applyAlignment="1" applyProtection="1">
      <alignment horizontal="center" vertical="center"/>
    </xf>
    <xf numFmtId="165" fontId="18" fillId="6" borderId="61" xfId="4" applyNumberFormat="1" applyFont="1" applyBorder="1" applyAlignment="1" applyProtection="1">
      <alignment horizontal="center" vertical="center"/>
    </xf>
    <xf numFmtId="165" fontId="18" fillId="6" borderId="62" xfId="4" applyNumberFormat="1" applyFont="1" applyBorder="1" applyAlignment="1" applyProtection="1">
      <alignment horizontal="center" vertical="center"/>
    </xf>
    <xf numFmtId="165" fontId="18" fillId="6" borderId="59" xfId="4" applyNumberFormat="1" applyFont="1" applyBorder="1" applyAlignment="1" applyProtection="1">
      <alignment horizontal="center" vertical="center"/>
    </xf>
    <xf numFmtId="165" fontId="18" fillId="6" borderId="60" xfId="4" applyNumberFormat="1" applyFont="1" applyBorder="1" applyAlignment="1" applyProtection="1">
      <alignment horizontal="center" vertical="center"/>
    </xf>
    <xf numFmtId="165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22" xfId="1" applyNumberFormat="1" applyFont="1" applyBorder="1" applyAlignment="1" applyProtection="1">
      <alignment horizontal="center" vertical="center"/>
    </xf>
    <xf numFmtId="165" fontId="5" fillId="2" borderId="58" xfId="1" applyNumberFormat="1" applyFont="1" applyBorder="1" applyAlignment="1" applyProtection="1">
      <alignment horizontal="center" vertical="center"/>
    </xf>
    <xf numFmtId="165" fontId="5" fillId="2" borderId="45" xfId="1" applyNumberFormat="1" applyFont="1" applyBorder="1" applyAlignment="1" applyProtection="1">
      <alignment horizontal="center" vertical="center"/>
    </xf>
    <xf numFmtId="165" fontId="5" fillId="2" borderId="18" xfId="1" applyNumberFormat="1" applyFont="1" applyBorder="1" applyAlignment="1" applyProtection="1">
      <alignment horizontal="center" vertical="center"/>
    </xf>
    <xf numFmtId="165" fontId="4" fillId="13" borderId="56" xfId="2" applyNumberFormat="1" applyFont="1" applyBorder="1" applyAlignment="1" applyProtection="1">
      <alignment horizontal="center" vertical="center"/>
      <protection locked="0"/>
    </xf>
    <xf numFmtId="165" fontId="4" fillId="13" borderId="13" xfId="2" applyNumberFormat="1" applyFont="1" applyBorder="1" applyAlignment="1" applyProtection="1">
      <alignment horizontal="center" vertical="center"/>
      <protection locked="0"/>
    </xf>
    <xf numFmtId="165" fontId="4" fillId="13" borderId="57" xfId="2" quotePrefix="1" applyNumberFormat="1" applyFont="1" applyBorder="1" applyAlignment="1" applyProtection="1">
      <alignment horizontal="center" vertical="center"/>
      <protection locked="0"/>
    </xf>
    <xf numFmtId="165" fontId="4" fillId="13" borderId="22" xfId="2" quotePrefix="1" applyNumberFormat="1" applyFont="1" applyBorder="1" applyAlignment="1" applyProtection="1">
      <alignment horizontal="center" vertical="center"/>
      <protection locked="0"/>
    </xf>
    <xf numFmtId="165" fontId="4" fillId="13" borderId="63" xfId="2" quotePrefix="1" applyNumberFormat="1" applyFont="1" applyBorder="1" applyAlignment="1" applyProtection="1">
      <alignment horizontal="center" vertical="center"/>
      <protection locked="0"/>
    </xf>
    <xf numFmtId="165" fontId="4" fillId="13" borderId="17" xfId="2" quotePrefix="1" applyNumberFormat="1" applyFont="1" applyBorder="1" applyAlignment="1" applyProtection="1">
      <alignment horizontal="center" vertical="center"/>
      <protection locked="0"/>
    </xf>
    <xf numFmtId="165" fontId="4" fillId="13" borderId="45" xfId="2" quotePrefix="1" applyNumberFormat="1" applyFont="1" applyBorder="1" applyAlignment="1" applyProtection="1">
      <alignment horizontal="center" vertical="center"/>
      <protection locked="0"/>
    </xf>
    <xf numFmtId="165" fontId="4" fillId="13" borderId="64" xfId="2" quotePrefix="1" applyNumberFormat="1" applyFont="1" applyBorder="1" applyAlignment="1" applyProtection="1">
      <alignment horizontal="center" vertical="center"/>
      <protection locked="0"/>
    </xf>
    <xf numFmtId="165" fontId="2" fillId="7" borderId="25" xfId="5" applyNumberFormat="1" applyFont="1" applyAlignment="1" applyProtection="1">
      <alignment horizontal="center" vertical="center"/>
    </xf>
    <xf numFmtId="0" fontId="17" fillId="5" borderId="2" xfId="3" applyFont="1" applyBorder="1" applyAlignment="1">
      <alignment horizontal="center"/>
    </xf>
    <xf numFmtId="0" fontId="58" fillId="13" borderId="1" xfId="2" applyFont="1" applyAlignment="1" applyProtection="1">
      <alignment horizontal="center" vertical="center"/>
    </xf>
    <xf numFmtId="165" fontId="33" fillId="2" borderId="1" xfId="1" applyNumberFormat="1" applyFont="1" applyAlignment="1" applyProtection="1">
      <alignment horizontal="center" vertical="center"/>
    </xf>
    <xf numFmtId="0" fontId="5" fillId="7" borderId="137" xfId="5" applyFont="1" applyBorder="1" applyAlignment="1" applyProtection="1">
      <alignment horizontal="center" vertical="center"/>
    </xf>
    <xf numFmtId="0" fontId="5" fillId="7" borderId="139" xfId="5" applyFont="1" applyBorder="1" applyAlignment="1" applyProtection="1">
      <alignment horizontal="center" vertical="center"/>
    </xf>
    <xf numFmtId="165" fontId="4" fillId="13" borderId="29" xfId="2" applyNumberFormat="1" applyFont="1" applyBorder="1" applyAlignment="1" applyProtection="1">
      <alignment horizontal="center" vertical="center"/>
      <protection locked="0"/>
    </xf>
    <xf numFmtId="165" fontId="4" fillId="13" borderId="68" xfId="2" applyNumberFormat="1" applyFont="1" applyBorder="1" applyAlignment="1" applyProtection="1">
      <alignment horizontal="center" vertical="center"/>
      <protection locked="0"/>
    </xf>
    <xf numFmtId="165" fontId="4" fillId="13" borderId="19" xfId="2" quotePrefix="1" applyNumberFormat="1" applyFont="1" applyBorder="1" applyAlignment="1" applyProtection="1">
      <alignment horizontal="center" vertical="center"/>
      <protection locked="0"/>
    </xf>
    <xf numFmtId="165" fontId="4" fillId="13" borderId="20" xfId="2" quotePrefix="1" applyNumberFormat="1" applyFont="1" applyBorder="1" applyAlignment="1" applyProtection="1">
      <alignment horizontal="center" vertical="center"/>
      <protection locked="0"/>
    </xf>
    <xf numFmtId="165" fontId="4" fillId="13" borderId="65" xfId="2" quotePrefix="1" applyNumberFormat="1" applyFont="1" applyBorder="1" applyAlignment="1" applyProtection="1">
      <alignment horizontal="center" vertical="center"/>
      <protection locked="0"/>
    </xf>
    <xf numFmtId="165" fontId="4" fillId="13" borderId="66" xfId="2" quotePrefix="1" applyNumberFormat="1" applyFont="1" applyBorder="1" applyAlignment="1" applyProtection="1">
      <alignment horizontal="center" vertical="center"/>
      <protection locked="0"/>
    </xf>
    <xf numFmtId="165" fontId="4" fillId="13" borderId="67" xfId="2" quotePrefix="1" applyNumberFormat="1" applyFont="1" applyBorder="1" applyAlignment="1" applyProtection="1">
      <alignment horizontal="center" vertical="center"/>
      <protection locked="0"/>
    </xf>
    <xf numFmtId="165" fontId="4" fillId="13" borderId="69" xfId="2" quotePrefix="1" applyNumberFormat="1" applyFont="1" applyBorder="1" applyAlignment="1" applyProtection="1">
      <alignment horizontal="center" vertical="center"/>
      <protection locked="0"/>
    </xf>
    <xf numFmtId="0" fontId="17" fillId="3" borderId="2" xfId="3" applyFont="1" applyFill="1" applyBorder="1" applyAlignment="1">
      <alignment horizontal="center"/>
    </xf>
    <xf numFmtId="165" fontId="18" fillId="6" borderId="2" xfId="4" applyNumberFormat="1" applyFont="1" applyBorder="1" applyAlignment="1" applyProtection="1">
      <alignment horizontal="center" vertical="center"/>
    </xf>
    <xf numFmtId="0" fontId="2" fillId="7" borderId="134" xfId="5" applyFont="1" applyBorder="1" applyAlignment="1" applyProtection="1">
      <alignment horizontal="center" vertical="center" wrapText="1"/>
    </xf>
    <xf numFmtId="0" fontId="2" fillId="7" borderId="136" xfId="5" applyFont="1" applyBorder="1" applyAlignment="1" applyProtection="1">
      <alignment horizontal="center" vertical="center"/>
    </xf>
    <xf numFmtId="0" fontId="2" fillId="7" borderId="138" xfId="5" applyFont="1" applyBorder="1" applyAlignment="1" applyProtection="1">
      <alignment horizontal="center" vertical="center"/>
    </xf>
    <xf numFmtId="0" fontId="15" fillId="0" borderId="10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15" fillId="0" borderId="30" xfId="0" applyFont="1" applyBorder="1" applyAlignment="1">
      <alignment horizontal="right"/>
    </xf>
    <xf numFmtId="165" fontId="5" fillId="2" borderId="1" xfId="1" applyNumberFormat="1" applyFont="1" applyAlignment="1" applyProtection="1">
      <alignment horizontal="center"/>
    </xf>
    <xf numFmtId="0" fontId="5" fillId="2" borderId="1" xfId="1" applyFont="1" applyAlignment="1" applyProtection="1">
      <alignment horizontal="center"/>
    </xf>
    <xf numFmtId="0" fontId="4" fillId="13" borderId="1" xfId="2" quotePrefix="1" applyFont="1" applyAlignment="1" applyProtection="1">
      <alignment horizontal="center"/>
      <protection locked="0"/>
    </xf>
    <xf numFmtId="0" fontId="4" fillId="13" borderId="1" xfId="2" applyFont="1" applyAlignment="1" applyProtection="1">
      <alignment horizontal="center"/>
      <protection locked="0"/>
    </xf>
    <xf numFmtId="20" fontId="4" fillId="13" borderId="7" xfId="2" quotePrefix="1" applyNumberFormat="1" applyFont="1" applyBorder="1" applyAlignment="1" applyProtection="1">
      <alignment horizontal="center" vertical="center"/>
      <protection locked="0"/>
    </xf>
    <xf numFmtId="20" fontId="4" fillId="13" borderId="8" xfId="2" quotePrefix="1" applyNumberFormat="1" applyFont="1" applyBorder="1" applyAlignment="1" applyProtection="1">
      <alignment horizontal="center" vertical="center"/>
      <protection locked="0"/>
    </xf>
    <xf numFmtId="20" fontId="4" fillId="13" borderId="9" xfId="2" quotePrefix="1" applyNumberFormat="1" applyFont="1" applyBorder="1" applyAlignment="1" applyProtection="1">
      <alignment horizontal="center" vertical="center"/>
      <protection locked="0"/>
    </xf>
    <xf numFmtId="20" fontId="4" fillId="13" borderId="10" xfId="2" quotePrefix="1" applyNumberFormat="1" applyFont="1" applyBorder="1" applyAlignment="1" applyProtection="1">
      <alignment horizontal="center" vertical="center"/>
      <protection locked="0"/>
    </xf>
    <xf numFmtId="20" fontId="4" fillId="13" borderId="11" xfId="2" quotePrefix="1" applyNumberFormat="1" applyFont="1" applyBorder="1" applyAlignment="1" applyProtection="1">
      <alignment horizontal="center" vertical="center"/>
      <protection locked="0"/>
    </xf>
    <xf numFmtId="20" fontId="4" fillId="13" borderId="12" xfId="2" quotePrefix="1" applyNumberFormat="1" applyFont="1" applyBorder="1" applyAlignment="1" applyProtection="1">
      <alignment horizontal="center" vertical="center"/>
      <protection locked="0"/>
    </xf>
    <xf numFmtId="165" fontId="17" fillId="5" borderId="2" xfId="3" applyNumberFormat="1" applyFont="1" applyBorder="1" applyAlignment="1" applyProtection="1">
      <alignment horizontal="center"/>
    </xf>
    <xf numFmtId="0" fontId="17" fillId="5" borderId="5" xfId="3" applyFont="1" applyBorder="1" applyAlignment="1">
      <alignment horizontal="center"/>
    </xf>
    <xf numFmtId="165" fontId="5" fillId="7" borderId="135" xfId="5" applyNumberFormat="1" applyFont="1" applyBorder="1" applyAlignment="1" applyProtection="1">
      <alignment horizontal="center" vertical="center"/>
    </xf>
    <xf numFmtId="165" fontId="5" fillId="7" borderId="137" xfId="5" applyNumberFormat="1" applyFont="1" applyBorder="1" applyAlignment="1" applyProtection="1">
      <alignment horizontal="center" vertical="center"/>
    </xf>
    <xf numFmtId="165" fontId="17" fillId="5" borderId="14" xfId="3" applyNumberFormat="1" applyFont="1" applyBorder="1" applyAlignment="1" applyProtection="1">
      <alignment horizontal="center" vertical="center"/>
    </xf>
    <xf numFmtId="165" fontId="17" fillId="5" borderId="15" xfId="3" applyNumberFormat="1" applyFont="1" applyBorder="1" applyAlignment="1" applyProtection="1">
      <alignment horizontal="center" vertical="center"/>
    </xf>
    <xf numFmtId="165" fontId="17" fillId="5" borderId="16" xfId="3" applyNumberFormat="1" applyFont="1" applyBorder="1" applyAlignment="1" applyProtection="1">
      <alignment horizontal="center" vertical="center"/>
    </xf>
    <xf numFmtId="165" fontId="2" fillId="3" borderId="2" xfId="0" applyNumberFormat="1" applyFont="1" applyFill="1" applyBorder="1" applyAlignment="1">
      <alignment horizontal="center" vertical="center"/>
    </xf>
    <xf numFmtId="165" fontId="2" fillId="3" borderId="5" xfId="0" applyNumberFormat="1" applyFont="1" applyFill="1" applyBorder="1" applyAlignment="1">
      <alignment horizontal="center" vertical="center"/>
    </xf>
    <xf numFmtId="165" fontId="2" fillId="3" borderId="23" xfId="0" applyNumberFormat="1" applyFont="1" applyFill="1" applyBorder="1" applyAlignment="1">
      <alignment horizontal="center" vertical="center"/>
    </xf>
    <xf numFmtId="165" fontId="2" fillId="3" borderId="6" xfId="0" applyNumberFormat="1" applyFont="1" applyFill="1" applyBorder="1" applyAlignment="1">
      <alignment horizontal="center" vertical="center"/>
    </xf>
    <xf numFmtId="0" fontId="4" fillId="13" borderId="1" xfId="2" applyFont="1" applyAlignment="1" applyProtection="1">
      <alignment horizontal="center" vertical="center"/>
    </xf>
    <xf numFmtId="165" fontId="5" fillId="2" borderId="1" xfId="1" applyNumberFormat="1" applyFont="1" applyAlignment="1" applyProtection="1">
      <alignment horizontal="center" vertical="center"/>
    </xf>
    <xf numFmtId="0" fontId="18" fillId="6" borderId="24" xfId="4" applyFont="1" applyAlignment="1" applyProtection="1">
      <alignment horizontal="center"/>
    </xf>
    <xf numFmtId="0" fontId="4" fillId="13" borderId="5" xfId="2" applyFont="1" applyBorder="1" applyAlignment="1" applyProtection="1">
      <alignment horizontal="center" vertical="center"/>
    </xf>
    <xf numFmtId="0" fontId="4" fillId="13" borderId="23" xfId="2" applyFont="1" applyBorder="1" applyAlignment="1" applyProtection="1">
      <alignment horizontal="center" vertical="center"/>
    </xf>
    <xf numFmtId="0" fontId="4" fillId="13" borderId="6" xfId="2" applyFont="1" applyBorder="1" applyAlignment="1" applyProtection="1">
      <alignment horizontal="center" vertical="center"/>
    </xf>
    <xf numFmtId="165" fontId="5" fillId="2" borderId="5" xfId="1" applyNumberFormat="1" applyFont="1" applyBorder="1" applyAlignment="1" applyProtection="1">
      <alignment horizontal="center" vertical="center"/>
    </xf>
    <xf numFmtId="165" fontId="5" fillId="2" borderId="23" xfId="1" applyNumberFormat="1" applyFont="1" applyBorder="1" applyAlignment="1" applyProtection="1">
      <alignment horizontal="center" vertical="center"/>
    </xf>
    <xf numFmtId="165" fontId="5" fillId="2" borderId="26" xfId="1" applyNumberFormat="1" applyFont="1" applyBorder="1" applyAlignment="1" applyProtection="1">
      <alignment horizontal="center" vertical="center"/>
    </xf>
    <xf numFmtId="20" fontId="4" fillId="13" borderId="1" xfId="2" quotePrefix="1" applyNumberFormat="1" applyFont="1" applyAlignment="1" applyProtection="1">
      <alignment horizontal="center" vertical="center"/>
      <protection locked="0"/>
    </xf>
    <xf numFmtId="0" fontId="4" fillId="13" borderId="1" xfId="2" applyFont="1" applyAlignment="1" applyProtection="1">
      <alignment horizontal="center" vertical="center"/>
      <protection locked="0"/>
    </xf>
    <xf numFmtId="165" fontId="18" fillId="6" borderId="24" xfId="4" applyNumberFormat="1" applyFont="1" applyAlignment="1" applyProtection="1">
      <alignment horizontal="center" vertical="center"/>
    </xf>
    <xf numFmtId="165" fontId="5" fillId="2" borderId="7" xfId="1" applyNumberFormat="1" applyFont="1" applyBorder="1" applyAlignment="1" applyProtection="1">
      <alignment horizontal="center" vertical="center"/>
    </xf>
    <xf numFmtId="165" fontId="5" fillId="2" borderId="8" xfId="1" applyNumberFormat="1" applyFont="1" applyBorder="1" applyAlignment="1" applyProtection="1">
      <alignment horizontal="center" vertical="center"/>
    </xf>
    <xf numFmtId="165" fontId="5" fillId="2" borderId="27" xfId="1" applyNumberFormat="1" applyFont="1" applyBorder="1" applyAlignment="1" applyProtection="1">
      <alignment horizontal="center" vertical="center"/>
    </xf>
    <xf numFmtId="165" fontId="5" fillId="2" borderId="10" xfId="1" applyNumberFormat="1" applyFont="1" applyBorder="1" applyAlignment="1" applyProtection="1">
      <alignment horizontal="center" vertical="center"/>
    </xf>
    <xf numFmtId="165" fontId="5" fillId="2" borderId="11" xfId="1" applyNumberFormat="1" applyFont="1" applyBorder="1" applyAlignment="1" applyProtection="1">
      <alignment horizontal="center" vertical="center"/>
    </xf>
    <xf numFmtId="165" fontId="5" fillId="2" borderId="28" xfId="1" applyNumberFormat="1" applyFont="1" applyBorder="1" applyAlignment="1" applyProtection="1">
      <alignment horizontal="center" vertical="center"/>
    </xf>
    <xf numFmtId="165" fontId="26" fillId="19" borderId="0" xfId="0" applyNumberFormat="1" applyFont="1" applyFill="1" applyAlignment="1">
      <alignment horizontal="center" vertical="center"/>
    </xf>
    <xf numFmtId="165" fontId="25" fillId="19" borderId="0" xfId="0" applyNumberFormat="1" applyFont="1" applyFill="1" applyAlignment="1">
      <alignment horizontal="center" vertical="center"/>
    </xf>
    <xf numFmtId="165" fontId="5" fillId="2" borderId="20" xfId="1" applyNumberFormat="1" applyFont="1" applyBorder="1" applyAlignment="1" applyProtection="1">
      <alignment horizontal="center" vertical="center"/>
    </xf>
    <xf numFmtId="165" fontId="5" fillId="2" borderId="0" xfId="1" applyNumberFormat="1" applyFont="1" applyBorder="1" applyAlignment="1" applyProtection="1">
      <alignment horizontal="center" vertical="center"/>
    </xf>
    <xf numFmtId="0" fontId="4" fillId="13" borderId="20" xfId="2" quotePrefix="1" applyFont="1" applyBorder="1" applyAlignment="1" applyProtection="1">
      <alignment horizontal="center" vertical="center"/>
      <protection locked="0"/>
    </xf>
    <xf numFmtId="0" fontId="4" fillId="13" borderId="0" xfId="2" quotePrefix="1" applyFont="1" applyBorder="1" applyAlignment="1" applyProtection="1">
      <alignment horizontal="center" vertical="center"/>
      <protection locked="0"/>
    </xf>
    <xf numFmtId="165" fontId="18" fillId="6" borderId="24" xfId="4" applyNumberFormat="1" applyFont="1" applyAlignment="1" applyProtection="1">
      <alignment horizontal="center"/>
    </xf>
    <xf numFmtId="0" fontId="2" fillId="0" borderId="0" xfId="0" applyFont="1" applyAlignment="1">
      <alignment horizontal="center"/>
    </xf>
    <xf numFmtId="0" fontId="16" fillId="5" borderId="2" xfId="3" applyFont="1" applyBorder="1" applyAlignment="1">
      <alignment horizontal="center"/>
    </xf>
    <xf numFmtId="165" fontId="6" fillId="5" borderId="2" xfId="3" applyNumberFormat="1" applyBorder="1" applyAlignment="1">
      <alignment horizontal="center"/>
    </xf>
    <xf numFmtId="0" fontId="6" fillId="5" borderId="2" xfId="3" applyBorder="1" applyAlignment="1">
      <alignment horizontal="center"/>
    </xf>
    <xf numFmtId="0" fontId="2" fillId="7" borderId="25" xfId="5" applyFont="1" applyAlignment="1">
      <alignment horizontal="center" vertical="center"/>
    </xf>
    <xf numFmtId="0" fontId="2" fillId="7" borderId="135" xfId="5" applyFont="1" applyBorder="1" applyAlignment="1">
      <alignment vertical="center"/>
    </xf>
    <xf numFmtId="0" fontId="2" fillId="7" borderId="137" xfId="5" applyFont="1" applyBorder="1" applyAlignment="1">
      <alignment vertical="center"/>
    </xf>
    <xf numFmtId="0" fontId="2" fillId="7" borderId="139" xfId="5" applyFont="1" applyBorder="1" applyAlignment="1">
      <alignment vertical="center"/>
    </xf>
    <xf numFmtId="165" fontId="5" fillId="2" borderId="72" xfId="1" applyNumberFormat="1" applyFont="1" applyBorder="1" applyAlignment="1" applyProtection="1">
      <alignment horizontal="center" vertical="center"/>
    </xf>
    <xf numFmtId="165" fontId="5" fillId="2" borderId="74" xfId="1" applyNumberFormat="1" applyFont="1" applyBorder="1" applyAlignment="1" applyProtection="1">
      <alignment horizontal="center" vertical="center"/>
    </xf>
    <xf numFmtId="0" fontId="2" fillId="7" borderId="136" xfId="5" applyFont="1" applyBorder="1" applyAlignment="1" applyProtection="1">
      <alignment horizontal="center" vertical="center" wrapText="1"/>
    </xf>
    <xf numFmtId="0" fontId="2" fillId="7" borderId="138" xfId="5" applyFont="1" applyBorder="1" applyAlignment="1" applyProtection="1">
      <alignment horizontal="center" vertical="center" wrapText="1"/>
    </xf>
    <xf numFmtId="0" fontId="65" fillId="5" borderId="2" xfId="3" applyFont="1" applyBorder="1" applyAlignment="1">
      <alignment horizontal="center" vertical="center"/>
    </xf>
    <xf numFmtId="165" fontId="65" fillId="5" borderId="2" xfId="3" applyNumberFormat="1" applyFont="1" applyBorder="1" applyAlignment="1">
      <alignment horizontal="center" vertical="center"/>
    </xf>
    <xf numFmtId="0" fontId="2" fillId="7" borderId="140" xfId="5" applyFont="1" applyBorder="1" applyAlignment="1">
      <alignment horizontal="center" vertical="center"/>
    </xf>
    <xf numFmtId="0" fontId="2" fillId="7" borderId="135" xfId="5" applyFont="1" applyBorder="1" applyAlignment="1">
      <alignment horizontal="center" vertical="center"/>
    </xf>
    <xf numFmtId="0" fontId="2" fillId="7" borderId="137" xfId="5" applyFont="1" applyBorder="1" applyAlignment="1">
      <alignment horizontal="center" vertical="center"/>
    </xf>
    <xf numFmtId="0" fontId="5" fillId="2" borderId="75" xfId="1" applyFont="1" applyBorder="1" applyAlignment="1" applyProtection="1">
      <alignment horizontal="center" vertical="center"/>
    </xf>
    <xf numFmtId="0" fontId="5" fillId="2" borderId="76" xfId="1" applyFont="1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49" fontId="4" fillId="13" borderId="2" xfId="2" quotePrefix="1" applyNumberFormat="1" applyFont="1" applyBorder="1" applyAlignment="1" applyProtection="1">
      <alignment horizontal="center" vertical="center"/>
      <protection locked="0"/>
    </xf>
    <xf numFmtId="165" fontId="5" fillId="2" borderId="6" xfId="1" applyNumberFormat="1" applyFont="1" applyBorder="1" applyAlignment="1" applyProtection="1">
      <alignment horizontal="center" vertical="center"/>
    </xf>
    <xf numFmtId="165" fontId="5" fillId="2" borderId="2" xfId="1" applyNumberFormat="1" applyFont="1" applyBorder="1" applyAlignment="1" applyProtection="1">
      <alignment horizontal="center" vertical="center"/>
    </xf>
    <xf numFmtId="0" fontId="2" fillId="7" borderId="141" xfId="5" applyFont="1" applyBorder="1" applyAlignment="1">
      <alignment horizontal="center" vertical="center"/>
    </xf>
    <xf numFmtId="0" fontId="2" fillId="7" borderId="139" xfId="5" applyFont="1" applyBorder="1" applyAlignment="1">
      <alignment horizontal="center" vertical="center"/>
    </xf>
    <xf numFmtId="0" fontId="3" fillId="7" borderId="30" xfId="5" applyFont="1" applyBorder="1" applyAlignment="1">
      <alignment horizontal="center" vertical="center"/>
    </xf>
    <xf numFmtId="0" fontId="3" fillId="7" borderId="73" xfId="5" applyFont="1" applyBorder="1" applyAlignment="1">
      <alignment horizontal="center" vertical="center"/>
    </xf>
    <xf numFmtId="0" fontId="3" fillId="7" borderId="31" xfId="5" applyFont="1" applyBorder="1" applyAlignment="1">
      <alignment horizontal="center" vertical="center"/>
    </xf>
    <xf numFmtId="0" fontId="23" fillId="11" borderId="2" xfId="6" applyFont="1" applyBorder="1" applyAlignment="1">
      <alignment horizontal="center" vertical="center"/>
    </xf>
    <xf numFmtId="0" fontId="22" fillId="11" borderId="2" xfId="6" applyFont="1" applyBorder="1" applyAlignment="1">
      <alignment horizontal="center" vertical="center"/>
    </xf>
    <xf numFmtId="165" fontId="1" fillId="2" borderId="20" xfId="1" applyNumberFormat="1" applyBorder="1" applyAlignment="1" applyProtection="1">
      <alignment horizontal="center" vertical="center"/>
    </xf>
    <xf numFmtId="165" fontId="1" fillId="2" borderId="0" xfId="1" applyNumberFormat="1" applyBorder="1" applyAlignment="1" applyProtection="1">
      <alignment horizontal="center" vertical="center"/>
    </xf>
    <xf numFmtId="0" fontId="3" fillId="13" borderId="20" xfId="2" quotePrefix="1" applyBorder="1" applyAlignment="1" applyProtection="1">
      <alignment horizontal="center" vertical="center"/>
      <protection locked="0"/>
    </xf>
    <xf numFmtId="0" fontId="3" fillId="13" borderId="0" xfId="2" quotePrefix="1" applyBorder="1" applyAlignment="1" applyProtection="1">
      <alignment horizontal="center" vertical="center"/>
      <protection locked="0"/>
    </xf>
    <xf numFmtId="0" fontId="0" fillId="0" borderId="0" xfId="0"/>
    <xf numFmtId="0" fontId="10" fillId="5" borderId="5" xfId="3" applyFont="1" applyBorder="1" applyAlignment="1">
      <alignment horizontal="center"/>
    </xf>
    <xf numFmtId="0" fontId="10" fillId="5" borderId="6" xfId="3" applyFont="1" applyBorder="1" applyAlignment="1">
      <alignment horizontal="center"/>
    </xf>
    <xf numFmtId="0" fontId="23" fillId="11" borderId="5" xfId="6" applyFont="1" applyBorder="1" applyAlignment="1">
      <alignment horizontal="center"/>
    </xf>
    <xf numFmtId="0" fontId="23" fillId="11" borderId="23" xfId="6" applyFont="1" applyBorder="1" applyAlignment="1">
      <alignment horizontal="center"/>
    </xf>
    <xf numFmtId="0" fontId="23" fillId="11" borderId="6" xfId="6" applyFont="1" applyBorder="1" applyAlignment="1">
      <alignment horizontal="center"/>
    </xf>
    <xf numFmtId="0" fontId="10" fillId="5" borderId="2" xfId="3" applyFont="1" applyBorder="1" applyAlignment="1">
      <alignment horizontal="center" vertical="center"/>
    </xf>
    <xf numFmtId="0" fontId="23" fillId="11" borderId="2" xfId="6" applyFont="1" applyBorder="1" applyAlignment="1">
      <alignment horizontal="center"/>
    </xf>
    <xf numFmtId="0" fontId="24" fillId="6" borderId="42" xfId="4" applyFont="1" applyBorder="1" applyAlignment="1">
      <alignment horizontal="center"/>
    </xf>
    <xf numFmtId="0" fontId="24" fillId="6" borderId="24" xfId="4" applyFont="1" applyAlignment="1">
      <alignment horizontal="center"/>
    </xf>
    <xf numFmtId="171" fontId="28" fillId="22" borderId="80" xfId="1" applyNumberFormat="1" applyFont="1" applyFill="1" applyBorder="1" applyAlignment="1"/>
    <xf numFmtId="171" fontId="28" fillId="22" borderId="0" xfId="1" applyNumberFormat="1" applyFont="1" applyFill="1" applyBorder="1" applyAlignment="1"/>
    <xf numFmtId="171" fontId="28" fillId="22" borderId="39" xfId="1" applyNumberFormat="1" applyFont="1" applyFill="1" applyBorder="1" applyAlignment="1"/>
    <xf numFmtId="171" fontId="28" fillId="22" borderId="80" xfId="1" applyNumberFormat="1" applyFont="1" applyFill="1" applyBorder="1" applyAlignment="1">
      <alignment horizontal="right"/>
    </xf>
    <xf numFmtId="171" fontId="28" fillId="22" borderId="0" xfId="1" applyNumberFormat="1" applyFont="1" applyFill="1" applyBorder="1" applyAlignment="1">
      <alignment horizontal="right"/>
    </xf>
    <xf numFmtId="171" fontId="28" fillId="22" borderId="39" xfId="1" applyNumberFormat="1" applyFont="1" applyFill="1" applyBorder="1" applyAlignment="1">
      <alignment horizontal="right"/>
    </xf>
    <xf numFmtId="0" fontId="20" fillId="17" borderId="2" xfId="9" applyBorder="1" applyAlignment="1" applyProtection="1">
      <alignment horizontal="center"/>
      <protection locked="0"/>
    </xf>
    <xf numFmtId="0" fontId="10" fillId="5" borderId="2" xfId="3" applyFont="1" applyBorder="1" applyAlignment="1" applyProtection="1">
      <alignment horizontal="center" vertical="center" textRotation="255"/>
      <protection locked="0"/>
    </xf>
    <xf numFmtId="165" fontId="46" fillId="7" borderId="2" xfId="5" applyNumberFormat="1" applyFont="1" applyBorder="1" applyAlignment="1" applyProtection="1">
      <alignment horizontal="center" vertical="center" wrapText="1"/>
    </xf>
    <xf numFmtId="165" fontId="38" fillId="6" borderId="132" xfId="4" applyNumberFormat="1" applyFont="1" applyBorder="1" applyAlignment="1" applyProtection="1">
      <alignment horizontal="center" vertical="center"/>
    </xf>
    <xf numFmtId="165" fontId="38" fillId="6" borderId="133" xfId="4" applyNumberFormat="1" applyFont="1" applyBorder="1" applyAlignment="1" applyProtection="1">
      <alignment horizontal="center" vertical="center"/>
    </xf>
    <xf numFmtId="165" fontId="19" fillId="16" borderId="31" xfId="8" applyNumberFormat="1" applyFont="1" applyBorder="1" applyAlignment="1" applyProtection="1">
      <alignment horizontal="center"/>
    </xf>
    <xf numFmtId="165" fontId="32" fillId="13" borderId="31" xfId="2" quotePrefix="1" applyNumberFormat="1" applyFont="1" applyBorder="1" applyAlignment="1" applyProtection="1">
      <alignment horizontal="center"/>
      <protection locked="0"/>
    </xf>
    <xf numFmtId="165" fontId="19" fillId="9" borderId="14" xfId="0" applyNumberFormat="1" applyFont="1" applyFill="1" applyBorder="1" applyAlignment="1">
      <alignment horizontal="left"/>
    </xf>
    <xf numFmtId="165" fontId="19" fillId="9" borderId="15" xfId="0" applyNumberFormat="1" applyFont="1" applyFill="1" applyBorder="1" applyAlignment="1">
      <alignment horizontal="left"/>
    </xf>
    <xf numFmtId="165" fontId="19" fillId="9" borderId="14" xfId="0" applyNumberFormat="1" applyFont="1" applyFill="1" applyBorder="1" applyAlignment="1">
      <alignment horizontal="left" vertical="center"/>
    </xf>
    <xf numFmtId="165" fontId="19" fillId="9" borderId="15" xfId="0" applyNumberFormat="1" applyFont="1" applyFill="1" applyBorder="1" applyAlignment="1">
      <alignment horizontal="left" vertical="center"/>
    </xf>
    <xf numFmtId="165" fontId="19" fillId="9" borderId="16" xfId="0" applyNumberFormat="1" applyFont="1" applyFill="1" applyBorder="1" applyAlignment="1">
      <alignment horizontal="left" vertical="center"/>
    </xf>
    <xf numFmtId="165" fontId="46" fillId="7" borderId="5" xfId="5" applyNumberFormat="1" applyFont="1" applyBorder="1" applyAlignment="1" applyProtection="1">
      <alignment horizontal="center"/>
    </xf>
    <xf numFmtId="165" fontId="46" fillId="7" borderId="23" xfId="5" applyNumberFormat="1" applyFont="1" applyBorder="1" applyAlignment="1" applyProtection="1">
      <alignment horizontal="center"/>
    </xf>
    <xf numFmtId="165" fontId="36" fillId="11" borderId="10" xfId="6" applyNumberFormat="1" applyFont="1" applyBorder="1" applyAlignment="1" applyProtection="1">
      <alignment horizontal="center"/>
    </xf>
    <xf numFmtId="165" fontId="46" fillId="7" borderId="8" xfId="5" applyNumberFormat="1" applyFont="1" applyBorder="1" applyAlignment="1" applyProtection="1">
      <alignment horizontal="center"/>
    </xf>
    <xf numFmtId="165" fontId="46" fillId="7" borderId="9" xfId="5" applyNumberFormat="1" applyFont="1" applyBorder="1" applyAlignment="1" applyProtection="1">
      <alignment horizontal="center"/>
    </xf>
    <xf numFmtId="165" fontId="36" fillId="11" borderId="6" xfId="6" applyNumberFormat="1" applyFont="1" applyBorder="1" applyAlignment="1" applyProtection="1">
      <alignment vertical="center"/>
    </xf>
    <xf numFmtId="0" fontId="0" fillId="0" borderId="0" xfId="0" applyProtection="1"/>
    <xf numFmtId="165" fontId="19" fillId="0" borderId="0" xfId="0" applyNumberFormat="1" applyFont="1" applyProtection="1"/>
    <xf numFmtId="165" fontId="19" fillId="9" borderId="14" xfId="0" applyNumberFormat="1" applyFont="1" applyFill="1" applyBorder="1" applyProtection="1"/>
    <xf numFmtId="165" fontId="19" fillId="9" borderId="15" xfId="0" applyNumberFormat="1" applyFont="1" applyFill="1" applyBorder="1" applyProtection="1"/>
    <xf numFmtId="165" fontId="41" fillId="0" borderId="0" xfId="0" applyNumberFormat="1" applyFont="1" applyProtection="1"/>
    <xf numFmtId="0" fontId="34" fillId="0" borderId="0" xfId="0" applyFont="1" applyProtection="1"/>
    <xf numFmtId="0" fontId="41" fillId="0" borderId="0" xfId="0" applyFont="1" applyProtection="1"/>
    <xf numFmtId="165" fontId="41" fillId="10" borderId="32" xfId="0" applyNumberFormat="1" applyFont="1" applyFill="1" applyBorder="1" applyAlignment="1" applyProtection="1">
      <alignment horizontal="center" vertical="center"/>
    </xf>
    <xf numFmtId="165" fontId="41" fillId="10" borderId="31" xfId="0" applyNumberFormat="1" applyFont="1" applyFill="1" applyBorder="1" applyAlignment="1" applyProtection="1">
      <alignment horizontal="center" vertical="center"/>
    </xf>
    <xf numFmtId="1" fontId="41" fillId="10" borderId="33" xfId="0" applyNumberFormat="1" applyFont="1" applyFill="1" applyBorder="1" applyAlignment="1" applyProtection="1">
      <alignment horizontal="center" vertical="center"/>
    </xf>
    <xf numFmtId="165" fontId="41" fillId="10" borderId="34" xfId="0" applyNumberFormat="1" applyFont="1" applyFill="1" applyBorder="1" applyAlignment="1" applyProtection="1">
      <alignment horizontal="center" vertical="center"/>
    </xf>
    <xf numFmtId="165" fontId="41" fillId="10" borderId="35" xfId="0" applyNumberFormat="1" applyFont="1" applyFill="1" applyBorder="1" applyAlignment="1" applyProtection="1">
      <alignment horizontal="center" vertical="center"/>
    </xf>
    <xf numFmtId="1" fontId="41" fillId="10" borderId="36" xfId="0" applyNumberFormat="1" applyFont="1" applyFill="1" applyBorder="1" applyAlignment="1" applyProtection="1">
      <alignment horizontal="center" vertical="center"/>
    </xf>
    <xf numFmtId="0" fontId="71" fillId="0" borderId="0" xfId="0" applyFont="1" applyProtection="1"/>
    <xf numFmtId="0" fontId="0" fillId="35" borderId="31" xfId="0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67" fillId="35" borderId="7" xfId="0" applyFont="1" applyFill="1" applyBorder="1" applyAlignment="1" applyProtection="1">
      <alignment horizontal="center" vertical="center"/>
    </xf>
    <xf numFmtId="0" fontId="67" fillId="35" borderId="8" xfId="0" applyFont="1" applyFill="1" applyBorder="1" applyAlignment="1" applyProtection="1">
      <alignment horizontal="center" vertical="center"/>
    </xf>
    <xf numFmtId="0" fontId="1" fillId="2" borderId="103" xfId="1" quotePrefix="1" applyBorder="1" applyAlignment="1" applyProtection="1">
      <alignment horizontal="center" vertical="center"/>
    </xf>
    <xf numFmtId="0" fontId="1" fillId="2" borderId="99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0" xfId="1" applyBorder="1" applyAlignment="1" applyProtection="1">
      <alignment horizontal="center" vertical="center"/>
    </xf>
    <xf numFmtId="165" fontId="1" fillId="2" borderId="103" xfId="1" applyNumberFormat="1" applyBorder="1" applyAlignment="1" applyProtection="1">
      <alignment horizontal="center" vertical="center"/>
    </xf>
    <xf numFmtId="0" fontId="67" fillId="35" borderId="47" xfId="0" applyFont="1" applyFill="1" applyBorder="1" applyAlignment="1" applyProtection="1">
      <alignment horizontal="center" vertical="center"/>
    </xf>
    <xf numFmtId="0" fontId="67" fillId="35" borderId="0" xfId="0" applyFont="1" applyFill="1" applyAlignment="1" applyProtection="1">
      <alignment horizontal="center" vertical="center"/>
    </xf>
    <xf numFmtId="0" fontId="1" fillId="2" borderId="13" xfId="1" quotePrefix="1" applyBorder="1" applyAlignment="1" applyProtection="1">
      <alignment horizontal="center" vertical="center"/>
    </xf>
    <xf numFmtId="0" fontId="1" fillId="2" borderId="17" xfId="1" applyBorder="1" applyAlignment="1" applyProtection="1">
      <alignment horizontal="center" vertical="center"/>
    </xf>
    <xf numFmtId="0" fontId="1" fillId="2" borderId="45" xfId="1" applyBorder="1" applyAlignment="1" applyProtection="1">
      <alignment horizontal="center" vertical="center"/>
    </xf>
    <xf numFmtId="0" fontId="1" fillId="2" borderId="18" xfId="1" applyBorder="1" applyAlignment="1" applyProtection="1">
      <alignment horizontal="center" vertical="center"/>
    </xf>
    <xf numFmtId="165" fontId="1" fillId="2" borderId="13" xfId="1" applyNumberFormat="1" applyBorder="1" applyAlignment="1" applyProtection="1">
      <alignment horizontal="center" vertical="center"/>
    </xf>
    <xf numFmtId="0" fontId="67" fillId="35" borderId="10" xfId="0" applyFont="1" applyFill="1" applyBorder="1" applyAlignment="1" applyProtection="1">
      <alignment horizontal="center" vertical="center"/>
    </xf>
    <xf numFmtId="0" fontId="67" fillId="35" borderId="11" xfId="0" applyFont="1" applyFill="1" applyBorder="1" applyAlignment="1" applyProtection="1">
      <alignment horizontal="center" vertical="center"/>
    </xf>
    <xf numFmtId="0" fontId="24" fillId="2" borderId="1" xfId="1" quotePrefix="1" applyFont="1" applyAlignment="1" applyProtection="1">
      <alignment horizontal="center" vertical="center"/>
    </xf>
    <xf numFmtId="0" fontId="24" fillId="2" borderId="1" xfId="1" quotePrefix="1" applyFont="1" applyAlignment="1" applyProtection="1">
      <alignment vertical="center"/>
    </xf>
    <xf numFmtId="0" fontId="24" fillId="2" borderId="1" xfId="1" applyFont="1" applyAlignment="1" applyProtection="1">
      <alignment horizontal="center" vertical="center"/>
    </xf>
    <xf numFmtId="165" fontId="24" fillId="2" borderId="1" xfId="1" applyNumberFormat="1" applyFont="1" applyAlignment="1" applyProtection="1">
      <alignment vertical="center"/>
    </xf>
    <xf numFmtId="0" fontId="0" fillId="7" borderId="146" xfId="5" applyFont="1" applyBorder="1" applyAlignment="1" applyProtection="1">
      <alignment horizontal="center"/>
    </xf>
    <xf numFmtId="0" fontId="0" fillId="7" borderId="147" xfId="5" applyFont="1" applyBorder="1" applyAlignment="1" applyProtection="1">
      <alignment horizontal="center"/>
    </xf>
    <xf numFmtId="0" fontId="0" fillId="7" borderId="148" xfId="5" applyFont="1" applyBorder="1" applyProtection="1"/>
    <xf numFmtId="0" fontId="0" fillId="38" borderId="2" xfId="0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/>
    </xf>
    <xf numFmtId="165" fontId="0" fillId="3" borderId="31" xfId="0" applyNumberFormat="1" applyFill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67" fillId="35" borderId="5" xfId="0" applyFont="1" applyFill="1" applyBorder="1" applyAlignment="1" applyProtection="1">
      <alignment horizontal="center" vertical="center"/>
    </xf>
    <xf numFmtId="0" fontId="67" fillId="35" borderId="23" xfId="0" applyFont="1" applyFill="1" applyBorder="1" applyAlignment="1" applyProtection="1">
      <alignment horizontal="center" vertical="center"/>
    </xf>
    <xf numFmtId="0" fontId="1" fillId="2" borderId="1" xfId="1" quotePrefix="1" applyAlignment="1" applyProtection="1">
      <alignment horizontal="center" vertical="center"/>
    </xf>
    <xf numFmtId="165" fontId="1" fillId="2" borderId="1" xfId="1" applyNumberFormat="1" applyAlignment="1" applyProtection="1">
      <alignment vertical="center"/>
    </xf>
    <xf numFmtId="0" fontId="0" fillId="3" borderId="5" xfId="0" applyFill="1" applyBorder="1" applyAlignment="1" applyProtection="1">
      <alignment horizontal="center" vertical="center"/>
    </xf>
    <xf numFmtId="0" fontId="34" fillId="4" borderId="2" xfId="0" applyFont="1" applyFill="1" applyBorder="1" applyAlignment="1" applyProtection="1">
      <alignment horizontal="center" vertical="center"/>
    </xf>
    <xf numFmtId="165" fontId="0" fillId="4" borderId="31" xfId="0" applyNumberFormat="1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165" fontId="19" fillId="9" borderId="14" xfId="0" applyNumberFormat="1" applyFont="1" applyFill="1" applyBorder="1" applyAlignment="1" applyProtection="1">
      <alignment horizontal="left" vertical="center"/>
    </xf>
    <xf numFmtId="165" fontId="19" fillId="9" borderId="15" xfId="0" applyNumberFormat="1" applyFont="1" applyFill="1" applyBorder="1" applyAlignment="1" applyProtection="1">
      <alignment horizontal="left" vertical="center"/>
    </xf>
  </cellXfs>
  <cellStyles count="12">
    <cellStyle name="20 % - Accent5" xfId="11" builtinId="46"/>
    <cellStyle name="60 % - Accent5" xfId="8" builtinId="48" customBuiltin="1"/>
    <cellStyle name="Accent1" xfId="10" builtinId="29"/>
    <cellStyle name="Calcul" xfId="1" builtinId="22" customBuiltin="1"/>
    <cellStyle name="Entrée" xfId="2" builtinId="20" customBuiltin="1"/>
    <cellStyle name="Insatisfaisant" xfId="9" builtinId="27"/>
    <cellStyle name="Neutre" xfId="6" builtinId="28"/>
    <cellStyle name="Normal" xfId="0" builtinId="0"/>
    <cellStyle name="Note" xfId="5" builtinId="10"/>
    <cellStyle name="Satisfaisant" xfId="3" builtinId="26"/>
    <cellStyle name="Sortie" xfId="7" builtinId="21"/>
    <cellStyle name="Vérification" xfId="4" builtinId="23"/>
  </cellStyles>
  <dxfs count="4"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00FF00"/>
      <color rgb="FF66FF66"/>
      <color rgb="FFC5FFC5"/>
      <color rgb="FFFF99CC"/>
      <color rgb="FFFDA1E9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Maree!$AB$42</c:f>
              <c:strCache>
                <c:ptCount val="1"/>
                <c:pt idx="0">
                  <c:v>Par Heure (08:00)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Maree!$AC$42:$AF$42</c:f>
              <c:numCache>
                <c:formatCode>d/m/yy\ h:mm;@</c:formatCode>
                <c:ptCount val="4"/>
                <c:pt idx="0">
                  <c:v>45647.333333333336</c:v>
                </c:pt>
                <c:pt idx="1">
                  <c:v>45647.333333333336</c:v>
                </c:pt>
                <c:pt idx="2">
                  <c:v>45647.333333333336</c:v>
                </c:pt>
                <c:pt idx="3">
                  <c:v>45647.333333333336</c:v>
                </c:pt>
              </c:numCache>
            </c:numRef>
          </c:xVal>
          <c:yVal>
            <c:numRef>
              <c:f>Maree!$AC$43:$AF$43</c:f>
              <c:numCache>
                <c:formatCode>General</c:formatCode>
                <c:ptCount val="4"/>
                <c:pt idx="0">
                  <c:v>5.7787365591939714</c:v>
                </c:pt>
                <c:pt idx="1">
                  <c:v>5.7787365591939714</c:v>
                </c:pt>
                <c:pt idx="2">
                  <c:v>5.7787365591939714</c:v>
                </c:pt>
                <c:pt idx="3">
                  <c:v>5.7787365591939714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69-4C2B-82FA-188E5D70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4236568"/>
        <c:axId val="454238536"/>
      </c:scatterChart>
      <c:scatterChart>
        <c:scatterStyle val="smoothMarker"/>
        <c:varyColors val="0"/>
        <c:ser>
          <c:idx val="0"/>
          <c:order val="0"/>
          <c:tx>
            <c:strRef>
              <c:f>Maree!$AB$37</c:f>
              <c:strCache>
                <c:ptCount val="1"/>
                <c:pt idx="0">
                  <c:v>Hauteur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Maree!$AC$36:$CE$36</c:f>
              <c:numCache>
                <c:formatCode>d/m/yy\ h:mm;@</c:formatCode>
                <c:ptCount val="55"/>
                <c:pt idx="0">
                  <c:v>45646.416666666664</c:v>
                </c:pt>
                <c:pt idx="1">
                  <c:v>45646.459722222222</c:v>
                </c:pt>
                <c:pt idx="2">
                  <c:v>45646.50277777778</c:v>
                </c:pt>
                <c:pt idx="3">
                  <c:v>45646.545833333337</c:v>
                </c:pt>
                <c:pt idx="4">
                  <c:v>45646.588888888895</c:v>
                </c:pt>
                <c:pt idx="5">
                  <c:v>45646.631944444453</c:v>
                </c:pt>
                <c:pt idx="6">
                  <c:v>45646.675000000003</c:v>
                </c:pt>
                <c:pt idx="7">
                  <c:v>45646.730555555558</c:v>
                </c:pt>
                <c:pt idx="8">
                  <c:v>45646.786111111112</c:v>
                </c:pt>
                <c:pt idx="9">
                  <c:v>45646.841666666667</c:v>
                </c:pt>
                <c:pt idx="10">
                  <c:v>45646.897222222222</c:v>
                </c:pt>
                <c:pt idx="11">
                  <c:v>45646.952777777777</c:v>
                </c:pt>
                <c:pt idx="12">
                  <c:v>45647.008333333331</c:v>
                </c:pt>
                <c:pt idx="13">
                  <c:v>45647.049999999996</c:v>
                </c:pt>
                <c:pt idx="14">
                  <c:v>45647.09166666666</c:v>
                </c:pt>
                <c:pt idx="15">
                  <c:v>45647.133333333324</c:v>
                </c:pt>
                <c:pt idx="16">
                  <c:v>45647.174999999988</c:v>
                </c:pt>
                <c:pt idx="17">
                  <c:v>45647.216666666653</c:v>
                </c:pt>
                <c:pt idx="18">
                  <c:v>45647.258333333331</c:v>
                </c:pt>
                <c:pt idx="19">
                  <c:v>45647.301388888889</c:v>
                </c:pt>
                <c:pt idx="20">
                  <c:v>45647.344444444447</c:v>
                </c:pt>
                <c:pt idx="21">
                  <c:v>45647.387500000004</c:v>
                </c:pt>
                <c:pt idx="22">
                  <c:v>45647.430555555562</c:v>
                </c:pt>
                <c:pt idx="23">
                  <c:v>45647.47361111112</c:v>
                </c:pt>
                <c:pt idx="24">
                  <c:v>45647.51666666667</c:v>
                </c:pt>
                <c:pt idx="25">
                  <c:v>45647.558333333334</c:v>
                </c:pt>
                <c:pt idx="26">
                  <c:v>45647.6</c:v>
                </c:pt>
                <c:pt idx="27">
                  <c:v>45647.641666666663</c:v>
                </c:pt>
                <c:pt idx="28">
                  <c:v>45647.683333333327</c:v>
                </c:pt>
                <c:pt idx="29">
                  <c:v>45647.724999999991</c:v>
                </c:pt>
                <c:pt idx="30">
                  <c:v>45647.76666666667</c:v>
                </c:pt>
                <c:pt idx="31">
                  <c:v>45647.808333333334</c:v>
                </c:pt>
                <c:pt idx="32">
                  <c:v>45647.85</c:v>
                </c:pt>
                <c:pt idx="33">
                  <c:v>45647.891666666663</c:v>
                </c:pt>
                <c:pt idx="34">
                  <c:v>45647.933333333327</c:v>
                </c:pt>
                <c:pt idx="35">
                  <c:v>45647.974999999991</c:v>
                </c:pt>
                <c:pt idx="36">
                  <c:v>45648.01666666667</c:v>
                </c:pt>
                <c:pt idx="37">
                  <c:v>45648.058333333334</c:v>
                </c:pt>
                <c:pt idx="38">
                  <c:v>45648.1</c:v>
                </c:pt>
                <c:pt idx="39">
                  <c:v>45648.141666666663</c:v>
                </c:pt>
                <c:pt idx="40">
                  <c:v>45648.183333333327</c:v>
                </c:pt>
                <c:pt idx="41">
                  <c:v>45648.224999999991</c:v>
                </c:pt>
                <c:pt idx="42">
                  <c:v>45648.26666666667</c:v>
                </c:pt>
                <c:pt idx="43">
                  <c:v>45648.308333333334</c:v>
                </c:pt>
                <c:pt idx="44">
                  <c:v>45648.35</c:v>
                </c:pt>
                <c:pt idx="45">
                  <c:v>45648.391666666663</c:v>
                </c:pt>
                <c:pt idx="46">
                  <c:v>45648.433333333327</c:v>
                </c:pt>
                <c:pt idx="47">
                  <c:v>45648.474999999991</c:v>
                </c:pt>
                <c:pt idx="48">
                  <c:v>45648.51666666667</c:v>
                </c:pt>
                <c:pt idx="49">
                  <c:v>45648.558333333334</c:v>
                </c:pt>
                <c:pt idx="50">
                  <c:v>45648.6</c:v>
                </c:pt>
                <c:pt idx="51">
                  <c:v>45648.641666666663</c:v>
                </c:pt>
                <c:pt idx="52">
                  <c:v>45648.683333333327</c:v>
                </c:pt>
                <c:pt idx="53">
                  <c:v>45648.724999999991</c:v>
                </c:pt>
                <c:pt idx="54">
                  <c:v>45648.76666666667</c:v>
                </c:pt>
              </c:numCache>
            </c:numRef>
          </c:xVal>
          <c:yVal>
            <c:numRef>
              <c:f>Maree!$AC$37:$CE$37</c:f>
              <c:numCache>
                <c:formatCode>0.00</c:formatCode>
                <c:ptCount val="55"/>
                <c:pt idx="0" formatCode="General">
                  <c:v>9.56</c:v>
                </c:pt>
                <c:pt idx="1">
                  <c:v>9.18</c:v>
                </c:pt>
                <c:pt idx="2">
                  <c:v>8.42</c:v>
                </c:pt>
                <c:pt idx="3">
                  <c:v>7.28</c:v>
                </c:pt>
                <c:pt idx="4">
                  <c:v>6.1400000000000006</c:v>
                </c:pt>
                <c:pt idx="5">
                  <c:v>5.38</c:v>
                </c:pt>
                <c:pt idx="6" formatCode="General">
                  <c:v>5</c:v>
                </c:pt>
                <c:pt idx="7">
                  <c:v>5.4333333333333336</c:v>
                </c:pt>
                <c:pt idx="8">
                  <c:v>6.3</c:v>
                </c:pt>
                <c:pt idx="9">
                  <c:v>7.6</c:v>
                </c:pt>
                <c:pt idx="10">
                  <c:v>8.9</c:v>
                </c:pt>
                <c:pt idx="11">
                  <c:v>9.7666666666666657</c:v>
                </c:pt>
                <c:pt idx="12" formatCode="General">
                  <c:v>10.199999999999999</c:v>
                </c:pt>
                <c:pt idx="13">
                  <c:v>9.7458333333333336</c:v>
                </c:pt>
                <c:pt idx="14">
                  <c:v>8.8374999999999986</c:v>
                </c:pt>
                <c:pt idx="15">
                  <c:v>7.4749999999999996</c:v>
                </c:pt>
                <c:pt idx="16">
                  <c:v>6.1124999999999998</c:v>
                </c:pt>
                <c:pt idx="17">
                  <c:v>5.2041666666666666</c:v>
                </c:pt>
                <c:pt idx="18" formatCode="General">
                  <c:v>4.75</c:v>
                </c:pt>
                <c:pt idx="19">
                  <c:v>5.1641666666666666</c:v>
                </c:pt>
                <c:pt idx="20">
                  <c:v>5.9924999999999997</c:v>
                </c:pt>
                <c:pt idx="21">
                  <c:v>7.2350000000000003</c:v>
                </c:pt>
                <c:pt idx="22">
                  <c:v>8.4775000000000009</c:v>
                </c:pt>
                <c:pt idx="23">
                  <c:v>9.3058333333333341</c:v>
                </c:pt>
                <c:pt idx="24" formatCode="General">
                  <c:v>9.7200000000000006</c:v>
                </c:pt>
                <c:pt idx="25">
                  <c:v>9.7200000000000006</c:v>
                </c:pt>
                <c:pt idx="26">
                  <c:v>9.7200000000000006</c:v>
                </c:pt>
                <c:pt idx="27">
                  <c:v>9.7200000000000006</c:v>
                </c:pt>
                <c:pt idx="28">
                  <c:v>9.7200000000000006</c:v>
                </c:pt>
                <c:pt idx="29">
                  <c:v>9.7200000000000006</c:v>
                </c:pt>
                <c:pt idx="30" formatCode="General">
                  <c:v>9.7200000000000006</c:v>
                </c:pt>
                <c:pt idx="31">
                  <c:v>9.7200000000000006</c:v>
                </c:pt>
                <c:pt idx="32">
                  <c:v>9.7200000000000006</c:v>
                </c:pt>
                <c:pt idx="33">
                  <c:v>9.7200000000000006</c:v>
                </c:pt>
                <c:pt idx="34">
                  <c:v>9.7200000000000006</c:v>
                </c:pt>
                <c:pt idx="35">
                  <c:v>9.7200000000000006</c:v>
                </c:pt>
                <c:pt idx="36" formatCode="General">
                  <c:v>9.7200000000000006</c:v>
                </c:pt>
                <c:pt idx="37">
                  <c:v>9.7200000000000006</c:v>
                </c:pt>
                <c:pt idx="38">
                  <c:v>9.7200000000000006</c:v>
                </c:pt>
                <c:pt idx="39">
                  <c:v>9.7200000000000006</c:v>
                </c:pt>
                <c:pt idx="40">
                  <c:v>9.7200000000000006</c:v>
                </c:pt>
                <c:pt idx="41">
                  <c:v>9.7200000000000006</c:v>
                </c:pt>
                <c:pt idx="42" formatCode="General">
                  <c:v>9.7200000000000006</c:v>
                </c:pt>
                <c:pt idx="43">
                  <c:v>9.7200000000000006</c:v>
                </c:pt>
                <c:pt idx="44">
                  <c:v>9.7200000000000006</c:v>
                </c:pt>
                <c:pt idx="45">
                  <c:v>9.7200000000000006</c:v>
                </c:pt>
                <c:pt idx="46">
                  <c:v>9.7200000000000006</c:v>
                </c:pt>
                <c:pt idx="47">
                  <c:v>9.7200000000000006</c:v>
                </c:pt>
                <c:pt idx="48" formatCode="General">
                  <c:v>9.7200000000000006</c:v>
                </c:pt>
                <c:pt idx="49">
                  <c:v>9.7200000000000006</c:v>
                </c:pt>
                <c:pt idx="50">
                  <c:v>9.7200000000000006</c:v>
                </c:pt>
                <c:pt idx="51">
                  <c:v>9.7200000000000006</c:v>
                </c:pt>
                <c:pt idx="52">
                  <c:v>9.7200000000000006</c:v>
                </c:pt>
                <c:pt idx="53">
                  <c:v>9.7200000000000006</c:v>
                </c:pt>
                <c:pt idx="54" formatCode="General">
                  <c:v>9.7200000000000006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Maree!$AB$40</c:f>
              <c:strCache>
                <c:ptCount val="1"/>
                <c:pt idx="0">
                  <c:v>Par Hauteur (5.01m)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Maree!$AC$39:$AM$39</c:f>
              <c:numCache>
                <c:formatCode>d/m/yy\ h:mm;@</c:formatCode>
                <c:ptCount val="11"/>
                <c:pt idx="0">
                  <c:v>45646.416666666664</c:v>
                </c:pt>
                <c:pt idx="1">
                  <c:v>45646.67386695907</c:v>
                </c:pt>
                <c:pt idx="2">
                  <c:v>45646.676282051281</c:v>
                </c:pt>
                <c:pt idx="3">
                  <c:v>45647.234480122323</c:v>
                </c:pt>
                <c:pt idx="4">
                  <c:v>45647.285362173039</c:v>
                </c:pt>
                <c:pt idx="5">
                  <c:v>45647.52036217304</c:v>
                </c:pt>
                <c:pt idx="6">
                  <c:v>45647.75536217304</c:v>
                </c:pt>
                <c:pt idx="7">
                  <c:v>45647.990362173041</c:v>
                </c:pt>
                <c:pt idx="8">
                  <c:v>45648.225362173042</c:v>
                </c:pt>
                <c:pt idx="9">
                  <c:v>45648.460362173042</c:v>
                </c:pt>
                <c:pt idx="10">
                  <c:v>45648.76666666667</c:v>
                </c:pt>
              </c:numCache>
            </c:numRef>
          </c:xVal>
          <c:yVal>
            <c:numRef>
              <c:f>Maree!$AC$40:$AM$40</c:f>
              <c:numCache>
                <c:formatCode>General</c:formatCode>
                <c:ptCount val="11"/>
                <c:pt idx="0">
                  <c:v>5.01</c:v>
                </c:pt>
                <c:pt idx="1">
                  <c:v>5.01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</c:v>
                </c:pt>
                <c:pt idx="6">
                  <c:v>5.01</c:v>
                </c:pt>
                <c:pt idx="7">
                  <c:v>5.01</c:v>
                </c:pt>
                <c:pt idx="8">
                  <c:v>5.01</c:v>
                </c:pt>
                <c:pt idx="9">
                  <c:v>5.01</c:v>
                </c:pt>
                <c:pt idx="10">
                  <c:v>5.01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69-4C2B-82FA-188E5D70BA4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Jour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1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5000000000000002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2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sv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D3CFCAF-625C-44FE-B080-FBC07C8EAF65}"/>
                </a:ext>
              </a:extLst>
            </xdr:cNvPr>
            <xdr:cNvSpPr txBox="1"/>
          </xdr:nvSpPr>
          <xdr:spPr>
            <a:xfrm>
              <a:off x="15678150" y="213645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507162F-A853-40C9-A6FA-0DCC88459AF9}"/>
                </a:ext>
              </a:extLst>
            </xdr:cNvPr>
            <xdr:cNvSpPr txBox="1"/>
          </xdr:nvSpPr>
          <xdr:spPr>
            <a:xfrm>
              <a:off x="15725775" y="220694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533400</xdr:colOff>
      <xdr:row>147</xdr:row>
      <xdr:rowOff>161925</xdr:rowOff>
    </xdr:from>
    <xdr:to>
      <xdr:col>35</xdr:col>
      <xdr:colOff>567884</xdr:colOff>
      <xdr:row>157</xdr:row>
      <xdr:rowOff>12191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775" y="32451675"/>
          <a:ext cx="8197409" cy="20410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371475</xdr:colOff>
      <xdr:row>40</xdr:row>
      <xdr:rowOff>180975</xdr:rowOff>
    </xdr:from>
    <xdr:to>
      <xdr:col>16</xdr:col>
      <xdr:colOff>228600</xdr:colOff>
      <xdr:row>47</xdr:row>
      <xdr:rowOff>171450</xdr:rowOff>
    </xdr:to>
    <xdr:sp macro="" textlink="">
      <xdr:nvSpPr>
        <xdr:cNvPr id="2" name="Accolade ferman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372225" y="6753225"/>
          <a:ext cx="257175" cy="1323975"/>
        </a:xfrm>
        <a:prstGeom prst="rightBrace">
          <a:avLst>
            <a:gd name="adj1" fmla="val 104629"/>
            <a:gd name="adj2" fmla="val 50000"/>
          </a:avLst>
        </a:prstGeom>
        <a:ln w="28575">
          <a:solidFill>
            <a:srgbClr val="00FF00"/>
          </a:solidFill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105</xdr:row>
      <xdr:rowOff>47625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932224C9-7B8E-49BD-A0F8-79033CE7928D}"/>
                </a:ext>
              </a:extLst>
            </xdr:cNvPr>
            <xdr:cNvSpPr txBox="1"/>
          </xdr:nvSpPr>
          <xdr:spPr>
            <a:xfrm>
              <a:off x="85725" y="123348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0</xdr:col>
      <xdr:colOff>190500</xdr:colOff>
      <xdr:row>103</xdr:row>
      <xdr:rowOff>9525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89BF7BC-70D1-464E-80D0-383713C3E9BA}"/>
                </a:ext>
              </a:extLst>
            </xdr:cNvPr>
            <xdr:cNvSpPr txBox="1"/>
          </xdr:nvSpPr>
          <xdr:spPr>
            <a:xfrm>
              <a:off x="190500" y="1185862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36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72ED9ECD-37BD-48A3-A87F-25188A9F290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36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2DFC8D5-EF92-441A-BB0B-F37F02F4D53A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75</xdr:row>
      <xdr:rowOff>114300</xdr:rowOff>
    </xdr:from>
    <xdr:ext cx="19907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A983C70-62AC-422D-9849-4AED65243B2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A983C70-62AC-422D-9849-4AED65243B28}"/>
                </a:ext>
              </a:extLst>
            </xdr:cNvPr>
            <xdr:cNvSpPr txBox="1"/>
          </xdr:nvSpPr>
          <xdr:spPr>
            <a:xfrm>
              <a:off x="14716125" y="216693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5E61502-D6AF-40F5-B5C9-BD47C74DB225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5E61502-D6AF-40F5-B5C9-BD47C74DB225}"/>
                </a:ext>
              </a:extLst>
            </xdr:cNvPr>
            <xdr:cNvSpPr txBox="1"/>
          </xdr:nvSpPr>
          <xdr:spPr>
            <a:xfrm>
              <a:off x="14763750" y="223742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76</xdr:row>
      <xdr:rowOff>114300</xdr:rowOff>
    </xdr:from>
    <xdr:ext cx="2638426" cy="6000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73F750C-1412-4601-9368-5402A029DF2F}"/>
                </a:ext>
              </a:extLst>
            </xdr:cNvPr>
            <xdr:cNvSpPr txBox="1"/>
          </xdr:nvSpPr>
          <xdr:spPr>
            <a:xfrm>
              <a:off x="419100" y="2188845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73F750C-1412-4601-9368-5402A029DF2F}"/>
                </a:ext>
              </a:extLst>
            </xdr:cNvPr>
            <xdr:cNvSpPr txBox="1"/>
          </xdr:nvSpPr>
          <xdr:spPr>
            <a:xfrm>
              <a:off x="419100" y="2188845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79</xdr:row>
      <xdr:rowOff>104775</xdr:rowOff>
    </xdr:from>
    <xdr:ext cx="2543175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E40D7CD-6EEE-40DB-9503-D24509B75116}"/>
                </a:ext>
              </a:extLst>
            </xdr:cNvPr>
            <xdr:cNvSpPr txBox="1"/>
          </xdr:nvSpPr>
          <xdr:spPr>
            <a:xfrm>
              <a:off x="438150" y="2253615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E40D7CD-6EEE-40DB-9503-D24509B75116}"/>
                </a:ext>
              </a:extLst>
            </xdr:cNvPr>
            <xdr:cNvSpPr txBox="1"/>
          </xdr:nvSpPr>
          <xdr:spPr>
            <a:xfrm>
              <a:off x="438150" y="2253615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97</xdr:row>
      <xdr:rowOff>123825</xdr:rowOff>
    </xdr:from>
    <xdr:to>
      <xdr:col>18</xdr:col>
      <xdr:colOff>361950</xdr:colOff>
      <xdr:row>98</xdr:row>
      <xdr:rowOff>123825</xdr:rowOff>
    </xdr:to>
    <xdr:cxnSp macro="">
      <xdr:nvCxnSpPr>
        <xdr:cNvPr id="6" name="Straight Arrow Connector 6">
          <a:extLst>
            <a:ext uri="{FF2B5EF4-FFF2-40B4-BE49-F238E27FC236}">
              <a16:creationId xmlns:a16="http://schemas.microsoft.com/office/drawing/2014/main" id="{5ECAE188-AC38-4DD3-8BEB-487987AF3D4B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533400</xdr:colOff>
      <xdr:row>124</xdr:row>
      <xdr:rowOff>161925</xdr:rowOff>
    </xdr:from>
    <xdr:to>
      <xdr:col>35</xdr:col>
      <xdr:colOff>567884</xdr:colOff>
      <xdr:row>134</xdr:row>
      <xdr:rowOff>12191</xdr:rowOff>
    </xdr:to>
    <xdr:pic>
      <xdr:nvPicPr>
        <xdr:cNvPr id="7" name="Picture 8">
          <a:extLst>
            <a:ext uri="{FF2B5EF4-FFF2-40B4-BE49-F238E27FC236}">
              <a16:creationId xmlns:a16="http://schemas.microsoft.com/office/drawing/2014/main" id="{050476BE-DECD-4EDA-A726-944442788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77775" y="32451675"/>
          <a:ext cx="8197409" cy="20410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98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6F7E1C74-9EF6-483F-8AA0-80652A1F33E7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101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99276F1-7607-470B-A7E3-487F3EC491F8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99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A4FE1DF-011C-4499-A3D7-33F89A281D34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102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86B58B0F-568C-4394-B613-78A7F9A56367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89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71C8BAA-5951-434A-8C74-83269420BB7B}"/>
                </a:ext>
              </a:extLst>
            </xdr:cNvPr>
            <xdr:cNvSpPr txBox="1"/>
          </xdr:nvSpPr>
          <xdr:spPr>
            <a:xfrm>
              <a:off x="14716125" y="21450300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92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FF51ECB2-5E83-4F88-A768-B2EDCA363DE2}"/>
                </a:ext>
              </a:extLst>
            </xdr:cNvPr>
            <xdr:cNvSpPr txBox="1"/>
          </xdr:nvSpPr>
          <xdr:spPr>
            <a:xfrm>
              <a:off x="14763750" y="221551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90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7045CA3-3D6A-4689-8F50-7C0FDA7399D3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93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A0137DB-DC2C-4C4E-A16D-DB7ADFF0FE7C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77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78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247650</xdr:colOff>
      <xdr:row>12</xdr:row>
      <xdr:rowOff>51300</xdr:rowOff>
    </xdr:from>
    <xdr:to>
      <xdr:col>21</xdr:col>
      <xdr:colOff>372668</xdr:colOff>
      <xdr:row>29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927600"/>
          <a:ext cx="4411268" cy="380632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256171</xdr:colOff>
      <xdr:row>29</xdr:row>
      <xdr:rowOff>171450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13</xdr:col>
      <xdr:colOff>248562</xdr:colOff>
      <xdr:row>20</xdr:row>
      <xdr:rowOff>85821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8825"/>
          <a:ext cx="6535062" cy="68589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85725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7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142875</xdr:colOff>
      <xdr:row>22</xdr:row>
      <xdr:rowOff>85725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7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12</xdr:col>
      <xdr:colOff>275176</xdr:colOff>
      <xdr:row>29</xdr:row>
      <xdr:rowOff>200025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90488</xdr:colOff>
      <xdr:row>23</xdr:row>
      <xdr:rowOff>9525</xdr:rowOff>
    </xdr:from>
    <xdr:to>
      <xdr:col>36</xdr:col>
      <xdr:colOff>615619</xdr:colOff>
      <xdr:row>30</xdr:row>
      <xdr:rowOff>76423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73051" y="4510088"/>
          <a:ext cx="9050006" cy="1567085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57</xdr:row>
      <xdr:rowOff>39267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80</xdr:row>
      <xdr:rowOff>19686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40766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323850</xdr:colOff>
      <xdr:row>10</xdr:row>
      <xdr:rowOff>76199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361950</xdr:colOff>
      <xdr:row>10</xdr:row>
      <xdr:rowOff>47624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361949</xdr:colOff>
      <xdr:row>13</xdr:row>
      <xdr:rowOff>0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257175</xdr:colOff>
      <xdr:row>12</xdr:row>
      <xdr:rowOff>209550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123825</xdr:rowOff>
    </xdr:from>
    <xdr:to>
      <xdr:col>35</xdr:col>
      <xdr:colOff>676275</xdr:colOff>
      <xdr:row>77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4:F7"/>
  <sheetViews>
    <sheetView workbookViewId="0">
      <selection activeCell="C9" sqref="C9"/>
    </sheetView>
  </sheetViews>
  <sheetFormatPr baseColWidth="10" defaultRowHeight="15" x14ac:dyDescent="0.25"/>
  <sheetData>
    <row r="4" spans="3:6" ht="15.75" thickBot="1" x14ac:dyDescent="0.3"/>
    <row r="5" spans="3:6" x14ac:dyDescent="0.25">
      <c r="C5" s="316" t="s">
        <v>138</v>
      </c>
      <c r="D5" s="317"/>
      <c r="E5" s="317"/>
      <c r="F5" s="318"/>
    </row>
    <row r="6" spans="3:6" x14ac:dyDescent="0.25">
      <c r="C6" s="135" t="s">
        <v>62</v>
      </c>
      <c r="D6" s="136" t="s">
        <v>121</v>
      </c>
      <c r="E6" s="137" t="s">
        <v>310</v>
      </c>
      <c r="F6" s="138">
        <f>PI()/180</f>
        <v>1.7453292519943295E-2</v>
      </c>
    </row>
    <row r="7" spans="3:6" ht="15.75" thickBot="1" x14ac:dyDescent="0.3">
      <c r="C7" s="102" t="s">
        <v>123</v>
      </c>
      <c r="D7" s="139" t="s">
        <v>121</v>
      </c>
      <c r="E7" s="140" t="s">
        <v>311</v>
      </c>
      <c r="F7" s="141">
        <f>180/PI()</f>
        <v>57.295779513082323</v>
      </c>
    </row>
  </sheetData>
  <mergeCells count="1">
    <mergeCell ref="C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186"/>
  <sheetViews>
    <sheetView topLeftCell="B121" zoomScaleNormal="100" workbookViewId="0">
      <selection activeCell="O135" sqref="O135:W135"/>
    </sheetView>
  </sheetViews>
  <sheetFormatPr baseColWidth="10" defaultColWidth="5.140625" defaultRowHeight="17.25" customHeight="1" outlineLevelCol="1" x14ac:dyDescent="0.25"/>
  <cols>
    <col min="1" max="2" width="6.42578125" style="99" customWidth="1"/>
    <col min="3" max="7" width="7" style="144" customWidth="1"/>
    <col min="8" max="9" width="7" style="99" customWidth="1"/>
    <col min="10" max="10" width="6.42578125" style="99" customWidth="1"/>
    <col min="11" max="11" width="8" style="99" customWidth="1"/>
    <col min="12" max="19" width="6.42578125" style="99" customWidth="1"/>
    <col min="20" max="20" width="7.28515625" style="99" customWidth="1"/>
    <col min="21" max="21" width="6.42578125" style="99" customWidth="1"/>
    <col min="22" max="22" width="7.28515625" style="99" customWidth="1"/>
    <col min="23" max="27" width="6.42578125" style="99" customWidth="1"/>
    <col min="28" max="28" width="1.28515625" style="146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7" customWidth="1" outlineLevel="1"/>
    <col min="67" max="16384" width="5.140625" style="99"/>
  </cols>
  <sheetData>
    <row r="1" spans="2:66" ht="17.25" customHeight="1" x14ac:dyDescent="0.25">
      <c r="C1" s="412" t="s">
        <v>236</v>
      </c>
      <c r="D1" s="412"/>
      <c r="E1" s="412"/>
      <c r="F1" s="412"/>
      <c r="G1" s="403" t="s">
        <v>237</v>
      </c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</row>
    <row r="2" spans="2:66" ht="17.25" customHeight="1" x14ac:dyDescent="0.25">
      <c r="C2" s="412"/>
      <c r="D2" s="412"/>
      <c r="E2" s="412"/>
      <c r="F2" s="412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2:66" ht="17.25" customHeight="1" x14ac:dyDescent="0.25">
      <c r="C3" s="412"/>
      <c r="D3" s="412"/>
      <c r="E3" s="412"/>
      <c r="F3" s="412"/>
      <c r="G3" s="408" t="s">
        <v>241</v>
      </c>
      <c r="H3" s="408"/>
      <c r="I3" s="408"/>
      <c r="J3" s="410" t="s">
        <v>240</v>
      </c>
      <c r="K3" s="410"/>
      <c r="L3" s="410"/>
      <c r="N3" s="330" t="s">
        <v>527</v>
      </c>
      <c r="O3" s="330"/>
      <c r="P3" s="330"/>
      <c r="Q3" s="331" t="s">
        <v>363</v>
      </c>
      <c r="R3" s="331"/>
      <c r="S3" s="331"/>
    </row>
    <row r="4" spans="2:66" ht="17.25" customHeight="1" x14ac:dyDescent="0.25">
      <c r="C4" s="412"/>
      <c r="D4" s="412"/>
      <c r="E4" s="412"/>
      <c r="F4" s="412"/>
      <c r="G4" s="409"/>
      <c r="H4" s="409"/>
      <c r="I4" s="409"/>
      <c r="J4" s="411"/>
      <c r="K4" s="411"/>
      <c r="L4" s="411"/>
      <c r="N4" s="330"/>
      <c r="O4" s="330"/>
      <c r="P4" s="330"/>
      <c r="Q4" s="331"/>
      <c r="R4" s="331"/>
      <c r="S4" s="331"/>
    </row>
    <row r="6" spans="2:66" ht="17.25" customHeight="1" thickBot="1" x14ac:dyDescent="0.3"/>
    <row r="7" spans="2:66" ht="17.25" customHeight="1" thickBot="1" x14ac:dyDescent="0.3">
      <c r="B7" s="108" t="s">
        <v>0</v>
      </c>
      <c r="C7" s="109"/>
      <c r="D7" s="109"/>
      <c r="E7" s="289" t="str" cm="1">
        <f t="array" ref="E7">dateDecimale2txt(dateConvert2Decimal(E8))</f>
        <v>2025/6/30 [YYYY/MM/DD]</v>
      </c>
      <c r="F7" s="289"/>
      <c r="G7" s="290"/>
      <c r="H7" s="291"/>
      <c r="I7" s="289" t="str" cm="1">
        <f t="array" ref="I7">heureDecimal2Txt(E11)</f>
        <v>10:20:35.00(10.3430)</v>
      </c>
      <c r="J7" s="289"/>
      <c r="K7" s="28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85"/>
      <c r="AB7" s="147"/>
    </row>
    <row r="8" spans="2:66" ht="17.25" customHeight="1" x14ac:dyDescent="0.25">
      <c r="C8" s="404" t="s">
        <v>1</v>
      </c>
      <c r="D8" s="405"/>
      <c r="E8" s="526" t="s">
        <v>528</v>
      </c>
      <c r="F8" s="527"/>
      <c r="G8" s="527"/>
      <c r="H8" s="144"/>
      <c r="I8" s="332"/>
      <c r="J8" s="332"/>
      <c r="K8" s="332"/>
      <c r="L8" s="332"/>
      <c r="M8" s="332"/>
      <c r="N8" s="332"/>
      <c r="O8" s="332"/>
      <c r="AC8" s="6" t="s">
        <v>328</v>
      </c>
      <c r="AD8" s="6" cm="1">
        <f t="array" ref="AD8">heureConvert2Decimal(I11)</f>
        <v>10.343055555555557</v>
      </c>
    </row>
    <row r="9" spans="2:66" ht="17.25" customHeight="1" thickBot="1" x14ac:dyDescent="0.3">
      <c r="C9" s="380" t="s">
        <v>11</v>
      </c>
      <c r="D9" s="382"/>
      <c r="E9" s="380" t="s">
        <v>2</v>
      </c>
      <c r="F9" s="381"/>
      <c r="G9" s="381"/>
      <c r="H9" s="382"/>
      <c r="I9" s="523" t="s">
        <v>529</v>
      </c>
      <c r="J9" s="523"/>
      <c r="K9" s="523"/>
      <c r="L9" s="523" t="s">
        <v>525</v>
      </c>
      <c r="M9" s="523"/>
      <c r="N9" s="523"/>
      <c r="O9" s="523"/>
      <c r="P9" s="523"/>
      <c r="Q9" s="523" t="s">
        <v>526</v>
      </c>
      <c r="R9" s="523"/>
      <c r="S9" s="523"/>
      <c r="T9" s="523"/>
      <c r="U9" s="523"/>
      <c r="V9" s="508" t="s">
        <v>191</v>
      </c>
      <c r="W9" s="509"/>
      <c r="X9" s="509"/>
      <c r="Y9" s="510"/>
      <c r="AB9" s="148"/>
      <c r="AC9" s="6" t="s">
        <v>329</v>
      </c>
      <c r="AD9" s="152">
        <f>L11</f>
        <v>0</v>
      </c>
    </row>
    <row r="10" spans="2:66" ht="17.25" customHeight="1" x14ac:dyDescent="0.25">
      <c r="C10" s="406"/>
      <c r="D10" s="407"/>
      <c r="E10" s="383"/>
      <c r="F10" s="384"/>
      <c r="G10" s="384"/>
      <c r="H10" s="385"/>
      <c r="I10" s="523"/>
      <c r="J10" s="523"/>
      <c r="K10" s="523"/>
      <c r="L10" s="523"/>
      <c r="M10" s="523"/>
      <c r="N10" s="523"/>
      <c r="O10" s="523"/>
      <c r="P10" s="523"/>
      <c r="Q10" s="523"/>
      <c r="R10" s="523"/>
      <c r="S10" s="523"/>
      <c r="T10" s="523"/>
      <c r="U10" s="523"/>
      <c r="V10" s="511"/>
      <c r="W10" s="512"/>
      <c r="X10" s="512"/>
      <c r="Y10" s="513"/>
      <c r="AC10" s="6" t="s">
        <v>330</v>
      </c>
      <c r="AD10" s="6">
        <f>Q11/3600</f>
        <v>0</v>
      </c>
    </row>
    <row r="11" spans="2:66" ht="17.25" customHeight="1" thickBot="1" x14ac:dyDescent="0.3">
      <c r="C11" s="383"/>
      <c r="D11" s="385"/>
      <c r="E11" s="355">
        <f>AD8+AD9+AD10+AD11</f>
        <v>10.343055555555557</v>
      </c>
      <c r="F11" s="356"/>
      <c r="G11" s="356"/>
      <c r="H11" s="357"/>
      <c r="I11" s="522" t="s">
        <v>600</v>
      </c>
      <c r="J11" s="522"/>
      <c r="K11" s="522"/>
      <c r="L11" s="558">
        <v>0</v>
      </c>
      <c r="M11" s="558"/>
      <c r="N11" s="558"/>
      <c r="O11" s="558"/>
      <c r="P11" s="558"/>
      <c r="Q11" s="558">
        <v>0</v>
      </c>
      <c r="R11" s="558"/>
      <c r="S11" s="558"/>
      <c r="T11" s="558"/>
      <c r="U11" s="559"/>
      <c r="V11" s="557" t="s">
        <v>190</v>
      </c>
      <c r="W11" s="557"/>
      <c r="X11" s="557"/>
      <c r="Y11" s="557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 x14ac:dyDescent="0.3">
      <c r="B12" s="99"/>
      <c r="E12" s="601" t="str" cm="1">
        <f t="array" ref="E12">heureDecimal2Txt(E11)</f>
        <v>10:20:35.00(10.3430)</v>
      </c>
      <c r="F12" s="602"/>
      <c r="G12" s="602"/>
      <c r="H12" s="603"/>
      <c r="I12" s="41"/>
      <c r="J12" s="41"/>
      <c r="K12" s="41"/>
      <c r="V12" s="41"/>
      <c r="W12" s="41"/>
      <c r="X12" s="41"/>
      <c r="Y12" s="41"/>
      <c r="Z12" s="99"/>
      <c r="AA12" s="99"/>
      <c r="AB12" s="146"/>
      <c r="BN12" s="107"/>
    </row>
    <row r="13" spans="2:66" ht="17.25" customHeight="1" thickTop="1" thickBot="1" x14ac:dyDescent="0.3">
      <c r="C13" s="98"/>
      <c r="D13" s="98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</row>
    <row r="14" spans="2:66" ht="17.25" customHeight="1" thickBot="1" x14ac:dyDescent="0.3">
      <c r="B14" s="108" t="s">
        <v>20</v>
      </c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47"/>
    </row>
    <row r="15" spans="2:66" ht="18" customHeight="1" thickBot="1" x14ac:dyDescent="0.3">
      <c r="B15"/>
      <c r="C15" s="367" t="s">
        <v>331</v>
      </c>
      <c r="D15" s="368"/>
      <c r="E15" s="368"/>
      <c r="F15" s="368"/>
      <c r="G15" s="368"/>
      <c r="H15" s="368"/>
      <c r="I15" s="369"/>
      <c r="J15" s="370" t="s">
        <v>333</v>
      </c>
      <c r="K15" s="370"/>
      <c r="L15" s="370"/>
      <c r="M15" s="370"/>
      <c r="N15" s="370"/>
      <c r="O15" s="370"/>
      <c r="P15"/>
      <c r="Q15"/>
      <c r="R15"/>
      <c r="S15"/>
      <c r="T15"/>
      <c r="U15"/>
      <c r="V15"/>
      <c r="W15"/>
      <c r="X15"/>
      <c r="Y15"/>
      <c r="Z15"/>
      <c r="AA15"/>
      <c r="AC15" s="153" t="s">
        <v>332</v>
      </c>
      <c r="AD15" s="153" t="s">
        <v>333</v>
      </c>
    </row>
    <row r="16" spans="2:66" ht="18" customHeight="1" thickTop="1" thickBot="1" x14ac:dyDescent="0.3">
      <c r="B16" s="97"/>
      <c r="C16" s="367" t="s">
        <v>230</v>
      </c>
      <c r="D16" s="368"/>
      <c r="E16" s="368"/>
      <c r="F16" s="368"/>
      <c r="G16" s="368"/>
      <c r="H16" s="368"/>
      <c r="I16" s="369"/>
      <c r="J16" s="364" cm="1">
        <f t="array" ref="J16">angleConvert2Decimal(M16)</f>
        <v>0.9</v>
      </c>
      <c r="K16" s="365"/>
      <c r="L16" s="366"/>
      <c r="M16" s="361" t="s">
        <v>133</v>
      </c>
      <c r="N16" s="362"/>
      <c r="O16" s="363"/>
      <c r="P16" s="358" t="str" cm="1">
        <f t="array" ref="P16">angleDecimal2Txt(J16)</f>
        <v>+00°54.00 (+00.9000) [+00°54'00.00]</v>
      </c>
      <c r="Q16" s="359"/>
      <c r="R16" s="359"/>
      <c r="S16" s="359"/>
      <c r="T16" s="359"/>
      <c r="U16" s="359"/>
      <c r="V16" s="359"/>
      <c r="W16" s="359"/>
      <c r="X16" s="360"/>
      <c r="Y16" s="97"/>
    </row>
    <row r="17" spans="2:34" ht="18" customHeight="1" thickTop="1" thickBot="1" x14ac:dyDescent="0.3">
      <c r="C17" s="525" t="s">
        <v>229</v>
      </c>
      <c r="D17" s="525"/>
      <c r="E17" s="525"/>
      <c r="F17" s="525"/>
      <c r="G17" s="525"/>
      <c r="H17" s="525"/>
      <c r="I17" s="525"/>
      <c r="J17" s="492" cm="1">
        <f t="array" ref="J17">angleConvert2Decimal(M17)</f>
        <v>33.4</v>
      </c>
      <c r="K17" s="563"/>
      <c r="L17" s="474"/>
      <c r="M17" s="419" t="s">
        <v>432</v>
      </c>
      <c r="N17" s="420"/>
      <c r="O17" s="421"/>
      <c r="P17" s="346" t="str" cm="1">
        <f t="array" ref="P17">angleDecimal2Txt(J17)</f>
        <v>+33°24.00 (+33.3999) [+33°24'00.00]</v>
      </c>
      <c r="Q17" s="346"/>
      <c r="R17" s="346"/>
      <c r="S17" s="346"/>
      <c r="T17" s="346"/>
      <c r="U17" s="346"/>
      <c r="V17" s="346"/>
      <c r="W17" s="346"/>
      <c r="X17" s="346"/>
      <c r="Y17" s="97"/>
    </row>
    <row r="18" spans="2:34" ht="18" customHeight="1" thickTop="1" thickBot="1" x14ac:dyDescent="0.3">
      <c r="C18" s="525" t="s">
        <v>239</v>
      </c>
      <c r="D18" s="525"/>
      <c r="E18" s="525"/>
      <c r="F18" s="525"/>
      <c r="G18" s="525"/>
      <c r="H18" s="525"/>
      <c r="I18" s="525"/>
      <c r="J18" s="492" cm="1">
        <f t="array" ref="J18">angleConvert2Decimal(M18)</f>
        <v>16.25</v>
      </c>
      <c r="K18" s="563"/>
      <c r="L18" s="474"/>
      <c r="M18" s="419">
        <f>(J17-J16)/2</f>
        <v>16.25</v>
      </c>
      <c r="N18" s="420"/>
      <c r="O18" s="421"/>
      <c r="P18" s="346" t="str" cm="1">
        <f t="array" ref="P18">angleDecimal2Txt(J18)</f>
        <v>+16°15.00 (+16.2500) [+16°15'00.00]</v>
      </c>
      <c r="Q18" s="346"/>
      <c r="R18" s="346"/>
      <c r="S18" s="346"/>
      <c r="T18" s="346"/>
      <c r="U18" s="346"/>
      <c r="V18" s="346"/>
      <c r="W18" s="346"/>
      <c r="X18" s="346"/>
      <c r="Y18" s="97"/>
    </row>
    <row r="19" spans="2:34" ht="18" customHeight="1" thickTop="1" thickBot="1" x14ac:dyDescent="0.3">
      <c r="C19" s="604" t="s">
        <v>21</v>
      </c>
      <c r="D19" s="604"/>
      <c r="E19" s="604"/>
      <c r="F19" s="604"/>
      <c r="G19" s="604"/>
      <c r="H19" s="604"/>
      <c r="I19" s="604"/>
      <c r="J19" s="560">
        <f>M19</f>
        <v>2</v>
      </c>
      <c r="K19" s="561"/>
      <c r="L19" s="562"/>
      <c r="M19" s="520">
        <v>2</v>
      </c>
      <c r="N19" s="520"/>
      <c r="O19" s="520"/>
      <c r="P19" s="97"/>
      <c r="Q19" s="97"/>
      <c r="R19" s="97"/>
      <c r="S19" s="97"/>
      <c r="T19" s="97"/>
      <c r="U19" s="97"/>
      <c r="V19" s="97"/>
      <c r="W19" s="97"/>
      <c r="X19" s="97"/>
      <c r="Y19" s="97"/>
    </row>
    <row r="20" spans="2:34" ht="18" customHeight="1" thickTop="1" thickBot="1" x14ac:dyDescent="0.3">
      <c r="B20" s="97"/>
      <c r="C20" s="619" t="s">
        <v>22</v>
      </c>
      <c r="D20" s="620"/>
      <c r="E20" s="620"/>
      <c r="F20" s="620"/>
      <c r="G20" s="620"/>
      <c r="H20" s="620"/>
      <c r="I20" s="621"/>
      <c r="J20" s="334" cm="1">
        <f t="array" ref="J20">angleConvert2Decimal(M20)</f>
        <v>2.1666666666666667E-2</v>
      </c>
      <c r="K20" s="433"/>
      <c r="L20" s="433"/>
      <c r="M20" s="519" t="s">
        <v>568</v>
      </c>
      <c r="N20" s="520"/>
      <c r="O20" s="520"/>
      <c r="P20" s="346" t="str" cm="1">
        <f t="array" ref="P20">angleDecimal2Txt(J20)</f>
        <v>+00°01.30 (+00.0216) [+00°01'18.00]</v>
      </c>
      <c r="Q20" s="346"/>
      <c r="R20" s="346"/>
      <c r="S20" s="346"/>
      <c r="T20" s="346"/>
      <c r="U20" s="346"/>
      <c r="V20" s="346"/>
      <c r="W20" s="346"/>
      <c r="X20" s="346"/>
      <c r="Y20" s="97"/>
    </row>
    <row r="21" spans="2:34" ht="18" customHeight="1" thickTop="1" thickBot="1" x14ac:dyDescent="0.3">
      <c r="C21" s="629" t="s">
        <v>32</v>
      </c>
      <c r="D21" s="629"/>
      <c r="E21" s="629"/>
      <c r="F21" s="629"/>
      <c r="G21" s="629"/>
      <c r="H21" s="629"/>
      <c r="I21" s="629"/>
      <c r="J21" s="334" cm="1">
        <f t="array" ref="J21">IF(J15=AC15,J18,angleConvert2Decimal(M21))</f>
        <v>54.835000000000001</v>
      </c>
      <c r="K21" s="433"/>
      <c r="L21" s="433"/>
      <c r="M21" s="519" t="s">
        <v>595</v>
      </c>
      <c r="N21" s="520"/>
      <c r="O21" s="520"/>
      <c r="P21" s="346" t="str" cm="1">
        <f t="array" ref="P21">angleDecimal2Txt(J21)</f>
        <v>+54°50.10 (+54.8350) [+54°50'06.00]</v>
      </c>
      <c r="Q21" s="346"/>
      <c r="R21" s="346"/>
      <c r="S21" s="346"/>
      <c r="T21" s="346"/>
      <c r="U21" s="346"/>
      <c r="V21" s="346"/>
      <c r="W21" s="346"/>
      <c r="X21" s="346"/>
      <c r="Y21" s="97"/>
    </row>
    <row r="22" spans="2:34" ht="18" customHeight="1" thickTop="1" x14ac:dyDescent="0.25">
      <c r="C22" s="622" t="s">
        <v>37</v>
      </c>
      <c r="D22" s="622"/>
      <c r="E22" s="622"/>
      <c r="F22" s="622"/>
      <c r="G22" s="622"/>
      <c r="H22" s="622"/>
      <c r="I22" s="622"/>
      <c r="J22" s="623" t="str">
        <f>M22</f>
        <v>Soleil</v>
      </c>
      <c r="K22" s="624"/>
      <c r="L22" s="625"/>
      <c r="M22" s="528" t="s">
        <v>38</v>
      </c>
      <c r="N22" s="529"/>
      <c r="O22" s="530"/>
      <c r="P22" s="97"/>
      <c r="Q22" s="97"/>
      <c r="R22" s="97"/>
      <c r="S22" s="97"/>
      <c r="T22" s="97"/>
      <c r="U22" s="97"/>
      <c r="V22" s="97"/>
      <c r="W22" s="97"/>
      <c r="X22" s="97"/>
      <c r="Y22" s="97"/>
      <c r="AG22" s="99"/>
      <c r="AH22" s="99"/>
    </row>
    <row r="23" spans="2:34" ht="18" customHeight="1" x14ac:dyDescent="0.25">
      <c r="C23" s="622" t="s">
        <v>84</v>
      </c>
      <c r="D23" s="622"/>
      <c r="E23" s="622"/>
      <c r="F23" s="622"/>
      <c r="G23" s="622"/>
      <c r="H23" s="622"/>
      <c r="I23" s="622"/>
      <c r="J23" s="342" t="str">
        <f>M23</f>
        <v>BordInf</v>
      </c>
      <c r="K23" s="342"/>
      <c r="L23" s="342"/>
      <c r="M23" s="515" t="s">
        <v>85</v>
      </c>
      <c r="N23" s="515"/>
      <c r="O23" s="515"/>
      <c r="P23" s="97"/>
      <c r="Q23" s="97"/>
      <c r="R23" s="97"/>
      <c r="S23" s="97"/>
      <c r="T23" s="97"/>
      <c r="U23" s="97"/>
      <c r="V23" s="97"/>
      <c r="W23" s="97"/>
      <c r="X23" s="97"/>
      <c r="Y23" s="97"/>
      <c r="AC23" s="154" t="s">
        <v>357</v>
      </c>
      <c r="AD23" s="155" t="s">
        <v>39</v>
      </c>
      <c r="AE23" s="155" t="s">
        <v>40</v>
      </c>
      <c r="AF23" s="155" t="s">
        <v>38</v>
      </c>
      <c r="AG23" s="99"/>
      <c r="AH23" s="99"/>
    </row>
    <row r="24" spans="2:34" ht="17.25" customHeight="1" x14ac:dyDescent="0.25">
      <c r="C24" s="630" t="s">
        <v>314</v>
      </c>
      <c r="D24" s="631"/>
      <c r="E24" s="110"/>
      <c r="F24" s="110"/>
      <c r="G24" s="110"/>
      <c r="H24" s="110"/>
      <c r="I24" s="111"/>
      <c r="J24" s="539" cm="1">
        <f t="array" ref="J24">angleConvert2Decimal(M24)</f>
        <v>2.8833333333333332E-3</v>
      </c>
      <c r="K24" s="338"/>
      <c r="L24" s="339"/>
      <c r="M24" s="545" t="str">
        <f>P26</f>
        <v>0.173'</v>
      </c>
      <c r="N24" s="546"/>
      <c r="O24" s="546"/>
      <c r="P24" s="551" t="s">
        <v>129</v>
      </c>
      <c r="Q24" s="551"/>
      <c r="R24" s="551"/>
      <c r="S24" s="97"/>
      <c r="T24" s="97"/>
      <c r="U24" s="97"/>
      <c r="V24" s="97"/>
      <c r="W24" s="97"/>
      <c r="X24" s="97"/>
      <c r="Y24" s="97"/>
      <c r="AC24" s="154" t="s">
        <v>131</v>
      </c>
      <c r="AD24" s="156" t="s">
        <v>132</v>
      </c>
      <c r="AE24" s="156" t="s">
        <v>133</v>
      </c>
      <c r="AF24" s="156" t="s">
        <v>104</v>
      </c>
      <c r="AG24" s="99"/>
      <c r="AH24" s="99"/>
    </row>
    <row r="25" spans="2:34" ht="17.25" customHeight="1" thickBot="1" x14ac:dyDescent="0.3">
      <c r="C25" s="112"/>
      <c r="D25" s="607" t="s">
        <v>315</v>
      </c>
      <c r="E25" s="607"/>
      <c r="F25" s="607"/>
      <c r="G25" s="607"/>
      <c r="H25" s="607"/>
      <c r="I25" s="608"/>
      <c r="J25" s="540"/>
      <c r="K25" s="409"/>
      <c r="L25" s="541"/>
      <c r="M25" s="547"/>
      <c r="N25" s="548"/>
      <c r="O25" s="548"/>
      <c r="P25" s="551"/>
      <c r="Q25" s="551"/>
      <c r="R25" s="551"/>
      <c r="S25" s="97"/>
      <c r="T25" s="97"/>
      <c r="U25" s="97"/>
      <c r="V25" s="97"/>
      <c r="W25" s="97"/>
      <c r="X25" s="97"/>
      <c r="Y25" s="97"/>
      <c r="AC25" s="154" t="s">
        <v>135</v>
      </c>
      <c r="AD25" s="156" t="s">
        <v>132</v>
      </c>
      <c r="AE25" s="156" t="s">
        <v>136</v>
      </c>
      <c r="AF25" s="156" t="s">
        <v>103</v>
      </c>
      <c r="AG25" s="99"/>
      <c r="AH25" s="99"/>
    </row>
    <row r="26" spans="2:34" ht="17.25" customHeight="1" thickTop="1" thickBot="1" x14ac:dyDescent="0.3">
      <c r="C26" s="112"/>
      <c r="D26" s="607"/>
      <c r="E26" s="607"/>
      <c r="F26" s="607"/>
      <c r="G26" s="607"/>
      <c r="H26" s="607"/>
      <c r="I26" s="608"/>
      <c r="J26" s="540"/>
      <c r="K26" s="409"/>
      <c r="L26" s="541"/>
      <c r="M26" s="547"/>
      <c r="N26" s="548"/>
      <c r="O26" s="548"/>
      <c r="P26" s="521" t="str">
        <f>HLOOKUP(M22,AD23:AF25,2,FALSE)</f>
        <v>0.173'</v>
      </c>
      <c r="Q26" s="521"/>
      <c r="R26" s="521"/>
      <c r="S26" s="350" t="str" cm="1">
        <f t="array" ref="S26">angleDecimal2Txt(angleConvert2Decimal(P26))</f>
        <v>+00°00.17 (+00.0028) [+00°00'10.37]</v>
      </c>
      <c r="T26" s="350"/>
      <c r="U26" s="350"/>
      <c r="V26" s="350"/>
      <c r="W26" s="350"/>
      <c r="X26" s="351"/>
      <c r="Y26" s="97"/>
    </row>
    <row r="27" spans="2:34" ht="17.25" customHeight="1" thickTop="1" thickBot="1" x14ac:dyDescent="0.3">
      <c r="C27" s="113"/>
      <c r="D27" s="609"/>
      <c r="E27" s="609"/>
      <c r="F27" s="609"/>
      <c r="G27" s="609"/>
      <c r="H27" s="609"/>
      <c r="I27" s="610"/>
      <c r="J27" s="542"/>
      <c r="K27" s="543"/>
      <c r="L27" s="544"/>
      <c r="M27" s="549"/>
      <c r="N27" s="550"/>
      <c r="O27" s="550"/>
      <c r="P27" s="518" t="str" cm="1">
        <f t="array" ref="P27">angleDecimal2Txt(J24)</f>
        <v>+00°00.17 (+00.0028) [+00°00'10.37]</v>
      </c>
      <c r="Q27" s="518"/>
      <c r="R27" s="518"/>
      <c r="S27" s="346"/>
      <c r="T27" s="346"/>
      <c r="U27" s="346"/>
      <c r="V27" s="346"/>
      <c r="W27" s="346"/>
      <c r="X27" s="346"/>
      <c r="Y27" s="97"/>
      <c r="AC27" s="154" t="s">
        <v>130</v>
      </c>
      <c r="AD27" s="155" t="s">
        <v>85</v>
      </c>
      <c r="AE27" s="155" t="s">
        <v>355</v>
      </c>
      <c r="AF27" s="155" t="s">
        <v>86</v>
      </c>
    </row>
    <row r="28" spans="2:34" ht="17.25" customHeight="1" thickTop="1" x14ac:dyDescent="0.25">
      <c r="C28" s="531" t="s">
        <v>134</v>
      </c>
      <c r="D28" s="532"/>
      <c r="E28" s="532"/>
      <c r="F28" s="532"/>
      <c r="G28" s="532"/>
      <c r="H28" s="532"/>
      <c r="I28" s="533"/>
      <c r="J28" s="539" cm="1">
        <f t="array" ref="J28">angleConvert2Decimal(M28)</f>
        <v>0.53333333333333333</v>
      </c>
      <c r="K28" s="338"/>
      <c r="L28" s="339"/>
      <c r="M28" s="552" t="str">
        <f>P30</f>
        <v>32'</v>
      </c>
      <c r="N28" s="553"/>
      <c r="O28" s="553"/>
      <c r="P28" s="551" t="s">
        <v>129</v>
      </c>
      <c r="Q28" s="551"/>
      <c r="R28" s="551"/>
      <c r="S28" s="97"/>
      <c r="T28" s="97"/>
      <c r="U28" s="97"/>
      <c r="V28" s="97"/>
      <c r="W28" s="97"/>
      <c r="X28" s="97"/>
      <c r="Y28" s="97"/>
      <c r="AC28" s="154" t="s">
        <v>356</v>
      </c>
      <c r="AD28" s="157">
        <v>0.5</v>
      </c>
      <c r="AE28" s="157">
        <v>-0.5</v>
      </c>
      <c r="AF28" s="157">
        <v>0</v>
      </c>
    </row>
    <row r="29" spans="2:34" ht="17.25" customHeight="1" thickBot="1" x14ac:dyDescent="0.3">
      <c r="C29" s="534"/>
      <c r="D29" s="414"/>
      <c r="E29" s="414"/>
      <c r="F29" s="414"/>
      <c r="G29" s="414"/>
      <c r="H29" s="414"/>
      <c r="I29" s="535"/>
      <c r="J29" s="540"/>
      <c r="K29" s="409"/>
      <c r="L29" s="541"/>
      <c r="M29" s="554"/>
      <c r="N29" s="411"/>
      <c r="O29" s="411"/>
      <c r="P29" s="551"/>
      <c r="Q29" s="551"/>
      <c r="R29" s="551"/>
      <c r="S29" s="97"/>
      <c r="T29" s="97"/>
      <c r="U29" s="97"/>
      <c r="V29" s="97"/>
      <c r="W29" s="97"/>
      <c r="X29" s="97"/>
      <c r="Y29" s="97"/>
    </row>
    <row r="30" spans="2:34" ht="17.25" customHeight="1" thickTop="1" thickBot="1" x14ac:dyDescent="0.3">
      <c r="C30" s="534"/>
      <c r="D30" s="414"/>
      <c r="E30" s="414"/>
      <c r="F30" s="414"/>
      <c r="G30" s="414"/>
      <c r="H30" s="414"/>
      <c r="I30" s="535"/>
      <c r="J30" s="540"/>
      <c r="K30" s="409"/>
      <c r="L30" s="541"/>
      <c r="M30" s="554"/>
      <c r="N30" s="411"/>
      <c r="O30" s="411"/>
      <c r="P30" s="521" t="str">
        <f>HLOOKUP(M22,AD23:AF25,3,FALSE)</f>
        <v>32'</v>
      </c>
      <c r="Q30" s="521"/>
      <c r="R30" s="521"/>
      <c r="S30" s="350" t="str" cm="1">
        <f t="array" ref="S30">angleDecimal2Txt(angleConvert2Decimal(P30))</f>
        <v>+00°32.00 (+00.5333) [+00°32'00.00]</v>
      </c>
      <c r="T30" s="350"/>
      <c r="U30" s="350"/>
      <c r="V30" s="350"/>
      <c r="W30" s="350"/>
      <c r="X30" s="351"/>
      <c r="Y30" s="97"/>
    </row>
    <row r="31" spans="2:34" ht="17.25" customHeight="1" thickTop="1" thickBot="1" x14ac:dyDescent="0.3">
      <c r="C31" s="536"/>
      <c r="D31" s="537"/>
      <c r="E31" s="537"/>
      <c r="F31" s="537"/>
      <c r="G31" s="537"/>
      <c r="H31" s="537"/>
      <c r="I31" s="538"/>
      <c r="J31" s="542"/>
      <c r="K31" s="543"/>
      <c r="L31" s="544"/>
      <c r="M31" s="555"/>
      <c r="N31" s="556"/>
      <c r="O31" s="556"/>
      <c r="P31" s="518" t="str" cm="1">
        <f t="array" ref="P31">angleDecimal2Txt(J28)</f>
        <v>+00°32.00 (+00.5333) [+00°32'00.00]</v>
      </c>
      <c r="Q31" s="518"/>
      <c r="R31" s="518"/>
      <c r="S31" s="346"/>
      <c r="T31" s="346"/>
      <c r="U31" s="346"/>
      <c r="V31" s="346"/>
      <c r="W31" s="346"/>
      <c r="X31" s="346"/>
      <c r="Y31" s="97"/>
    </row>
    <row r="32" spans="2:34" ht="17.25" customHeight="1" thickTop="1" thickBot="1" x14ac:dyDescent="0.3"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</row>
    <row r="33" spans="1:66" ht="17.25" customHeight="1" thickBot="1" x14ac:dyDescent="0.3">
      <c r="B33" s="108" t="s">
        <v>389</v>
      </c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47"/>
    </row>
    <row r="34" spans="1:66" ht="17.25" customHeight="1" x14ac:dyDescent="0.25">
      <c r="C34" s="97"/>
      <c r="D34" s="97"/>
      <c r="E34" s="524" t="s">
        <v>7</v>
      </c>
      <c r="F34" s="524"/>
      <c r="G34" s="524"/>
      <c r="H34" s="524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</row>
    <row r="35" spans="1:66" ht="17.25" customHeight="1" thickBot="1" x14ac:dyDescent="0.3">
      <c r="C35" s="97"/>
      <c r="D35" s="97"/>
      <c r="E35" s="524"/>
      <c r="F35" s="524"/>
      <c r="G35" s="524"/>
      <c r="H35" s="524"/>
      <c r="I35" s="97"/>
      <c r="J35" s="97" t="s">
        <v>233</v>
      </c>
      <c r="K35" s="97"/>
      <c r="L35" s="97" t="s">
        <v>234</v>
      </c>
      <c r="M35" s="97"/>
      <c r="N35" s="97"/>
      <c r="O35" s="97"/>
      <c r="P35" s="97"/>
      <c r="Q35" s="97"/>
      <c r="R35" s="97"/>
      <c r="S35" s="97"/>
      <c r="T35" s="97"/>
      <c r="U35" s="97"/>
      <c r="V35" s="97"/>
    </row>
    <row r="36" spans="1:66" ht="17.25" customHeight="1" thickTop="1" thickBot="1" x14ac:dyDescent="0.3">
      <c r="A36" s="626" t="s">
        <v>41</v>
      </c>
      <c r="B36" s="627"/>
      <c r="C36" s="628"/>
      <c r="D36" s="97"/>
      <c r="E36" s="97"/>
      <c r="F36" s="491">
        <f>AD37</f>
        <v>46</v>
      </c>
      <c r="G36" s="516"/>
      <c r="H36" s="516"/>
      <c r="I36" s="423" t="s">
        <v>3</v>
      </c>
      <c r="J36" s="425" t="s">
        <v>601</v>
      </c>
      <c r="K36" s="423"/>
      <c r="L36" s="423"/>
      <c r="M36" s="423"/>
      <c r="N36" s="423"/>
      <c r="O36" s="344" t="str" cm="1">
        <f t="array" ref="O36">angleDecimal2Txt(F36)</f>
        <v>+46°00.00 (+46.0000) [+46°00'00.00]</v>
      </c>
      <c r="P36" s="344"/>
      <c r="Q36" s="344"/>
      <c r="R36" s="344"/>
      <c r="S36" s="344"/>
      <c r="T36" s="344"/>
      <c r="U36" s="344"/>
      <c r="V36" s="344"/>
      <c r="W36" s="344"/>
      <c r="X36" s="344"/>
      <c r="Y36" s="97"/>
      <c r="Z36" s="97"/>
      <c r="AC36" s="6" t="s">
        <v>334</v>
      </c>
      <c r="AD36" s="6">
        <f>VLOOKUP(I36,A38:C39,3)</f>
        <v>1</v>
      </c>
      <c r="BN36" s="114"/>
    </row>
    <row r="37" spans="1:66" ht="17.25" customHeight="1" thickTop="1" thickBot="1" x14ac:dyDescent="0.3">
      <c r="A37" s="100" t="s">
        <v>49</v>
      </c>
      <c r="B37" s="115" t="s">
        <v>50</v>
      </c>
      <c r="C37" s="101"/>
      <c r="D37" s="97"/>
      <c r="E37" s="97"/>
      <c r="F37" s="516"/>
      <c r="G37" s="516"/>
      <c r="H37" s="516"/>
      <c r="I37" s="423"/>
      <c r="J37" s="423"/>
      <c r="K37" s="423"/>
      <c r="L37" s="423"/>
      <c r="M37" s="423"/>
      <c r="N37" s="423"/>
      <c r="O37" s="344"/>
      <c r="P37" s="344"/>
      <c r="Q37" s="344"/>
      <c r="R37" s="344"/>
      <c r="S37" s="344"/>
      <c r="T37" s="344"/>
      <c r="U37" s="344"/>
      <c r="V37" s="344"/>
      <c r="W37" s="344"/>
      <c r="X37" s="344"/>
      <c r="Y37" s="97"/>
      <c r="Z37" s="97"/>
      <c r="AC37" s="6" t="s">
        <v>335</v>
      </c>
      <c r="AD37" s="6" cm="1">
        <f t="array" ref="AD37">angleConvert2Decimal(J36)*AD36</f>
        <v>46</v>
      </c>
      <c r="BN37" s="114"/>
    </row>
    <row r="38" spans="1:66" ht="17.25" customHeight="1" thickTop="1" x14ac:dyDescent="0.25">
      <c r="A38" s="100" t="s">
        <v>3</v>
      </c>
      <c r="B38" s="115" t="s">
        <v>5</v>
      </c>
      <c r="C38" s="101">
        <v>1</v>
      </c>
      <c r="D38" s="97"/>
      <c r="E38" s="97"/>
      <c r="F38" s="97"/>
      <c r="G38" s="97"/>
      <c r="H38" s="97"/>
      <c r="BN38" s="114"/>
    </row>
    <row r="39" spans="1:66" ht="17.25" customHeight="1" thickBot="1" x14ac:dyDescent="0.3">
      <c r="A39" s="102" t="s">
        <v>4</v>
      </c>
      <c r="B39" s="103" t="s">
        <v>6</v>
      </c>
      <c r="C39" s="104">
        <v>-1</v>
      </c>
      <c r="D39" s="97"/>
      <c r="E39" s="517" t="s">
        <v>8</v>
      </c>
      <c r="F39" s="517"/>
      <c r="G39" s="517"/>
      <c r="H39" s="51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BN39" s="114"/>
    </row>
    <row r="40" spans="1:66" ht="17.25" customHeight="1" thickBot="1" x14ac:dyDescent="0.3">
      <c r="C40" s="97"/>
      <c r="D40" s="97"/>
      <c r="E40" s="517"/>
      <c r="F40" s="517"/>
      <c r="G40" s="517"/>
      <c r="H40" s="517"/>
      <c r="I40" s="97"/>
      <c r="J40" s="97" t="s">
        <v>233</v>
      </c>
      <c r="K40" s="97"/>
      <c r="L40" s="97" t="s">
        <v>242</v>
      </c>
      <c r="M40" s="97"/>
      <c r="N40" s="97"/>
      <c r="O40" s="97"/>
      <c r="P40" s="97"/>
      <c r="Q40" s="97"/>
      <c r="R40" s="97"/>
      <c r="S40" s="97"/>
      <c r="T40" s="97"/>
      <c r="U40" s="97"/>
      <c r="V40" s="97"/>
      <c r="BN40" s="114"/>
    </row>
    <row r="41" spans="1:66" ht="17.25" customHeight="1" thickTop="1" thickBot="1" x14ac:dyDescent="0.3">
      <c r="B41" s="97"/>
      <c r="C41" s="97"/>
      <c r="D41" s="97"/>
      <c r="E41" s="97"/>
      <c r="F41" s="491">
        <f>AD42</f>
        <v>-6.666666666666667</v>
      </c>
      <c r="G41" s="516"/>
      <c r="H41" s="516"/>
      <c r="I41" s="423" t="s">
        <v>6</v>
      </c>
      <c r="J41" s="425" t="s">
        <v>602</v>
      </c>
      <c r="K41" s="423"/>
      <c r="L41" s="423"/>
      <c r="M41" s="423"/>
      <c r="N41" s="423"/>
      <c r="O41" s="344" t="str" cm="1">
        <f t="array" ref="O41">angleDecimal2Txt(F41)</f>
        <v>-06°40.00 (-06.6666) [-06°40'00.00]</v>
      </c>
      <c r="P41" s="344"/>
      <c r="Q41" s="344"/>
      <c r="R41" s="344"/>
      <c r="S41" s="344"/>
      <c r="T41" s="344"/>
      <c r="U41" s="344"/>
      <c r="V41" s="344"/>
      <c r="W41" s="344"/>
      <c r="X41" s="344"/>
      <c r="Y41" s="97"/>
      <c r="Z41" s="97"/>
      <c r="AC41" s="6" t="s">
        <v>336</v>
      </c>
      <c r="AD41" s="6">
        <f>VLOOKUP(I41,B38:C39,2)</f>
        <v>-1</v>
      </c>
    </row>
    <row r="42" spans="1:66" ht="17.25" customHeight="1" thickTop="1" thickBot="1" x14ac:dyDescent="0.3">
      <c r="C42" s="97"/>
      <c r="D42" s="97"/>
      <c r="E42" s="97"/>
      <c r="F42" s="516"/>
      <c r="G42" s="516"/>
      <c r="H42" s="516"/>
      <c r="I42" s="423"/>
      <c r="J42" s="423"/>
      <c r="K42" s="423"/>
      <c r="L42" s="423"/>
      <c r="M42" s="423"/>
      <c r="N42" s="423"/>
      <c r="O42" s="344"/>
      <c r="P42" s="344"/>
      <c r="Q42" s="344"/>
      <c r="R42" s="344"/>
      <c r="S42" s="344"/>
      <c r="T42" s="344"/>
      <c r="U42" s="344"/>
      <c r="V42" s="344"/>
      <c r="W42" s="344"/>
      <c r="X42" s="344"/>
      <c r="Y42" s="97"/>
      <c r="Z42" s="97"/>
      <c r="AC42" s="6" t="s">
        <v>337</v>
      </c>
      <c r="AD42" s="6" cm="1">
        <f t="array" ref="AD42">angleConvert2Decimal(J41)*AD41</f>
        <v>-6.666666666666667</v>
      </c>
    </row>
    <row r="43" spans="1:66" ht="17.25" customHeight="1" thickTop="1" x14ac:dyDescent="0.25"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</row>
    <row r="44" spans="1:66" ht="17.25" customHeight="1" thickBot="1" x14ac:dyDescent="0.3"/>
    <row r="45" spans="1:66" ht="17.25" customHeight="1" thickBot="1" x14ac:dyDescent="0.3">
      <c r="B45" s="108" t="s">
        <v>9</v>
      </c>
      <c r="C45" s="109"/>
      <c r="D45" s="109"/>
      <c r="E45" s="109"/>
      <c r="F45" s="416">
        <f>IF(G46=AD46,F50,F58)</f>
        <v>23.140523148148148</v>
      </c>
      <c r="G45" s="416"/>
      <c r="H45" s="416"/>
      <c r="I45" s="109"/>
      <c r="J45" s="109"/>
      <c r="K45" s="109" t="str" cm="1">
        <f t="array" ref="K45">angleDecimal2Txt(F45)</f>
        <v>+23°08.43 (+23.1405) [+23°08'25.88]</v>
      </c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49"/>
    </row>
    <row r="46" spans="1:66" s="116" customFormat="1" ht="17.25" customHeight="1" x14ac:dyDescent="0.25">
      <c r="C46" s="414" t="s">
        <v>42</v>
      </c>
      <c r="D46" s="414"/>
      <c r="E46" s="414"/>
      <c r="F46" s="414"/>
      <c r="G46" s="418" t="s">
        <v>10</v>
      </c>
      <c r="H46" s="418"/>
      <c r="I46" s="418"/>
      <c r="AB46" s="150"/>
      <c r="AC46" s="616" t="s">
        <v>43</v>
      </c>
      <c r="AD46" s="153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17" t="s">
        <v>10</v>
      </c>
      <c r="D47" s="117"/>
      <c r="E47" s="118"/>
      <c r="F47" s="118"/>
      <c r="G47" s="97"/>
      <c r="H47" s="97"/>
      <c r="I47" s="97"/>
      <c r="AC47" s="616"/>
      <c r="AD47" s="153" t="s">
        <v>16</v>
      </c>
      <c r="AF47" s="99"/>
      <c r="AG47" s="99"/>
    </row>
    <row r="48" spans="1:66" ht="17.25" customHeight="1" x14ac:dyDescent="0.25">
      <c r="F48" s="424" t="s">
        <v>9</v>
      </c>
      <c r="G48" s="424"/>
      <c r="H48" s="424"/>
      <c r="I48" s="424" t="s">
        <v>12</v>
      </c>
      <c r="J48" s="424"/>
      <c r="K48" s="424"/>
      <c r="L48" s="424"/>
      <c r="M48" s="417" t="s">
        <v>13</v>
      </c>
      <c r="N48" s="417"/>
      <c r="O48" s="417"/>
      <c r="P48" s="426" t="s">
        <v>17</v>
      </c>
      <c r="Q48" s="426"/>
      <c r="R48" s="426"/>
      <c r="S48" s="426"/>
      <c r="T48" s="426"/>
      <c r="U48" s="97"/>
      <c r="AD48" s="158" t="s">
        <v>101</v>
      </c>
      <c r="AE48" s="6" t="s">
        <v>347</v>
      </c>
    </row>
    <row r="49" spans="1:35" ht="17.25" customHeight="1" thickBot="1" x14ac:dyDescent="0.3">
      <c r="F49" s="424"/>
      <c r="G49" s="424"/>
      <c r="H49" s="424"/>
      <c r="I49" s="424"/>
      <c r="J49" s="424"/>
      <c r="K49" s="424"/>
      <c r="L49" s="424"/>
      <c r="M49" s="417"/>
      <c r="N49" s="417"/>
      <c r="O49" s="417"/>
      <c r="P49" s="426"/>
      <c r="Q49" s="426"/>
      <c r="R49" s="426"/>
      <c r="S49" s="426"/>
      <c r="T49" s="426"/>
      <c r="U49" s="97"/>
      <c r="AC49" s="6" t="s">
        <v>338</v>
      </c>
      <c r="AD49" s="6">
        <f>VLOOKUP(P50,$A$38:$C$39,3)</f>
        <v>1</v>
      </c>
      <c r="AE49" s="6" cm="1">
        <f t="array" ref="AE49">AD49*angleConvert2Decimal(Q50)</f>
        <v>23.141666666666666</v>
      </c>
    </row>
    <row r="50" spans="1:35" ht="17.25" customHeight="1" thickTop="1" thickBot="1" x14ac:dyDescent="0.3">
      <c r="E50" s="99"/>
      <c r="F50" s="490">
        <f>IF(G46=AD47,"---",AD54)</f>
        <v>23.140523148148148</v>
      </c>
      <c r="G50" s="490"/>
      <c r="H50" s="490"/>
      <c r="I50" s="371">
        <f>E11</f>
        <v>10.343055555555557</v>
      </c>
      <c r="J50" s="371"/>
      <c r="K50" s="371"/>
      <c r="L50" s="371"/>
      <c r="M50" s="613">
        <v>10</v>
      </c>
      <c r="N50" s="422"/>
      <c r="O50" s="422"/>
      <c r="P50" s="422" t="s">
        <v>3</v>
      </c>
      <c r="Q50" s="522" t="s">
        <v>596</v>
      </c>
      <c r="R50" s="611"/>
      <c r="S50" s="611"/>
      <c r="T50" s="611"/>
      <c r="U50" s="344" t="str" cm="1">
        <f t="array" ref="U50">angleDecimal2Txt(AE49)</f>
        <v>+23°08.50 (+23.1416) [+23°08'30.00]</v>
      </c>
      <c r="V50" s="514"/>
      <c r="W50" s="514"/>
      <c r="X50" s="514"/>
      <c r="Y50" s="514"/>
      <c r="AC50" s="6" t="s">
        <v>339</v>
      </c>
      <c r="AD50" s="6">
        <f>VLOOKUP(P52,$A$38:$C$39,3)</f>
        <v>1</v>
      </c>
      <c r="AE50" s="6" cm="1">
        <f t="array" ref="AE50">AD50*angleConvert2Decimal(Q52)</f>
        <v>23.138333333333332</v>
      </c>
    </row>
    <row r="51" spans="1:35" ht="17.25" customHeight="1" thickTop="1" thickBot="1" x14ac:dyDescent="0.3">
      <c r="F51" s="491"/>
      <c r="G51" s="491"/>
      <c r="H51" s="491"/>
      <c r="I51" s="371"/>
      <c r="J51" s="371"/>
      <c r="K51" s="371"/>
      <c r="L51" s="371"/>
      <c r="M51" s="614"/>
      <c r="N51" s="423"/>
      <c r="O51" s="423"/>
      <c r="P51" s="423"/>
      <c r="Q51" s="612"/>
      <c r="R51" s="612"/>
      <c r="S51" s="612"/>
      <c r="T51" s="612"/>
      <c r="U51" s="514"/>
      <c r="V51" s="514"/>
      <c r="W51" s="514"/>
      <c r="X51" s="514"/>
      <c r="Y51" s="514"/>
      <c r="AC51" s="6" t="s">
        <v>45</v>
      </c>
      <c r="AD51" s="8">
        <f>AE50-AE49</f>
        <v>-3.3333333333338544E-3</v>
      </c>
    </row>
    <row r="52" spans="1:35" ht="17.25" customHeight="1" thickTop="1" thickBot="1" x14ac:dyDescent="0.3">
      <c r="F52" s="491"/>
      <c r="G52" s="491"/>
      <c r="H52" s="491"/>
      <c r="I52" s="371"/>
      <c r="J52" s="371"/>
      <c r="K52" s="371"/>
      <c r="L52" s="371"/>
      <c r="M52" s="614">
        <v>11</v>
      </c>
      <c r="N52" s="423"/>
      <c r="O52" s="423"/>
      <c r="P52" s="423" t="s">
        <v>3</v>
      </c>
      <c r="Q52" s="615" t="s">
        <v>597</v>
      </c>
      <c r="R52" s="612"/>
      <c r="S52" s="612"/>
      <c r="T52" s="612"/>
      <c r="U52" s="344" t="str" cm="1">
        <f t="array" ref="U52">angleDecimal2Txt((AE50))</f>
        <v>+23°08.30 (+23.1383) [+23°08'18.00]</v>
      </c>
      <c r="V52" s="514"/>
      <c r="W52" s="514"/>
      <c r="X52" s="514"/>
      <c r="Y52" s="514"/>
      <c r="AC52" s="6" t="s">
        <v>341</v>
      </c>
      <c r="AD52" s="8">
        <f>M52-M50</f>
        <v>1</v>
      </c>
      <c r="AE52" s="99"/>
      <c r="AF52" s="99"/>
      <c r="AG52" s="99"/>
      <c r="AH52" s="99"/>
    </row>
    <row r="53" spans="1:35" ht="17.25" customHeight="1" thickTop="1" thickBot="1" x14ac:dyDescent="0.3">
      <c r="F53" s="491"/>
      <c r="G53" s="491"/>
      <c r="H53" s="491"/>
      <c r="I53" s="371"/>
      <c r="J53" s="371"/>
      <c r="K53" s="371"/>
      <c r="L53" s="371"/>
      <c r="M53" s="614"/>
      <c r="N53" s="423"/>
      <c r="O53" s="423"/>
      <c r="P53" s="423"/>
      <c r="Q53" s="612"/>
      <c r="R53" s="612"/>
      <c r="S53" s="612"/>
      <c r="T53" s="612"/>
      <c r="U53" s="514"/>
      <c r="V53" s="514"/>
      <c r="W53" s="514"/>
      <c r="X53" s="514"/>
      <c r="Y53" s="514"/>
      <c r="AC53" s="6" t="s">
        <v>46</v>
      </c>
      <c r="AD53" s="8">
        <f>I50-M50</f>
        <v>0.34305555555555678</v>
      </c>
      <c r="AI53" s="41"/>
    </row>
    <row r="54" spans="1:35" ht="17.25" customHeight="1" thickTop="1" thickBot="1" x14ac:dyDescent="0.3">
      <c r="F54" s="346" t="str" cm="1">
        <f t="array" ref="F54">angleDecimal2Txt(F50)</f>
        <v>+23°08.43 (+23.1405) [+23°08'25.88]</v>
      </c>
      <c r="G54" s="346"/>
      <c r="H54" s="346"/>
      <c r="I54" s="518"/>
      <c r="J54" s="518"/>
      <c r="K54" s="518"/>
      <c r="AA54" s="97"/>
      <c r="AC54" s="6" t="s">
        <v>44</v>
      </c>
      <c r="AD54" s="6">
        <f>AE49+(AD51/AD52)*AD53</f>
        <v>23.140523148148148</v>
      </c>
    </row>
    <row r="55" spans="1:35" ht="17.25" customHeight="1" thickTop="1" x14ac:dyDescent="0.25">
      <c r="C55" s="117" t="s">
        <v>16</v>
      </c>
      <c r="D55" s="117"/>
      <c r="E55" s="118"/>
      <c r="F55" s="118"/>
      <c r="G55" s="97"/>
      <c r="H55" s="97"/>
      <c r="I55" s="97"/>
      <c r="AA55" s="97"/>
    </row>
    <row r="56" spans="1:35" ht="17.25" customHeight="1" x14ac:dyDescent="0.25">
      <c r="C56" s="97"/>
      <c r="D56" s="97"/>
      <c r="E56" s="97"/>
      <c r="F56" s="424" t="s">
        <v>9</v>
      </c>
      <c r="G56" s="424"/>
      <c r="H56" s="424"/>
      <c r="I56" s="424" t="s">
        <v>12</v>
      </c>
      <c r="J56" s="424"/>
      <c r="K56" s="424"/>
      <c r="L56" s="424"/>
      <c r="M56" s="417" t="s">
        <v>13</v>
      </c>
      <c r="N56" s="417"/>
      <c r="O56" s="417"/>
      <c r="P56" s="426" t="s">
        <v>18</v>
      </c>
      <c r="Q56" s="426"/>
      <c r="R56" s="426"/>
      <c r="S56" s="426"/>
      <c r="T56" s="426"/>
      <c r="U56" s="426" t="s">
        <v>235</v>
      </c>
      <c r="V56" s="426"/>
      <c r="W56" s="426"/>
      <c r="X56" s="426"/>
      <c r="Y56" s="426"/>
      <c r="AA56" s="97"/>
      <c r="AC56" s="6" t="s">
        <v>342</v>
      </c>
      <c r="AD56" s="6">
        <f>VLOOKUP(P58,$A$38:$C$39,3)</f>
        <v>-1</v>
      </c>
    </row>
    <row r="57" spans="1:35" ht="17.25" customHeight="1" x14ac:dyDescent="0.25">
      <c r="F57" s="424"/>
      <c r="G57" s="424"/>
      <c r="H57" s="424"/>
      <c r="I57" s="424"/>
      <c r="J57" s="424"/>
      <c r="K57" s="424"/>
      <c r="L57" s="424"/>
      <c r="M57" s="417"/>
      <c r="N57" s="417"/>
      <c r="O57" s="417"/>
      <c r="P57" s="426"/>
      <c r="Q57" s="426"/>
      <c r="R57" s="426"/>
      <c r="S57" s="426"/>
      <c r="T57" s="426"/>
      <c r="U57" s="426"/>
      <c r="V57" s="426"/>
      <c r="W57" s="426"/>
      <c r="X57" s="426"/>
      <c r="Y57" s="426"/>
      <c r="Z57" s="97"/>
      <c r="AA57" s="97"/>
      <c r="AC57" s="6" t="s">
        <v>343</v>
      </c>
      <c r="AD57" s="6" cm="1">
        <f t="array" ref="AD57">angleConvert2Decimal(Q58)*AD56</f>
        <v>-12.24</v>
      </c>
    </row>
    <row r="58" spans="1:35" ht="17.25" customHeight="1" x14ac:dyDescent="0.25">
      <c r="E58" s="99"/>
      <c r="F58" s="490" t="str">
        <f>IF(G46=AD47,AD60,"---")</f>
        <v>---</v>
      </c>
      <c r="G58" s="490"/>
      <c r="H58" s="490"/>
      <c r="I58" s="371">
        <f>E11</f>
        <v>10.343055555555557</v>
      </c>
      <c r="J58" s="371"/>
      <c r="K58" s="371"/>
      <c r="L58" s="371"/>
      <c r="M58" s="613">
        <v>0</v>
      </c>
      <c r="N58" s="422"/>
      <c r="O58" s="422"/>
      <c r="P58" s="422" t="s">
        <v>4</v>
      </c>
      <c r="Q58" s="637" t="s">
        <v>227</v>
      </c>
      <c r="R58" s="422"/>
      <c r="S58" s="422"/>
      <c r="T58" s="422"/>
      <c r="U58" s="422" t="s">
        <v>3</v>
      </c>
      <c r="V58" s="637" t="s">
        <v>173</v>
      </c>
      <c r="W58" s="422"/>
      <c r="X58" s="422"/>
      <c r="Y58" s="422"/>
      <c r="Z58" s="97"/>
      <c r="AC58" s="6" t="s">
        <v>344</v>
      </c>
      <c r="AD58" s="6">
        <f>VLOOKUP(U58,$A$38:$C$39,3)</f>
        <v>1</v>
      </c>
    </row>
    <row r="59" spans="1:35" ht="17.25" customHeight="1" collapsed="1" thickBot="1" x14ac:dyDescent="0.3">
      <c r="F59" s="491"/>
      <c r="G59" s="491"/>
      <c r="H59" s="491"/>
      <c r="I59" s="371"/>
      <c r="J59" s="371"/>
      <c r="K59" s="371"/>
      <c r="L59" s="371"/>
      <c r="M59" s="614"/>
      <c r="N59" s="423"/>
      <c r="O59" s="423"/>
      <c r="P59" s="423"/>
      <c r="Q59" s="423"/>
      <c r="R59" s="423"/>
      <c r="S59" s="423"/>
      <c r="T59" s="423"/>
      <c r="U59" s="423"/>
      <c r="V59" s="423"/>
      <c r="W59" s="423"/>
      <c r="X59" s="423"/>
      <c r="Y59" s="423"/>
      <c r="Z59" s="97"/>
      <c r="AC59" s="6" t="s">
        <v>345</v>
      </c>
      <c r="AD59" s="6" cm="1">
        <f t="array" ref="AD59">angleConvert2Decimal(V58)*AD58</f>
        <v>1.6E-2</v>
      </c>
    </row>
    <row r="60" spans="1:35" ht="17.25" customHeight="1" thickTop="1" thickBot="1" x14ac:dyDescent="0.3">
      <c r="F60" s="346" t="e" cm="1">
        <f t="array" ref="F60">angleDecimal2Txt(F58)</f>
        <v>#VALUE!</v>
      </c>
      <c r="G60" s="346"/>
      <c r="H60" s="346"/>
      <c r="I60" s="518"/>
      <c r="J60" s="518"/>
      <c r="K60" s="518"/>
      <c r="P60" s="346" t="str" cm="1">
        <f t="array" ref="P60">angleDecimal2Txt(AD57)</f>
        <v>-12°14.40 (-12.2400) [-12°14'24.00]</v>
      </c>
      <c r="Q60" s="346"/>
      <c r="R60" s="346"/>
      <c r="S60" s="346"/>
      <c r="T60" s="346"/>
      <c r="U60" s="346" t="str" cm="1">
        <f t="array" ref="U60">angleDecimal2Txt(AD59)</f>
        <v>+00°00.96 (+00.0160) [+00°00'57.60]</v>
      </c>
      <c r="V60" s="566"/>
      <c r="W60" s="566"/>
      <c r="X60" s="566"/>
      <c r="Y60" s="566"/>
      <c r="AC60" s="6" t="s">
        <v>346</v>
      </c>
      <c r="AD60" s="6">
        <f>AD57+AD59*(I58-M58)</f>
        <v>-12.074511111111111</v>
      </c>
    </row>
    <row r="61" spans="1:35" ht="17.25" customHeight="1" thickTop="1" x14ac:dyDescent="0.25">
      <c r="S61" s="97"/>
      <c r="T61" s="97"/>
      <c r="U61" s="97"/>
      <c r="V61" s="97"/>
      <c r="W61" s="97"/>
      <c r="X61" s="97"/>
    </row>
    <row r="62" spans="1:35" ht="17.25" customHeight="1" thickBot="1" x14ac:dyDescent="0.3">
      <c r="S62" s="97"/>
      <c r="T62" s="97"/>
      <c r="U62" s="97"/>
      <c r="V62" s="97"/>
      <c r="W62" s="97"/>
      <c r="X62" s="97"/>
    </row>
    <row r="63" spans="1:35" ht="17.25" customHeight="1" thickBot="1" x14ac:dyDescent="0.3">
      <c r="A63" s="116"/>
      <c r="B63" s="108" t="s">
        <v>238</v>
      </c>
      <c r="C63" s="109"/>
      <c r="D63" s="109"/>
      <c r="E63" s="109"/>
      <c r="F63" s="416">
        <f>IF(G64=AD64,F68,F76)</f>
        <v>334.21026157407408</v>
      </c>
      <c r="G63" s="416"/>
      <c r="H63" s="416"/>
      <c r="I63" s="109"/>
      <c r="J63" s="109"/>
      <c r="K63" s="109"/>
      <c r="L63" s="413">
        <f>F63-360</f>
        <v>-25.789738425925918</v>
      </c>
      <c r="M63" s="413"/>
      <c r="N63" s="109" t="s">
        <v>34</v>
      </c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49"/>
    </row>
    <row r="64" spans="1:35" ht="17.25" customHeight="1" x14ac:dyDescent="0.25">
      <c r="B64" s="116"/>
      <c r="C64" s="414" t="s">
        <v>42</v>
      </c>
      <c r="D64" s="414"/>
      <c r="E64" s="414"/>
      <c r="F64" s="415"/>
      <c r="G64" s="575" t="s">
        <v>10</v>
      </c>
      <c r="H64" s="576"/>
      <c r="I64" s="577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50"/>
      <c r="AC64" s="616" t="s">
        <v>43</v>
      </c>
      <c r="AD64" s="153" t="s">
        <v>10</v>
      </c>
    </row>
    <row r="65" spans="3:31" ht="17.25" customHeight="1" x14ac:dyDescent="0.25">
      <c r="C65" s="117" t="s">
        <v>10</v>
      </c>
      <c r="D65" s="117"/>
      <c r="E65" s="118"/>
      <c r="F65" s="118"/>
      <c r="G65" s="97"/>
      <c r="H65" s="97"/>
      <c r="I65" s="97"/>
      <c r="AC65" s="616"/>
      <c r="AD65" s="153" t="s">
        <v>16</v>
      </c>
    </row>
    <row r="66" spans="3:31" ht="17.25" customHeight="1" x14ac:dyDescent="0.25">
      <c r="F66" s="380" t="s">
        <v>9</v>
      </c>
      <c r="G66" s="381"/>
      <c r="H66" s="382"/>
      <c r="I66" s="380" t="s">
        <v>12</v>
      </c>
      <c r="J66" s="381"/>
      <c r="K66" s="381"/>
      <c r="L66" s="382"/>
      <c r="M66" s="386" t="s">
        <v>13</v>
      </c>
      <c r="N66" s="387"/>
      <c r="O66" s="388"/>
      <c r="P66" s="372" t="s">
        <v>17</v>
      </c>
      <c r="Q66" s="373"/>
      <c r="R66" s="373"/>
      <c r="S66" s="373"/>
      <c r="T66" s="374"/>
      <c r="U66" s="97"/>
      <c r="AD66" s="158" t="s">
        <v>101</v>
      </c>
      <c r="AE66" s="6" t="s">
        <v>347</v>
      </c>
    </row>
    <row r="67" spans="3:31" ht="17.25" customHeight="1" thickBot="1" x14ac:dyDescent="0.3">
      <c r="F67" s="383"/>
      <c r="G67" s="384"/>
      <c r="H67" s="385"/>
      <c r="I67" s="383"/>
      <c r="J67" s="384"/>
      <c r="K67" s="384"/>
      <c r="L67" s="385"/>
      <c r="M67" s="389"/>
      <c r="N67" s="390"/>
      <c r="O67" s="391"/>
      <c r="P67" s="375"/>
      <c r="Q67" s="376"/>
      <c r="R67" s="376"/>
      <c r="S67" s="376"/>
      <c r="T67" s="377"/>
      <c r="U67" s="97"/>
      <c r="Z67"/>
      <c r="AC67" s="6" t="s">
        <v>338</v>
      </c>
      <c r="AD67" s="6">
        <f>VLOOKUP(P68,$B$38:$C$39,2)</f>
        <v>1</v>
      </c>
      <c r="AE67" s="6" cm="1">
        <f t="array" ref="AE67">AD67*angleConvert2Decimal(Q68)</f>
        <v>329.065</v>
      </c>
    </row>
    <row r="68" spans="3:31" ht="17.25" customHeight="1" thickTop="1" thickBot="1" x14ac:dyDescent="0.3">
      <c r="E68" s="99"/>
      <c r="F68" s="490">
        <f>IF(G64=AD65,"---",AD72)</f>
        <v>334.21026157407408</v>
      </c>
      <c r="G68" s="490"/>
      <c r="H68" s="490"/>
      <c r="I68" s="371">
        <f>E11</f>
        <v>10.343055555555557</v>
      </c>
      <c r="J68" s="371"/>
      <c r="K68" s="371"/>
      <c r="L68" s="371"/>
      <c r="M68" s="486">
        <v>10</v>
      </c>
      <c r="N68" s="487"/>
      <c r="O68" s="487"/>
      <c r="P68" s="371" t="s">
        <v>5</v>
      </c>
      <c r="Q68" s="578" t="s">
        <v>598</v>
      </c>
      <c r="R68" s="578"/>
      <c r="S68" s="578"/>
      <c r="T68" s="579"/>
      <c r="U68" s="344" t="str" cm="1">
        <f t="array" ref="U68">angleDecimal2Txt(AE67)</f>
        <v>+329°03.89 (+329.0649) [+329°03'54.00]</v>
      </c>
      <c r="V68" s="514"/>
      <c r="W68" s="514"/>
      <c r="X68" s="514"/>
      <c r="Y68" s="514"/>
      <c r="Z68"/>
      <c r="AC68" s="6" t="s">
        <v>339</v>
      </c>
      <c r="AD68" s="6">
        <f>VLOOKUP(P70,$B$38:$C$39,2)</f>
        <v>1</v>
      </c>
      <c r="AE68" s="6" cm="1">
        <f t="array" ref="AE68">AD68*angleConvert2Decimal(Q70)</f>
        <v>344.06333333333333</v>
      </c>
    </row>
    <row r="69" spans="3:31" ht="17.25" customHeight="1" thickTop="1" thickBot="1" x14ac:dyDescent="0.3">
      <c r="F69" s="491"/>
      <c r="G69" s="491"/>
      <c r="H69" s="491"/>
      <c r="I69" s="371"/>
      <c r="J69" s="371"/>
      <c r="K69" s="371"/>
      <c r="L69" s="371"/>
      <c r="M69" s="488"/>
      <c r="N69" s="489"/>
      <c r="O69" s="489"/>
      <c r="P69" s="371"/>
      <c r="Q69" s="580"/>
      <c r="R69" s="580"/>
      <c r="S69" s="580"/>
      <c r="T69" s="581"/>
      <c r="U69" s="514"/>
      <c r="V69" s="514"/>
      <c r="W69" s="514"/>
      <c r="X69" s="514"/>
      <c r="Y69" s="514"/>
      <c r="Z69"/>
      <c r="AC69" s="6" t="s">
        <v>45</v>
      </c>
      <c r="AD69" s="8">
        <f>AE68-AE67</f>
        <v>14.998333333333335</v>
      </c>
    </row>
    <row r="70" spans="3:31" ht="17.25" customHeight="1" thickTop="1" thickBot="1" x14ac:dyDescent="0.3">
      <c r="F70" s="491"/>
      <c r="G70" s="491"/>
      <c r="H70" s="491"/>
      <c r="I70" s="371"/>
      <c r="J70" s="371"/>
      <c r="K70" s="371"/>
      <c r="L70" s="371"/>
      <c r="M70" s="573">
        <v>11</v>
      </c>
      <c r="N70" s="574"/>
      <c r="O70" s="574"/>
      <c r="P70" s="371" t="s">
        <v>5</v>
      </c>
      <c r="Q70" s="582" t="s">
        <v>599</v>
      </c>
      <c r="R70" s="582"/>
      <c r="S70" s="582"/>
      <c r="T70" s="583"/>
      <c r="U70" s="344" t="str" cm="1">
        <f t="array" ref="U70">angleDecimal2Txt((AE68))</f>
        <v>+344°03.79 (+344.0633) [+344°03'48.00]</v>
      </c>
      <c r="V70" s="514"/>
      <c r="W70" s="514"/>
      <c r="X70" s="514"/>
      <c r="Y70" s="514"/>
      <c r="Z70"/>
      <c r="AC70" s="6" t="s">
        <v>341</v>
      </c>
      <c r="AD70" s="8">
        <f>M70-M68</f>
        <v>1</v>
      </c>
      <c r="AE70" s="99"/>
    </row>
    <row r="71" spans="3:31" ht="17.25" customHeight="1" thickTop="1" thickBot="1" x14ac:dyDescent="0.3">
      <c r="F71" s="491"/>
      <c r="G71" s="491"/>
      <c r="H71" s="491"/>
      <c r="I71" s="371"/>
      <c r="J71" s="371"/>
      <c r="K71" s="371"/>
      <c r="L71" s="371"/>
      <c r="M71" s="488"/>
      <c r="N71" s="489"/>
      <c r="O71" s="489"/>
      <c r="P71" s="371"/>
      <c r="Q71" s="580"/>
      <c r="R71" s="580"/>
      <c r="S71" s="580"/>
      <c r="T71" s="581"/>
      <c r="U71" s="514"/>
      <c r="V71" s="514"/>
      <c r="W71" s="514"/>
      <c r="X71" s="514"/>
      <c r="Y71" s="514"/>
      <c r="Z71"/>
      <c r="AC71" s="6" t="s">
        <v>46</v>
      </c>
      <c r="AD71" s="8">
        <f>I68-M68</f>
        <v>0.34305555555555678</v>
      </c>
    </row>
    <row r="72" spans="3:31" ht="17.25" customHeight="1" thickTop="1" thickBot="1" x14ac:dyDescent="0.3">
      <c r="F72" s="358">
        <f>AC73</f>
        <v>0</v>
      </c>
      <c r="G72" s="359"/>
      <c r="H72" s="359"/>
      <c r="I72" s="605"/>
      <c r="J72" s="605"/>
      <c r="K72" s="606"/>
      <c r="Q72" s="237"/>
      <c r="Z72"/>
      <c r="AA72" s="97"/>
      <c r="AC72" s="6" t="s">
        <v>44</v>
      </c>
      <c r="AD72" s="6">
        <f>MOD((AE67+(AD69/AD70)*AD71), 360)</f>
        <v>334.21026157407408</v>
      </c>
    </row>
    <row r="73" spans="3:31" ht="17.25" customHeight="1" thickTop="1" x14ac:dyDescent="0.25">
      <c r="C73" s="117" t="s">
        <v>16</v>
      </c>
      <c r="D73" s="117"/>
      <c r="E73" s="118"/>
      <c r="F73" s="118"/>
      <c r="G73" s="97"/>
      <c r="H73" s="97"/>
      <c r="I73" s="97"/>
      <c r="Z73"/>
      <c r="AA73" s="97"/>
    </row>
    <row r="74" spans="3:31" ht="17.25" customHeight="1" x14ac:dyDescent="0.25">
      <c r="C74" s="97"/>
      <c r="D74" s="97"/>
      <c r="E74" s="97"/>
      <c r="F74" s="380" t="s">
        <v>9</v>
      </c>
      <c r="G74" s="381"/>
      <c r="H74" s="382"/>
      <c r="I74" s="380" t="s">
        <v>12</v>
      </c>
      <c r="J74" s="381"/>
      <c r="K74" s="381"/>
      <c r="L74" s="382"/>
      <c r="M74" s="386" t="s">
        <v>13</v>
      </c>
      <c r="N74" s="387"/>
      <c r="O74" s="388"/>
      <c r="P74" s="372" t="s">
        <v>18</v>
      </c>
      <c r="Q74" s="373"/>
      <c r="R74" s="373"/>
      <c r="S74" s="373"/>
      <c r="T74" s="374"/>
      <c r="U74" s="372" t="s">
        <v>126</v>
      </c>
      <c r="V74" s="373"/>
      <c r="W74" s="373"/>
      <c r="X74" s="373"/>
      <c r="Y74" s="374"/>
      <c r="AA74" s="97"/>
      <c r="AC74" s="6" t="s">
        <v>342</v>
      </c>
      <c r="AD74" s="6">
        <f>VLOOKUP(P76,$B$38:$C$39,2)</f>
        <v>1</v>
      </c>
    </row>
    <row r="75" spans="3:31" ht="17.25" customHeight="1" collapsed="1" x14ac:dyDescent="0.25">
      <c r="F75" s="383"/>
      <c r="G75" s="384"/>
      <c r="H75" s="385"/>
      <c r="I75" s="383"/>
      <c r="J75" s="384"/>
      <c r="K75" s="384"/>
      <c r="L75" s="385"/>
      <c r="M75" s="389"/>
      <c r="N75" s="390"/>
      <c r="O75" s="391"/>
      <c r="P75" s="375"/>
      <c r="Q75" s="376"/>
      <c r="R75" s="376"/>
      <c r="S75" s="376"/>
      <c r="T75" s="377"/>
      <c r="U75" s="375"/>
      <c r="V75" s="378"/>
      <c r="W75" s="378"/>
      <c r="X75" s="378"/>
      <c r="Y75" s="379"/>
      <c r="Z75" s="97"/>
      <c r="AA75" s="97"/>
      <c r="AC75" s="6" t="s">
        <v>343</v>
      </c>
      <c r="AD75" s="6" cm="1">
        <f t="array" ref="AD75">angleConvert2Decimal(Q76)*AD74</f>
        <v>176.49</v>
      </c>
    </row>
    <row r="76" spans="3:31" ht="17.25" customHeight="1" x14ac:dyDescent="0.25">
      <c r="E76" s="99"/>
      <c r="F76" s="490" t="str">
        <f>IF(G64=AD65,AD78,"---")</f>
        <v>---</v>
      </c>
      <c r="G76" s="490"/>
      <c r="H76" s="490"/>
      <c r="I76" s="481">
        <f>E11</f>
        <v>10.343055555555557</v>
      </c>
      <c r="J76" s="482"/>
      <c r="K76" s="482"/>
      <c r="L76" s="483"/>
      <c r="M76" s="486">
        <v>0</v>
      </c>
      <c r="N76" s="487"/>
      <c r="O76" s="487"/>
      <c r="P76" s="371" t="s">
        <v>5</v>
      </c>
      <c r="Q76" s="635" t="s">
        <v>228</v>
      </c>
      <c r="R76" s="635"/>
      <c r="S76" s="635"/>
      <c r="T76" s="635"/>
      <c r="U76" s="371" t="s">
        <v>5</v>
      </c>
      <c r="V76" s="371" t="s">
        <v>174</v>
      </c>
      <c r="W76" s="371"/>
      <c r="X76" s="371"/>
      <c r="Y76" s="371"/>
      <c r="Z76" s="97"/>
      <c r="AC76" s="6" t="s">
        <v>344</v>
      </c>
      <c r="AD76" s="6">
        <f>VLOOKUP(U76,$B$38:$C$39,2)</f>
        <v>1</v>
      </c>
    </row>
    <row r="77" spans="3:31" ht="17.25" customHeight="1" thickBot="1" x14ac:dyDescent="0.3">
      <c r="F77" s="491"/>
      <c r="G77" s="491"/>
      <c r="H77" s="491"/>
      <c r="I77" s="432"/>
      <c r="J77" s="484"/>
      <c r="K77" s="484"/>
      <c r="L77" s="485"/>
      <c r="M77" s="488"/>
      <c r="N77" s="489"/>
      <c r="O77" s="489"/>
      <c r="P77" s="371"/>
      <c r="Q77" s="636"/>
      <c r="R77" s="636"/>
      <c r="S77" s="636"/>
      <c r="T77" s="636"/>
      <c r="U77" s="371"/>
      <c r="V77" s="371"/>
      <c r="W77" s="371"/>
      <c r="X77" s="371"/>
      <c r="Y77" s="371"/>
      <c r="Z77" s="97"/>
      <c r="AC77" s="6" t="s">
        <v>345</v>
      </c>
      <c r="AD77" s="6" cm="1">
        <f t="array" ref="AD77">angleConvert2Decimal(V76)*AD76</f>
        <v>15.002000000000001</v>
      </c>
    </row>
    <row r="78" spans="3:31" ht="17.25" customHeight="1" thickTop="1" thickBot="1" x14ac:dyDescent="0.3">
      <c r="F78" s="346" t="e" cm="1">
        <f t="array" ref="F78">angleDecimal2Txt(F76)</f>
        <v>#VALUE!</v>
      </c>
      <c r="G78" s="346"/>
      <c r="H78" s="346"/>
      <c r="I78" s="346"/>
      <c r="J78" s="346"/>
      <c r="K78" s="346"/>
      <c r="P78" s="518" t="str" cm="1">
        <f t="array" ref="P78">angleDecimal2Txt(AD75)</f>
        <v>+176°29.39 (+176.4900) [+176°29'24.00]</v>
      </c>
      <c r="Q78" s="346"/>
      <c r="R78" s="346"/>
      <c r="S78" s="346"/>
      <c r="T78" s="346"/>
      <c r="U78" s="518" t="str" cm="1">
        <f t="array" ref="U78">angleDecimal2Txt(AD77)</f>
        <v>+15°00.12 (+15.0020) [+15°00'07.20]</v>
      </c>
      <c r="V78" s="567"/>
      <c r="W78" s="567"/>
      <c r="X78" s="567"/>
      <c r="Y78" s="567"/>
      <c r="AC78" s="6" t="s">
        <v>346</v>
      </c>
      <c r="AD78" s="6">
        <f>MOD(AD75+AD77*(I76-M76),360)</f>
        <v>331.65651944444448</v>
      </c>
    </row>
    <row r="79" spans="3:31" ht="17.25" customHeight="1" thickTop="1" x14ac:dyDescent="0.25">
      <c r="S79" s="97"/>
      <c r="T79" s="97"/>
      <c r="U79" s="97"/>
      <c r="V79" s="97"/>
      <c r="W79" s="97"/>
      <c r="X79" s="97"/>
    </row>
    <row r="80" spans="3:31" ht="17.25" customHeight="1" x14ac:dyDescent="0.25">
      <c r="S80" s="97"/>
      <c r="T80" s="97"/>
      <c r="U80" s="97"/>
      <c r="V80" s="97"/>
      <c r="W80" s="97"/>
    </row>
    <row r="81" spans="1:66" ht="17.25" customHeight="1" thickBot="1" x14ac:dyDescent="0.3"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I81" s="41"/>
    </row>
    <row r="82" spans="1:66" s="97" customFormat="1" ht="17.25" customHeight="1" thickBot="1" x14ac:dyDescent="0.3">
      <c r="A82" s="99"/>
      <c r="B82" s="108" t="s">
        <v>51</v>
      </c>
      <c r="C82" s="109"/>
      <c r="D82" s="109"/>
      <c r="E82" s="109"/>
      <c r="F82" s="416">
        <f>I83</f>
        <v>327.5435949074074</v>
      </c>
      <c r="G82" s="416"/>
      <c r="H82" s="416"/>
      <c r="I82" s="109"/>
      <c r="J82" s="584" t="s">
        <v>83</v>
      </c>
      <c r="K82" s="584"/>
      <c r="L82" s="584"/>
      <c r="M82" s="493" t="str">
        <f>J22</f>
        <v>Soleil</v>
      </c>
      <c r="N82" s="493"/>
      <c r="O82" s="493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49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4"/>
    </row>
    <row r="83" spans="1:66" ht="17.25" customHeight="1" thickBot="1" x14ac:dyDescent="0.3">
      <c r="C83" s="617" t="s">
        <v>23</v>
      </c>
      <c r="D83" s="617"/>
      <c r="E83" s="617"/>
      <c r="F83" s="617"/>
      <c r="G83" s="617"/>
      <c r="H83" s="618"/>
      <c r="I83" s="632">
        <f>AD84</f>
        <v>327.5435949074074</v>
      </c>
      <c r="J83" s="633"/>
      <c r="K83" s="633"/>
      <c r="L83" s="634"/>
      <c r="M83" s="119" t="s">
        <v>53</v>
      </c>
      <c r="N83" s="470">
        <f>AD83</f>
        <v>327.5435949074074</v>
      </c>
      <c r="O83" s="470"/>
      <c r="P83" s="470"/>
      <c r="Q83" s="470"/>
      <c r="AC83" s="6" t="s">
        <v>348</v>
      </c>
      <c r="AD83" s="8">
        <f>F63+F41</f>
        <v>327.5435949074074</v>
      </c>
    </row>
    <row r="84" spans="1:66" ht="17.25" customHeight="1" thickTop="1" thickBot="1" x14ac:dyDescent="0.3">
      <c r="A84" s="97"/>
      <c r="C84" s="97"/>
      <c r="D84" s="97"/>
      <c r="E84" s="97"/>
      <c r="F84" s="97"/>
      <c r="G84" s="97"/>
      <c r="H84" s="97"/>
      <c r="I84" s="566">
        <f>AC85</f>
        <v>0</v>
      </c>
      <c r="J84" s="566"/>
      <c r="K84" s="566"/>
      <c r="L84" s="566"/>
      <c r="M84" s="566"/>
      <c r="N84" s="566"/>
      <c r="AB84" s="151"/>
      <c r="AC84" s="6" t="s">
        <v>349</v>
      </c>
      <c r="AD84" s="8">
        <f>MOD(AD83,360)</f>
        <v>327.5435949074074</v>
      </c>
    </row>
    <row r="85" spans="1:66" ht="17.25" customHeight="1" thickTop="1" thickBot="1" x14ac:dyDescent="0.3">
      <c r="B85" s="97"/>
      <c r="C85" s="99"/>
      <c r="D85" s="99"/>
      <c r="E85" s="99"/>
      <c r="F85" s="99"/>
      <c r="G85" s="99"/>
      <c r="AA85" s="97"/>
    </row>
    <row r="86" spans="1:66" ht="17.25" customHeight="1" thickBot="1" x14ac:dyDescent="0.3">
      <c r="B86" s="108" t="s">
        <v>25</v>
      </c>
      <c r="C86" s="109"/>
      <c r="D86" s="588" t="s">
        <v>100</v>
      </c>
      <c r="E86" s="592"/>
      <c r="F86" s="416">
        <f>IF(G87=AD87,O126,O116)</f>
        <v>55.028519510759374</v>
      </c>
      <c r="G86" s="416"/>
      <c r="H86" s="416"/>
      <c r="I86" s="109"/>
      <c r="J86" s="109"/>
      <c r="K86" s="109"/>
      <c r="L86" s="109" t="s">
        <v>88</v>
      </c>
      <c r="M86" s="588">
        <f>O89</f>
        <v>54.835000000000001</v>
      </c>
      <c r="N86" s="588"/>
      <c r="O86" s="109"/>
      <c r="P86" s="145"/>
      <c r="Q86" s="109" t="s">
        <v>127</v>
      </c>
      <c r="R86" s="109"/>
      <c r="S86" s="569">
        <f>-O103+O98+O107</f>
        <v>0.25662263480357378</v>
      </c>
      <c r="T86" s="570"/>
      <c r="U86" s="571"/>
      <c r="V86" s="572" t="str" cm="1">
        <f t="array" ref="V86">angleDecimal2Txt(S86)</f>
        <v>+00°15.39 (+00.2566) [+00°15'23.84]</v>
      </c>
      <c r="W86" s="572"/>
      <c r="X86" s="572"/>
      <c r="Y86" s="572"/>
      <c r="Z86" s="572"/>
      <c r="AA86" s="109"/>
      <c r="AB86" s="149"/>
    </row>
    <row r="87" spans="1:66" ht="17.25" customHeight="1" x14ac:dyDescent="0.25">
      <c r="C87" s="414" t="s">
        <v>42</v>
      </c>
      <c r="D87" s="414"/>
      <c r="E87" s="414"/>
      <c r="F87" s="414"/>
      <c r="G87" s="585" t="s">
        <v>59</v>
      </c>
      <c r="H87" s="585"/>
      <c r="I87" s="585"/>
      <c r="P87" s="99" t="s">
        <v>97</v>
      </c>
      <c r="V87" s="97"/>
      <c r="W87" s="97"/>
      <c r="X87" s="97"/>
      <c r="Y87" s="97"/>
      <c r="Z87" s="97"/>
      <c r="AC87" s="616" t="s">
        <v>43</v>
      </c>
      <c r="AD87" s="153" t="s">
        <v>58</v>
      </c>
    </row>
    <row r="88" spans="1:66" ht="17.25" customHeight="1" thickBot="1" x14ac:dyDescent="0.3">
      <c r="C88" s="116"/>
      <c r="D88" s="116"/>
      <c r="E88" s="116"/>
      <c r="F88" s="475" t="s">
        <v>90</v>
      </c>
      <c r="G88" s="475"/>
      <c r="H88" s="586"/>
      <c r="I88" s="586"/>
      <c r="J88" s="568">
        <f>IF(G87=AD87,"---",O116)</f>
        <v>55.028519510759374</v>
      </c>
      <c r="K88" s="568"/>
      <c r="L88" s="568"/>
      <c r="M88" s="292"/>
      <c r="N88" s="292"/>
      <c r="O88" s="292"/>
      <c r="P88" s="292"/>
      <c r="Q88" s="292"/>
      <c r="R88" s="292"/>
      <c r="S88" s="292"/>
      <c r="T88" s="292"/>
      <c r="U88" s="292"/>
      <c r="V88" s="293"/>
      <c r="W88" s="293"/>
      <c r="X88" s="293"/>
      <c r="Y88" s="293"/>
      <c r="Z88" s="293"/>
      <c r="AC88" s="616"/>
      <c r="AD88" s="153" t="s">
        <v>59</v>
      </c>
    </row>
    <row r="89" spans="1:66" ht="17.25" customHeight="1" thickTop="1" thickBot="1" x14ac:dyDescent="0.3">
      <c r="C89" s="99"/>
      <c r="D89" s="99"/>
      <c r="E89" s="99"/>
      <c r="F89" s="99"/>
      <c r="G89" s="99"/>
      <c r="H89" s="452" t="s">
        <v>55</v>
      </c>
      <c r="I89" s="452"/>
      <c r="J89" s="452"/>
      <c r="K89" s="452"/>
      <c r="L89" s="452"/>
      <c r="M89" s="452"/>
      <c r="N89" s="452"/>
      <c r="O89" s="333">
        <f>J21</f>
        <v>54.835000000000001</v>
      </c>
      <c r="P89" s="333"/>
      <c r="Q89" s="333"/>
      <c r="R89" s="333"/>
      <c r="S89" s="99" t="s">
        <v>71</v>
      </c>
      <c r="U89" s="346" t="str" cm="1">
        <f t="array" ref="U89">angleDecimal2Txt(O89)</f>
        <v>+54°50.10 (+54.8350) [+54°50'06.00]</v>
      </c>
      <c r="V89" s="346"/>
      <c r="W89" s="346"/>
      <c r="X89" s="346"/>
      <c r="Y89" s="346"/>
      <c r="Z89" s="346"/>
    </row>
    <row r="90" spans="1:66" ht="17.25" customHeight="1" thickTop="1" thickBot="1" x14ac:dyDescent="0.3">
      <c r="C90" s="99"/>
      <c r="D90" s="99"/>
      <c r="E90" s="99"/>
      <c r="F90" s="99"/>
      <c r="G90" s="99"/>
      <c r="H90" s="452" t="s">
        <v>26</v>
      </c>
      <c r="I90" s="452"/>
      <c r="J90" s="452"/>
      <c r="K90" s="452"/>
      <c r="L90" s="452"/>
      <c r="M90" s="452"/>
      <c r="N90" s="452"/>
      <c r="O90" s="333">
        <f>J20</f>
        <v>2.1666666666666667E-2</v>
      </c>
      <c r="P90" s="333"/>
      <c r="Q90" s="333"/>
      <c r="R90" s="333"/>
      <c r="S90" s="99" t="s">
        <v>71</v>
      </c>
      <c r="U90" s="346" t="str" cm="1">
        <f t="array" ref="U90">angleDecimal2Txt(O90)</f>
        <v>+00°01.30 (+00.0216) [+00°01'18.00]</v>
      </c>
      <c r="V90" s="346"/>
      <c r="W90" s="346"/>
      <c r="X90" s="346"/>
      <c r="Y90" s="346"/>
      <c r="Z90" s="346"/>
      <c r="AC90" s="6" t="s">
        <v>87</v>
      </c>
      <c r="AD90" s="8">
        <f>O90</f>
        <v>2.1666666666666667E-2</v>
      </c>
    </row>
    <row r="91" spans="1:66" ht="17.25" customHeight="1" thickTop="1" thickBot="1" x14ac:dyDescent="0.3">
      <c r="G91" s="99"/>
      <c r="H91" s="480" t="s">
        <v>96</v>
      </c>
      <c r="I91" s="480"/>
      <c r="J91" s="480"/>
      <c r="K91" s="480"/>
      <c r="L91" s="480"/>
      <c r="M91" s="480"/>
      <c r="N91" s="480"/>
      <c r="O91" s="342">
        <f>AD92</f>
        <v>4.1436457377531689E-2</v>
      </c>
      <c r="P91" s="342"/>
      <c r="Q91" s="342"/>
      <c r="R91" s="342"/>
      <c r="S91" s="99" t="s">
        <v>71</v>
      </c>
      <c r="U91" s="346" t="str" cm="1">
        <f t="array" ref="U91">angleDecimal2Txt(O91)</f>
        <v>+00°02.48 (+00.0414) [+00°02'29.17]</v>
      </c>
      <c r="V91" s="346"/>
      <c r="W91" s="346"/>
      <c r="X91" s="346"/>
      <c r="Y91" s="346"/>
      <c r="Z91" s="346"/>
      <c r="AC91" s="6" t="s">
        <v>54</v>
      </c>
      <c r="AD91" s="6">
        <f>J19</f>
        <v>2</v>
      </c>
    </row>
    <row r="92" spans="1:66" ht="17.25" customHeight="1" thickTop="1" thickBot="1" x14ac:dyDescent="0.3">
      <c r="K92" s="97"/>
      <c r="L92" s="97"/>
      <c r="M92" s="598" t="s">
        <v>178</v>
      </c>
      <c r="N92" s="598"/>
      <c r="O92" s="598"/>
      <c r="P92" s="598"/>
      <c r="Q92" s="97"/>
      <c r="R92" s="97"/>
      <c r="U92" s="97"/>
      <c r="V92" s="97"/>
      <c r="W92" s="97"/>
      <c r="X92" s="97"/>
      <c r="Y92" s="97"/>
      <c r="Z92" s="97"/>
      <c r="AC92" s="159" t="s">
        <v>95</v>
      </c>
      <c r="AD92" s="6">
        <f>0.0293 * SQRT(AD91)</f>
        <v>4.1436457377531689E-2</v>
      </c>
    </row>
    <row r="93" spans="1:66" ht="17.25" customHeight="1" thickTop="1" thickBot="1" x14ac:dyDescent="0.3">
      <c r="G93" s="99"/>
      <c r="H93" s="329" t="s">
        <v>56</v>
      </c>
      <c r="I93" s="329"/>
      <c r="J93" s="329"/>
      <c r="K93" s="329"/>
      <c r="L93" s="329"/>
      <c r="M93" s="329"/>
      <c r="N93" s="329"/>
      <c r="O93" s="492">
        <f>O89-O90-O91</f>
        <v>54.771896875955804</v>
      </c>
      <c r="P93" s="474"/>
      <c r="Q93" s="99" t="s">
        <v>71</v>
      </c>
      <c r="R93" s="498">
        <f>O93*Outils!F6</f>
        <v>0.95594993804822503</v>
      </c>
      <c r="S93" s="498"/>
      <c r="T93" s="120" t="s">
        <v>92</v>
      </c>
      <c r="U93" s="346" t="str" cm="1">
        <f t="array" ref="U93">angleDecimal2Txt(O93)</f>
        <v>+54°46.31 (+54.7718) [+54°46'18.82]</v>
      </c>
      <c r="V93" s="346"/>
      <c r="W93" s="346"/>
      <c r="X93" s="346"/>
      <c r="Y93" s="346"/>
      <c r="Z93" s="346"/>
    </row>
    <row r="94" spans="1:66" ht="17.25" customHeight="1" thickTop="1" x14ac:dyDescent="0.25">
      <c r="C94" s="99"/>
      <c r="D94" s="99"/>
      <c r="E94" s="99"/>
      <c r="F94" s="99"/>
      <c r="G94" s="99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U94" s="97"/>
      <c r="V94" s="97"/>
      <c r="W94" s="97"/>
      <c r="X94" s="97"/>
      <c r="Y94" s="97"/>
      <c r="Z94" s="97"/>
    </row>
    <row r="95" spans="1:66" ht="17.25" customHeight="1" x14ac:dyDescent="0.25">
      <c r="G95" s="99"/>
      <c r="H95" s="97"/>
      <c r="I95" s="97"/>
      <c r="J95" s="97"/>
      <c r="K95" s="97"/>
      <c r="L95" s="97"/>
      <c r="M95" s="494" t="s">
        <v>89</v>
      </c>
      <c r="N95" s="494"/>
      <c r="O95" s="494"/>
      <c r="P95" s="494"/>
      <c r="Q95" s="97"/>
      <c r="R95" s="97"/>
      <c r="U95" s="97"/>
      <c r="V95" s="97"/>
      <c r="W95" s="97"/>
      <c r="X95" s="97"/>
      <c r="Y95" s="97"/>
      <c r="Z95" s="97"/>
    </row>
    <row r="96" spans="1:66" ht="17.25" customHeight="1" thickBot="1" x14ac:dyDescent="0.3">
      <c r="C96" s="99"/>
      <c r="D96" s="99"/>
      <c r="E96" s="99"/>
      <c r="F96" s="99"/>
      <c r="G96" s="99"/>
      <c r="M96" s="495" t="s">
        <v>243</v>
      </c>
      <c r="N96" s="495"/>
      <c r="O96" s="494"/>
      <c r="P96" s="494"/>
    </row>
    <row r="97" spans="1:31" ht="17.25" customHeight="1" thickTop="1" thickBot="1" x14ac:dyDescent="0.3">
      <c r="A97" s="97"/>
      <c r="B97" s="97"/>
      <c r="C97" s="97"/>
      <c r="D97" s="97"/>
      <c r="E97" s="97"/>
      <c r="F97" s="99"/>
      <c r="G97" s="99"/>
      <c r="H97" s="342" t="s">
        <v>60</v>
      </c>
      <c r="I97" s="342"/>
      <c r="J97" s="342"/>
      <c r="K97" s="342"/>
      <c r="L97" s="342"/>
      <c r="M97" s="342"/>
      <c r="N97" s="342"/>
      <c r="O97" s="496">
        <f>J24</f>
        <v>2.8833333333333332E-3</v>
      </c>
      <c r="P97" s="497"/>
      <c r="Q97" s="497"/>
      <c r="R97" s="497"/>
      <c r="S97" s="99" t="s">
        <v>71</v>
      </c>
      <c r="U97" s="346" t="str" cm="1">
        <f t="array" ref="U97">angleDecimal2Txt(O97)</f>
        <v>+00°00.17 (+00.0028) [+00°00'10.37]</v>
      </c>
      <c r="V97" s="346"/>
      <c r="W97" s="346"/>
      <c r="X97" s="346"/>
      <c r="Y97" s="346"/>
      <c r="Z97" s="346"/>
      <c r="AC97" s="6" t="s">
        <v>350</v>
      </c>
      <c r="AD97" s="6">
        <f>O97*COS(R93)</f>
        <v>1.6632019605044874E-3</v>
      </c>
    </row>
    <row r="98" spans="1:31" ht="17.25" customHeight="1" thickTop="1" thickBot="1" x14ac:dyDescent="0.3">
      <c r="A98" s="97"/>
      <c r="B98" s="97"/>
      <c r="C98" s="97"/>
      <c r="D98" s="97"/>
      <c r="E98" s="97"/>
      <c r="F98" s="99"/>
      <c r="G98" s="99"/>
      <c r="H98" s="462" t="s">
        <v>244</v>
      </c>
      <c r="I98" s="463"/>
      <c r="J98" s="463"/>
      <c r="K98" s="463"/>
      <c r="L98" s="463"/>
      <c r="M98" s="463"/>
      <c r="N98" s="464"/>
      <c r="O98" s="334">
        <f>AD97</f>
        <v>1.6632019605044874E-3</v>
      </c>
      <c r="P98" s="334"/>
      <c r="Q98" s="334"/>
      <c r="R98" s="334"/>
      <c r="S98" s="99" t="s">
        <v>71</v>
      </c>
      <c r="U98" s="346" t="str" cm="1">
        <f t="array" ref="U98">angleDecimal2Txt(O98)</f>
        <v>+00°00.09 (+00.0016) [+00°00'05.98]</v>
      </c>
      <c r="V98" s="346"/>
      <c r="W98" s="346"/>
      <c r="X98" s="346"/>
      <c r="Y98" s="346"/>
      <c r="Z98" s="346"/>
    </row>
    <row r="99" spans="1:31" ht="17.25" customHeight="1" thickTop="1" x14ac:dyDescent="0.25">
      <c r="A99" s="97"/>
      <c r="B99" s="97"/>
      <c r="C99" s="97"/>
      <c r="D99" s="97"/>
      <c r="E99" s="97"/>
      <c r="F99" s="99"/>
      <c r="G99" s="99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</row>
    <row r="100" spans="1:31" ht="17.25" customHeight="1" x14ac:dyDescent="0.25">
      <c r="A100" s="97"/>
      <c r="B100" s="97"/>
      <c r="C100" s="97"/>
      <c r="D100" s="97"/>
      <c r="F100" s="99"/>
      <c r="G100" s="99"/>
      <c r="H100" s="97"/>
      <c r="I100" s="97"/>
      <c r="J100" s="97"/>
      <c r="K100" s="97"/>
      <c r="L100" s="97"/>
      <c r="M100" s="97"/>
      <c r="N100" s="97"/>
      <c r="O100" s="97"/>
      <c r="S100" s="505" t="s">
        <v>195</v>
      </c>
      <c r="T100" s="506"/>
      <c r="U100" s="507"/>
      <c r="Y100" s="97"/>
      <c r="Z100" s="97"/>
      <c r="AC100" s="6" t="s">
        <v>57</v>
      </c>
      <c r="AD100" s="6" t="s">
        <v>352</v>
      </c>
    </row>
    <row r="101" spans="1:31" ht="17.25" customHeight="1" x14ac:dyDescent="0.25">
      <c r="A101" s="97"/>
      <c r="B101" s="97"/>
      <c r="C101" s="97"/>
      <c r="D101" s="97"/>
      <c r="F101" s="99"/>
      <c r="G101" s="99"/>
      <c r="H101" s="342" t="s">
        <v>93</v>
      </c>
      <c r="I101" s="342"/>
      <c r="J101" s="342"/>
      <c r="K101" s="342"/>
      <c r="L101" s="342"/>
      <c r="M101" s="342"/>
      <c r="N101" s="342"/>
      <c r="O101" s="465">
        <f>S101</f>
        <v>10</v>
      </c>
      <c r="P101" s="466"/>
      <c r="Q101" s="466"/>
      <c r="R101" s="466"/>
      <c r="S101" s="595">
        <v>10</v>
      </c>
      <c r="T101" s="596"/>
      <c r="U101" s="597"/>
      <c r="Y101" s="97"/>
      <c r="Z101" s="97"/>
      <c r="AC101" s="6" t="s">
        <v>353</v>
      </c>
      <c r="AD101" s="6">
        <f>1/TAN((O93 + 7.31 / (O93 + 4.4)) * Outils!F6)</f>
        <v>0.70293080029944766</v>
      </c>
    </row>
    <row r="102" spans="1:31" ht="17.25" customHeight="1" thickBot="1" x14ac:dyDescent="0.3">
      <c r="A102" s="97"/>
      <c r="B102" s="97"/>
      <c r="C102" s="97"/>
      <c r="D102" s="97"/>
      <c r="E102" s="97"/>
      <c r="F102" s="99"/>
      <c r="G102" s="99"/>
      <c r="H102" s="342" t="s">
        <v>94</v>
      </c>
      <c r="I102" s="342"/>
      <c r="J102" s="342"/>
      <c r="K102" s="342"/>
      <c r="L102" s="342"/>
      <c r="M102" s="342"/>
      <c r="N102" s="342"/>
      <c r="O102" s="465">
        <f>S102</f>
        <v>1010</v>
      </c>
      <c r="P102" s="466"/>
      <c r="Q102" s="466"/>
      <c r="R102" s="466"/>
      <c r="S102" s="595">
        <v>1010</v>
      </c>
      <c r="T102" s="596"/>
      <c r="U102" s="597"/>
      <c r="Y102" s="97"/>
      <c r="Z102" s="97"/>
      <c r="AC102" s="6" t="s">
        <v>354</v>
      </c>
      <c r="AD102" s="6">
        <f>AD101/60</f>
        <v>1.1715513338324128E-2</v>
      </c>
    </row>
    <row r="103" spans="1:31" ht="17.25" customHeight="1" thickTop="1" thickBot="1" x14ac:dyDescent="0.3">
      <c r="A103" s="97"/>
      <c r="B103" s="97"/>
      <c r="C103" s="97"/>
      <c r="D103" s="97"/>
      <c r="E103" s="97"/>
      <c r="F103" s="99"/>
      <c r="G103" s="99"/>
      <c r="H103" s="462" t="s">
        <v>245</v>
      </c>
      <c r="I103" s="463"/>
      <c r="J103" s="463"/>
      <c r="K103" s="463"/>
      <c r="L103" s="463"/>
      <c r="M103" s="463"/>
      <c r="N103" s="464"/>
      <c r="O103" s="334">
        <f>AD104</f>
        <v>1.1707233823597398E-2</v>
      </c>
      <c r="P103" s="334"/>
      <c r="Q103" s="334"/>
      <c r="R103" s="334"/>
      <c r="S103" s="99" t="s">
        <v>71</v>
      </c>
      <c r="U103" s="346" t="str" cm="1">
        <f t="array" ref="U103">angleDecimal2Txt(O103)</f>
        <v>+00°00.70 (+00.0117) [+00°00'42.14]</v>
      </c>
      <c r="V103" s="346"/>
      <c r="W103" s="346"/>
      <c r="X103" s="346"/>
      <c r="Y103" s="346"/>
      <c r="Z103" s="346"/>
      <c r="AC103" s="6" t="s">
        <v>128</v>
      </c>
      <c r="AD103" s="6">
        <f xml:space="preserve"> 0.28 * O102 / (273 + O101)</f>
        <v>0.99929328621908131</v>
      </c>
    </row>
    <row r="104" spans="1:31" ht="17.25" customHeight="1" thickTop="1" x14ac:dyDescent="0.25">
      <c r="A104" s="97"/>
      <c r="B104" s="97"/>
      <c r="C104" s="97"/>
      <c r="D104" s="97"/>
      <c r="E104" s="97"/>
      <c r="F104" s="99"/>
      <c r="G104" s="99"/>
      <c r="H104" s="97"/>
      <c r="I104" s="97"/>
      <c r="J104" s="97"/>
      <c r="K104" s="97"/>
      <c r="L104" s="97"/>
      <c r="M104" s="97"/>
      <c r="N104" s="97"/>
      <c r="O104" s="97"/>
      <c r="Y104" s="97"/>
      <c r="Z104" s="97"/>
      <c r="AC104" s="6" t="s">
        <v>351</v>
      </c>
      <c r="AD104" s="6">
        <f>AD103*AD102</f>
        <v>1.1707233823597398E-2</v>
      </c>
    </row>
    <row r="105" spans="1:31" ht="17.25" customHeight="1" x14ac:dyDescent="0.25">
      <c r="A105" s="97"/>
      <c r="B105" s="97"/>
      <c r="C105" s="97"/>
      <c r="D105" s="97"/>
      <c r="E105" s="97"/>
      <c r="F105" s="99"/>
      <c r="G105" s="99"/>
      <c r="H105" s="342" t="s">
        <v>134</v>
      </c>
      <c r="I105" s="342"/>
      <c r="J105" s="342"/>
      <c r="K105" s="342"/>
      <c r="L105" s="342"/>
      <c r="M105" s="342"/>
      <c r="N105" s="342"/>
      <c r="O105" s="587">
        <f>J28</f>
        <v>0.53333333333333333</v>
      </c>
      <c r="P105" s="587"/>
      <c r="Q105" s="587"/>
      <c r="R105" s="587"/>
    </row>
    <row r="106" spans="1:31" ht="17.25" customHeight="1" thickBot="1" x14ac:dyDescent="0.3">
      <c r="B106" s="97"/>
      <c r="C106" s="97"/>
      <c r="D106" s="97"/>
      <c r="H106" s="342" t="s">
        <v>98</v>
      </c>
      <c r="I106" s="342"/>
      <c r="J106" s="342"/>
      <c r="K106" s="342"/>
      <c r="L106" s="342"/>
      <c r="M106" s="342"/>
      <c r="N106" s="342"/>
      <c r="O106" s="587" t="str">
        <f>J23</f>
        <v>BordInf</v>
      </c>
      <c r="P106" s="587"/>
      <c r="Q106" s="587"/>
      <c r="R106" s="587"/>
      <c r="AC106" s="6" t="s">
        <v>37</v>
      </c>
      <c r="AD106" s="319" t="str">
        <f>J22</f>
        <v>Soleil</v>
      </c>
      <c r="AE106" s="319"/>
    </row>
    <row r="107" spans="1:31" ht="17.25" customHeight="1" thickTop="1" thickBot="1" x14ac:dyDescent="0.3">
      <c r="H107" s="467" t="s">
        <v>99</v>
      </c>
      <c r="I107" s="468"/>
      <c r="J107" s="468"/>
      <c r="K107" s="468"/>
      <c r="L107" s="468"/>
      <c r="M107" s="468"/>
      <c r="N107" s="469"/>
      <c r="O107" s="470">
        <f>AD110</f>
        <v>0.26666666666666666</v>
      </c>
      <c r="P107" s="470"/>
      <c r="Q107" s="470"/>
      <c r="R107" s="470"/>
      <c r="S107" s="99" t="s">
        <v>71</v>
      </c>
      <c r="U107" s="346" t="str" cm="1">
        <f t="array" ref="U107">angleDecimal2Txt(O107)</f>
        <v>+00°16.00 (+00.2666) [+00°16'00.00]</v>
      </c>
      <c r="V107" s="346"/>
      <c r="W107" s="346"/>
      <c r="X107" s="346"/>
      <c r="Y107" s="346"/>
      <c r="Z107" s="346"/>
      <c r="AC107" s="6" t="s">
        <v>358</v>
      </c>
      <c r="AD107" s="319" t="str">
        <f>O106</f>
        <v>BordInf</v>
      </c>
      <c r="AE107" s="319"/>
    </row>
    <row r="108" spans="1:31" ht="17.25" customHeight="1" thickTop="1" x14ac:dyDescent="0.25"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C108" s="6" t="s">
        <v>359</v>
      </c>
      <c r="AD108" s="591">
        <f>HLOOKUP(AD107,AD27:AF28,2)</f>
        <v>0.5</v>
      </c>
      <c r="AE108" s="591"/>
    </row>
    <row r="109" spans="1:31" ht="17.25" customHeight="1" x14ac:dyDescent="0.25">
      <c r="G109" s="477" t="s">
        <v>170</v>
      </c>
      <c r="H109" s="478"/>
      <c r="I109" s="478"/>
      <c r="J109" s="478"/>
      <c r="K109" s="478"/>
      <c r="L109" s="478"/>
      <c r="M109" s="478"/>
      <c r="N109" s="478"/>
      <c r="O109" s="478"/>
      <c r="P109" s="478"/>
      <c r="Q109" s="478"/>
      <c r="R109" s="478"/>
      <c r="S109" s="479"/>
      <c r="T109" s="97"/>
      <c r="U109" s="97"/>
      <c r="V109" s="97"/>
      <c r="W109" s="97"/>
      <c r="X109" s="97"/>
      <c r="Y109" s="97"/>
      <c r="Z109" s="97"/>
      <c r="AC109" s="6" t="s">
        <v>134</v>
      </c>
      <c r="AD109" s="6" t="str">
        <f>HLOOKUP(AD106,AD23:AF25,3)</f>
        <v>32'</v>
      </c>
      <c r="AE109" s="6" cm="1">
        <f t="array" ref="AE109">angleConvert2Decimal(AD109)</f>
        <v>0.53333333333333333</v>
      </c>
    </row>
    <row r="110" spans="1:31" ht="17.25" customHeight="1" x14ac:dyDescent="0.25">
      <c r="G110" s="481" t="s">
        <v>183</v>
      </c>
      <c r="H110" s="483"/>
      <c r="I110" s="499" t="s">
        <v>175</v>
      </c>
      <c r="J110" s="500"/>
      <c r="K110" s="500"/>
      <c r="L110" s="500"/>
      <c r="M110" s="500"/>
      <c r="N110" s="501"/>
      <c r="O110" s="453">
        <f>(O98-O103-O91+O105/2) * 60</f>
        <v>12.911170645562525</v>
      </c>
      <c r="P110" s="454"/>
      <c r="Q110" s="454"/>
      <c r="R110" s="454"/>
      <c r="S110" s="457" t="s">
        <v>171</v>
      </c>
      <c r="T110" s="97"/>
      <c r="U110" s="97"/>
      <c r="V110" s="97"/>
      <c r="W110" s="97"/>
      <c r="X110" s="97"/>
      <c r="Y110" s="97"/>
      <c r="Z110" s="97"/>
      <c r="AC110" s="6" t="s">
        <v>359</v>
      </c>
      <c r="AD110" s="591">
        <f>AE109*AD108</f>
        <v>0.26666666666666666</v>
      </c>
      <c r="AE110" s="591"/>
    </row>
    <row r="111" spans="1:31" ht="17.25" customHeight="1" x14ac:dyDescent="0.25">
      <c r="G111" s="599"/>
      <c r="H111" s="600"/>
      <c r="I111" s="502" t="s">
        <v>179</v>
      </c>
      <c r="J111" s="503"/>
      <c r="K111" s="503"/>
      <c r="L111" s="503"/>
      <c r="M111" s="503"/>
      <c r="N111" s="504"/>
      <c r="O111" s="455"/>
      <c r="P111" s="456"/>
      <c r="Q111" s="456"/>
      <c r="R111" s="456"/>
      <c r="S111" s="458"/>
      <c r="T111" s="97"/>
      <c r="U111" s="97"/>
      <c r="V111" s="97"/>
      <c r="W111" s="97"/>
      <c r="X111" s="97"/>
      <c r="Y111" s="97"/>
      <c r="Z111" s="97"/>
    </row>
    <row r="112" spans="1:31" ht="17.25" customHeight="1" x14ac:dyDescent="0.25">
      <c r="H112" s="97"/>
      <c r="I112" s="499" t="s">
        <v>176</v>
      </c>
      <c r="J112" s="500"/>
      <c r="K112" s="500"/>
      <c r="L112" s="500"/>
      <c r="M112" s="500"/>
      <c r="N112" s="501"/>
      <c r="O112" s="454">
        <f>(O98-O103+O105/2)*60</f>
        <v>15.397358088214427</v>
      </c>
      <c r="P112" s="454"/>
      <c r="Q112" s="454"/>
      <c r="R112" s="454"/>
      <c r="S112" s="457" t="s">
        <v>171</v>
      </c>
      <c r="T112" s="97"/>
      <c r="U112" s="97"/>
      <c r="V112" s="97"/>
      <c r="W112" s="97"/>
      <c r="X112" s="97"/>
      <c r="Y112" s="97"/>
      <c r="Z112" s="97"/>
    </row>
    <row r="113" spans="2:28" ht="17.25" customHeight="1" x14ac:dyDescent="0.25">
      <c r="H113" s="97"/>
      <c r="I113" s="459" t="s">
        <v>177</v>
      </c>
      <c r="J113" s="460"/>
      <c r="K113" s="460"/>
      <c r="L113" s="460"/>
      <c r="M113" s="460"/>
      <c r="N113" s="461"/>
      <c r="O113" s="456"/>
      <c r="P113" s="456"/>
      <c r="Q113" s="456"/>
      <c r="R113" s="456"/>
      <c r="S113" s="458"/>
      <c r="T113" s="97"/>
      <c r="U113" s="97"/>
      <c r="V113" s="97"/>
      <c r="W113" s="97"/>
      <c r="X113" s="97"/>
      <c r="Y113" s="97"/>
      <c r="Z113" s="97"/>
    </row>
    <row r="114" spans="2:28" ht="17.25" customHeight="1" x14ac:dyDescent="0.25">
      <c r="H114" s="97"/>
      <c r="I114" s="434" t="s">
        <v>99</v>
      </c>
      <c r="J114" s="434"/>
      <c r="K114" s="434"/>
      <c r="L114" s="434"/>
      <c r="M114" s="434"/>
      <c r="N114" s="434"/>
      <c r="O114" s="435">
        <f>O107*60</f>
        <v>16</v>
      </c>
      <c r="P114" s="436"/>
      <c r="Q114" s="436"/>
      <c r="R114" s="436"/>
      <c r="S114" s="160" t="s">
        <v>171</v>
      </c>
      <c r="T114" s="97"/>
      <c r="U114" s="97"/>
      <c r="V114" s="97"/>
      <c r="W114" s="97"/>
      <c r="X114" s="97"/>
      <c r="Y114" s="97"/>
      <c r="Z114" s="97"/>
    </row>
    <row r="115" spans="2:28" ht="17.25" customHeight="1" thickBot="1" x14ac:dyDescent="0.3"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</row>
    <row r="116" spans="2:28" ht="17.25" customHeight="1" thickTop="1" thickBot="1" x14ac:dyDescent="0.3">
      <c r="H116" s="471" t="s">
        <v>246</v>
      </c>
      <c r="I116" s="472"/>
      <c r="J116" s="472"/>
      <c r="K116" s="472"/>
      <c r="L116" s="472"/>
      <c r="M116" s="472"/>
      <c r="N116" s="473"/>
      <c r="O116" s="474">
        <f>O93-O103+O98+O107</f>
        <v>55.028519510759374</v>
      </c>
      <c r="P116" s="334"/>
      <c r="Q116" s="334"/>
      <c r="R116" s="334"/>
      <c r="S116" s="99" t="s">
        <v>71</v>
      </c>
      <c r="U116" s="346" t="str" cm="1">
        <f t="array" ref="U116">angleDecimal2Txt(O116)</f>
        <v>+55°01.71 (+55.0285) [+55°01'42.67]</v>
      </c>
      <c r="V116" s="346"/>
      <c r="W116" s="346"/>
      <c r="X116" s="346"/>
      <c r="Y116" s="346"/>
      <c r="Z116" s="346"/>
    </row>
    <row r="117" spans="2:28" ht="17.25" customHeight="1" thickTop="1" x14ac:dyDescent="0.25"/>
    <row r="118" spans="2:28" ht="17.25" customHeight="1" x14ac:dyDescent="0.25">
      <c r="F118" s="475" t="s">
        <v>91</v>
      </c>
      <c r="G118" s="475"/>
      <c r="H118" s="475"/>
      <c r="I118" s="475"/>
      <c r="J118" s="334" t="str">
        <f>IF(G87=AD87,O126,"---")</f>
        <v>---</v>
      </c>
      <c r="K118" s="334"/>
      <c r="L118" s="334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</row>
    <row r="119" spans="2:28" ht="17.25" customHeight="1" x14ac:dyDescent="0.25">
      <c r="F119"/>
      <c r="G119"/>
      <c r="H119"/>
      <c r="I119"/>
      <c r="J119"/>
      <c r="K119"/>
      <c r="L119"/>
    </row>
    <row r="120" spans="2:28" ht="17.25" customHeight="1" x14ac:dyDescent="0.25">
      <c r="F120"/>
      <c r="G120"/>
      <c r="H120"/>
      <c r="I120"/>
      <c r="J120"/>
      <c r="K120"/>
      <c r="L120"/>
      <c r="T120" s="295" t="s">
        <v>112</v>
      </c>
      <c r="U120" s="352" t="s">
        <v>40</v>
      </c>
      <c r="V120" s="352"/>
    </row>
    <row r="121" spans="2:28" ht="17.25" customHeight="1" x14ac:dyDescent="0.25">
      <c r="T121" s="296" t="s">
        <v>108</v>
      </c>
      <c r="U121" s="352" t="s">
        <v>110</v>
      </c>
      <c r="V121" s="352"/>
    </row>
    <row r="122" spans="2:28" ht="17.25" customHeight="1" x14ac:dyDescent="0.25">
      <c r="H122" s="99" t="s">
        <v>100</v>
      </c>
      <c r="I122" s="123" t="s">
        <v>102</v>
      </c>
      <c r="J122" s="99" t="s">
        <v>88</v>
      </c>
      <c r="K122" s="354" t="s">
        <v>105</v>
      </c>
      <c r="L122" s="99" t="s">
        <v>87</v>
      </c>
      <c r="N122" s="354" t="s">
        <v>107</v>
      </c>
      <c r="O122" s="123" t="s">
        <v>531</v>
      </c>
      <c r="Q122" s="354" t="s">
        <v>107</v>
      </c>
      <c r="R122" s="99" t="s">
        <v>532</v>
      </c>
      <c r="T122" s="294" t="s">
        <v>109</v>
      </c>
      <c r="U122" s="353" t="s">
        <v>111</v>
      </c>
      <c r="V122" s="353"/>
      <c r="Z122"/>
      <c r="AA122"/>
    </row>
    <row r="123" spans="2:28" ht="17.25" customHeight="1" thickBot="1" x14ac:dyDescent="0.3">
      <c r="I123" s="123"/>
      <c r="J123" s="125">
        <f>O89</f>
        <v>54.835000000000001</v>
      </c>
      <c r="K123" s="354"/>
      <c r="L123" s="437">
        <f>O90</f>
        <v>2.1666666666666667E-2</v>
      </c>
      <c r="M123" s="438"/>
      <c r="N123" s="354"/>
      <c r="O123" s="441" t="s">
        <v>250</v>
      </c>
      <c r="P123" s="442"/>
      <c r="Q123" s="354"/>
      <c r="R123" s="297" t="s">
        <v>109</v>
      </c>
      <c r="V123"/>
      <c r="W123"/>
      <c r="X123"/>
      <c r="Y123"/>
      <c r="Z123"/>
      <c r="AA123"/>
    </row>
    <row r="124" spans="2:28" ht="17.25" customHeight="1" thickTop="1" thickBot="1" x14ac:dyDescent="0.3">
      <c r="I124" s="123"/>
      <c r="J124"/>
      <c r="K124" s="123" t="s">
        <v>530</v>
      </c>
      <c r="L124" s="439" cm="1">
        <f t="array" ref="L124">angleConvert2Decimal(L123)</f>
        <v>2.1666666666666699E-2</v>
      </c>
      <c r="M124" s="440"/>
      <c r="O124" s="589" cm="1">
        <f t="array" ref="O124">angleConvert2Decimal(O123)</f>
        <v>0.17166666666666669</v>
      </c>
      <c r="P124" s="590"/>
      <c r="Q124" s="41"/>
      <c r="R124" s="287" cm="1">
        <f t="array" ref="R124">angleConvert2Decimal(R123)</f>
        <v>-0.53333333333333333</v>
      </c>
      <c r="S124"/>
      <c r="T124" s="13" t="s">
        <v>139</v>
      </c>
      <c r="U124" s="13"/>
      <c r="V124" s="13">
        <f>R124+O124</f>
        <v>-0.36166666666666664</v>
      </c>
      <c r="W124" s="358" t="str" cm="1">
        <f t="array" ref="W124">angleDecimal2Txt(V124)</f>
        <v>-00°21.69 (-00.3616) [-00°21'42.00]</v>
      </c>
      <c r="X124" s="359"/>
      <c r="Y124" s="359"/>
      <c r="Z124" s="359"/>
      <c r="AA124" s="360"/>
    </row>
    <row r="125" spans="2:28" ht="17.25" customHeight="1" thickTop="1" thickBot="1" x14ac:dyDescent="0.3">
      <c r="I125" s="123"/>
      <c r="K125" s="123"/>
      <c r="N125" s="123"/>
      <c r="Q125" s="123"/>
      <c r="R125" s="128"/>
    </row>
    <row r="126" spans="2:28" ht="17.25" customHeight="1" thickTop="1" thickBot="1" x14ac:dyDescent="0.3">
      <c r="H126" s="471" t="s">
        <v>249</v>
      </c>
      <c r="I126" s="472"/>
      <c r="J126" s="472"/>
      <c r="K126" s="472"/>
      <c r="L126" s="472"/>
      <c r="M126" s="472"/>
      <c r="N126" s="473"/>
      <c r="O126" s="474">
        <f>J123-L124+O124+R124</f>
        <v>54.451666666666668</v>
      </c>
      <c r="P126" s="334"/>
      <c r="Q126" s="334"/>
      <c r="R126" s="334"/>
      <c r="S126" s="99" t="s">
        <v>71</v>
      </c>
      <c r="U126" s="346" t="str" cm="1">
        <f t="array" ref="U126">angleDecimal2Txt(O126)</f>
        <v>+54°27.10 (+54.4516) [+54°27'06.00]</v>
      </c>
      <c r="V126" s="346"/>
      <c r="W126" s="346"/>
      <c r="X126" s="346"/>
      <c r="Y126" s="346"/>
      <c r="Z126" s="346"/>
    </row>
    <row r="127" spans="2:28" ht="17.25" customHeight="1" thickTop="1" thickBot="1" x14ac:dyDescent="0.3">
      <c r="D127" s="129"/>
    </row>
    <row r="128" spans="2:28" ht="17.25" customHeight="1" thickBot="1" x14ac:dyDescent="0.3">
      <c r="B128" s="108" t="s">
        <v>52</v>
      </c>
      <c r="C128" s="109"/>
      <c r="D128" s="130"/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  <c r="X128" s="109"/>
      <c r="Y128" s="109"/>
      <c r="Z128" s="109"/>
      <c r="AA128" s="109"/>
      <c r="AB128" s="147"/>
    </row>
    <row r="129" spans="1:31" ht="17.25" customHeight="1" x14ac:dyDescent="0.25">
      <c r="C129" s="99"/>
      <c r="D129" s="99"/>
      <c r="E129" s="99"/>
      <c r="F129" s="99"/>
      <c r="G129" s="99"/>
      <c r="O129" s="476" t="s">
        <v>113</v>
      </c>
      <c r="P129" s="476"/>
      <c r="Q129" s="476"/>
      <c r="R129" s="476"/>
      <c r="S129" s="476"/>
      <c r="T129" s="476"/>
      <c r="U129" s="476"/>
      <c r="V129" s="476"/>
      <c r="W129" s="476"/>
      <c r="X129" s="476"/>
      <c r="Y129" s="476"/>
      <c r="Z129" s="476"/>
      <c r="AA129" s="476"/>
    </row>
    <row r="130" spans="1:31" ht="17.25" customHeight="1" x14ac:dyDescent="0.25">
      <c r="C130" s="97"/>
      <c r="D130" s="97"/>
      <c r="E130" s="443" t="s">
        <v>24</v>
      </c>
      <c r="F130" s="444"/>
      <c r="G130" s="444"/>
      <c r="H130" s="444"/>
      <c r="I130" s="345">
        <f>AD132</f>
        <v>55.253797607566625</v>
      </c>
      <c r="J130" s="345"/>
      <c r="K130" s="345"/>
      <c r="L130" s="345"/>
      <c r="M130" s="345"/>
      <c r="O130" s="333" t="s">
        <v>114</v>
      </c>
      <c r="P130" s="333"/>
      <c r="Q130" s="333">
        <f>F45</f>
        <v>23.140523148148148</v>
      </c>
      <c r="R130" s="333"/>
      <c r="S130" s="333"/>
      <c r="T130" s="432" t="s">
        <v>71</v>
      </c>
      <c r="U130" s="347">
        <f>Q130*Outils!$F$6</f>
        <v>0.40387831956914877</v>
      </c>
      <c r="V130" s="348"/>
      <c r="W130" s="430"/>
      <c r="X130" s="432" t="s">
        <v>92</v>
      </c>
      <c r="AC130" s="6" t="s">
        <v>360</v>
      </c>
      <c r="AD130" s="6">
        <f>SIN(U130)*SIN(U131)+COS(U130)*COS(U131)*COS(U132)</f>
        <v>0.82168471595352366</v>
      </c>
      <c r="AE130" s="6"/>
    </row>
    <row r="131" spans="1:31" ht="17.25" customHeight="1" thickBot="1" x14ac:dyDescent="0.3">
      <c r="C131" s="97"/>
      <c r="D131" s="97"/>
      <c r="E131" s="446"/>
      <c r="F131" s="447"/>
      <c r="G131" s="447"/>
      <c r="H131" s="447"/>
      <c r="I131" s="345"/>
      <c r="J131" s="345"/>
      <c r="K131" s="345"/>
      <c r="L131" s="345"/>
      <c r="M131" s="345"/>
      <c r="N131" s="131" t="s">
        <v>184</v>
      </c>
      <c r="O131" s="333" t="s">
        <v>115</v>
      </c>
      <c r="P131" s="333"/>
      <c r="Q131" s="333">
        <f>F36</f>
        <v>46</v>
      </c>
      <c r="R131" s="333"/>
      <c r="S131" s="333"/>
      <c r="T131" s="432"/>
      <c r="U131" s="347">
        <f>Q131*Outils!$F$6</f>
        <v>0.8028514559173916</v>
      </c>
      <c r="V131" s="348"/>
      <c r="W131" s="430"/>
      <c r="X131" s="432"/>
      <c r="AC131" s="6" t="s">
        <v>361</v>
      </c>
      <c r="AD131" s="6">
        <f>ASIN(AD130)</f>
        <v>0.96436069248260325</v>
      </c>
      <c r="AE131" s="6" t="s">
        <v>92</v>
      </c>
    </row>
    <row r="132" spans="1:31" ht="17.25" customHeight="1" thickTop="1" thickBot="1" x14ac:dyDescent="0.3">
      <c r="C132" s="97"/>
      <c r="D132" s="97"/>
      <c r="E132" s="449"/>
      <c r="F132" s="450"/>
      <c r="G132" s="450"/>
      <c r="H132" s="450"/>
      <c r="I132" s="346" t="str" cm="1">
        <f t="array" ref="I132">angleDecimal2Txt(I130)</f>
        <v>+55°15.22 (+55.2537) [+55°15'13.67]</v>
      </c>
      <c r="J132" s="346"/>
      <c r="K132" s="346"/>
      <c r="L132" s="346"/>
      <c r="M132" s="346"/>
      <c r="O132" s="333" t="s">
        <v>51</v>
      </c>
      <c r="P132" s="333"/>
      <c r="Q132" s="333">
        <f>F82</f>
        <v>327.5435949074074</v>
      </c>
      <c r="R132" s="333"/>
      <c r="S132" s="333"/>
      <c r="T132" s="432"/>
      <c r="U132" s="347">
        <f>Q132*Outils!$F$6</f>
        <v>5.7167141749527906</v>
      </c>
      <c r="V132" s="348"/>
      <c r="W132" s="430"/>
      <c r="X132" s="432"/>
      <c r="AC132" s="6"/>
      <c r="AD132" s="6">
        <f>AD131*Outils!F7</f>
        <v>55.253797607566625</v>
      </c>
      <c r="AE132" s="6" t="s">
        <v>71</v>
      </c>
    </row>
    <row r="133" spans="1:31" ht="17.25" customHeight="1" thickTop="1" x14ac:dyDescent="0.25">
      <c r="C133" s="97"/>
      <c r="D133" s="97"/>
      <c r="E133" s="99"/>
      <c r="F133" s="99"/>
      <c r="G133" s="99"/>
    </row>
    <row r="134" spans="1:31" ht="17.25" customHeight="1" x14ac:dyDescent="0.25">
      <c r="C134" s="97"/>
      <c r="D134" s="97"/>
      <c r="E134" s="443" t="s">
        <v>31</v>
      </c>
      <c r="F134" s="444"/>
      <c r="G134" s="444"/>
      <c r="H134" s="444"/>
      <c r="I134" s="345">
        <f>F86</f>
        <v>55.028519510759374</v>
      </c>
      <c r="J134" s="345"/>
      <c r="K134" s="345"/>
      <c r="L134" s="345"/>
      <c r="M134" s="345"/>
    </row>
    <row r="135" spans="1:31" ht="17.25" customHeight="1" thickBot="1" x14ac:dyDescent="0.3">
      <c r="C135" s="97"/>
      <c r="D135" s="97"/>
      <c r="E135" s="446"/>
      <c r="F135" s="447"/>
      <c r="G135" s="447"/>
      <c r="H135" s="447"/>
      <c r="I135" s="345"/>
      <c r="J135" s="345"/>
      <c r="K135" s="345"/>
      <c r="L135" s="345"/>
      <c r="M135" s="345"/>
      <c r="O135" s="427" t="s">
        <v>33</v>
      </c>
      <c r="P135" s="428"/>
      <c r="Q135" s="428"/>
      <c r="R135" s="428"/>
      <c r="S135" s="431"/>
      <c r="T135" s="132">
        <f>I134-I130</f>
        <v>-0.22527809680725142</v>
      </c>
      <c r="U135" s="133" t="s">
        <v>34</v>
      </c>
      <c r="V135" s="134">
        <f>T135*60</f>
        <v>-13.516685808435085</v>
      </c>
      <c r="W135" s="133" t="s">
        <v>149</v>
      </c>
      <c r="X135" s="97"/>
      <c r="Y135" s="433" t="str">
        <f>IF(T135&gt;0,"Vers Pg", "Oppose de Pg")</f>
        <v>Oppose de Pg</v>
      </c>
      <c r="Z135" s="433"/>
    </row>
    <row r="136" spans="1:31" ht="17.25" customHeight="1" thickTop="1" thickBot="1" x14ac:dyDescent="0.3">
      <c r="C136" s="97"/>
      <c r="D136" s="97"/>
      <c r="E136" s="449"/>
      <c r="F136" s="450"/>
      <c r="G136" s="450"/>
      <c r="H136" s="450"/>
      <c r="I136" s="346" t="str" cm="1">
        <f t="array" ref="I136">angleDecimal2Txt(I134)</f>
        <v>+55°01.71 (+55.0285) [+55°01'42.67]</v>
      </c>
      <c r="J136" s="346"/>
      <c r="K136" s="346"/>
      <c r="L136" s="346"/>
      <c r="M136" s="346"/>
    </row>
    <row r="137" spans="1:31" ht="17.25" customHeight="1" thickTop="1" x14ac:dyDescent="0.25">
      <c r="C137" s="97"/>
      <c r="D137" s="97"/>
      <c r="E137" s="99"/>
      <c r="F137" s="99"/>
      <c r="G137" s="99"/>
      <c r="T137" s="97"/>
      <c r="U137" s="97"/>
      <c r="V137" s="97"/>
      <c r="W137" s="97"/>
      <c r="X137" s="97"/>
      <c r="Y137" s="97"/>
    </row>
    <row r="138" spans="1:31" ht="17.25" customHeight="1" x14ac:dyDescent="0.25">
      <c r="C138" s="99"/>
      <c r="D138" s="99"/>
      <c r="E138" s="99"/>
      <c r="F138" s="99"/>
      <c r="T138" s="97"/>
      <c r="U138" s="97"/>
      <c r="V138" s="97"/>
      <c r="W138" s="97"/>
      <c r="X138" s="97"/>
      <c r="Y138" s="97"/>
    </row>
    <row r="139" spans="1:31" ht="17.25" customHeight="1" x14ac:dyDescent="0.25">
      <c r="E139" s="99"/>
      <c r="F139" s="99"/>
      <c r="G139" s="99"/>
      <c r="T139" s="97"/>
      <c r="U139" s="97"/>
      <c r="V139" s="97"/>
      <c r="W139" s="97"/>
      <c r="X139" s="97"/>
      <c r="Y139" s="97"/>
    </row>
    <row r="140" spans="1:31" ht="17.25" customHeight="1" x14ac:dyDescent="0.25">
      <c r="E140" s="99"/>
    </row>
    <row r="141" spans="1:31" ht="17.25" customHeight="1" x14ac:dyDescent="0.25">
      <c r="E141" s="99"/>
      <c r="F141" s="99"/>
      <c r="G141" s="99"/>
      <c r="O141" s="564" t="s">
        <v>116</v>
      </c>
      <c r="P141" s="565"/>
      <c r="Q141" s="565"/>
      <c r="R141" s="565"/>
      <c r="S141" s="565"/>
      <c r="T141" s="565"/>
      <c r="U141" s="565"/>
      <c r="V141" s="565"/>
      <c r="W141" s="565"/>
      <c r="X141" s="565"/>
      <c r="Y141" s="565"/>
      <c r="Z141" s="565"/>
      <c r="AA141" s="565"/>
      <c r="AC141" s="6" t="s">
        <v>117</v>
      </c>
      <c r="AD141" s="6">
        <f>(SIN(U142)-SIN(U143)*SIN(AD131))/(COS(U143)*COS(AD131))</f>
        <v>-0.50031660973292214</v>
      </c>
      <c r="AE141" s="6"/>
    </row>
    <row r="142" spans="1:31" ht="17.25" customHeight="1" x14ac:dyDescent="0.25">
      <c r="A142" s="97"/>
      <c r="B142" s="97"/>
      <c r="C142" s="97"/>
      <c r="D142" s="97"/>
      <c r="E142" s="443" t="s">
        <v>124</v>
      </c>
      <c r="F142" s="444"/>
      <c r="G142" s="444"/>
      <c r="H142" s="445"/>
      <c r="I142" s="338">
        <f>AD143</f>
        <v>120.02094894289971</v>
      </c>
      <c r="J142" s="338"/>
      <c r="K142" s="338"/>
      <c r="L142" s="338"/>
      <c r="M142" s="339"/>
      <c r="O142" s="333" t="s">
        <v>114</v>
      </c>
      <c r="P142" s="333"/>
      <c r="Q142" s="333">
        <f>F45</f>
        <v>23.140523148148148</v>
      </c>
      <c r="R142" s="333"/>
      <c r="S142" s="333"/>
      <c r="T142" s="432" t="s">
        <v>71</v>
      </c>
      <c r="U142" s="333">
        <f>Q142*Outils!$F$6</f>
        <v>0.40387831956914877</v>
      </c>
      <c r="V142" s="333"/>
      <c r="W142" s="333"/>
      <c r="X142" s="432" t="s">
        <v>92</v>
      </c>
      <c r="AC142" s="6" t="s">
        <v>362</v>
      </c>
      <c r="AD142" s="6">
        <f>ACOS(AD141)</f>
        <v>2.0947607304216076</v>
      </c>
      <c r="AE142" s="6" t="s">
        <v>92</v>
      </c>
    </row>
    <row r="143" spans="1:31" ht="17.25" customHeight="1" thickBot="1" x14ac:dyDescent="0.3">
      <c r="C143" s="97"/>
      <c r="D143" s="97"/>
      <c r="E143" s="446"/>
      <c r="F143" s="447"/>
      <c r="G143" s="447"/>
      <c r="H143" s="448"/>
      <c r="I143" s="340"/>
      <c r="J143" s="340"/>
      <c r="K143" s="340"/>
      <c r="L143" s="340"/>
      <c r="M143" s="341"/>
      <c r="N143" s="131" t="s">
        <v>184</v>
      </c>
      <c r="O143" s="333" t="s">
        <v>115</v>
      </c>
      <c r="P143" s="333"/>
      <c r="Q143" s="333">
        <f>F36</f>
        <v>46</v>
      </c>
      <c r="R143" s="333"/>
      <c r="S143" s="333"/>
      <c r="T143" s="432"/>
      <c r="U143" s="333">
        <f>Q143*Outils!$F$6</f>
        <v>0.8028514559173916</v>
      </c>
      <c r="V143" s="333"/>
      <c r="W143" s="333"/>
      <c r="X143" s="432"/>
      <c r="AC143" s="6"/>
      <c r="AD143" s="6">
        <f>AD142*Outils!$F$7</f>
        <v>120.02094894289971</v>
      </c>
      <c r="AE143" s="6" t="s">
        <v>71</v>
      </c>
    </row>
    <row r="144" spans="1:31" ht="17.25" customHeight="1" thickTop="1" thickBot="1" x14ac:dyDescent="0.3">
      <c r="C144" s="97"/>
      <c r="D144" s="97"/>
      <c r="E144" s="449"/>
      <c r="F144" s="450"/>
      <c r="G144" s="450"/>
      <c r="H144" s="451"/>
      <c r="I144" s="343" t="str" cm="1">
        <f t="array" ref="I144">angleDecimal2Txt(I142)</f>
        <v>+120°01.25 (+120.0209) [+120°01'15.41]</v>
      </c>
      <c r="J144" s="344"/>
      <c r="K144" s="344"/>
      <c r="L144" s="344"/>
      <c r="M144" s="344"/>
      <c r="O144" s="333" t="s">
        <v>51</v>
      </c>
      <c r="P144" s="333"/>
      <c r="Q144" s="333">
        <f>F82</f>
        <v>327.5435949074074</v>
      </c>
      <c r="R144" s="333"/>
      <c r="S144" s="333"/>
      <c r="T144" s="432"/>
      <c r="U144" s="333">
        <f>Q144*Outils!$F$6</f>
        <v>5.7167141749527906</v>
      </c>
      <c r="V144" s="333"/>
      <c r="W144" s="333"/>
      <c r="X144" s="432"/>
    </row>
    <row r="145" spans="2:30" ht="17.25" customHeight="1" thickTop="1" x14ac:dyDescent="0.25">
      <c r="C145" s="97"/>
      <c r="D145" s="97"/>
      <c r="E145" s="99"/>
      <c r="F145" s="99"/>
      <c r="G145" s="99"/>
    </row>
    <row r="146" spans="2:30" ht="17.25" customHeight="1" x14ac:dyDescent="0.25">
      <c r="C146" s="99"/>
      <c r="D146" s="99"/>
      <c r="F146" s="99"/>
      <c r="G146" s="99"/>
      <c r="I146" s="335" t="s">
        <v>247</v>
      </c>
      <c r="J146" s="336"/>
      <c r="K146" s="336"/>
      <c r="L146" s="336"/>
      <c r="M146" s="336"/>
      <c r="N146" s="337"/>
      <c r="O146" s="335" t="s">
        <v>248</v>
      </c>
      <c r="P146" s="336"/>
      <c r="Q146" s="336"/>
      <c r="R146" s="336"/>
      <c r="S146" s="336"/>
      <c r="T146" s="337"/>
    </row>
    <row r="147" spans="2:30" ht="17.25" customHeight="1" x14ac:dyDescent="0.25">
      <c r="F147" s="99"/>
      <c r="G147" s="99"/>
      <c r="I147" s="593"/>
      <c r="J147" s="392" t="s">
        <v>185</v>
      </c>
      <c r="K147" s="393"/>
      <c r="L147" s="394"/>
      <c r="M147" s="398" t="s">
        <v>186</v>
      </c>
      <c r="N147" s="399"/>
      <c r="O147" s="593"/>
      <c r="P147" s="392" t="s">
        <v>185</v>
      </c>
      <c r="Q147" s="393"/>
      <c r="R147" s="394"/>
      <c r="S147" s="398" t="s">
        <v>187</v>
      </c>
      <c r="T147" s="399"/>
    </row>
    <row r="148" spans="2:30" ht="17.25" customHeight="1" x14ac:dyDescent="0.25">
      <c r="F148" s="99"/>
      <c r="G148" s="99"/>
      <c r="I148" s="594"/>
      <c r="J148" s="395" t="s">
        <v>118</v>
      </c>
      <c r="K148" s="396"/>
      <c r="L148" s="397"/>
      <c r="M148" s="400" t="s">
        <v>119</v>
      </c>
      <c r="N148" s="401"/>
      <c r="O148" s="594"/>
      <c r="P148" s="395" t="s">
        <v>118</v>
      </c>
      <c r="Q148" s="396"/>
      <c r="R148" s="397"/>
      <c r="S148" s="400" t="s">
        <v>120</v>
      </c>
      <c r="T148" s="401"/>
    </row>
    <row r="149" spans="2:30" ht="17.25" customHeight="1" x14ac:dyDescent="0.25">
      <c r="F149" s="97"/>
      <c r="G149" s="97"/>
      <c r="H149" s="97"/>
      <c r="I149" s="97"/>
      <c r="J149" s="97"/>
      <c r="K149" s="97"/>
      <c r="Q149" s="97"/>
      <c r="R149" s="97"/>
      <c r="S149" s="97"/>
      <c r="T149" s="402"/>
      <c r="U149" s="402"/>
      <c r="V149" s="402"/>
      <c r="W149" s="97"/>
      <c r="X149" s="402"/>
      <c r="Y149" s="402"/>
      <c r="Z149" s="402"/>
    </row>
    <row r="150" spans="2:30" ht="17.25" customHeight="1" x14ac:dyDescent="0.25">
      <c r="F150" s="97"/>
      <c r="N150" s="429"/>
      <c r="O150" s="429"/>
      <c r="Q150" s="402"/>
      <c r="R150" s="402"/>
      <c r="S150" s="402"/>
      <c r="T150" s="402"/>
      <c r="U150" s="402"/>
      <c r="V150" s="402"/>
      <c r="W150" s="97"/>
      <c r="X150" s="402"/>
      <c r="Y150" s="402"/>
      <c r="Z150" s="402"/>
    </row>
    <row r="151" spans="2:30" ht="17.25" customHeight="1" x14ac:dyDescent="0.25">
      <c r="I151" s="333" t="s">
        <v>115</v>
      </c>
      <c r="J151" s="333"/>
      <c r="K151" s="142">
        <f>F36</f>
        <v>46</v>
      </c>
      <c r="L151" s="334" t="str">
        <f>CONCATENATE("Sens: ",IF(Q143&gt;0,"Nord","Sud"))</f>
        <v>Sens: Nord</v>
      </c>
      <c r="M151" s="334"/>
    </row>
    <row r="152" spans="2:30" ht="17.25" customHeight="1" thickBot="1" x14ac:dyDescent="0.3">
      <c r="I152" s="333" t="s">
        <v>51</v>
      </c>
      <c r="J152" s="333"/>
      <c r="K152" s="142">
        <f>Q144</f>
        <v>327.5435949074074</v>
      </c>
      <c r="L152" s="334" t="str">
        <f>CONCATENATE("Is &gt; 180? ", IF(Q144&gt;180,"Y", "N"))</f>
        <v>Is &gt; 180? Y</v>
      </c>
      <c r="M152" s="334"/>
      <c r="O152" s="427" t="s">
        <v>125</v>
      </c>
      <c r="P152" s="428"/>
      <c r="Q152" s="428"/>
      <c r="R152" s="428"/>
      <c r="S152" s="428"/>
      <c r="T152" s="324">
        <f>ABS(IF(Q131&gt;0,IF(Q132&gt;180,I142,360-I142),IF(Q132&gt;180,180-I142,180+I142)))</f>
        <v>120.02094894289971</v>
      </c>
      <c r="U152" s="325"/>
      <c r="V152" s="133" t="s">
        <v>34</v>
      </c>
      <c r="W152" s="97"/>
    </row>
    <row r="153" spans="2:30" ht="17.25" customHeight="1" thickTop="1" thickBot="1" x14ac:dyDescent="0.3">
      <c r="I153" s="347" t="s">
        <v>188</v>
      </c>
      <c r="J153" s="348"/>
      <c r="K153" s="349"/>
      <c r="L153" s="334" t="str">
        <f>IF(K151&gt;0,IF(K152&gt;180,M147,M148),IF(K152&gt;180,S147,S148))</f>
        <v>Zn = Z</v>
      </c>
      <c r="M153" s="334"/>
      <c r="T153" s="346" t="str" cm="1">
        <f t="array" ref="T153">angleDecimal2Txt(T152)</f>
        <v>+120°01.25 (+120.0209) [+120°01'15.41]</v>
      </c>
      <c r="U153" s="346"/>
      <c r="V153" s="346"/>
      <c r="W153" s="346"/>
      <c r="X153" s="346"/>
      <c r="Y153" s="346"/>
    </row>
    <row r="154" spans="2:30" ht="17.25" customHeight="1" thickTop="1" x14ac:dyDescent="0.25"/>
    <row r="155" spans="2:30" ht="17.25" customHeight="1" thickBot="1" x14ac:dyDescent="0.3"/>
    <row r="156" spans="2:30" ht="17.25" customHeight="1" thickBot="1" x14ac:dyDescent="0.3">
      <c r="B156" s="108" t="s">
        <v>533</v>
      </c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  <c r="X156" s="109"/>
      <c r="Y156" s="109"/>
      <c r="Z156" s="109"/>
      <c r="AA156" s="185"/>
      <c r="AB156" s="147"/>
    </row>
    <row r="158" spans="2:30" ht="17.25" customHeight="1" thickBot="1" x14ac:dyDescent="0.3">
      <c r="C158" s="322" t="s">
        <v>534</v>
      </c>
      <c r="D158" s="322"/>
      <c r="E158" s="322"/>
      <c r="F158" s="322"/>
      <c r="G158" s="298"/>
      <c r="H158" s="322" t="s">
        <v>535</v>
      </c>
      <c r="I158" s="322"/>
      <c r="J158" s="322"/>
      <c r="L158" s="323" t="s">
        <v>512</v>
      </c>
      <c r="M158" s="323"/>
      <c r="N158" s="323"/>
      <c r="Q158" s="321" t="s">
        <v>536</v>
      </c>
      <c r="R158" s="321"/>
      <c r="S158" s="321"/>
      <c r="T158" s="321"/>
      <c r="U158" s="234"/>
      <c r="AC158" t="s">
        <v>475</v>
      </c>
      <c r="AD158" s="277">
        <f>I159/60</f>
        <v>-0.22527809680725142</v>
      </c>
    </row>
    <row r="159" spans="2:30" ht="17.25" customHeight="1" thickTop="1" thickBot="1" x14ac:dyDescent="0.3">
      <c r="D159" s="302" t="s">
        <v>49</v>
      </c>
      <c r="E159" s="326">
        <f>F36</f>
        <v>46</v>
      </c>
      <c r="F159" s="326"/>
      <c r="I159" s="326">
        <f>V135</f>
        <v>-13.516685808435085</v>
      </c>
      <c r="J159" s="326"/>
      <c r="K159" s="99" t="s">
        <v>149</v>
      </c>
      <c r="M159" s="326">
        <f>T152</f>
        <v>120.02094894289971</v>
      </c>
      <c r="N159" s="326"/>
      <c r="R159" s="300" t="s">
        <v>49</v>
      </c>
      <c r="S159" s="319">
        <f>AD161</f>
        <v>46.11271037364169</v>
      </c>
      <c r="T159" s="319"/>
      <c r="U159" s="320" t="str" cm="1">
        <f t="array" ref="U159">latitudeDecimal2Txt(S159)</f>
        <v>N 46°06.76 (N 46.1127) [N 46°06'45.75]</v>
      </c>
      <c r="V159" s="320"/>
      <c r="W159" s="320"/>
      <c r="X159" s="320"/>
      <c r="Y159" s="320"/>
      <c r="Z159" s="320"/>
      <c r="AC159" t="s">
        <v>502</v>
      </c>
      <c r="AD159" s="277">
        <f>M159</f>
        <v>120.02094894289971</v>
      </c>
    </row>
    <row r="160" spans="2:30" ht="17.25" customHeight="1" thickTop="1" thickBot="1" x14ac:dyDescent="0.3">
      <c r="D160" s="302" t="s">
        <v>50</v>
      </c>
      <c r="E160" s="326">
        <f>F41</f>
        <v>-6.666666666666667</v>
      </c>
      <c r="F160" s="326"/>
      <c r="R160" s="300" t="s">
        <v>50</v>
      </c>
      <c r="S160" s="319">
        <f>AD163</f>
        <v>-6.9477463065887752</v>
      </c>
      <c r="T160" s="319"/>
      <c r="U160" s="320" t="str" cm="1">
        <f t="array" ref="U160">longitudeDecimal2Txt(S160)</f>
        <v>W 06°56.86 (W 06.9477) [W 06°56'51.88]</v>
      </c>
      <c r="V160" s="320"/>
      <c r="W160" s="320"/>
      <c r="X160" s="320"/>
      <c r="Y160" s="320"/>
      <c r="Z160" s="320"/>
      <c r="AC160" s="99"/>
      <c r="AD160" s="99"/>
    </row>
    <row r="161" spans="2:33" ht="17.25" customHeight="1" thickTop="1" x14ac:dyDescent="0.25">
      <c r="D161" s="99"/>
      <c r="AC161" t="s">
        <v>538</v>
      </c>
      <c r="AD161">
        <f>E159+AD158*COS(AD159*Outils!$F$6)</f>
        <v>46.11271037364169</v>
      </c>
    </row>
    <row r="162" spans="2:33" ht="17.25" customHeight="1" x14ac:dyDescent="0.25">
      <c r="C162"/>
      <c r="D162"/>
      <c r="E162"/>
      <c r="Q162" s="321" t="s">
        <v>537</v>
      </c>
      <c r="R162" s="321"/>
      <c r="S162" s="321"/>
      <c r="AC162" t="s">
        <v>539</v>
      </c>
      <c r="AD162">
        <f>(E159+AD161)/2</f>
        <v>46.056355186820845</v>
      </c>
    </row>
    <row r="163" spans="2:33" ht="17.25" customHeight="1" x14ac:dyDescent="0.25">
      <c r="R163" s="319">
        <f>M159-90</f>
        <v>30.020948942899707</v>
      </c>
      <c r="S163" s="319"/>
      <c r="T163" s="133" t="s">
        <v>34</v>
      </c>
      <c r="AC163" t="s">
        <v>540</v>
      </c>
      <c r="AD163">
        <f>E160+(AD158*SIN(M159*Outils!$F$6)/COS(AD162*Outils!$F$6))</f>
        <v>-6.9477463065887752</v>
      </c>
    </row>
    <row r="164" spans="2:33" customFormat="1" ht="17.25" customHeight="1" x14ac:dyDescent="0.25"/>
    <row r="165" spans="2:33" customFormat="1" ht="17.25" customHeight="1" thickBot="1" x14ac:dyDescent="0.3"/>
    <row r="166" spans="2:33" customFormat="1" ht="17.25" customHeight="1" thickBot="1" x14ac:dyDescent="0.3">
      <c r="B166" s="304" t="s">
        <v>541</v>
      </c>
      <c r="C166" s="305"/>
      <c r="D166" s="305"/>
      <c r="E166" s="305"/>
      <c r="F166" s="305"/>
      <c r="G166" s="305"/>
      <c r="H166" s="305"/>
      <c r="I166" s="305"/>
      <c r="J166" s="305"/>
      <c r="K166" s="305"/>
      <c r="L166" s="305"/>
      <c r="M166" s="305"/>
      <c r="N166" s="305"/>
      <c r="O166" s="305"/>
      <c r="P166" s="305"/>
      <c r="Q166" s="305"/>
      <c r="R166" s="305"/>
      <c r="S166" s="305"/>
      <c r="T166" s="305"/>
      <c r="U166" s="305"/>
      <c r="V166" s="305"/>
      <c r="W166" s="305"/>
      <c r="X166" s="305"/>
      <c r="Y166" s="305"/>
      <c r="Z166" s="305"/>
      <c r="AA166" s="306"/>
    </row>
    <row r="167" spans="2:33" customFormat="1" ht="17.25" customHeight="1" x14ac:dyDescent="0.25">
      <c r="AC167" t="s">
        <v>488</v>
      </c>
      <c r="AD167" s="277">
        <f>E169-S159</f>
        <v>-0.1127103736416899</v>
      </c>
      <c r="AF167" t="s">
        <v>550</v>
      </c>
      <c r="AG167" t="b">
        <f>IF(ABS(R163-90)&lt;1,TRUE, FALSE)</f>
        <v>0</v>
      </c>
    </row>
    <row r="168" spans="2:33" customFormat="1" ht="17.25" customHeight="1" thickBot="1" x14ac:dyDescent="0.3">
      <c r="C168" s="327" t="s">
        <v>536</v>
      </c>
      <c r="D168" s="327"/>
      <c r="E168" s="327"/>
      <c r="F168" s="327"/>
      <c r="G168" s="234"/>
      <c r="H168" s="99"/>
      <c r="I168" s="99"/>
      <c r="J168" s="99"/>
      <c r="K168" s="99"/>
      <c r="L168" s="99"/>
      <c r="Q168" s="299" t="s">
        <v>542</v>
      </c>
      <c r="R168" s="299"/>
      <c r="S168" s="299"/>
      <c r="T168" s="299"/>
      <c r="U168" s="299"/>
      <c r="V168" s="299"/>
      <c r="W168" s="299"/>
      <c r="AC168" t="s">
        <v>544</v>
      </c>
      <c r="AD168" s="277">
        <f>E170-S160</f>
        <v>-5.2253693411224766E-2</v>
      </c>
    </row>
    <row r="169" spans="2:33" customFormat="1" ht="17.25" customHeight="1" thickTop="1" thickBot="1" x14ac:dyDescent="0.3">
      <c r="C169" s="303"/>
      <c r="D169" s="301" t="s">
        <v>49</v>
      </c>
      <c r="E169" s="328">
        <v>46</v>
      </c>
      <c r="F169" s="328"/>
      <c r="G169" s="320" t="str" cm="1">
        <f t="array" ref="G169">latitudeDecimal2Txt(E169)</f>
        <v>N 46°00.00 (N 46.0000) [N 46°00'00.00]</v>
      </c>
      <c r="H169" s="320"/>
      <c r="I169" s="320"/>
      <c r="J169" s="320"/>
      <c r="K169" s="320"/>
      <c r="L169" s="320"/>
      <c r="R169" s="300" t="s">
        <v>49</v>
      </c>
      <c r="S169" s="319">
        <f>AD173</f>
        <v>46.005573701281804</v>
      </c>
      <c r="T169" s="319"/>
      <c r="U169" s="320" t="str" cm="1">
        <f t="array" ref="U169">latitudeDecimal2Txt(S169)</f>
        <v>N 46°00.33 (N 46.0055) [N 46°00'20.06]</v>
      </c>
      <c r="V169" s="320"/>
      <c r="W169" s="320"/>
      <c r="X169" s="320"/>
      <c r="Y169" s="320"/>
      <c r="Z169" s="320"/>
      <c r="AC169" t="s">
        <v>543</v>
      </c>
      <c r="AD169">
        <f>TAN(R163*Outils!$F$6)</f>
        <v>0.5778378761808497</v>
      </c>
      <c r="AF169" t="s">
        <v>551</v>
      </c>
      <c r="AG169">
        <f>(AD169*AD167-AD168)/(AD170-AD171*AD169)</f>
        <v>-1.1147402563607075E-2</v>
      </c>
    </row>
    <row r="170" spans="2:33" customFormat="1" ht="17.25" customHeight="1" thickTop="1" thickBot="1" x14ac:dyDescent="0.3">
      <c r="C170" s="303"/>
      <c r="D170" s="301" t="s">
        <v>50</v>
      </c>
      <c r="E170" s="328">
        <v>-7</v>
      </c>
      <c r="F170" s="328"/>
      <c r="G170" s="320" t="str" cm="1">
        <f t="array" ref="G170">longitudeDecimal2Txt(E170)</f>
        <v>W 07°00.00 (W 07.0000) [W 07°00'00.00]</v>
      </c>
      <c r="H170" s="320"/>
      <c r="I170" s="320"/>
      <c r="J170" s="320"/>
      <c r="K170" s="320"/>
      <c r="L170" s="320"/>
      <c r="R170" s="300" t="s">
        <v>50</v>
      </c>
      <c r="S170" s="319">
        <f>AD174</f>
        <v>-7.0096539338062955</v>
      </c>
      <c r="T170" s="319"/>
      <c r="U170" s="320" t="str" cm="1">
        <f t="array" ref="U170">longitudeDecimal2Txt(S170)</f>
        <v>W 07°00.57 (W 07.0096) [W 07°00'34.75]</v>
      </c>
      <c r="V170" s="320"/>
      <c r="W170" s="320"/>
      <c r="X170" s="320"/>
      <c r="Y170" s="320"/>
      <c r="Z170" s="320"/>
      <c r="AC170" t="s">
        <v>545</v>
      </c>
      <c r="AD170">
        <f>SIN(D173*Outils!$F$6)</f>
        <v>0.86602540378443871</v>
      </c>
      <c r="AF170" t="s">
        <v>552</v>
      </c>
      <c r="AG170">
        <f>-AD167/AD171</f>
        <v>-0.22542074728337991</v>
      </c>
    </row>
    <row r="171" spans="2:33" customFormat="1" ht="17.25" customHeight="1" thickTop="1" x14ac:dyDescent="0.25">
      <c r="C171" s="99"/>
      <c r="D171" s="99"/>
      <c r="E171" s="99"/>
      <c r="F171" s="99"/>
      <c r="G171" s="99"/>
      <c r="H171" s="99"/>
      <c r="I171" s="99"/>
      <c r="J171" s="99"/>
      <c r="K171" s="99"/>
      <c r="L171" s="99"/>
      <c r="AC171" t="s">
        <v>546</v>
      </c>
      <c r="AD171">
        <f>COS(D173*Outils!$F$6)</f>
        <v>-0.49999999999999978</v>
      </c>
      <c r="AF171" t="s">
        <v>547</v>
      </c>
      <c r="AG171">
        <f>IF(AG167,AG170,AG169)</f>
        <v>-1.1147402563607075E-2</v>
      </c>
    </row>
    <row r="172" spans="2:33" customFormat="1" ht="17.25" customHeight="1" x14ac:dyDescent="0.25">
      <c r="C172" s="327" t="s">
        <v>537</v>
      </c>
      <c r="D172" s="327"/>
      <c r="E172" s="327"/>
      <c r="F172" s="303"/>
      <c r="G172" s="99"/>
      <c r="H172" s="99"/>
      <c r="I172" s="99"/>
      <c r="J172" s="99"/>
      <c r="K172" s="99"/>
      <c r="L172" s="99"/>
    </row>
    <row r="173" spans="2:33" customFormat="1" ht="17.25" customHeight="1" x14ac:dyDescent="0.25">
      <c r="C173" s="303"/>
      <c r="D173" s="328">
        <v>120</v>
      </c>
      <c r="E173" s="328"/>
      <c r="F173" s="307" t="s">
        <v>34</v>
      </c>
      <c r="G173" s="99"/>
      <c r="H173" s="99"/>
      <c r="I173" s="99"/>
      <c r="J173" s="99"/>
      <c r="K173" s="99"/>
      <c r="L173" s="99"/>
      <c r="AC173" t="s">
        <v>548</v>
      </c>
      <c r="AD173">
        <f>E169+AG171*AD171</f>
        <v>46.005573701281804</v>
      </c>
    </row>
    <row r="174" spans="2:33" customFormat="1" ht="15" x14ac:dyDescent="0.25">
      <c r="AC174" t="s">
        <v>549</v>
      </c>
      <c r="AD174">
        <f>E170+AG171*AD170</f>
        <v>-7.0096539338062955</v>
      </c>
    </row>
    <row r="175" spans="2:33" customFormat="1" ht="15" x14ac:dyDescent="0.25">
      <c r="S175" s="99"/>
      <c r="T175" s="99"/>
    </row>
    <row r="176" spans="2:33" customFormat="1" ht="15" x14ac:dyDescent="0.25"/>
    <row r="177" spans="11:30" customFormat="1" ht="17.25" customHeight="1" x14ac:dyDescent="0.25">
      <c r="P177" s="99"/>
      <c r="Q177" s="99"/>
    </row>
    <row r="178" spans="11:30" customFormat="1" ht="17.25" customHeight="1" x14ac:dyDescent="0.25"/>
    <row r="179" spans="11:30" customFormat="1" ht="15" x14ac:dyDescent="0.25">
      <c r="K179" s="99"/>
      <c r="L179" s="99"/>
    </row>
    <row r="180" spans="11:30" customFormat="1" ht="15" x14ac:dyDescent="0.25">
      <c r="K180" s="99"/>
      <c r="L180" s="99"/>
    </row>
    <row r="181" spans="11:30" customFormat="1" ht="15" x14ac:dyDescent="0.25">
      <c r="K181" s="99"/>
      <c r="L181" s="99"/>
    </row>
    <row r="182" spans="11:30" customFormat="1" ht="15" x14ac:dyDescent="0.25">
      <c r="K182" s="99"/>
      <c r="L182" s="99"/>
    </row>
    <row r="183" spans="11:30" customFormat="1" ht="15" x14ac:dyDescent="0.25">
      <c r="K183" s="99"/>
      <c r="L183" s="99"/>
    </row>
    <row r="184" spans="11:30" customFormat="1" ht="15" x14ac:dyDescent="0.25">
      <c r="K184" s="99"/>
      <c r="L184" s="99"/>
    </row>
    <row r="185" spans="11:30" customFormat="1" ht="15" x14ac:dyDescent="0.25">
      <c r="K185" s="99"/>
      <c r="L185" s="99"/>
    </row>
    <row r="186" spans="11:30" s="16" customFormat="1" ht="15" x14ac:dyDescent="0.25">
      <c r="AA186" s="31"/>
      <c r="AB186"/>
      <c r="AC186"/>
      <c r="AD186"/>
    </row>
  </sheetData>
  <sheetProtection selectLockedCells="1"/>
  <protectedRanges>
    <protectedRange sqref="I11:Y11" name="Heure visee" securityDescriptor="O:WDG:WDD:(A;;CC;;;WD)"/>
  </protectedRanges>
  <dataConsolidate link="1"/>
  <mergeCells count="326">
    <mergeCell ref="P27:X27"/>
    <mergeCell ref="C20:I20"/>
    <mergeCell ref="C23:I23"/>
    <mergeCell ref="C22:I22"/>
    <mergeCell ref="J22:L22"/>
    <mergeCell ref="A36:C36"/>
    <mergeCell ref="C21:I21"/>
    <mergeCell ref="C24:D24"/>
    <mergeCell ref="C46:F46"/>
    <mergeCell ref="F86:H86"/>
    <mergeCell ref="I83:L83"/>
    <mergeCell ref="I48:L49"/>
    <mergeCell ref="M52:O53"/>
    <mergeCell ref="P52:P53"/>
    <mergeCell ref="Q52:T53"/>
    <mergeCell ref="AC64:AC65"/>
    <mergeCell ref="AC46:AC47"/>
    <mergeCell ref="AC87:AC88"/>
    <mergeCell ref="C83:H83"/>
    <mergeCell ref="I58:L59"/>
    <mergeCell ref="M58:O59"/>
    <mergeCell ref="I56:L57"/>
    <mergeCell ref="M56:O57"/>
    <mergeCell ref="Q76:T77"/>
    <mergeCell ref="V58:Y59"/>
    <mergeCell ref="Q58:T59"/>
    <mergeCell ref="P56:T57"/>
    <mergeCell ref="H89:N89"/>
    <mergeCell ref="O101:R101"/>
    <mergeCell ref="G110:H111"/>
    <mergeCell ref="E12:H12"/>
    <mergeCell ref="U68:Y69"/>
    <mergeCell ref="U70:Y71"/>
    <mergeCell ref="C19:I19"/>
    <mergeCell ref="F72:K72"/>
    <mergeCell ref="F68:H71"/>
    <mergeCell ref="F60:K60"/>
    <mergeCell ref="J21:L21"/>
    <mergeCell ref="D25:I27"/>
    <mergeCell ref="P18:X18"/>
    <mergeCell ref="P17:X17"/>
    <mergeCell ref="P60:T60"/>
    <mergeCell ref="F58:H59"/>
    <mergeCell ref="J18:L18"/>
    <mergeCell ref="I68:L71"/>
    <mergeCell ref="M66:O67"/>
    <mergeCell ref="U56:Y57"/>
    <mergeCell ref="P50:P51"/>
    <mergeCell ref="Q50:T51"/>
    <mergeCell ref="I50:L53"/>
    <mergeCell ref="M50:O51"/>
    <mergeCell ref="O106:R106"/>
    <mergeCell ref="M86:N86"/>
    <mergeCell ref="O124:P124"/>
    <mergeCell ref="AD106:AE106"/>
    <mergeCell ref="AD107:AE107"/>
    <mergeCell ref="AD108:AE108"/>
    <mergeCell ref="AD110:AE110"/>
    <mergeCell ref="D86:E86"/>
    <mergeCell ref="I147:I148"/>
    <mergeCell ref="O147:O148"/>
    <mergeCell ref="S101:U101"/>
    <mergeCell ref="S102:U102"/>
    <mergeCell ref="U89:Z89"/>
    <mergeCell ref="H101:N101"/>
    <mergeCell ref="O89:R89"/>
    <mergeCell ref="O112:R113"/>
    <mergeCell ref="U116:Z116"/>
    <mergeCell ref="U107:Z107"/>
    <mergeCell ref="U90:Z90"/>
    <mergeCell ref="M92:P92"/>
    <mergeCell ref="U93:Z93"/>
    <mergeCell ref="U97:Z97"/>
    <mergeCell ref="O90:R90"/>
    <mergeCell ref="H102:N102"/>
    <mergeCell ref="U60:Y60"/>
    <mergeCell ref="U78:Y78"/>
    <mergeCell ref="P78:T78"/>
    <mergeCell ref="J88:L88"/>
    <mergeCell ref="S86:U86"/>
    <mergeCell ref="V86:Z86"/>
    <mergeCell ref="I66:L67"/>
    <mergeCell ref="M70:O71"/>
    <mergeCell ref="M68:O69"/>
    <mergeCell ref="G64:I64"/>
    <mergeCell ref="P66:T67"/>
    <mergeCell ref="P68:P69"/>
    <mergeCell ref="Q68:T69"/>
    <mergeCell ref="P70:P71"/>
    <mergeCell ref="Q70:T71"/>
    <mergeCell ref="J82:L82"/>
    <mergeCell ref="G87:I87"/>
    <mergeCell ref="I84:N84"/>
    <mergeCell ref="F88:I88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J20:L20"/>
    <mergeCell ref="J19:L19"/>
    <mergeCell ref="F50:H53"/>
    <mergeCell ref="P20:X20"/>
    <mergeCell ref="C17:I17"/>
    <mergeCell ref="J17:L17"/>
    <mergeCell ref="M17:O17"/>
    <mergeCell ref="V9:Y10"/>
    <mergeCell ref="U52:Y53"/>
    <mergeCell ref="M23:O23"/>
    <mergeCell ref="J23:L23"/>
    <mergeCell ref="O36:X37"/>
    <mergeCell ref="O41:X42"/>
    <mergeCell ref="F36:H37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I11:K11"/>
    <mergeCell ref="I9:K10"/>
    <mergeCell ref="L9:P10"/>
    <mergeCell ref="M20:O20"/>
    <mergeCell ref="M19:O19"/>
    <mergeCell ref="E34:H35"/>
    <mergeCell ref="Q9:U10"/>
    <mergeCell ref="C18:I18"/>
    <mergeCell ref="G109:S109"/>
    <mergeCell ref="S110:S111"/>
    <mergeCell ref="U103:Z103"/>
    <mergeCell ref="H91:N91"/>
    <mergeCell ref="F66:H67"/>
    <mergeCell ref="U126:Z126"/>
    <mergeCell ref="W124:AA124"/>
    <mergeCell ref="I76:L77"/>
    <mergeCell ref="M76:O77"/>
    <mergeCell ref="F82:H82"/>
    <mergeCell ref="F76:H77"/>
    <mergeCell ref="N83:Q83"/>
    <mergeCell ref="O93:P93"/>
    <mergeCell ref="M82:O82"/>
    <mergeCell ref="M95:P95"/>
    <mergeCell ref="M96:P96"/>
    <mergeCell ref="O97:R97"/>
    <mergeCell ref="C87:F87"/>
    <mergeCell ref="R93:S93"/>
    <mergeCell ref="I110:N110"/>
    <mergeCell ref="I112:N112"/>
    <mergeCell ref="I111:N111"/>
    <mergeCell ref="S100:U100"/>
    <mergeCell ref="O105:R105"/>
    <mergeCell ref="H90:N90"/>
    <mergeCell ref="U91:Z91"/>
    <mergeCell ref="O110:R111"/>
    <mergeCell ref="S112:S113"/>
    <mergeCell ref="I113:N113"/>
    <mergeCell ref="E130:H132"/>
    <mergeCell ref="E134:H136"/>
    <mergeCell ref="Q130:S130"/>
    <mergeCell ref="Q131:S131"/>
    <mergeCell ref="H98:N98"/>
    <mergeCell ref="O98:R98"/>
    <mergeCell ref="O102:R102"/>
    <mergeCell ref="H103:N103"/>
    <mergeCell ref="O103:R103"/>
    <mergeCell ref="H107:N107"/>
    <mergeCell ref="O107:R107"/>
    <mergeCell ref="H116:N116"/>
    <mergeCell ref="O116:R116"/>
    <mergeCell ref="H126:N126"/>
    <mergeCell ref="O126:R126"/>
    <mergeCell ref="F118:I118"/>
    <mergeCell ref="H105:N105"/>
    <mergeCell ref="J118:L118"/>
    <mergeCell ref="H106:N106"/>
    <mergeCell ref="I114:N114"/>
    <mergeCell ref="O114:R114"/>
    <mergeCell ref="L123:M123"/>
    <mergeCell ref="L124:M124"/>
    <mergeCell ref="O123:P123"/>
    <mergeCell ref="E142:H144"/>
    <mergeCell ref="X142:X144"/>
    <mergeCell ref="O143:P143"/>
    <mergeCell ref="Q143:S143"/>
    <mergeCell ref="U143:W143"/>
    <mergeCell ref="O144:P144"/>
    <mergeCell ref="Q144:S144"/>
    <mergeCell ref="U144:W144"/>
    <mergeCell ref="O142:P142"/>
    <mergeCell ref="Q142:S142"/>
    <mergeCell ref="T142:T144"/>
    <mergeCell ref="U142:W142"/>
    <mergeCell ref="O129:AA129"/>
    <mergeCell ref="O141:AA141"/>
    <mergeCell ref="T149:V149"/>
    <mergeCell ref="T150:V150"/>
    <mergeCell ref="T153:Y153"/>
    <mergeCell ref="X150:Z150"/>
    <mergeCell ref="I151:J151"/>
    <mergeCell ref="I152:J152"/>
    <mergeCell ref="N150:O150"/>
    <mergeCell ref="U130:W130"/>
    <mergeCell ref="U131:W131"/>
    <mergeCell ref="U132:W132"/>
    <mergeCell ref="O130:P130"/>
    <mergeCell ref="O131:P131"/>
    <mergeCell ref="O132:P132"/>
    <mergeCell ref="O135:S135"/>
    <mergeCell ref="X130:X132"/>
    <mergeCell ref="T130:T132"/>
    <mergeCell ref="I132:M132"/>
    <mergeCell ref="Y135:Z135"/>
    <mergeCell ref="X149:Z149"/>
    <mergeCell ref="J147:L147"/>
    <mergeCell ref="J148:L148"/>
    <mergeCell ref="M147:N147"/>
    <mergeCell ref="M148:N148"/>
    <mergeCell ref="P147:R147"/>
    <mergeCell ref="P148:R148"/>
    <mergeCell ref="S147:T147"/>
    <mergeCell ref="S148:T148"/>
    <mergeCell ref="Q150:S150"/>
    <mergeCell ref="G1:Y2"/>
    <mergeCell ref="C8:D8"/>
    <mergeCell ref="C9:D11"/>
    <mergeCell ref="G3:I4"/>
    <mergeCell ref="J3:L4"/>
    <mergeCell ref="C1:F4"/>
    <mergeCell ref="L63:M63"/>
    <mergeCell ref="C64:F64"/>
    <mergeCell ref="F63:H63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U120:V120"/>
    <mergeCell ref="U121:V121"/>
    <mergeCell ref="U122:V122"/>
    <mergeCell ref="K122:K123"/>
    <mergeCell ref="N122:N123"/>
    <mergeCell ref="Q122:Q123"/>
    <mergeCell ref="E11:H11"/>
    <mergeCell ref="P16:X16"/>
    <mergeCell ref="M16:O16"/>
    <mergeCell ref="J16:L16"/>
    <mergeCell ref="C16:I16"/>
    <mergeCell ref="C15:I15"/>
    <mergeCell ref="J15:O15"/>
    <mergeCell ref="F78:K78"/>
    <mergeCell ref="V76:Y77"/>
    <mergeCell ref="U76:U77"/>
    <mergeCell ref="P76:P77"/>
    <mergeCell ref="P74:T75"/>
    <mergeCell ref="U74:Y75"/>
    <mergeCell ref="I74:L75"/>
    <mergeCell ref="F74:H75"/>
    <mergeCell ref="M74:O75"/>
    <mergeCell ref="U98:Z98"/>
    <mergeCell ref="H93:N93"/>
    <mergeCell ref="E170:F170"/>
    <mergeCell ref="G170:L170"/>
    <mergeCell ref="C172:E172"/>
    <mergeCell ref="D173:E173"/>
    <mergeCell ref="N3:P4"/>
    <mergeCell ref="Q3:S4"/>
    <mergeCell ref="I8:K8"/>
    <mergeCell ref="L8:O8"/>
    <mergeCell ref="Q132:S132"/>
    <mergeCell ref="L151:M151"/>
    <mergeCell ref="L152:M152"/>
    <mergeCell ref="O146:T146"/>
    <mergeCell ref="I146:N146"/>
    <mergeCell ref="I142:M143"/>
    <mergeCell ref="O91:R91"/>
    <mergeCell ref="H97:N97"/>
    <mergeCell ref="I144:M144"/>
    <mergeCell ref="I134:M135"/>
    <mergeCell ref="I136:M136"/>
    <mergeCell ref="I130:M131"/>
    <mergeCell ref="C158:F158"/>
    <mergeCell ref="L153:M153"/>
    <mergeCell ref="I153:K153"/>
    <mergeCell ref="T152:U152"/>
    <mergeCell ref="E159:F159"/>
    <mergeCell ref="E160:F160"/>
    <mergeCell ref="I159:J159"/>
    <mergeCell ref="M159:N159"/>
    <mergeCell ref="S169:T169"/>
    <mergeCell ref="U169:Z169"/>
    <mergeCell ref="C168:F168"/>
    <mergeCell ref="E169:F169"/>
    <mergeCell ref="G169:L169"/>
    <mergeCell ref="O152:S152"/>
    <mergeCell ref="S170:T170"/>
    <mergeCell ref="U170:Z170"/>
    <mergeCell ref="S159:T159"/>
    <mergeCell ref="S160:T160"/>
    <mergeCell ref="R163:S163"/>
    <mergeCell ref="Q158:T158"/>
    <mergeCell ref="Q162:S162"/>
    <mergeCell ref="H158:J158"/>
    <mergeCell ref="L158:N158"/>
    <mergeCell ref="U159:Z159"/>
    <mergeCell ref="U160:Z160"/>
  </mergeCells>
  <dataValidations count="8">
    <dataValidation type="list" allowBlank="1" showInputMessage="1" showErrorMessage="1" sqref="J15:O15" xr:uid="{C28BEB3C-0CDF-4F82-ABE9-EB8847BB1716}">
      <formula1>$AC$15:$AD$15</formula1>
    </dataValidation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4:I64" xr:uid="{50D1CF2E-A52D-457F-A9A8-4919FA8F17C2}">
      <formula1>$AD$64:$AD$65</formula1>
    </dataValidation>
    <dataValidation type="list" allowBlank="1" showInputMessage="1" showErrorMessage="1" sqref="G87:I87" xr:uid="{00000000-0002-0000-0000-000005000000}">
      <formula1>$AD$87:$AD$88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1 P58:P59 U58:U59 P50:P53 P81" xr:uid="{00000000-0002-0000-0000-000002000000}">
      <formula1>$A$38:$A$39</formula1>
    </dataValidation>
    <dataValidation type="list" allowBlank="1" showInputMessage="1" showErrorMessage="1" sqref="M43 I43 I41 R43 P76 P70 P68 U76" xr:uid="{00000000-0002-0000-0000-000003000000}">
      <formula1>$B$38:$B$39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dimension ref="A1:BN61"/>
  <sheetViews>
    <sheetView tabSelected="1" topLeftCell="A33" workbookViewId="0">
      <selection activeCell="B63" sqref="B63"/>
    </sheetView>
  </sheetViews>
  <sheetFormatPr baseColWidth="10" defaultColWidth="6" defaultRowHeight="15" x14ac:dyDescent="0.25"/>
  <cols>
    <col min="1" max="22" width="6" style="1155"/>
    <col min="23" max="23" width="7.140625" style="1155" bestFit="1" customWidth="1"/>
    <col min="24" max="27" width="6" style="1155"/>
    <col min="28" max="28" width="1.28515625" style="1155" customWidth="1"/>
    <col min="29" max="30" width="16.140625" style="1155" customWidth="1"/>
    <col min="31" max="16384" width="6" style="1155"/>
  </cols>
  <sheetData>
    <row r="1" spans="1:66" ht="15.75" thickBot="1" x14ac:dyDescent="0.3"/>
    <row r="2" spans="1:66" s="1156" customFormat="1" ht="17.25" customHeight="1" thickBot="1" x14ac:dyDescent="0.3">
      <c r="B2" s="1157" t="s">
        <v>389</v>
      </c>
      <c r="C2" s="1158"/>
      <c r="D2" s="1158"/>
      <c r="E2" s="1158"/>
      <c r="F2" s="1158"/>
      <c r="G2" s="1158"/>
      <c r="H2" s="1158"/>
      <c r="I2" s="1158"/>
      <c r="J2" s="1158"/>
      <c r="K2" s="1158"/>
      <c r="L2" s="1158"/>
      <c r="M2" s="1158"/>
      <c r="N2" s="1158"/>
      <c r="O2" s="1158"/>
      <c r="P2" s="1158"/>
      <c r="Q2" s="1158"/>
      <c r="R2" s="1158"/>
      <c r="S2" s="1158"/>
      <c r="T2" s="1158"/>
      <c r="U2" s="1158"/>
      <c r="V2" s="1158"/>
      <c r="W2" s="1158"/>
      <c r="X2" s="1158"/>
      <c r="Y2" s="1158"/>
      <c r="Z2" s="1158"/>
      <c r="AA2" s="1158"/>
      <c r="AB2" s="147"/>
      <c r="AC2" s="1155"/>
      <c r="AD2" s="1155"/>
      <c r="AE2" s="1155"/>
      <c r="AF2" s="1155"/>
      <c r="AG2" s="1155"/>
      <c r="AH2" s="1155"/>
      <c r="AI2" s="1155"/>
      <c r="AJ2" s="1155"/>
      <c r="AK2" s="1155"/>
      <c r="AL2" s="1155"/>
      <c r="AM2" s="1155"/>
      <c r="AN2" s="1155"/>
      <c r="AO2" s="1155"/>
      <c r="AP2" s="1155"/>
      <c r="AQ2" s="1155"/>
      <c r="AR2" s="1155"/>
      <c r="AS2" s="1155"/>
      <c r="AT2" s="1155"/>
      <c r="AU2" s="1155"/>
      <c r="AV2" s="1155"/>
      <c r="AW2" s="1155"/>
      <c r="AX2" s="1155"/>
      <c r="AY2" s="1155"/>
      <c r="AZ2" s="1155"/>
      <c r="BA2" s="1155"/>
      <c r="BB2" s="1155"/>
      <c r="BC2" s="1155"/>
      <c r="BD2" s="1155"/>
      <c r="BE2" s="1155"/>
      <c r="BF2" s="1155"/>
      <c r="BG2" s="1155"/>
      <c r="BH2" s="1155"/>
      <c r="BI2" s="1155"/>
      <c r="BJ2" s="1155"/>
      <c r="BK2" s="1155"/>
      <c r="BL2" s="1155"/>
      <c r="BM2" s="1155"/>
      <c r="BN2" s="1159"/>
    </row>
    <row r="3" spans="1:66" s="1156" customFormat="1" ht="12" customHeight="1" x14ac:dyDescent="0.25">
      <c r="C3" s="1160"/>
      <c r="D3" s="1160"/>
      <c r="E3" s="524" t="s">
        <v>7</v>
      </c>
      <c r="F3" s="524"/>
      <c r="G3" s="524"/>
      <c r="H3" s="524"/>
      <c r="I3" s="1160"/>
      <c r="J3" s="1160"/>
      <c r="K3" s="1160"/>
      <c r="L3" s="1160"/>
      <c r="M3" s="1160"/>
      <c r="N3" s="1160"/>
      <c r="O3" s="1160"/>
      <c r="P3" s="1160"/>
      <c r="Q3" s="1160"/>
      <c r="R3" s="1160"/>
      <c r="S3" s="1160"/>
      <c r="T3" s="1160"/>
      <c r="U3" s="1160"/>
      <c r="V3" s="1160"/>
      <c r="AB3" s="146"/>
      <c r="AC3" s="1155"/>
      <c r="AD3" s="1155"/>
      <c r="AE3" s="1155"/>
      <c r="AF3" s="1155"/>
      <c r="AG3" s="1155"/>
      <c r="AH3" s="1155"/>
      <c r="AI3" s="1155"/>
      <c r="AJ3" s="1155"/>
      <c r="AK3" s="1155"/>
      <c r="AL3" s="1155"/>
      <c r="AM3" s="1155"/>
      <c r="AN3" s="1155"/>
      <c r="AO3" s="1155"/>
      <c r="AP3" s="1155"/>
      <c r="AQ3" s="1155"/>
      <c r="AR3" s="1155"/>
      <c r="AS3" s="1155"/>
      <c r="AT3" s="1155"/>
      <c r="AU3" s="1155"/>
      <c r="AV3" s="1155"/>
      <c r="AW3" s="1155"/>
      <c r="AX3" s="1155"/>
      <c r="AY3" s="1155"/>
      <c r="AZ3" s="1155"/>
      <c r="BA3" s="1155"/>
      <c r="BB3" s="1155"/>
      <c r="BC3" s="1155"/>
      <c r="BD3" s="1155"/>
      <c r="BE3" s="1155"/>
      <c r="BF3" s="1155"/>
      <c r="BG3" s="1155"/>
      <c r="BH3" s="1155"/>
      <c r="BI3" s="1155"/>
      <c r="BJ3" s="1155"/>
      <c r="BK3" s="1155"/>
      <c r="BL3" s="1155"/>
      <c r="BM3" s="1155"/>
      <c r="BN3" s="1159"/>
    </row>
    <row r="4" spans="1:66" s="1156" customFormat="1" ht="12" customHeight="1" thickBot="1" x14ac:dyDescent="0.3">
      <c r="C4" s="1160"/>
      <c r="D4" s="1160"/>
      <c r="E4" s="524"/>
      <c r="F4" s="524"/>
      <c r="G4" s="524"/>
      <c r="H4" s="524"/>
      <c r="I4" s="1160"/>
      <c r="J4" s="1160" t="s">
        <v>233</v>
      </c>
      <c r="K4" s="1160"/>
      <c r="L4" s="1160" t="s">
        <v>234</v>
      </c>
      <c r="M4" s="1160"/>
      <c r="N4" s="1160"/>
      <c r="O4" s="1160"/>
      <c r="P4" s="1160"/>
      <c r="Q4" s="1160"/>
      <c r="R4" s="1160"/>
      <c r="S4" s="1160"/>
      <c r="T4" s="1160"/>
      <c r="U4" s="1160"/>
      <c r="V4" s="1160"/>
      <c r="AB4" s="146"/>
      <c r="AC4" s="1155"/>
      <c r="AD4" s="1155"/>
      <c r="AE4" s="1155"/>
      <c r="AF4" s="1155"/>
      <c r="AG4" s="1155"/>
      <c r="AH4" s="1155"/>
      <c r="AI4" s="1155"/>
      <c r="AJ4" s="1155"/>
      <c r="AK4" s="1155"/>
      <c r="AL4" s="1155"/>
      <c r="AM4" s="1155"/>
      <c r="AN4" s="1155"/>
      <c r="AO4" s="1155"/>
      <c r="AP4" s="1155"/>
      <c r="AQ4" s="1155"/>
      <c r="AR4" s="1155"/>
      <c r="AS4" s="1155"/>
      <c r="AT4" s="1155"/>
      <c r="AU4" s="1155"/>
      <c r="AV4" s="1155"/>
      <c r="AW4" s="1155"/>
      <c r="AX4" s="1155"/>
      <c r="AY4" s="1155"/>
      <c r="AZ4" s="1155"/>
      <c r="BA4" s="1155"/>
      <c r="BB4" s="1155"/>
      <c r="BC4" s="1155"/>
      <c r="BD4" s="1155"/>
      <c r="BE4" s="1155"/>
      <c r="BF4" s="1155"/>
      <c r="BG4" s="1155"/>
      <c r="BH4" s="1155"/>
      <c r="BI4" s="1155"/>
      <c r="BJ4" s="1155"/>
      <c r="BK4" s="1155"/>
      <c r="BL4" s="1155"/>
      <c r="BM4" s="1155"/>
      <c r="BN4" s="1159"/>
    </row>
    <row r="5" spans="1:66" s="1156" customFormat="1" ht="12" customHeight="1" thickTop="1" thickBot="1" x14ac:dyDescent="0.3">
      <c r="A5" s="626" t="s">
        <v>41</v>
      </c>
      <c r="B5" s="627"/>
      <c r="C5" s="628"/>
      <c r="D5" s="1160"/>
      <c r="E5" s="1160"/>
      <c r="F5" s="491">
        <f>AD6</f>
        <v>46.113500000000002</v>
      </c>
      <c r="G5" s="516"/>
      <c r="H5" s="516"/>
      <c r="I5" s="423" t="s">
        <v>3</v>
      </c>
      <c r="J5" s="425" t="s">
        <v>603</v>
      </c>
      <c r="K5" s="423"/>
      <c r="L5" s="423"/>
      <c r="M5" s="423"/>
      <c r="N5" s="423"/>
      <c r="O5" s="344" t="str" cm="1">
        <f t="array" ref="O5">angleDecimal2Txt(F5)</f>
        <v>+46°06.81 (+46.1135) [+46°06'48.60]</v>
      </c>
      <c r="P5" s="344"/>
      <c r="Q5" s="344"/>
      <c r="R5" s="344"/>
      <c r="S5" s="344"/>
      <c r="T5" s="344"/>
      <c r="U5" s="344"/>
      <c r="V5" s="344"/>
      <c r="W5" s="344"/>
      <c r="X5" s="344"/>
      <c r="Y5" s="1160"/>
      <c r="Z5" s="1160"/>
      <c r="AB5" s="146"/>
      <c r="AC5" s="6" t="s">
        <v>334</v>
      </c>
      <c r="AD5" s="6">
        <f>VLOOKUP(I5,$A$7:$C$8,3)</f>
        <v>1</v>
      </c>
      <c r="AE5" s="1155"/>
      <c r="AF5" s="1155"/>
      <c r="AG5" s="1155"/>
      <c r="AH5" s="1155"/>
      <c r="AI5" s="1155"/>
      <c r="AJ5" s="1155"/>
      <c r="AK5" s="1155"/>
      <c r="AL5" s="1155"/>
      <c r="AM5" s="1155"/>
      <c r="AN5" s="1155"/>
      <c r="AO5" s="1155"/>
      <c r="AP5" s="1155"/>
      <c r="AQ5" s="1155"/>
      <c r="AR5" s="1155"/>
      <c r="AS5" s="1155"/>
      <c r="AT5" s="1155"/>
      <c r="AU5" s="1155"/>
      <c r="AV5" s="1155"/>
      <c r="AW5" s="1155"/>
      <c r="AX5" s="1155"/>
      <c r="AY5" s="1155"/>
      <c r="AZ5" s="1155"/>
      <c r="BA5" s="1155"/>
      <c r="BB5" s="1155"/>
      <c r="BC5" s="1155"/>
      <c r="BD5" s="1155"/>
      <c r="BE5" s="1155"/>
      <c r="BF5" s="1155"/>
      <c r="BG5" s="1155"/>
      <c r="BH5" s="1155"/>
      <c r="BI5" s="1155"/>
      <c r="BJ5" s="1155"/>
      <c r="BK5" s="1155"/>
      <c r="BL5" s="1155"/>
      <c r="BM5" s="1155"/>
      <c r="BN5" s="1161"/>
    </row>
    <row r="6" spans="1:66" s="1156" customFormat="1" ht="12" customHeight="1" thickTop="1" thickBot="1" x14ac:dyDescent="0.3">
      <c r="A6" s="1162" t="s">
        <v>49</v>
      </c>
      <c r="B6" s="1163" t="s">
        <v>50</v>
      </c>
      <c r="C6" s="1164"/>
      <c r="D6" s="1160"/>
      <c r="E6" s="1160"/>
      <c r="F6" s="516"/>
      <c r="G6" s="516"/>
      <c r="H6" s="516"/>
      <c r="I6" s="423"/>
      <c r="J6" s="423"/>
      <c r="K6" s="423"/>
      <c r="L6" s="423"/>
      <c r="M6" s="423"/>
      <c r="N6" s="423"/>
      <c r="O6" s="344"/>
      <c r="P6" s="344"/>
      <c r="Q6" s="344"/>
      <c r="R6" s="344"/>
      <c r="S6" s="344"/>
      <c r="T6" s="344"/>
      <c r="U6" s="344"/>
      <c r="V6" s="344"/>
      <c r="W6" s="344"/>
      <c r="X6" s="344"/>
      <c r="Y6" s="1160"/>
      <c r="Z6" s="1160"/>
      <c r="AB6" s="146"/>
      <c r="AC6" s="6" t="s">
        <v>335</v>
      </c>
      <c r="AD6" s="6" cm="1">
        <f t="array" ref="AD6">angleConvert2Decimal(J5)*AD5</f>
        <v>46.113500000000002</v>
      </c>
      <c r="AE6" s="1155"/>
      <c r="AF6" s="1155"/>
      <c r="AG6" s="1155"/>
      <c r="AH6" s="1155"/>
      <c r="AI6" s="1155"/>
      <c r="AJ6" s="1155"/>
      <c r="AK6" s="1155"/>
      <c r="AL6" s="1155"/>
      <c r="AM6" s="1155"/>
      <c r="AN6" s="1155"/>
      <c r="AO6" s="1155"/>
      <c r="AP6" s="1155"/>
      <c r="AQ6" s="1155"/>
      <c r="AR6" s="1155"/>
      <c r="AS6" s="1155"/>
      <c r="AT6" s="1155"/>
      <c r="AU6" s="1155"/>
      <c r="AV6" s="1155"/>
      <c r="AW6" s="1155"/>
      <c r="AX6" s="1155"/>
      <c r="AY6" s="1155"/>
      <c r="AZ6" s="1155"/>
      <c r="BA6" s="1155"/>
      <c r="BB6" s="1155"/>
      <c r="BC6" s="1155"/>
      <c r="BD6" s="1155"/>
      <c r="BE6" s="1155"/>
      <c r="BF6" s="1155"/>
      <c r="BG6" s="1155"/>
      <c r="BH6" s="1155"/>
      <c r="BI6" s="1155"/>
      <c r="BJ6" s="1155"/>
      <c r="BK6" s="1155"/>
      <c r="BL6" s="1155"/>
      <c r="BM6" s="1155"/>
      <c r="BN6" s="1161"/>
    </row>
    <row r="7" spans="1:66" s="1156" customFormat="1" ht="12" customHeight="1" thickTop="1" x14ac:dyDescent="0.25">
      <c r="A7" s="1162" t="s">
        <v>3</v>
      </c>
      <c r="B7" s="1163" t="s">
        <v>5</v>
      </c>
      <c r="C7" s="1164">
        <v>1</v>
      </c>
      <c r="D7" s="1160"/>
      <c r="E7" s="1160"/>
      <c r="F7" s="1160"/>
      <c r="G7" s="1160"/>
      <c r="H7" s="1160"/>
      <c r="AB7" s="146"/>
      <c r="AC7" s="1155"/>
      <c r="AD7" s="1155"/>
      <c r="AE7" s="1155"/>
      <c r="AF7" s="1155"/>
      <c r="AG7" s="1155"/>
      <c r="AH7" s="1155"/>
      <c r="AI7" s="1155"/>
      <c r="AJ7" s="1155"/>
      <c r="AK7" s="1155"/>
      <c r="AL7" s="1155"/>
      <c r="AM7" s="1155"/>
      <c r="AN7" s="1155"/>
      <c r="AO7" s="1155"/>
      <c r="AP7" s="1155"/>
      <c r="AQ7" s="1155"/>
      <c r="AR7" s="1155"/>
      <c r="AS7" s="1155"/>
      <c r="AT7" s="1155"/>
      <c r="AU7" s="1155"/>
      <c r="AV7" s="1155"/>
      <c r="AW7" s="1155"/>
      <c r="AX7" s="1155"/>
      <c r="AY7" s="1155"/>
      <c r="AZ7" s="1155"/>
      <c r="BA7" s="1155"/>
      <c r="BB7" s="1155"/>
      <c r="BC7" s="1155"/>
      <c r="BD7" s="1155"/>
      <c r="BE7" s="1155"/>
      <c r="BF7" s="1155"/>
      <c r="BG7" s="1155"/>
      <c r="BH7" s="1155"/>
      <c r="BI7" s="1155"/>
      <c r="BJ7" s="1155"/>
      <c r="BK7" s="1155"/>
      <c r="BL7" s="1155"/>
      <c r="BM7" s="1155"/>
      <c r="BN7" s="1161"/>
    </row>
    <row r="8" spans="1:66" s="1156" customFormat="1" ht="12" customHeight="1" thickBot="1" x14ac:dyDescent="0.3">
      <c r="A8" s="1165" t="s">
        <v>4</v>
      </c>
      <c r="B8" s="1166" t="s">
        <v>6</v>
      </c>
      <c r="C8" s="1167">
        <v>-1</v>
      </c>
      <c r="D8" s="1160"/>
      <c r="E8" s="517" t="s">
        <v>8</v>
      </c>
      <c r="F8" s="517"/>
      <c r="G8" s="517"/>
      <c r="H8" s="517"/>
      <c r="I8" s="1160"/>
      <c r="J8" s="1160"/>
      <c r="K8" s="1160"/>
      <c r="L8" s="1160"/>
      <c r="M8" s="1160"/>
      <c r="N8" s="1160"/>
      <c r="O8" s="1160"/>
      <c r="P8" s="1160"/>
      <c r="Q8" s="1160"/>
      <c r="R8" s="1160"/>
      <c r="S8" s="1160"/>
      <c r="T8" s="1160"/>
      <c r="U8" s="1160"/>
      <c r="V8" s="1160"/>
      <c r="AB8" s="146"/>
      <c r="AC8" s="1155"/>
      <c r="AD8" s="1155"/>
      <c r="AE8" s="1155"/>
      <c r="AF8" s="1155"/>
      <c r="AG8" s="1155"/>
      <c r="AH8" s="1155"/>
      <c r="AI8" s="1155"/>
      <c r="AJ8" s="1155"/>
      <c r="AK8" s="1155"/>
      <c r="AL8" s="1155"/>
      <c r="AM8" s="1155"/>
      <c r="AN8" s="1155"/>
      <c r="AO8" s="1155"/>
      <c r="AP8" s="1155"/>
      <c r="AQ8" s="1155"/>
      <c r="AR8" s="1155"/>
      <c r="AS8" s="1155"/>
      <c r="AT8" s="1155"/>
      <c r="AU8" s="1155"/>
      <c r="AV8" s="1155"/>
      <c r="AW8" s="1155"/>
      <c r="AX8" s="1155"/>
      <c r="AY8" s="1155"/>
      <c r="AZ8" s="1155"/>
      <c r="BA8" s="1155"/>
      <c r="BB8" s="1155"/>
      <c r="BC8" s="1155"/>
      <c r="BD8" s="1155"/>
      <c r="BE8" s="1155"/>
      <c r="BF8" s="1155"/>
      <c r="BG8" s="1155"/>
      <c r="BH8" s="1155"/>
      <c r="BI8" s="1155"/>
      <c r="BJ8" s="1155"/>
      <c r="BK8" s="1155"/>
      <c r="BL8" s="1155"/>
      <c r="BM8" s="1155"/>
      <c r="BN8" s="1161"/>
    </row>
    <row r="9" spans="1:66" s="1156" customFormat="1" ht="12" customHeight="1" thickBot="1" x14ac:dyDescent="0.3">
      <c r="C9" s="1160"/>
      <c r="D9" s="1160"/>
      <c r="E9" s="517"/>
      <c r="F9" s="517"/>
      <c r="G9" s="517"/>
      <c r="H9" s="517"/>
      <c r="I9" s="1160"/>
      <c r="J9" s="1160" t="s">
        <v>233</v>
      </c>
      <c r="K9" s="1160"/>
      <c r="L9" s="1160" t="s">
        <v>242</v>
      </c>
      <c r="M9" s="1160"/>
      <c r="N9" s="1160"/>
      <c r="O9" s="1160"/>
      <c r="P9" s="1160"/>
      <c r="Q9" s="1160"/>
      <c r="R9" s="1160"/>
      <c r="S9" s="1160"/>
      <c r="T9" s="1160"/>
      <c r="U9" s="1160"/>
      <c r="V9" s="1160"/>
      <c r="AB9" s="146"/>
      <c r="AC9" s="1155"/>
      <c r="AD9" s="1155"/>
      <c r="AE9" s="1155"/>
      <c r="AF9" s="1155"/>
      <c r="AG9" s="1155"/>
      <c r="AH9" s="1155"/>
      <c r="AI9" s="1155"/>
      <c r="AJ9" s="1155"/>
      <c r="AK9" s="1155"/>
      <c r="AL9" s="1155"/>
      <c r="AM9" s="1155"/>
      <c r="AN9" s="1155"/>
      <c r="AO9" s="1155"/>
      <c r="AP9" s="1155"/>
      <c r="AQ9" s="1155"/>
      <c r="AR9" s="1155"/>
      <c r="AS9" s="1155"/>
      <c r="AT9" s="1155"/>
      <c r="AU9" s="1155"/>
      <c r="AV9" s="1155"/>
      <c r="AW9" s="1155"/>
      <c r="AX9" s="1155"/>
      <c r="AY9" s="1155"/>
      <c r="AZ9" s="1155"/>
      <c r="BA9" s="1155"/>
      <c r="BB9" s="1155"/>
      <c r="BC9" s="1155"/>
      <c r="BD9" s="1155"/>
      <c r="BE9" s="1155"/>
      <c r="BF9" s="1155"/>
      <c r="BG9" s="1155"/>
      <c r="BH9" s="1155"/>
      <c r="BI9" s="1155"/>
      <c r="BJ9" s="1155"/>
      <c r="BK9" s="1155"/>
      <c r="BL9" s="1155"/>
      <c r="BM9" s="1155"/>
      <c r="BN9" s="1161"/>
    </row>
    <row r="10" spans="1:66" s="1156" customFormat="1" ht="12" customHeight="1" thickTop="1" thickBot="1" x14ac:dyDescent="0.3">
      <c r="B10" s="1160"/>
      <c r="C10" s="1160"/>
      <c r="D10" s="1160"/>
      <c r="E10" s="1160"/>
      <c r="F10" s="491">
        <f>AD11</f>
        <v>-6.9496666666666664</v>
      </c>
      <c r="G10" s="516"/>
      <c r="H10" s="516"/>
      <c r="I10" s="423" t="s">
        <v>6</v>
      </c>
      <c r="J10" s="425" t="s">
        <v>604</v>
      </c>
      <c r="K10" s="423"/>
      <c r="L10" s="423"/>
      <c r="M10" s="423"/>
      <c r="N10" s="423"/>
      <c r="O10" s="344" t="str" cm="1">
        <f t="array" ref="O10">angleDecimal2Txt(F10)</f>
        <v>-06°56.97 (-06.9496) [-06°56'58.79]</v>
      </c>
      <c r="P10" s="344"/>
      <c r="Q10" s="344"/>
      <c r="R10" s="344"/>
      <c r="S10" s="344"/>
      <c r="T10" s="344"/>
      <c r="U10" s="344"/>
      <c r="V10" s="344"/>
      <c r="W10" s="344"/>
      <c r="X10" s="344"/>
      <c r="Y10" s="1160"/>
      <c r="Z10" s="1160"/>
      <c r="AB10" s="146"/>
      <c r="AC10" s="6" t="s">
        <v>336</v>
      </c>
      <c r="AD10" s="6">
        <f>VLOOKUP(I10,B7:C8,2)</f>
        <v>-1</v>
      </c>
      <c r="AE10" s="1155"/>
      <c r="AF10" s="1155"/>
      <c r="AG10" s="1155"/>
      <c r="AH10" s="1155"/>
      <c r="AI10" s="1155"/>
      <c r="AJ10" s="1155"/>
      <c r="AK10" s="1155"/>
      <c r="AL10" s="1155"/>
      <c r="AM10" s="1155"/>
      <c r="AN10" s="1155"/>
      <c r="AO10" s="1155"/>
      <c r="AP10" s="1155"/>
      <c r="AQ10" s="1155"/>
      <c r="AR10" s="1155"/>
      <c r="AS10" s="1155"/>
      <c r="AT10" s="1155"/>
      <c r="AU10" s="1155"/>
      <c r="AV10" s="1155"/>
      <c r="AW10" s="1155"/>
      <c r="AX10" s="1155"/>
      <c r="AY10" s="1155"/>
      <c r="AZ10" s="1155"/>
      <c r="BA10" s="1155"/>
      <c r="BB10" s="1155"/>
      <c r="BC10" s="1155"/>
      <c r="BD10" s="1155"/>
      <c r="BE10" s="1155"/>
      <c r="BF10" s="1155"/>
      <c r="BG10" s="1155"/>
      <c r="BH10" s="1155"/>
      <c r="BI10" s="1155"/>
      <c r="BJ10" s="1155"/>
      <c r="BK10" s="1155"/>
      <c r="BL10" s="1155"/>
      <c r="BM10" s="1155"/>
      <c r="BN10" s="1159"/>
    </row>
    <row r="11" spans="1:66" s="1156" customFormat="1" ht="12" customHeight="1" thickTop="1" thickBot="1" x14ac:dyDescent="0.3">
      <c r="C11" s="1160"/>
      <c r="D11" s="1160"/>
      <c r="E11" s="1160"/>
      <c r="F11" s="516"/>
      <c r="G11" s="516"/>
      <c r="H11" s="516"/>
      <c r="I11" s="423"/>
      <c r="J11" s="423"/>
      <c r="K11" s="423"/>
      <c r="L11" s="423"/>
      <c r="M11" s="423"/>
      <c r="N11" s="423"/>
      <c r="O11" s="344"/>
      <c r="P11" s="344"/>
      <c r="Q11" s="344"/>
      <c r="R11" s="344"/>
      <c r="S11" s="344"/>
      <c r="T11" s="344"/>
      <c r="U11" s="344"/>
      <c r="V11" s="344"/>
      <c r="W11" s="344"/>
      <c r="X11" s="344"/>
      <c r="Y11" s="1160"/>
      <c r="Z11" s="1160"/>
      <c r="AB11" s="146"/>
      <c r="AC11" s="6" t="s">
        <v>337</v>
      </c>
      <c r="AD11" s="6" cm="1">
        <f t="array" ref="AD11">angleConvert2Decimal(J10)*AD10</f>
        <v>-6.9496666666666664</v>
      </c>
      <c r="AE11" s="1155"/>
      <c r="AF11" s="1155"/>
      <c r="AG11" s="1155"/>
      <c r="AH11" s="1155"/>
      <c r="AI11" s="1155"/>
      <c r="AJ11" s="1155"/>
      <c r="AK11" s="1155"/>
      <c r="AL11" s="1155"/>
      <c r="AM11" s="1155"/>
      <c r="AN11" s="1155"/>
      <c r="AO11" s="1155"/>
      <c r="AP11" s="1155"/>
      <c r="AQ11" s="1155"/>
      <c r="AR11" s="1155"/>
      <c r="AS11" s="1155"/>
      <c r="AT11" s="1155"/>
      <c r="AU11" s="1155"/>
      <c r="AV11" s="1155"/>
      <c r="AW11" s="1155"/>
      <c r="AX11" s="1155"/>
      <c r="AY11" s="1155"/>
      <c r="AZ11" s="1155"/>
      <c r="BA11" s="1155"/>
      <c r="BB11" s="1155"/>
      <c r="BC11" s="1155"/>
      <c r="BD11" s="1155"/>
      <c r="BE11" s="1155"/>
      <c r="BF11" s="1155"/>
      <c r="BG11" s="1155"/>
      <c r="BH11" s="1155"/>
      <c r="BI11" s="1155"/>
      <c r="BJ11" s="1155"/>
      <c r="BK11" s="1155"/>
      <c r="BL11" s="1155"/>
      <c r="BM11" s="1155"/>
      <c r="BN11" s="1159"/>
    </row>
    <row r="12" spans="1:66" ht="12" customHeight="1" thickTop="1" x14ac:dyDescent="0.25"/>
    <row r="13" spans="1:66" ht="12" customHeight="1" x14ac:dyDescent="0.25">
      <c r="E13" s="517" t="s">
        <v>583</v>
      </c>
      <c r="F13" s="517"/>
      <c r="G13" s="517"/>
      <c r="H13" s="517"/>
      <c r="I13" s="1160"/>
      <c r="J13" s="1160"/>
      <c r="K13" s="1160"/>
      <c r="L13" s="1160"/>
      <c r="M13" s="1160"/>
      <c r="N13" s="1160"/>
      <c r="O13" s="1160"/>
      <c r="P13" s="1160"/>
      <c r="Q13" s="1160"/>
      <c r="R13" s="1160"/>
      <c r="S13" s="1160"/>
      <c r="T13" s="1160"/>
      <c r="U13" s="1160"/>
      <c r="V13" s="1160"/>
      <c r="W13" s="1156"/>
      <c r="X13" s="1156"/>
    </row>
    <row r="14" spans="1:66" ht="12" customHeight="1" thickBot="1" x14ac:dyDescent="0.3">
      <c r="E14" s="517"/>
      <c r="F14" s="517"/>
      <c r="G14" s="517"/>
      <c r="H14" s="517"/>
      <c r="I14" s="1160"/>
      <c r="J14" s="1160"/>
      <c r="K14" s="1160"/>
      <c r="L14" s="1160"/>
      <c r="M14" s="1160"/>
      <c r="N14" s="1160"/>
      <c r="O14" s="1160"/>
      <c r="P14" s="1160"/>
      <c r="Q14" s="1160"/>
      <c r="R14" s="1160"/>
      <c r="S14" s="1160"/>
      <c r="T14" s="1160"/>
      <c r="U14" s="1160"/>
      <c r="V14" s="1160"/>
      <c r="W14" s="1156"/>
      <c r="X14" s="1156"/>
    </row>
    <row r="15" spans="1:66" ht="12" customHeight="1" thickTop="1" thickBot="1" x14ac:dyDescent="0.3">
      <c r="E15" s="1160"/>
      <c r="F15" s="491">
        <f>heureConvert2Decimal(I15)</f>
        <v>10.340277777777779</v>
      </c>
      <c r="G15" s="516"/>
      <c r="H15" s="516"/>
      <c r="I15" s="638" t="s">
        <v>466</v>
      </c>
      <c r="J15" s="574"/>
      <c r="K15" s="574"/>
      <c r="L15" s="574"/>
      <c r="M15" s="574"/>
      <c r="N15" s="639"/>
      <c r="O15" s="344" t="str">
        <f>heureDecimal2Txt(F15)</f>
        <v>10:20:25.00(10.3402)</v>
      </c>
      <c r="P15" s="344"/>
      <c r="Q15" s="344"/>
      <c r="R15" s="344"/>
      <c r="S15" s="344"/>
      <c r="T15" s="344"/>
      <c r="U15" s="344"/>
      <c r="V15" s="344"/>
      <c r="W15" s="344"/>
      <c r="X15" s="344"/>
    </row>
    <row r="16" spans="1:66" ht="12" customHeight="1" thickTop="1" thickBot="1" x14ac:dyDescent="0.3">
      <c r="E16" s="1160"/>
      <c r="F16" s="516"/>
      <c r="G16" s="516"/>
      <c r="H16" s="516"/>
      <c r="I16" s="488"/>
      <c r="J16" s="489"/>
      <c r="K16" s="489"/>
      <c r="L16" s="489"/>
      <c r="M16" s="489"/>
      <c r="N16" s="640"/>
      <c r="O16" s="344"/>
      <c r="P16" s="344"/>
      <c r="Q16" s="344"/>
      <c r="R16" s="344"/>
      <c r="S16" s="344"/>
      <c r="T16" s="344"/>
      <c r="U16" s="344"/>
      <c r="V16" s="344"/>
      <c r="W16" s="344"/>
      <c r="X16" s="344"/>
    </row>
    <row r="17" spans="2:66" ht="16.5" thickTop="1" thickBot="1" x14ac:dyDescent="0.3"/>
    <row r="18" spans="2:66" ht="15.75" thickBot="1" x14ac:dyDescent="0.3">
      <c r="B18" s="1157" t="s">
        <v>584</v>
      </c>
      <c r="C18" s="1158"/>
      <c r="D18" s="1158"/>
      <c r="E18" s="1158"/>
      <c r="F18" s="1158"/>
      <c r="G18" s="1158"/>
      <c r="H18" s="1158"/>
      <c r="I18" s="1158"/>
      <c r="J18" s="1158"/>
      <c r="K18" s="1158"/>
      <c r="L18" s="1158"/>
      <c r="M18" s="1158"/>
      <c r="N18" s="1158"/>
      <c r="O18" s="1158"/>
      <c r="P18" s="1158"/>
      <c r="Q18" s="1158"/>
      <c r="R18" s="1158"/>
      <c r="S18" s="1158"/>
      <c r="T18" s="1158"/>
      <c r="U18" s="1158"/>
      <c r="V18" s="1158"/>
      <c r="W18" s="1158"/>
      <c r="X18" s="1158"/>
      <c r="Y18" s="1158"/>
      <c r="Z18" s="1158"/>
      <c r="AA18" s="1158"/>
      <c r="AB18" s="147"/>
    </row>
    <row r="19" spans="2:66" ht="12" customHeight="1" x14ac:dyDescent="0.25">
      <c r="E19" s="651" t="s">
        <v>585</v>
      </c>
      <c r="F19" s="652"/>
      <c r="G19" s="652"/>
      <c r="H19" s="652"/>
      <c r="I19" s="652"/>
      <c r="J19" s="652"/>
      <c r="K19" s="652"/>
      <c r="L19" s="1160"/>
      <c r="M19" s="1160"/>
      <c r="N19" s="1160"/>
      <c r="O19" s="1160"/>
      <c r="P19" s="1160"/>
      <c r="Q19" s="1160"/>
      <c r="R19" s="1160"/>
      <c r="S19" s="1160"/>
      <c r="T19" s="1160"/>
      <c r="U19" s="1160"/>
      <c r="V19" s="1160"/>
      <c r="W19" s="1156"/>
      <c r="X19" s="1156"/>
    </row>
    <row r="20" spans="2:66" ht="12" customHeight="1" thickBot="1" x14ac:dyDescent="0.3">
      <c r="E20" s="653"/>
      <c r="F20" s="654"/>
      <c r="G20" s="654"/>
      <c r="H20" s="654"/>
      <c r="I20" s="654"/>
      <c r="J20" s="654"/>
      <c r="K20" s="654"/>
      <c r="L20" s="1160"/>
      <c r="M20" s="1160"/>
      <c r="N20" s="1160"/>
      <c r="O20" s="1160"/>
      <c r="P20" s="1160"/>
      <c r="Q20" s="1160"/>
      <c r="R20" s="1160"/>
      <c r="S20" s="1160"/>
      <c r="T20" s="1160"/>
      <c r="U20" s="1160"/>
      <c r="V20" s="1160"/>
      <c r="W20" s="1156"/>
      <c r="X20" s="1156"/>
    </row>
    <row r="21" spans="2:66" ht="12" customHeight="1" thickTop="1" thickBot="1" x14ac:dyDescent="0.3">
      <c r="E21" s="1160"/>
      <c r="F21" s="491">
        <f>heureConvert2Decimal(I21)</f>
        <v>12.051666666666668</v>
      </c>
      <c r="G21" s="516"/>
      <c r="H21" s="516"/>
      <c r="I21" s="638" t="s">
        <v>586</v>
      </c>
      <c r="J21" s="574"/>
      <c r="K21" s="574"/>
      <c r="L21" s="574"/>
      <c r="M21" s="574"/>
      <c r="N21" s="639"/>
      <c r="O21" s="344" t="str">
        <f>heureDecimal2Txt(F21)</f>
        <v>12:03:06.00(12.0516)</v>
      </c>
      <c r="P21" s="344"/>
      <c r="Q21" s="344"/>
      <c r="R21" s="344"/>
      <c r="S21" s="344"/>
      <c r="T21" s="344"/>
      <c r="U21" s="344"/>
      <c r="V21" s="344"/>
      <c r="W21" s="344"/>
      <c r="X21" s="344"/>
    </row>
    <row r="22" spans="2:66" ht="12" customHeight="1" thickTop="1" thickBot="1" x14ac:dyDescent="0.3">
      <c r="E22" s="1160"/>
      <c r="F22" s="516"/>
      <c r="G22" s="516"/>
      <c r="H22" s="516"/>
      <c r="I22" s="488"/>
      <c r="J22" s="489"/>
      <c r="K22" s="489"/>
      <c r="L22" s="489"/>
      <c r="M22" s="489"/>
      <c r="N22" s="640"/>
      <c r="O22" s="344"/>
      <c r="P22" s="344"/>
      <c r="Q22" s="344"/>
      <c r="R22" s="344"/>
      <c r="S22" s="344"/>
      <c r="T22" s="344"/>
      <c r="U22" s="344"/>
      <c r="V22" s="344"/>
      <c r="W22" s="344"/>
      <c r="X22" s="344"/>
    </row>
    <row r="23" spans="2:66" ht="16.5" thickTop="1" thickBot="1" x14ac:dyDescent="0.3"/>
    <row r="24" spans="2:66" s="1156" customFormat="1" ht="17.25" customHeight="1" thickBot="1" x14ac:dyDescent="0.3">
      <c r="B24" s="1157" t="s">
        <v>569</v>
      </c>
      <c r="C24" s="1158"/>
      <c r="D24" s="1158"/>
      <c r="E24" s="1158"/>
      <c r="F24" s="1158"/>
      <c r="G24" s="1158"/>
      <c r="H24" s="1158"/>
      <c r="I24" s="1158"/>
      <c r="J24" s="1158"/>
      <c r="K24" s="1158"/>
      <c r="L24" s="1158"/>
      <c r="M24" s="1158"/>
      <c r="N24" s="1158"/>
      <c r="O24" s="1158"/>
      <c r="P24" s="1158"/>
      <c r="Q24" s="1158"/>
      <c r="R24" s="1158"/>
      <c r="S24" s="1158"/>
      <c r="T24" s="1158"/>
      <c r="U24" s="1158"/>
      <c r="V24" s="1158"/>
      <c r="W24" s="1158"/>
      <c r="X24" s="1158"/>
      <c r="Y24" s="1158"/>
      <c r="Z24" s="1158"/>
      <c r="AA24" s="1158"/>
      <c r="AB24" s="147"/>
      <c r="AC24" s="1155"/>
      <c r="AD24" s="1155"/>
      <c r="AE24" s="1155"/>
      <c r="AF24" s="1155"/>
      <c r="AG24" s="1155"/>
      <c r="AH24" s="1155"/>
      <c r="AI24" s="1155"/>
      <c r="AJ24" s="1155"/>
      <c r="AK24" s="1155"/>
      <c r="AL24" s="1155"/>
      <c r="AM24" s="1155"/>
      <c r="AN24" s="1155"/>
      <c r="AO24" s="1155"/>
      <c r="AP24" s="1155"/>
      <c r="AQ24" s="1155"/>
      <c r="AR24" s="1155"/>
      <c r="AS24" s="1155"/>
      <c r="AT24" s="1155"/>
      <c r="AU24" s="1155"/>
      <c r="AV24" s="1155"/>
      <c r="AW24" s="1155"/>
      <c r="AX24" s="1155"/>
      <c r="AY24" s="1155"/>
      <c r="AZ24" s="1155"/>
      <c r="BA24" s="1155"/>
      <c r="BB24" s="1155"/>
      <c r="BC24" s="1155"/>
      <c r="BD24" s="1155"/>
      <c r="BE24" s="1155"/>
      <c r="BF24" s="1155"/>
      <c r="BG24" s="1155"/>
      <c r="BH24" s="1155"/>
      <c r="BI24" s="1155"/>
      <c r="BJ24" s="1155"/>
      <c r="BK24" s="1155"/>
      <c r="BL24" s="1155"/>
      <c r="BM24" s="1155"/>
      <c r="BN24" s="1159"/>
    </row>
    <row r="25" spans="2:66" ht="12" customHeight="1" x14ac:dyDescent="0.25">
      <c r="E25" s="524" t="s">
        <v>151</v>
      </c>
      <c r="F25" s="524"/>
      <c r="G25" s="524"/>
      <c r="H25" s="524"/>
    </row>
    <row r="26" spans="2:66" ht="12" customHeight="1" thickBot="1" x14ac:dyDescent="0.3">
      <c r="E26" s="524"/>
      <c r="F26" s="524"/>
      <c r="G26" s="524"/>
      <c r="H26" s="524"/>
    </row>
    <row r="27" spans="2:66" ht="12" customHeight="1" thickTop="1" thickBot="1" x14ac:dyDescent="0.3">
      <c r="F27" s="491">
        <f>angleConvert2Decimal(I27)</f>
        <v>260</v>
      </c>
      <c r="G27" s="516"/>
      <c r="H27" s="516"/>
      <c r="I27" s="638">
        <v>260</v>
      </c>
      <c r="J27" s="574"/>
      <c r="K27" s="574"/>
      <c r="L27" s="574"/>
      <c r="M27" s="574"/>
      <c r="N27" s="639"/>
      <c r="O27" s="344" t="str" cm="1">
        <f t="array" ref="O27">angleDecimal2Txt(F27)</f>
        <v>+260°00.00 (+260.0000) [+260°00'00.00]</v>
      </c>
      <c r="P27" s="344"/>
      <c r="Q27" s="344"/>
      <c r="R27" s="344"/>
      <c r="S27" s="344"/>
      <c r="T27" s="344"/>
      <c r="U27" s="344"/>
      <c r="V27" s="344"/>
      <c r="W27" s="344"/>
      <c r="X27" s="344"/>
    </row>
    <row r="28" spans="2:66" ht="12" customHeight="1" thickTop="1" thickBot="1" x14ac:dyDescent="0.3">
      <c r="F28" s="516"/>
      <c r="G28" s="516"/>
      <c r="H28" s="516"/>
      <c r="I28" s="488"/>
      <c r="J28" s="489"/>
      <c r="K28" s="489"/>
      <c r="L28" s="489"/>
      <c r="M28" s="489"/>
      <c r="N28" s="640"/>
      <c r="O28" s="344"/>
      <c r="P28" s="344"/>
      <c r="Q28" s="344"/>
      <c r="R28" s="344"/>
      <c r="S28" s="344"/>
      <c r="T28" s="344"/>
      <c r="U28" s="344"/>
      <c r="V28" s="344"/>
      <c r="W28" s="344"/>
      <c r="X28" s="344"/>
    </row>
    <row r="29" spans="2:66" ht="12" customHeight="1" thickTop="1" x14ac:dyDescent="0.25">
      <c r="E29" s="524" t="s">
        <v>571</v>
      </c>
      <c r="F29" s="524"/>
      <c r="G29" s="524"/>
      <c r="H29" s="524"/>
    </row>
    <row r="30" spans="2:66" ht="12" customHeight="1" thickBot="1" x14ac:dyDescent="0.3">
      <c r="E30" s="524"/>
      <c r="F30" s="524"/>
      <c r="G30" s="524"/>
      <c r="H30" s="524"/>
    </row>
    <row r="31" spans="2:66" ht="12" customHeight="1" thickTop="1" thickBot="1" x14ac:dyDescent="0.3">
      <c r="F31" s="491">
        <f>I31</f>
        <v>5</v>
      </c>
      <c r="G31" s="516"/>
      <c r="H31" s="516"/>
      <c r="I31" s="638">
        <v>5</v>
      </c>
      <c r="J31" s="574"/>
      <c r="K31" s="574"/>
      <c r="L31" s="574"/>
      <c r="M31" s="574"/>
      <c r="N31" s="639"/>
      <c r="O31" s="344" t="str" cm="1">
        <f t="array" ref="O31">angleDecimal2Txt(F31)</f>
        <v>+05°00.00 (+05.0000) [+05°00'00.00]</v>
      </c>
      <c r="P31" s="344"/>
      <c r="Q31" s="344"/>
      <c r="R31" s="344"/>
      <c r="S31" s="344"/>
      <c r="T31" s="344"/>
      <c r="U31" s="344"/>
      <c r="V31" s="344"/>
      <c r="W31" s="344"/>
      <c r="X31" s="344"/>
    </row>
    <row r="32" spans="2:66" ht="12" customHeight="1" thickTop="1" thickBot="1" x14ac:dyDescent="0.3">
      <c r="F32" s="655"/>
      <c r="G32" s="655"/>
      <c r="H32" s="655"/>
      <c r="I32" s="656"/>
      <c r="J32" s="657"/>
      <c r="K32" s="657"/>
      <c r="L32" s="489"/>
      <c r="M32" s="489"/>
      <c r="N32" s="640"/>
      <c r="O32" s="344"/>
      <c r="P32" s="344"/>
      <c r="Q32" s="344"/>
      <c r="R32" s="344"/>
      <c r="S32" s="344"/>
      <c r="T32" s="344"/>
      <c r="U32" s="344"/>
      <c r="V32" s="344"/>
      <c r="W32" s="344"/>
      <c r="X32" s="344"/>
    </row>
    <row r="33" spans="3:30" ht="12" customHeight="1" thickTop="1" x14ac:dyDescent="0.25">
      <c r="E33" s="661" t="s">
        <v>590</v>
      </c>
      <c r="F33" s="661"/>
      <c r="G33" s="661"/>
      <c r="H33" s="661"/>
      <c r="I33" s="661"/>
      <c r="J33" s="661"/>
      <c r="K33" s="661"/>
    </row>
    <row r="34" spans="3:30" ht="12" customHeight="1" thickBot="1" x14ac:dyDescent="0.3">
      <c r="E34" s="661"/>
      <c r="F34" s="661"/>
      <c r="G34" s="661"/>
      <c r="H34" s="661"/>
      <c r="I34" s="661"/>
      <c r="J34" s="661"/>
      <c r="K34" s="661"/>
    </row>
    <row r="35" spans="3:30" s="1168" customFormat="1" ht="9" customHeight="1" thickTop="1" thickBot="1" x14ac:dyDescent="0.25">
      <c r="F35" s="658">
        <f>AD36</f>
        <v>46.113500000000002</v>
      </c>
      <c r="G35" s="659"/>
      <c r="H35" s="659"/>
      <c r="I35" s="662" t="str">
        <f>I5</f>
        <v>N</v>
      </c>
      <c r="J35" s="663" t="str">
        <f>J5</f>
        <v>46°06,81</v>
      </c>
      <c r="K35" s="662"/>
      <c r="L35" s="662"/>
      <c r="M35" s="662"/>
      <c r="N35" s="662"/>
      <c r="O35" s="660" t="str" cm="1">
        <f t="array" ref="O35">angleDecimal2Txt(F35)</f>
        <v>+46°06.81 (+46.1135) [+46°06'48.60]</v>
      </c>
      <c r="P35" s="660"/>
      <c r="Q35" s="660"/>
      <c r="R35" s="660"/>
      <c r="S35" s="660"/>
      <c r="T35" s="660"/>
      <c r="U35" s="660"/>
      <c r="V35" s="660"/>
      <c r="W35" s="660"/>
      <c r="X35" s="660"/>
      <c r="AC35" s="315" t="s">
        <v>334</v>
      </c>
      <c r="AD35" s="315">
        <f>VLOOKUP(I35,$A$7:$C$8,3)</f>
        <v>1</v>
      </c>
    </row>
    <row r="36" spans="3:30" s="1168" customFormat="1" ht="9" customHeight="1" thickTop="1" thickBot="1" x14ac:dyDescent="0.25">
      <c r="F36" s="659"/>
      <c r="G36" s="659"/>
      <c r="H36" s="659"/>
      <c r="I36" s="662"/>
      <c r="J36" s="662"/>
      <c r="K36" s="662"/>
      <c r="L36" s="662"/>
      <c r="M36" s="662"/>
      <c r="N36" s="662"/>
      <c r="O36" s="660"/>
      <c r="P36" s="660"/>
      <c r="Q36" s="660"/>
      <c r="R36" s="660"/>
      <c r="S36" s="660"/>
      <c r="T36" s="660"/>
      <c r="U36" s="660"/>
      <c r="V36" s="660"/>
      <c r="W36" s="660"/>
      <c r="X36" s="660"/>
      <c r="AC36" s="315" t="s">
        <v>335</v>
      </c>
      <c r="AD36" s="315" cm="1">
        <f t="array" ref="AD36">angleConvert2Decimal(J35)*AD35</f>
        <v>46.113500000000002</v>
      </c>
    </row>
    <row r="37" spans="3:30" ht="15.75" thickTop="1" x14ac:dyDescent="0.25"/>
    <row r="38" spans="3:30" x14ac:dyDescent="0.25">
      <c r="C38" s="641" t="s">
        <v>570</v>
      </c>
      <c r="D38" s="642"/>
      <c r="E38" s="642"/>
      <c r="F38" s="642"/>
      <c r="G38" s="642"/>
      <c r="H38" s="642"/>
      <c r="I38" s="642"/>
      <c r="J38" s="642"/>
      <c r="K38" s="642"/>
      <c r="L38" s="642"/>
      <c r="M38" s="643"/>
    </row>
    <row r="39" spans="3:30" ht="18.75" customHeight="1" x14ac:dyDescent="0.25">
      <c r="C39" s="644" t="s">
        <v>151</v>
      </c>
      <c r="D39" s="644"/>
      <c r="E39" s="644">
        <f>F27</f>
        <v>260</v>
      </c>
      <c r="F39" s="644"/>
      <c r="G39" s="644"/>
      <c r="I39" s="1169" t="s">
        <v>573</v>
      </c>
      <c r="J39" s="1169"/>
      <c r="K39" s="944">
        <f>E40*ABS(SIN(Outils!$F$6*'Meridienne Longiture a Estime'!E39))*(IF(E39&gt;180,1,-1))</f>
        <v>4.9240387650610398</v>
      </c>
      <c r="L39" s="944"/>
      <c r="M39" s="951" t="s">
        <v>572</v>
      </c>
      <c r="N39" s="1156"/>
      <c r="O39" s="1156"/>
    </row>
    <row r="40" spans="3:30" x14ac:dyDescent="0.25">
      <c r="C40" s="333" t="s">
        <v>150</v>
      </c>
      <c r="D40" s="333"/>
      <c r="E40" s="333">
        <f>F31</f>
        <v>5</v>
      </c>
      <c r="F40" s="333"/>
      <c r="G40" s="333"/>
      <c r="I40" s="1170"/>
      <c r="J40" s="1170"/>
      <c r="K40" s="944"/>
      <c r="L40" s="944"/>
      <c r="M40" s="951"/>
      <c r="N40" s="1156"/>
      <c r="O40" s="1156"/>
    </row>
    <row r="41" spans="3:30" x14ac:dyDescent="0.25">
      <c r="M41" s="1156"/>
      <c r="N41" s="1156"/>
      <c r="O41" s="1156"/>
    </row>
    <row r="42" spans="3:30" x14ac:dyDescent="0.25">
      <c r="C42" s="641" t="s">
        <v>575</v>
      </c>
      <c r="D42" s="642"/>
      <c r="E42" s="642"/>
      <c r="F42" s="642"/>
      <c r="G42" s="642"/>
      <c r="H42" s="642"/>
      <c r="I42" s="642"/>
      <c r="J42" s="642"/>
      <c r="K42" s="642"/>
      <c r="L42" s="642"/>
      <c r="M42" s="642"/>
      <c r="N42" s="642"/>
      <c r="O42" s="643"/>
    </row>
    <row r="43" spans="3:30" x14ac:dyDescent="0.25">
      <c r="C43" s="644" t="s">
        <v>539</v>
      </c>
      <c r="D43" s="644"/>
      <c r="E43" s="644">
        <f>F35</f>
        <v>46.113500000000002</v>
      </c>
      <c r="F43" s="644"/>
      <c r="G43" s="644"/>
      <c r="I43" s="1171" t="s">
        <v>574</v>
      </c>
      <c r="J43" s="1172"/>
      <c r="K43" s="1173" t="s">
        <v>102</v>
      </c>
      <c r="L43" s="1174">
        <f>$K$39/(60 * COS($E$43*Outils!$F$6))</f>
        <v>0.11838361302389316</v>
      </c>
      <c r="M43" s="1175"/>
      <c r="N43" s="1176"/>
      <c r="O43" s="1177" t="s">
        <v>580</v>
      </c>
      <c r="S43" s="641" t="s">
        <v>592</v>
      </c>
      <c r="T43" s="642"/>
      <c r="U43" s="642"/>
      <c r="V43" s="642"/>
      <c r="W43" s="642"/>
      <c r="X43" s="642"/>
      <c r="Y43" s="642"/>
      <c r="Z43" s="642"/>
      <c r="AA43" s="643"/>
    </row>
    <row r="44" spans="3:30" ht="15" customHeight="1" x14ac:dyDescent="0.25">
      <c r="C44" s="333" t="str">
        <f>I39</f>
        <v>VLong.</v>
      </c>
      <c r="D44" s="333"/>
      <c r="E44" s="333">
        <f>K39</f>
        <v>4.9240387650610398</v>
      </c>
      <c r="F44" s="333"/>
      <c r="G44" s="333"/>
      <c r="I44" s="1178"/>
      <c r="J44" s="1179"/>
      <c r="K44" s="1180"/>
      <c r="L44" s="1181"/>
      <c r="M44" s="1182"/>
      <c r="N44" s="1183"/>
      <c r="O44" s="1184"/>
      <c r="S44" s="1139" t="s">
        <v>589</v>
      </c>
      <c r="T44" s="1139"/>
      <c r="U44" s="1139"/>
      <c r="V44" s="1139"/>
      <c r="W44" s="1139"/>
      <c r="X44" s="1139"/>
      <c r="Y44" s="1139"/>
      <c r="Z44" s="1139"/>
      <c r="AA44" s="1139"/>
    </row>
    <row r="45" spans="3:30" x14ac:dyDescent="0.25">
      <c r="C45" s="333" t="s">
        <v>578</v>
      </c>
      <c r="D45" s="333"/>
      <c r="E45" s="333" t="s">
        <v>577</v>
      </c>
      <c r="F45" s="333"/>
      <c r="G45" s="333"/>
      <c r="I45" s="1185"/>
      <c r="J45" s="1186"/>
      <c r="K45" s="1187" t="s">
        <v>582</v>
      </c>
      <c r="L45" s="1188" t="s">
        <v>581</v>
      </c>
      <c r="M45" s="1189">
        <f>$K$39/(60 * COS($E$43*Outils!$F$6))</f>
        <v>0.11838361302389316</v>
      </c>
      <c r="N45" s="1189"/>
      <c r="O45" s="1190" t="s">
        <v>579</v>
      </c>
      <c r="S45" s="1139"/>
      <c r="T45" s="1139"/>
      <c r="U45" s="1139"/>
      <c r="V45" s="1139"/>
      <c r="W45" s="1139"/>
      <c r="X45" s="1139"/>
      <c r="Y45" s="1139"/>
      <c r="Z45" s="1139"/>
      <c r="AA45" s="1139"/>
    </row>
    <row r="46" spans="3:30" x14ac:dyDescent="0.25">
      <c r="S46" s="1139"/>
      <c r="T46" s="1139"/>
      <c r="U46" s="1139"/>
      <c r="V46" s="1139"/>
      <c r="W46" s="1139"/>
      <c r="X46" s="1139"/>
      <c r="Y46" s="1139"/>
      <c r="Z46" s="1139"/>
      <c r="AA46" s="1139"/>
    </row>
    <row r="47" spans="3:30" x14ac:dyDescent="0.25">
      <c r="C47" s="641" t="s">
        <v>576</v>
      </c>
      <c r="D47" s="642"/>
      <c r="E47" s="642"/>
      <c r="F47" s="642"/>
      <c r="G47" s="642"/>
      <c r="H47" s="642"/>
      <c r="I47" s="642"/>
      <c r="J47" s="642"/>
      <c r="K47" s="642"/>
      <c r="L47" s="642"/>
      <c r="M47" s="642"/>
      <c r="N47" s="642"/>
      <c r="O47" s="643"/>
    </row>
    <row r="48" spans="3:30" x14ac:dyDescent="0.25">
      <c r="C48" s="333" t="s">
        <v>576</v>
      </c>
      <c r="D48" s="333"/>
      <c r="E48" s="333"/>
      <c r="F48" s="333"/>
      <c r="G48" s="333"/>
      <c r="H48" s="333"/>
      <c r="I48" s="1191">
        <v>15.002000000000001</v>
      </c>
      <c r="J48" s="1192"/>
      <c r="K48" s="1192"/>
      <c r="L48" s="1192"/>
      <c r="M48" s="1192"/>
      <c r="N48" s="1192"/>
      <c r="O48" s="1193" t="s">
        <v>580</v>
      </c>
      <c r="R48" s="1194" t="s">
        <v>577</v>
      </c>
      <c r="S48" s="1194"/>
      <c r="T48" s="1194"/>
      <c r="U48" s="1194"/>
      <c r="V48" s="1194"/>
      <c r="W48" s="1194">
        <f>$K$51/($I$48-$L$43)</f>
        <v>0.46693400891116521</v>
      </c>
      <c r="X48" s="1194"/>
    </row>
    <row r="49" spans="2:66" ht="15.75" thickBot="1" x14ac:dyDescent="0.3">
      <c r="R49" s="1194"/>
      <c r="S49" s="1194"/>
      <c r="T49" s="1194"/>
      <c r="U49" s="1194"/>
      <c r="V49" s="1194"/>
      <c r="W49" s="1194"/>
      <c r="X49" s="1194"/>
    </row>
    <row r="50" spans="2:66" ht="15.75" thickTop="1" x14ac:dyDescent="0.25">
      <c r="C50" s="641" t="s">
        <v>587</v>
      </c>
      <c r="D50" s="642"/>
      <c r="E50" s="642"/>
      <c r="F50" s="642"/>
      <c r="G50" s="642"/>
      <c r="H50" s="642"/>
      <c r="I50" s="642"/>
      <c r="J50" s="642"/>
      <c r="K50" s="642"/>
      <c r="L50" s="642"/>
      <c r="M50" s="642"/>
      <c r="N50" s="642"/>
      <c r="O50" s="643"/>
      <c r="R50" s="1195" t="s">
        <v>591</v>
      </c>
      <c r="S50" s="1195"/>
      <c r="T50" s="1195"/>
      <c r="U50" s="1195"/>
      <c r="V50" s="1195"/>
      <c r="W50" s="1196">
        <f>$F$21+$W$48</f>
        <v>12.518600675577833</v>
      </c>
      <c r="X50" s="1197"/>
      <c r="Y50" s="645" t="str">
        <f>heureDecimal2Txt(W50)</f>
        <v>12:31:06.96(12.5186)</v>
      </c>
      <c r="Z50" s="646"/>
      <c r="AA50" s="646"/>
      <c r="AB50" s="646"/>
      <c r="AC50" s="647"/>
    </row>
    <row r="51" spans="2:66" ht="15.75" thickBot="1" x14ac:dyDescent="0.3">
      <c r="C51" s="644" t="s">
        <v>337</v>
      </c>
      <c r="D51" s="644"/>
      <c r="E51" s="644">
        <f>F10</f>
        <v>-6.9496666666666664</v>
      </c>
      <c r="F51" s="644"/>
      <c r="G51" s="644"/>
      <c r="I51" s="1198" t="s">
        <v>588</v>
      </c>
      <c r="J51" s="1199"/>
      <c r="K51" s="1200">
        <f>IF(E51&lt;0,ABS(E51),360-E51)</f>
        <v>6.9496666666666664</v>
      </c>
      <c r="L51" s="1200"/>
      <c r="M51" s="1200"/>
      <c r="N51" s="1200"/>
      <c r="O51" s="1201" t="s">
        <v>34</v>
      </c>
      <c r="R51" s="1195"/>
      <c r="S51" s="1195"/>
      <c r="T51" s="1195"/>
      <c r="U51" s="1195"/>
      <c r="V51" s="1195"/>
      <c r="W51" s="1195"/>
      <c r="X51" s="1202"/>
      <c r="Y51" s="648"/>
      <c r="Z51" s="649"/>
      <c r="AA51" s="649"/>
      <c r="AB51" s="649"/>
      <c r="AC51" s="650"/>
    </row>
    <row r="52" spans="2:66" ht="15.75" thickTop="1" x14ac:dyDescent="0.25">
      <c r="R52" s="1203" t="s">
        <v>606</v>
      </c>
      <c r="S52" s="1203"/>
      <c r="T52" s="1203"/>
      <c r="U52" s="1203"/>
      <c r="V52" s="1203"/>
      <c r="W52" s="1204">
        <f>K51+W48*L43</f>
        <v>7.0049440016853008</v>
      </c>
      <c r="X52" s="1205"/>
      <c r="Y52" s="1140"/>
      <c r="Z52" s="926"/>
      <c r="AA52" s="926"/>
      <c r="AB52" s="926"/>
      <c r="AC52" s="927"/>
    </row>
    <row r="53" spans="2:66" ht="15.75" thickBot="1" x14ac:dyDescent="0.3">
      <c r="R53" s="1203"/>
      <c r="S53" s="1203"/>
      <c r="T53" s="1203"/>
      <c r="U53" s="1203"/>
      <c r="V53" s="1203"/>
      <c r="W53" s="1206"/>
      <c r="X53" s="1207"/>
      <c r="Y53" s="1141"/>
      <c r="Z53" s="928"/>
      <c r="AA53" s="928"/>
      <c r="AB53" s="928"/>
      <c r="AC53" s="929"/>
    </row>
    <row r="54" spans="2:66" ht="15.75" thickTop="1" x14ac:dyDescent="0.25">
      <c r="R54" s="1206" t="s">
        <v>605</v>
      </c>
      <c r="S54" s="1206"/>
      <c r="T54" s="1206"/>
      <c r="U54" s="1206"/>
      <c r="V54" s="1206"/>
      <c r="W54" s="1204">
        <f>IF(W52&lt;180,-W52,360-W52)</f>
        <v>-7.0049440016853008</v>
      </c>
      <c r="X54" s="1205"/>
      <c r="Y54" s="1140" t="str">
        <f>longitudeDecimal2Txt(W54)</f>
        <v>W 07°00.29 (W 07.0049) [W 07°00'17.79]</v>
      </c>
      <c r="Z54" s="926"/>
      <c r="AA54" s="926"/>
      <c r="AB54" s="926"/>
      <c r="AC54" s="927"/>
    </row>
    <row r="55" spans="2:66" ht="15.75" thickBot="1" x14ac:dyDescent="0.3">
      <c r="R55" s="1206"/>
      <c r="S55" s="1206"/>
      <c r="T55" s="1206"/>
      <c r="U55" s="1206"/>
      <c r="V55" s="1206"/>
      <c r="W55" s="1206"/>
      <c r="X55" s="1207"/>
      <c r="Y55" s="1141"/>
      <c r="Z55" s="928"/>
      <c r="AA55" s="928"/>
      <c r="AB55" s="928"/>
      <c r="AC55" s="929"/>
    </row>
    <row r="56" spans="2:66" ht="15.75" thickTop="1" x14ac:dyDescent="0.25">
      <c r="R56" s="1195" t="s">
        <v>617</v>
      </c>
      <c r="S56" s="1195"/>
      <c r="T56" s="1195"/>
      <c r="U56" s="1195"/>
      <c r="V56" s="1195"/>
      <c r="W56" s="1196">
        <f>W50-F15</f>
        <v>2.1783228978000544</v>
      </c>
      <c r="X56" s="1197"/>
      <c r="Y56" s="645" t="s">
        <v>618</v>
      </c>
      <c r="Z56" s="646"/>
      <c r="AA56" s="646"/>
      <c r="AB56" s="646"/>
      <c r="AC56" s="647"/>
    </row>
    <row r="57" spans="2:66" ht="15.75" thickBot="1" x14ac:dyDescent="0.3">
      <c r="R57" s="1195"/>
      <c r="S57" s="1195"/>
      <c r="T57" s="1195"/>
      <c r="U57" s="1195"/>
      <c r="V57" s="1195"/>
      <c r="W57" s="1195"/>
      <c r="X57" s="1202"/>
      <c r="Y57" s="648"/>
      <c r="Z57" s="649"/>
      <c r="AA57" s="649"/>
      <c r="AB57" s="649"/>
      <c r="AC57" s="650"/>
    </row>
    <row r="58" spans="2:66" ht="15.75" thickTop="1" x14ac:dyDescent="0.25">
      <c r="R58" s="1195" t="s">
        <v>616</v>
      </c>
      <c r="S58" s="1195"/>
      <c r="T58" s="1195"/>
      <c r="U58" s="1195"/>
      <c r="V58" s="1195"/>
      <c r="W58" s="1196">
        <f>E40*W56</f>
        <v>10.891614489000272</v>
      </c>
      <c r="X58" s="1197"/>
      <c r="Y58" s="645" t="s">
        <v>149</v>
      </c>
      <c r="Z58" s="646"/>
      <c r="AA58" s="646"/>
      <c r="AB58" s="646"/>
      <c r="AC58" s="647"/>
    </row>
    <row r="59" spans="2:66" ht="15.75" thickBot="1" x14ac:dyDescent="0.3">
      <c r="R59" s="1195"/>
      <c r="S59" s="1195"/>
      <c r="T59" s="1195"/>
      <c r="U59" s="1195"/>
      <c r="V59" s="1195"/>
      <c r="W59" s="1195"/>
      <c r="X59" s="1202"/>
      <c r="Y59" s="648"/>
      <c r="Z59" s="649"/>
      <c r="AA59" s="649"/>
      <c r="AB59" s="649"/>
      <c r="AC59" s="650"/>
    </row>
    <row r="60" spans="2:66" ht="16.5" thickTop="1" thickBot="1" x14ac:dyDescent="0.3"/>
    <row r="61" spans="2:66" s="1156" customFormat="1" ht="17.25" customHeight="1" thickBot="1" x14ac:dyDescent="0.3">
      <c r="B61" s="1208" t="s">
        <v>619</v>
      </c>
      <c r="C61" s="1209"/>
      <c r="D61" s="1209"/>
      <c r="E61" s="1209"/>
      <c r="F61" s="1209"/>
      <c r="G61" s="1209"/>
      <c r="H61" s="1209"/>
      <c r="I61" s="1209"/>
      <c r="J61" s="1209"/>
      <c r="K61" s="1209"/>
      <c r="L61" s="1209"/>
      <c r="M61" s="1209"/>
      <c r="N61" s="1209"/>
      <c r="O61" s="1209"/>
      <c r="P61" s="1209"/>
      <c r="Q61" s="1209"/>
      <c r="R61" s="1209"/>
      <c r="S61" s="1209"/>
      <c r="T61" s="1209"/>
      <c r="U61" s="1209"/>
      <c r="V61" s="1209"/>
      <c r="W61" s="1209"/>
      <c r="X61" s="1209"/>
      <c r="Y61" s="1209"/>
      <c r="Z61" s="1209"/>
      <c r="AA61" s="1209"/>
      <c r="AB61" s="147"/>
      <c r="AC61" s="1155"/>
      <c r="AD61" s="1155"/>
      <c r="AE61" s="1155"/>
      <c r="AF61" s="1155"/>
      <c r="AG61" s="1155"/>
      <c r="AH61" s="1155"/>
      <c r="AI61" s="1155"/>
      <c r="AJ61" s="1155"/>
      <c r="AK61" s="1155"/>
      <c r="AL61" s="1155"/>
      <c r="AM61" s="1155"/>
      <c r="AN61" s="1155"/>
      <c r="AO61" s="1155"/>
      <c r="AP61" s="1155"/>
      <c r="AQ61" s="1155"/>
      <c r="AR61" s="1155"/>
      <c r="AS61" s="1155"/>
      <c r="AT61" s="1155"/>
      <c r="AU61" s="1155"/>
      <c r="AV61" s="1155"/>
      <c r="AW61" s="1155"/>
      <c r="AX61" s="1155"/>
      <c r="AY61" s="1155"/>
      <c r="AZ61" s="1155"/>
      <c r="BA61" s="1155"/>
      <c r="BB61" s="1155"/>
      <c r="BC61" s="1155"/>
      <c r="BD61" s="1155"/>
      <c r="BE61" s="1155"/>
      <c r="BF61" s="1155"/>
      <c r="BG61" s="1155"/>
      <c r="BH61" s="1155"/>
      <c r="BI61" s="1155"/>
      <c r="BJ61" s="1155"/>
      <c r="BK61" s="1155"/>
      <c r="BL61" s="1155"/>
      <c r="BM61" s="1155"/>
      <c r="BN61" s="1159"/>
    </row>
  </sheetData>
  <sheetProtection selectLockedCells="1"/>
  <mergeCells count="80">
    <mergeCell ref="R58:V59"/>
    <mergeCell ref="W58:X59"/>
    <mergeCell ref="Y58:AC59"/>
    <mergeCell ref="B61:AA61"/>
    <mergeCell ref="R54:V55"/>
    <mergeCell ref="W54:X55"/>
    <mergeCell ref="Y54:AC55"/>
    <mergeCell ref="R56:V57"/>
    <mergeCell ref="W56:X57"/>
    <mergeCell ref="Y56:AC57"/>
    <mergeCell ref="Y52:AC53"/>
    <mergeCell ref="K43:K44"/>
    <mergeCell ref="L43:N44"/>
    <mergeCell ref="O43:O44"/>
    <mergeCell ref="E33:K34"/>
    <mergeCell ref="I35:I36"/>
    <mergeCell ref="J35:N36"/>
    <mergeCell ref="W52:X53"/>
    <mergeCell ref="R48:V49"/>
    <mergeCell ref="R50:V51"/>
    <mergeCell ref="R52:V53"/>
    <mergeCell ref="I51:J51"/>
    <mergeCell ref="W50:X51"/>
    <mergeCell ref="F35:H36"/>
    <mergeCell ref="O35:X36"/>
    <mergeCell ref="E51:G51"/>
    <mergeCell ref="O15:X16"/>
    <mergeCell ref="I15:N16"/>
    <mergeCell ref="F21:H22"/>
    <mergeCell ref="I21:N22"/>
    <mergeCell ref="O21:X22"/>
    <mergeCell ref="E19:K20"/>
    <mergeCell ref="C50:O50"/>
    <mergeCell ref="W48:X49"/>
    <mergeCell ref="C42:O42"/>
    <mergeCell ref="E29:H30"/>
    <mergeCell ref="F31:H32"/>
    <mergeCell ref="I31:N32"/>
    <mergeCell ref="O31:X32"/>
    <mergeCell ref="I39:J40"/>
    <mergeCell ref="K51:N51"/>
    <mergeCell ref="Y50:AC51"/>
    <mergeCell ref="M45:N45"/>
    <mergeCell ref="S43:AA43"/>
    <mergeCell ref="S44:AA46"/>
    <mergeCell ref="C47:O47"/>
    <mergeCell ref="C48:H48"/>
    <mergeCell ref="I48:N48"/>
    <mergeCell ref="C45:D45"/>
    <mergeCell ref="E45:G45"/>
    <mergeCell ref="I43:J45"/>
    <mergeCell ref="C43:D43"/>
    <mergeCell ref="E43:G43"/>
    <mergeCell ref="C44:D44"/>
    <mergeCell ref="E44:G44"/>
    <mergeCell ref="C51:D51"/>
    <mergeCell ref="K39:L40"/>
    <mergeCell ref="M39:M40"/>
    <mergeCell ref="C38:M38"/>
    <mergeCell ref="C39:D39"/>
    <mergeCell ref="E39:G39"/>
    <mergeCell ref="C40:D40"/>
    <mergeCell ref="E40:G40"/>
    <mergeCell ref="F27:H28"/>
    <mergeCell ref="O27:X28"/>
    <mergeCell ref="I27:N28"/>
    <mergeCell ref="E8:H9"/>
    <mergeCell ref="F10:H11"/>
    <mergeCell ref="I10:I11"/>
    <mergeCell ref="J10:N11"/>
    <mergeCell ref="O10:X11"/>
    <mergeCell ref="E25:H26"/>
    <mergeCell ref="E13:H14"/>
    <mergeCell ref="F15:H16"/>
    <mergeCell ref="O5:X6"/>
    <mergeCell ref="E3:H4"/>
    <mergeCell ref="A5:C5"/>
    <mergeCell ref="F5:H6"/>
    <mergeCell ref="I5:I6"/>
    <mergeCell ref="J5:N6"/>
  </mergeCells>
  <dataValidations count="2">
    <dataValidation type="list" allowBlank="1" showInputMessage="1" showErrorMessage="1" sqref="I5:I6 I35:I36" xr:uid="{A0B34710-7EA8-467A-9DCD-360D0BECE256}">
      <formula1>$A$7:$A$8</formula1>
    </dataValidation>
    <dataValidation type="list" allowBlank="1" showInputMessage="1" showErrorMessage="1" sqref="I10:I11" xr:uid="{759572A2-77FF-4924-B450-4A7FE467D243}">
      <formula1>$B$7:$B$8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164"/>
  <sheetViews>
    <sheetView topLeftCell="A121" zoomScaleNormal="100" workbookViewId="0">
      <selection activeCell="F130" sqref="F130:P136"/>
    </sheetView>
  </sheetViews>
  <sheetFormatPr baseColWidth="10" defaultColWidth="5.140625" defaultRowHeight="17.25" customHeight="1" outlineLevelCol="1" x14ac:dyDescent="0.2"/>
  <cols>
    <col min="1" max="2" width="6.42578125" style="99" customWidth="1"/>
    <col min="3" max="6" width="9" style="144" customWidth="1"/>
    <col min="7" max="7" width="7" style="144" customWidth="1"/>
    <col min="8" max="9" width="7" style="99" customWidth="1"/>
    <col min="10" max="10" width="6.42578125" style="99" customWidth="1"/>
    <col min="11" max="11" width="8" style="99" customWidth="1"/>
    <col min="12" max="19" width="6.42578125" style="99" customWidth="1"/>
    <col min="20" max="20" width="7.28515625" style="99" customWidth="1"/>
    <col min="21" max="21" width="6.42578125" style="99" customWidth="1"/>
    <col min="22" max="22" width="7.28515625" style="99" customWidth="1"/>
    <col min="23" max="33" width="6.42578125" style="99" customWidth="1"/>
    <col min="34" max="34" width="1.28515625" style="201" customWidth="1" outlineLevel="1"/>
    <col min="35" max="35" width="21.28515625" style="182" customWidth="1" outlineLevel="1"/>
    <col min="36" max="36" width="15.5703125" style="182" customWidth="1" outlineLevel="1"/>
    <col min="37" max="37" width="12.140625" style="182" customWidth="1" outlineLevel="1"/>
    <col min="38" max="38" width="28.5703125" style="182" customWidth="1" outlineLevel="1"/>
    <col min="39" max="52" width="19" style="182" customWidth="1" outlineLevel="1"/>
    <col min="53" max="71" width="15.85546875" style="182" customWidth="1" outlineLevel="1"/>
    <col min="72" max="72" width="15.85546875" style="99" customWidth="1" outlineLevel="1"/>
    <col min="73" max="16384" width="5.140625" style="99"/>
  </cols>
  <sheetData>
    <row r="1" spans="1:73" ht="17.25" customHeight="1" x14ac:dyDescent="0.2">
      <c r="C1" s="403" t="s">
        <v>236</v>
      </c>
      <c r="D1" s="403"/>
      <c r="E1" s="403"/>
      <c r="F1" s="403"/>
      <c r="G1" s="403" t="s">
        <v>237</v>
      </c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</row>
    <row r="2" spans="1:73" ht="17.25" customHeight="1" x14ac:dyDescent="0.2"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1:73" ht="17.25" customHeight="1" x14ac:dyDescent="0.2">
      <c r="C3" s="403"/>
      <c r="D3" s="403"/>
      <c r="E3" s="403"/>
      <c r="F3" s="403"/>
      <c r="G3" s="771" t="s">
        <v>241</v>
      </c>
      <c r="H3" s="771"/>
      <c r="I3" s="771"/>
      <c r="J3" s="773" t="s">
        <v>240</v>
      </c>
      <c r="K3" s="773"/>
      <c r="L3" s="773"/>
    </row>
    <row r="4" spans="1:73" ht="17.25" customHeight="1" x14ac:dyDescent="0.2">
      <c r="C4" s="403"/>
      <c r="D4" s="403"/>
      <c r="E4" s="403"/>
      <c r="F4" s="403"/>
      <c r="G4" s="772"/>
      <c r="H4" s="772"/>
      <c r="I4" s="772"/>
      <c r="J4" s="774"/>
      <c r="K4" s="774"/>
      <c r="L4" s="774"/>
      <c r="O4" s="99" t="s">
        <v>47</v>
      </c>
      <c r="P4" s="99" t="s">
        <v>363</v>
      </c>
    </row>
    <row r="6" spans="1:73" ht="17.25" customHeight="1" thickBot="1" x14ac:dyDescent="0.25"/>
    <row r="7" spans="1:73" s="182" customFormat="1" ht="17.25" customHeight="1" thickBot="1" x14ac:dyDescent="0.25">
      <c r="A7" s="99"/>
      <c r="B7" s="108" t="s">
        <v>20</v>
      </c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202"/>
      <c r="BT7" s="99"/>
      <c r="BU7" s="99"/>
    </row>
    <row r="8" spans="1:73" s="182" customFormat="1" ht="18" customHeight="1" thickBot="1" x14ac:dyDescent="0.25">
      <c r="A8" s="99"/>
      <c r="B8" s="99"/>
      <c r="C8" s="622" t="s">
        <v>21</v>
      </c>
      <c r="D8" s="622"/>
      <c r="E8" s="622"/>
      <c r="F8" s="622"/>
      <c r="G8" s="622"/>
      <c r="H8" s="622"/>
      <c r="I8" s="622"/>
      <c r="J8" s="779">
        <f>M8</f>
        <v>4</v>
      </c>
      <c r="K8" s="780"/>
      <c r="L8" s="781"/>
      <c r="M8" s="782">
        <v>4</v>
      </c>
      <c r="N8" s="782"/>
      <c r="O8" s="782"/>
      <c r="Z8" s="99"/>
      <c r="AA8" s="99"/>
      <c r="AB8" s="99"/>
      <c r="AC8" s="99"/>
      <c r="AD8" s="99"/>
      <c r="AE8" s="99"/>
      <c r="AF8" s="99"/>
      <c r="AG8" s="99"/>
      <c r="AH8" s="201"/>
      <c r="BT8" s="99"/>
      <c r="BU8" s="99"/>
    </row>
    <row r="9" spans="1:73" s="182" customFormat="1" ht="18" customHeight="1" thickTop="1" thickBot="1" x14ac:dyDescent="0.25">
      <c r="A9" s="99"/>
      <c r="C9" s="783" t="s">
        <v>22</v>
      </c>
      <c r="D9" s="784"/>
      <c r="E9" s="784"/>
      <c r="F9" s="784"/>
      <c r="G9" s="784"/>
      <c r="H9" s="784"/>
      <c r="I9" s="785"/>
      <c r="J9" s="786" cm="1">
        <f t="array" ref="J9">angleConvert2Decimal(M9)</f>
        <v>0.05</v>
      </c>
      <c r="K9" s="787"/>
      <c r="L9" s="787"/>
      <c r="M9" s="788" t="s">
        <v>457</v>
      </c>
      <c r="N9" s="782"/>
      <c r="O9" s="782"/>
      <c r="P9" s="778" t="str" cm="1">
        <f t="array" ref="P9">angleDecimal2Txt(J9)</f>
        <v>+00°03.00 (+00.0500) [+00°03'00.00]</v>
      </c>
      <c r="Q9" s="778"/>
      <c r="R9" s="778"/>
      <c r="S9" s="778"/>
      <c r="T9" s="778"/>
      <c r="U9" s="778"/>
      <c r="V9" s="778"/>
      <c r="W9" s="778"/>
      <c r="X9" s="778"/>
      <c r="Z9" s="99"/>
      <c r="AA9" s="99"/>
      <c r="AB9" s="99"/>
      <c r="AC9" s="99"/>
      <c r="AD9" s="99"/>
      <c r="AE9" s="99"/>
      <c r="AF9" s="99"/>
      <c r="AG9" s="99"/>
      <c r="AH9" s="201"/>
      <c r="BT9" s="99"/>
      <c r="BU9" s="99"/>
    </row>
    <row r="10" spans="1:73" s="182" customFormat="1" ht="17.25" customHeight="1" thickTop="1" thickBot="1" x14ac:dyDescent="0.25">
      <c r="A10" s="99"/>
      <c r="B10" s="99"/>
      <c r="Z10" s="99"/>
      <c r="AA10" s="99"/>
      <c r="AB10" s="99"/>
      <c r="AC10" s="99"/>
      <c r="AD10" s="99"/>
      <c r="AE10" s="99"/>
      <c r="AF10" s="99"/>
      <c r="AG10" s="99"/>
      <c r="AH10" s="201"/>
      <c r="AM10" s="99"/>
      <c r="AN10" s="99"/>
      <c r="BT10" s="99"/>
      <c r="BU10" s="99"/>
    </row>
    <row r="11" spans="1:73" s="182" customFormat="1" ht="17.25" customHeight="1" thickBot="1" x14ac:dyDescent="0.25">
      <c r="A11" s="99"/>
      <c r="B11" s="108" t="s">
        <v>389</v>
      </c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201"/>
      <c r="AM11" s="99"/>
      <c r="AN11" s="99"/>
      <c r="BT11" s="99"/>
      <c r="BU11" s="99"/>
    </row>
    <row r="12" spans="1:73" s="182" customFormat="1" ht="17.25" customHeight="1" x14ac:dyDescent="0.2">
      <c r="A12" s="99"/>
      <c r="B12" s="99"/>
      <c r="E12" s="524" t="s">
        <v>7</v>
      </c>
      <c r="F12" s="524"/>
      <c r="G12" s="524"/>
      <c r="H12" s="524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201"/>
      <c r="BT12" s="99"/>
      <c r="BU12" s="99"/>
    </row>
    <row r="13" spans="1:73" s="182" customFormat="1" ht="17.25" customHeight="1" thickBot="1" x14ac:dyDescent="0.25">
      <c r="A13" s="99"/>
      <c r="B13" s="99"/>
      <c r="E13" s="524"/>
      <c r="F13" s="524"/>
      <c r="G13" s="524"/>
      <c r="H13" s="524"/>
      <c r="J13" s="182" t="s">
        <v>233</v>
      </c>
      <c r="L13" s="182" t="s">
        <v>234</v>
      </c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201"/>
      <c r="BT13" s="99"/>
      <c r="BU13" s="99"/>
    </row>
    <row r="14" spans="1:73" s="182" customFormat="1" ht="17.25" customHeight="1" thickTop="1" thickBot="1" x14ac:dyDescent="0.25">
      <c r="A14" s="216" t="s">
        <v>41</v>
      </c>
      <c r="B14" s="217"/>
      <c r="C14" s="218"/>
      <c r="F14" s="791">
        <f>AJ15</f>
        <v>48.866666666666667</v>
      </c>
      <c r="G14" s="792"/>
      <c r="H14" s="792"/>
      <c r="I14" s="793" t="s">
        <v>3</v>
      </c>
      <c r="J14" s="794" t="s">
        <v>225</v>
      </c>
      <c r="K14" s="793"/>
      <c r="L14" s="793"/>
      <c r="M14" s="793"/>
      <c r="N14" s="793"/>
      <c r="O14" s="744" t="str" cm="1">
        <f t="array" ref="O14">angleDecimal2Txt(F14)</f>
        <v>+48°52.00 (+48.8666) [+48°52'00.00]</v>
      </c>
      <c r="P14" s="744"/>
      <c r="Q14" s="744"/>
      <c r="R14" s="744"/>
      <c r="S14" s="744"/>
      <c r="T14" s="744"/>
      <c r="U14" s="744"/>
      <c r="V14" s="744"/>
      <c r="W14" s="744"/>
      <c r="X14" s="744"/>
      <c r="AG14" s="99"/>
      <c r="AH14" s="201"/>
      <c r="AI14" s="219" t="s">
        <v>334</v>
      </c>
      <c r="AJ14" s="219">
        <f>VLOOKUP(I14,A16:C17,3)</f>
        <v>1</v>
      </c>
      <c r="BT14" s="99"/>
      <c r="BU14" s="99"/>
    </row>
    <row r="15" spans="1:73" s="182" customFormat="1" ht="17.25" customHeight="1" thickTop="1" thickBot="1" x14ac:dyDescent="0.25">
      <c r="A15" s="186" t="s">
        <v>49</v>
      </c>
      <c r="B15" s="187" t="s">
        <v>50</v>
      </c>
      <c r="C15" s="188"/>
      <c r="F15" s="792"/>
      <c r="G15" s="792"/>
      <c r="H15" s="792"/>
      <c r="I15" s="793"/>
      <c r="J15" s="793"/>
      <c r="K15" s="793"/>
      <c r="L15" s="793"/>
      <c r="M15" s="793"/>
      <c r="N15" s="793"/>
      <c r="O15" s="744"/>
      <c r="P15" s="744"/>
      <c r="Q15" s="744"/>
      <c r="R15" s="744"/>
      <c r="S15" s="744"/>
      <c r="T15" s="744"/>
      <c r="U15" s="744"/>
      <c r="V15" s="744"/>
      <c r="W15" s="744"/>
      <c r="X15" s="744"/>
      <c r="AG15" s="99"/>
      <c r="AH15" s="201"/>
      <c r="AI15" s="219" t="s">
        <v>335</v>
      </c>
      <c r="AJ15" s="219" cm="1">
        <f t="array" ref="AJ15">angleConvert2Decimal(J14)*AJ14</f>
        <v>48.866666666666667</v>
      </c>
      <c r="BT15" s="99"/>
      <c r="BU15" s="99"/>
    </row>
    <row r="16" spans="1:73" s="182" customFormat="1" ht="17.25" customHeight="1" thickTop="1" x14ac:dyDescent="0.2">
      <c r="A16" s="186" t="s">
        <v>3</v>
      </c>
      <c r="B16" s="187" t="s">
        <v>5</v>
      </c>
      <c r="C16" s="188">
        <v>1</v>
      </c>
      <c r="I16" s="99"/>
      <c r="J16" s="99"/>
      <c r="K16" s="99"/>
      <c r="L16" s="99"/>
      <c r="M16" s="99"/>
      <c r="N16" s="99"/>
      <c r="O16" s="99"/>
      <c r="P16" s="99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201"/>
      <c r="BT16" s="99"/>
      <c r="BU16" s="99"/>
    </row>
    <row r="17" spans="1:73" s="182" customFormat="1" ht="17.25" customHeight="1" thickBot="1" x14ac:dyDescent="0.25">
      <c r="A17" s="189" t="s">
        <v>4</v>
      </c>
      <c r="B17" s="190" t="s">
        <v>6</v>
      </c>
      <c r="C17" s="191">
        <v>-1</v>
      </c>
      <c r="E17" s="517" t="s">
        <v>8</v>
      </c>
      <c r="F17" s="517"/>
      <c r="G17" s="517"/>
      <c r="H17" s="517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201"/>
      <c r="BT17" s="99"/>
      <c r="BU17" s="99"/>
    </row>
    <row r="18" spans="1:73" s="182" customFormat="1" ht="17.25" customHeight="1" thickBot="1" x14ac:dyDescent="0.25">
      <c r="A18" s="99"/>
      <c r="B18" s="99"/>
      <c r="E18" s="517"/>
      <c r="F18" s="517"/>
      <c r="G18" s="517"/>
      <c r="H18" s="517"/>
      <c r="J18" s="182" t="s">
        <v>233</v>
      </c>
      <c r="L18" s="182" t="s">
        <v>242</v>
      </c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201"/>
      <c r="BT18" s="99"/>
      <c r="BU18" s="99"/>
    </row>
    <row r="19" spans="1:73" s="182" customFormat="1" ht="17.25" customHeight="1" thickTop="1" thickBot="1" x14ac:dyDescent="0.25">
      <c r="A19" s="99"/>
      <c r="F19" s="791">
        <f>AJ20</f>
        <v>-2.25</v>
      </c>
      <c r="G19" s="792"/>
      <c r="H19" s="792"/>
      <c r="I19" s="793" t="s">
        <v>6</v>
      </c>
      <c r="J19" s="794" t="s">
        <v>463</v>
      </c>
      <c r="K19" s="793"/>
      <c r="L19" s="793"/>
      <c r="M19" s="793"/>
      <c r="N19" s="793"/>
      <c r="O19" s="744" t="str" cm="1">
        <f t="array" ref="O19">angleDecimal2Txt(F19)</f>
        <v>-02°15.00 (-02.2500) [-02°15'00.00]</v>
      </c>
      <c r="P19" s="744"/>
      <c r="Q19" s="744"/>
      <c r="R19" s="744"/>
      <c r="S19" s="744"/>
      <c r="T19" s="744"/>
      <c r="U19" s="744"/>
      <c r="V19" s="744"/>
      <c r="W19" s="744"/>
      <c r="X19" s="744"/>
      <c r="AG19" s="99"/>
      <c r="AH19" s="202"/>
      <c r="AI19" s="219" t="s">
        <v>336</v>
      </c>
      <c r="AJ19" s="219">
        <f>VLOOKUP(I19,B16:C17,2)</f>
        <v>-1</v>
      </c>
      <c r="BO19" s="99"/>
      <c r="BP19" s="99"/>
      <c r="BQ19" s="99"/>
      <c r="BR19" s="99"/>
      <c r="BS19" s="99"/>
      <c r="BT19" s="99"/>
      <c r="BU19" s="99"/>
    </row>
    <row r="20" spans="1:73" ht="17.25" customHeight="1" thickTop="1" thickBot="1" x14ac:dyDescent="0.25">
      <c r="C20" s="182"/>
      <c r="D20" s="182"/>
      <c r="E20" s="182"/>
      <c r="F20" s="792"/>
      <c r="G20" s="792"/>
      <c r="H20" s="792"/>
      <c r="I20" s="793"/>
      <c r="J20" s="793"/>
      <c r="K20" s="793"/>
      <c r="L20" s="793"/>
      <c r="M20" s="793"/>
      <c r="N20" s="793"/>
      <c r="O20" s="744"/>
      <c r="P20" s="744"/>
      <c r="Q20" s="744"/>
      <c r="R20" s="744"/>
      <c r="S20" s="744"/>
      <c r="T20" s="744"/>
      <c r="U20" s="744"/>
      <c r="V20" s="744"/>
      <c r="W20" s="744"/>
      <c r="X20" s="744"/>
      <c r="Y20" s="182"/>
      <c r="Z20" s="182"/>
      <c r="AA20" s="182"/>
      <c r="AB20" s="182"/>
      <c r="AC20" s="182"/>
      <c r="AD20" s="182"/>
      <c r="AE20" s="182"/>
      <c r="AF20" s="182"/>
      <c r="AI20" s="219" t="s">
        <v>337</v>
      </c>
      <c r="AJ20" s="219" cm="1">
        <f t="array" ref="AJ20">angleConvert2Decimal(J19)*AJ19</f>
        <v>-2.25</v>
      </c>
      <c r="BO20" s="99"/>
      <c r="BP20" s="99"/>
      <c r="BQ20" s="99"/>
      <c r="BR20" s="99"/>
      <c r="BS20" s="99"/>
    </row>
    <row r="21" spans="1:73" ht="17.25" customHeight="1" thickTop="1" x14ac:dyDescent="0.2"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182"/>
      <c r="AF21" s="182"/>
      <c r="BO21" s="99"/>
      <c r="BP21" s="99"/>
      <c r="BQ21" s="99"/>
      <c r="BR21" s="99"/>
      <c r="BS21" s="99"/>
    </row>
    <row r="22" spans="1:73" ht="17.25" customHeight="1" x14ac:dyDescent="0.2">
      <c r="BP22" s="99"/>
      <c r="BQ22" s="99"/>
      <c r="BR22" s="99"/>
      <c r="BS22" s="99"/>
    </row>
    <row r="23" spans="1:73" s="182" customFormat="1" ht="17.25" customHeight="1" thickBot="1" x14ac:dyDescent="0.25">
      <c r="A23" s="99"/>
      <c r="B23" s="99"/>
      <c r="C23" s="144"/>
      <c r="D23" s="144"/>
      <c r="E23" s="144"/>
      <c r="F23" s="144"/>
      <c r="G23" s="144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Y23" s="99"/>
      <c r="Z23" s="99"/>
      <c r="AA23" s="99"/>
      <c r="AB23" s="99"/>
      <c r="AC23" s="99"/>
      <c r="AD23" s="99"/>
      <c r="AE23" s="99"/>
      <c r="AF23" s="99"/>
      <c r="AG23" s="99"/>
      <c r="AH23" s="201"/>
      <c r="BO23" s="99"/>
      <c r="BP23" s="99"/>
    </row>
    <row r="24" spans="1:73" s="182" customFormat="1" ht="17.25" customHeight="1" thickBot="1" x14ac:dyDescent="0.25">
      <c r="A24" s="99"/>
      <c r="B24" s="1146" t="s">
        <v>390</v>
      </c>
      <c r="C24" s="1147"/>
      <c r="D24" s="1147"/>
      <c r="E24" s="1147"/>
      <c r="F24" s="1147"/>
      <c r="G24" s="1147"/>
      <c r="H24" s="1147"/>
      <c r="I24" s="1147"/>
      <c r="J24" s="1147"/>
      <c r="K24" s="1147"/>
      <c r="L24" s="1147"/>
      <c r="M24" s="1147"/>
      <c r="N24" s="1147"/>
      <c r="O24" s="1147"/>
      <c r="P24" s="1147"/>
      <c r="Q24" s="1147"/>
      <c r="R24" s="1147"/>
      <c r="S24" s="1147"/>
      <c r="T24" s="1147"/>
      <c r="U24" s="1147"/>
      <c r="V24" s="1147"/>
      <c r="W24" s="1147"/>
      <c r="X24" s="1147"/>
      <c r="Y24" s="1147"/>
      <c r="Z24" s="1147"/>
      <c r="AA24" s="1147"/>
      <c r="AB24" s="1147"/>
      <c r="AC24" s="1147"/>
      <c r="AD24" s="1147"/>
      <c r="AE24" s="1147"/>
      <c r="AF24" s="1147"/>
      <c r="AG24" s="1148"/>
      <c r="AH24" s="201"/>
      <c r="BO24" s="99"/>
      <c r="BP24" s="99"/>
    </row>
    <row r="25" spans="1:73" ht="17.25" customHeight="1" thickBot="1" x14ac:dyDescent="0.25">
      <c r="C25" s="1142" t="s">
        <v>1</v>
      </c>
      <c r="D25" s="1142"/>
      <c r="E25" s="1142"/>
      <c r="F25" s="1142"/>
      <c r="G25" s="1143" t="s">
        <v>189</v>
      </c>
      <c r="H25" s="1143"/>
      <c r="I25" s="1143"/>
      <c r="J25" s="1143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</row>
    <row r="26" spans="1:73" s="182" customFormat="1" ht="17.25" customHeight="1" thickTop="1" thickBot="1" x14ac:dyDescent="0.25">
      <c r="A26" s="99"/>
      <c r="B26" s="99"/>
      <c r="C26" s="775" t="s">
        <v>393</v>
      </c>
      <c r="D26" s="775"/>
      <c r="E26" s="775"/>
      <c r="F26" s="775"/>
      <c r="G26" s="789" t="s">
        <v>462</v>
      </c>
      <c r="H26" s="790"/>
      <c r="I26" s="790"/>
      <c r="J26" s="790"/>
      <c r="K26" s="797" cm="1">
        <f t="array" ref="K26">heureConvert2Decimal(G26)</f>
        <v>12.019444444444446</v>
      </c>
      <c r="L26" s="798"/>
      <c r="M26" s="798"/>
      <c r="N26" s="798"/>
      <c r="O26" s="682" t="str" cm="1">
        <f t="array" ref="O26">heureDecimal2Txt(K26)</f>
        <v>12:01:10.00(12.0194)</v>
      </c>
      <c r="P26" s="683"/>
      <c r="Q26" s="683"/>
      <c r="R26" s="683"/>
      <c r="S26" s="683"/>
      <c r="T26" s="683"/>
      <c r="U26" s="683"/>
      <c r="V26" s="684"/>
      <c r="Y26" s="99"/>
      <c r="Z26" s="99"/>
      <c r="AA26" s="99"/>
      <c r="AB26" s="99"/>
      <c r="AC26" s="99"/>
      <c r="AD26" s="99"/>
      <c r="AE26" s="99"/>
      <c r="AF26" s="99"/>
      <c r="AG26" s="99"/>
      <c r="AH26" s="201"/>
      <c r="BO26" s="99"/>
      <c r="BP26" s="99"/>
    </row>
    <row r="27" spans="1:73" s="235" customFormat="1" ht="32.25" customHeight="1" thickTop="1" x14ac:dyDescent="0.25">
      <c r="A27" s="234"/>
      <c r="B27" s="234"/>
      <c r="C27" s="776" t="s">
        <v>417</v>
      </c>
      <c r="D27" s="776"/>
      <c r="E27" s="776"/>
      <c r="F27" s="776"/>
      <c r="G27" s="799" t="str" cm="1">
        <f t="array" ref="G27">heureDecimal2Txt(K27, 0)</f>
        <v>12:10:10.00</v>
      </c>
      <c r="H27" s="799"/>
      <c r="I27" s="799"/>
      <c r="J27" s="799"/>
      <c r="K27" s="795">
        <f>K26-F19/15</f>
        <v>12.169444444444446</v>
      </c>
      <c r="L27" s="796"/>
      <c r="M27" s="796"/>
      <c r="N27" s="796"/>
      <c r="O27" s="234"/>
      <c r="P27" s="234"/>
      <c r="V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6"/>
      <c r="BO27" s="234"/>
      <c r="BP27" s="234"/>
    </row>
    <row r="28" spans="1:73" s="182" customFormat="1" ht="17.25" customHeight="1" x14ac:dyDescent="0.2">
      <c r="A28" s="99"/>
      <c r="B28" s="99"/>
      <c r="C28" s="803" t="s">
        <v>427</v>
      </c>
      <c r="D28" s="803"/>
      <c r="E28" s="803"/>
      <c r="F28" s="803"/>
      <c r="G28" s="802" t="str" cm="1">
        <f t="array" ref="G28">heureDecimal2Txt(AJ30,0)</f>
        <v>12:10:10.00</v>
      </c>
      <c r="H28" s="802"/>
      <c r="I28" s="802"/>
      <c r="J28" s="802"/>
      <c r="K28" s="523" t="s">
        <v>193</v>
      </c>
      <c r="L28" s="523"/>
      <c r="M28" s="523"/>
      <c r="N28" s="523"/>
      <c r="O28" s="523"/>
      <c r="P28" s="523" t="s">
        <v>194</v>
      </c>
      <c r="Q28" s="523"/>
      <c r="R28" s="523"/>
      <c r="S28" s="523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201"/>
      <c r="AI28" s="219" t="s">
        <v>329</v>
      </c>
      <c r="AJ28" s="220">
        <f>K30*3600</f>
        <v>0</v>
      </c>
      <c r="AL28" s="203" t="s">
        <v>425</v>
      </c>
      <c r="AM28" s="209">
        <f>(-1)*AM29</f>
        <v>0</v>
      </c>
      <c r="BO28" s="99"/>
      <c r="BP28" s="99"/>
    </row>
    <row r="29" spans="1:73" s="182" customFormat="1" ht="17.25" customHeight="1" x14ac:dyDescent="0.2">
      <c r="A29" s="99"/>
      <c r="B29" s="99"/>
      <c r="C29" s="803"/>
      <c r="D29" s="803"/>
      <c r="E29" s="803"/>
      <c r="F29" s="803"/>
      <c r="G29" s="802"/>
      <c r="H29" s="802"/>
      <c r="I29" s="802"/>
      <c r="J29" s="802"/>
      <c r="K29" s="523"/>
      <c r="L29" s="523"/>
      <c r="M29" s="523"/>
      <c r="N29" s="523"/>
      <c r="O29" s="523"/>
      <c r="P29" s="523"/>
      <c r="Q29" s="523"/>
      <c r="R29" s="523"/>
      <c r="S29" s="523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201"/>
      <c r="AI29" s="219" t="s">
        <v>330</v>
      </c>
      <c r="AJ29" s="220">
        <f>P30</f>
        <v>0</v>
      </c>
      <c r="AL29" s="203" t="s">
        <v>426</v>
      </c>
      <c r="AM29" s="239">
        <f>AJ29+AJ28</f>
        <v>0</v>
      </c>
      <c r="BO29" s="99"/>
      <c r="BP29" s="99"/>
    </row>
    <row r="30" spans="1:73" s="182" customFormat="1" ht="17.25" customHeight="1" x14ac:dyDescent="0.2">
      <c r="A30" s="99"/>
      <c r="B30" s="99"/>
      <c r="C30" s="803"/>
      <c r="D30" s="803"/>
      <c r="E30" s="803"/>
      <c r="F30" s="803"/>
      <c r="G30" s="802"/>
      <c r="H30" s="802"/>
      <c r="I30" s="802"/>
      <c r="J30" s="802"/>
      <c r="K30" s="801">
        <v>0</v>
      </c>
      <c r="L30" s="801"/>
      <c r="M30" s="801"/>
      <c r="N30" s="801"/>
      <c r="O30" s="801"/>
      <c r="P30" s="801">
        <v>0</v>
      </c>
      <c r="Q30" s="801"/>
      <c r="R30" s="801"/>
      <c r="S30" s="801"/>
      <c r="X30" s="99"/>
      <c r="Y30" s="99"/>
      <c r="Z30" s="99"/>
      <c r="AA30" s="99"/>
      <c r="AB30" s="99"/>
      <c r="AC30" s="99"/>
      <c r="AD30" s="99"/>
      <c r="AE30" s="99"/>
      <c r="AF30" s="99"/>
      <c r="AG30" s="99"/>
      <c r="AH30" s="201"/>
      <c r="AI30" s="209" t="s">
        <v>328</v>
      </c>
      <c r="AJ30" s="240">
        <f>K27+AM28/3600</f>
        <v>12.169444444444446</v>
      </c>
      <c r="BO30" s="99"/>
      <c r="BP30" s="99"/>
    </row>
    <row r="31" spans="1:73" s="182" customFormat="1" ht="17.25" customHeight="1" thickBot="1" x14ac:dyDescent="0.25">
      <c r="A31" s="99"/>
      <c r="B31" s="99"/>
      <c r="C31" s="144"/>
      <c r="D31" s="144"/>
      <c r="E31" s="144"/>
      <c r="AG31" s="99"/>
      <c r="AH31" s="201"/>
      <c r="BO31" s="99"/>
      <c r="BP31" s="99"/>
    </row>
    <row r="32" spans="1:73" ht="17.25" customHeight="1" thickBot="1" x14ac:dyDescent="0.25">
      <c r="B32" s="108" t="s">
        <v>0</v>
      </c>
      <c r="C32" s="145"/>
      <c r="D32" s="145"/>
      <c r="E32" s="204"/>
      <c r="F32" s="204"/>
      <c r="G32" s="205"/>
      <c r="H32" s="204"/>
      <c r="I32" s="204"/>
      <c r="J32" s="145"/>
      <c r="K32" s="145"/>
      <c r="L32" s="162"/>
      <c r="M32" s="162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09"/>
      <c r="AB32" s="109"/>
      <c r="AC32" s="109"/>
      <c r="AD32" s="109"/>
      <c r="AE32" s="109"/>
      <c r="AF32" s="109"/>
      <c r="AG32" s="185"/>
      <c r="AH32" s="202"/>
      <c r="AK32" s="99"/>
      <c r="AL32" s="99"/>
    </row>
    <row r="33" spans="1:74" ht="17.25" customHeight="1" thickTop="1" thickBot="1" x14ac:dyDescent="0.25">
      <c r="C33" s="714"/>
      <c r="D33" s="715"/>
      <c r="E33" s="800" t="s">
        <v>408</v>
      </c>
      <c r="F33" s="753"/>
      <c r="G33" s="744" t="s">
        <v>413</v>
      </c>
      <c r="H33" s="744"/>
      <c r="I33" s="744"/>
      <c r="J33" s="744"/>
      <c r="K33" s="745"/>
      <c r="L33" s="804" t="s">
        <v>446</v>
      </c>
      <c r="M33" s="805"/>
      <c r="R33" s="752" t="s">
        <v>2</v>
      </c>
      <c r="S33" s="753"/>
      <c r="T33" s="754" t="s">
        <v>400</v>
      </c>
      <c r="U33" s="755"/>
      <c r="V33" s="756"/>
      <c r="W33" s="749" t="s">
        <v>418</v>
      </c>
      <c r="X33" s="750"/>
      <c r="Y33" s="751"/>
      <c r="Z33" s="749" t="s">
        <v>191</v>
      </c>
      <c r="AA33" s="750"/>
      <c r="AB33" s="751"/>
      <c r="AC33" s="182"/>
      <c r="AD33" s="182"/>
      <c r="AH33" s="207"/>
      <c r="AK33" s="99"/>
      <c r="AL33" s="99"/>
      <c r="AM33" s="99"/>
      <c r="AN33" s="99"/>
      <c r="AR33" s="99"/>
      <c r="AS33" s="99"/>
    </row>
    <row r="34" spans="1:74" ht="17.25" customHeight="1" thickTop="1" thickBot="1" x14ac:dyDescent="0.25">
      <c r="C34" s="716"/>
      <c r="D34" s="717"/>
      <c r="E34" s="383"/>
      <c r="F34" s="385"/>
      <c r="G34" s="744"/>
      <c r="H34" s="744"/>
      <c r="I34" s="744"/>
      <c r="J34" s="744"/>
      <c r="K34" s="745"/>
      <c r="L34" s="805"/>
      <c r="M34" s="805"/>
      <c r="R34" s="383"/>
      <c r="S34" s="385"/>
      <c r="T34" s="757"/>
      <c r="U34" s="758"/>
      <c r="V34" s="759"/>
      <c r="W34" s="511"/>
      <c r="X34" s="512"/>
      <c r="Y34" s="513"/>
      <c r="Z34" s="511"/>
      <c r="AA34" s="512"/>
      <c r="AB34" s="513"/>
      <c r="AC34" s="182"/>
      <c r="AD34" s="182"/>
      <c r="AI34" s="241"/>
      <c r="AJ34" s="241" t="s">
        <v>218</v>
      </c>
      <c r="AK34" s="206" t="s">
        <v>328</v>
      </c>
      <c r="AL34" s="242" t="s">
        <v>429</v>
      </c>
      <c r="AM34" s="242" t="s">
        <v>430</v>
      </c>
      <c r="AN34" s="242" t="s">
        <v>428</v>
      </c>
      <c r="BT34" s="182"/>
    </row>
    <row r="35" spans="1:74" s="182" customFormat="1" ht="17.25" customHeight="1" thickTop="1" thickBot="1" x14ac:dyDescent="0.25">
      <c r="A35" s="99"/>
      <c r="B35" s="99"/>
      <c r="C35" s="712" t="s">
        <v>394</v>
      </c>
      <c r="D35" s="713"/>
      <c r="E35" s="718" t="s">
        <v>409</v>
      </c>
      <c r="F35" s="718"/>
      <c r="G35" s="742" t="str" cm="1">
        <f t="array" ref="G35">IF(AJ35,angleDecimal2Txt(angleConvert2Decimal(E35),0),$AL$42)</f>
        <v>+02°54.00</v>
      </c>
      <c r="H35" s="742"/>
      <c r="I35" s="742"/>
      <c r="J35" s="742"/>
      <c r="K35" s="743"/>
      <c r="L35" s="770" t="str" cm="1">
        <f t="array" ref="L35">IF(AJ35,heureDecimal2Txt($K$27-R35, 0),$AL$42)</f>
        <v>02:04:59.00</v>
      </c>
      <c r="M35" s="770"/>
      <c r="R35" s="734">
        <f>IF(AJ35,AN35,$AL$42)</f>
        <v>10.086388888888889</v>
      </c>
      <c r="S35" s="735"/>
      <c r="T35" s="720" t="str" cm="1">
        <f t="array" ref="T35">IF(AJ35,heureDecimal2Txt(R35),$AL$42)</f>
        <v>10:05:11.00(10.0863)</v>
      </c>
      <c r="U35" s="721"/>
      <c r="V35" s="722"/>
      <c r="W35" s="736" t="s">
        <v>460</v>
      </c>
      <c r="X35" s="737"/>
      <c r="Y35" s="738"/>
      <c r="Z35" s="739" t="s">
        <v>190</v>
      </c>
      <c r="AA35" s="740"/>
      <c r="AB35" s="741"/>
      <c r="AH35" s="201"/>
      <c r="AI35" s="241" t="s">
        <v>394</v>
      </c>
      <c r="AJ35" s="241" t="b">
        <f>OR(NOT(ISBLANK(E35)),(E35=$AL$42))</f>
        <v>1</v>
      </c>
      <c r="AK35" s="206">
        <f>AL35/3600</f>
        <v>10.086388888888889</v>
      </c>
      <c r="AL35" s="241" cm="1">
        <f t="array" ref="AL35">IF(AJ35,(heureConvert2Decimal(W35)*3600+heureConvert2Decimal(Z35)*60),0)</f>
        <v>36311</v>
      </c>
      <c r="AM35" s="243">
        <f>AL35+$AM$29</f>
        <v>36311</v>
      </c>
      <c r="AN35" s="241">
        <f>AM35/3600</f>
        <v>10.086388888888889</v>
      </c>
      <c r="BU35" s="99"/>
      <c r="BV35" s="99"/>
    </row>
    <row r="36" spans="1:74" s="182" customFormat="1" ht="17.25" customHeight="1" thickTop="1" thickBot="1" x14ac:dyDescent="0.25">
      <c r="C36" s="710" t="s">
        <v>396</v>
      </c>
      <c r="D36" s="711"/>
      <c r="E36" s="718" t="s">
        <v>410</v>
      </c>
      <c r="F36" s="718"/>
      <c r="G36" s="742" t="str" cm="1">
        <f t="array" ref="G36">IF(AJ36,angleDecimal2Txt(angleConvert2Decimal(E36),0),$AL$42)</f>
        <v>+02°59.00</v>
      </c>
      <c r="H36" s="742"/>
      <c r="I36" s="742"/>
      <c r="J36" s="742"/>
      <c r="K36" s="743"/>
      <c r="L36" s="770" t="str" cm="1">
        <f t="array" ref="L36">IF(AJ36,heureDecimal2Txt($K$27-R36, 0),$AL$42)</f>
        <v>01:11:10.00</v>
      </c>
      <c r="M36" s="770"/>
      <c r="R36" s="734">
        <f>IF(AJ36,AN36,$AL$42)</f>
        <v>10.983333333333333</v>
      </c>
      <c r="S36" s="735"/>
      <c r="T36" s="720" t="str" cm="1">
        <f t="array" ref="T36">IF(AJ36,heureDecimal2Txt(R36),$AL$42)</f>
        <v>10:59:00.00(10.9833)</v>
      </c>
      <c r="U36" s="721"/>
      <c r="V36" s="722"/>
      <c r="W36" s="736" t="s">
        <v>407</v>
      </c>
      <c r="X36" s="737"/>
      <c r="Y36" s="738"/>
      <c r="Z36" s="739" t="s">
        <v>190</v>
      </c>
      <c r="AA36" s="740"/>
      <c r="AB36" s="741"/>
      <c r="AH36" s="208"/>
      <c r="AI36" s="244" t="s">
        <v>396</v>
      </c>
      <c r="AJ36" s="241" t="b">
        <f t="shared" ref="AJ36:AJ38" si="0">OR(NOT(ISBLANK(E36)),(E36=$AL$42))</f>
        <v>1</v>
      </c>
      <c r="AK36" s="206">
        <f t="shared" ref="AK36:AK39" si="1">AL36/3600</f>
        <v>10.983333333333333</v>
      </c>
      <c r="AL36" s="241" cm="1">
        <f t="array" ref="AL36">IF(AJ36,(heureConvert2Decimal(W36)*3600+heureConvert2Decimal(Z36)*60),0)</f>
        <v>39540</v>
      </c>
      <c r="AM36" s="243">
        <f t="shared" ref="AM36:AM39" si="2">AL36+$AM$29</f>
        <v>39540</v>
      </c>
      <c r="AN36" s="241">
        <f t="shared" ref="AN36:AN39" si="3">AM36/3600</f>
        <v>10.983333333333333</v>
      </c>
    </row>
    <row r="37" spans="1:74" s="182" customFormat="1" ht="17.25" customHeight="1" thickTop="1" thickBot="1" x14ac:dyDescent="0.25">
      <c r="C37" s="710" t="s">
        <v>398</v>
      </c>
      <c r="D37" s="711"/>
      <c r="E37" s="718" t="s">
        <v>411</v>
      </c>
      <c r="F37" s="718"/>
      <c r="G37" s="742" t="str" cm="1">
        <f t="array" ref="G37">IF(AJ37,angleDecimal2Txt(angleConvert2Decimal(E37),0),$AL$42)</f>
        <v>+03°10.00</v>
      </c>
      <c r="H37" s="742"/>
      <c r="I37" s="742"/>
      <c r="J37" s="742"/>
      <c r="K37" s="743"/>
      <c r="L37" s="770" t="str" cm="1">
        <f t="array" ref="L37">IF(AJ37,heureDecimal2Txt($K$27-R37, 0),$AL$42)</f>
        <v>00:17:10.00</v>
      </c>
      <c r="M37" s="770"/>
      <c r="R37" s="734">
        <f>IF(AJ37,AN37,$AL$42)</f>
        <v>11.883333333333333</v>
      </c>
      <c r="S37" s="735"/>
      <c r="T37" s="720" t="str" cm="1">
        <f t="array" ref="T37">IF(AJ37,heureDecimal2Txt(R37),$AL$42)</f>
        <v>11:53:00.00(11.8833)</v>
      </c>
      <c r="U37" s="721"/>
      <c r="V37" s="722"/>
      <c r="W37" s="736" t="s">
        <v>405</v>
      </c>
      <c r="X37" s="737"/>
      <c r="Y37" s="738"/>
      <c r="Z37" s="739" t="s">
        <v>190</v>
      </c>
      <c r="AA37" s="740"/>
      <c r="AB37" s="741"/>
      <c r="AH37" s="208"/>
      <c r="AI37" s="244" t="s">
        <v>398</v>
      </c>
      <c r="AJ37" s="241" t="b">
        <f t="shared" si="0"/>
        <v>1</v>
      </c>
      <c r="AK37" s="206">
        <f t="shared" si="1"/>
        <v>11.883333333333333</v>
      </c>
      <c r="AL37" s="241" cm="1">
        <f t="array" ref="AL37">IF(AJ37,(heureConvert2Decimal(W37)*3600+heureConvert2Decimal(Z37)*60),0)</f>
        <v>42780</v>
      </c>
      <c r="AM37" s="243">
        <f t="shared" si="2"/>
        <v>42780</v>
      </c>
      <c r="AN37" s="241">
        <f t="shared" si="3"/>
        <v>11.883333333333333</v>
      </c>
    </row>
    <row r="38" spans="1:74" s="182" customFormat="1" ht="17.25" customHeight="1" thickTop="1" thickBot="1" x14ac:dyDescent="0.25">
      <c r="C38" s="710" t="s">
        <v>401</v>
      </c>
      <c r="D38" s="711"/>
      <c r="E38" s="718" t="s">
        <v>412</v>
      </c>
      <c r="F38" s="718"/>
      <c r="G38" s="742" t="str" cm="1">
        <f t="array" ref="G38">IF(AJ38,angleDecimal2Txt(angleConvert2Decimal(E38),0),$AL$42)</f>
        <v>+03°20.00</v>
      </c>
      <c r="H38" s="742"/>
      <c r="I38" s="742"/>
      <c r="J38" s="742"/>
      <c r="K38" s="743"/>
      <c r="L38" s="770" t="str" cm="1">
        <f t="array" ref="L38">IF(AJ38,heureDecimal2Txt($K$27-R38, 0),$AL$42)</f>
        <v>00:16:10.00</v>
      </c>
      <c r="M38" s="770"/>
      <c r="R38" s="734">
        <f>IF(AJ38,AN38,$AL$42)</f>
        <v>11.9</v>
      </c>
      <c r="S38" s="735"/>
      <c r="T38" s="720" t="str" cm="1">
        <f t="array" ref="T38">IF(AJ38,heureDecimal2Txt(R38),$AL$42)</f>
        <v>11:54:00.00(11.9000)</v>
      </c>
      <c r="U38" s="721"/>
      <c r="V38" s="722"/>
      <c r="W38" s="736" t="s">
        <v>406</v>
      </c>
      <c r="X38" s="737"/>
      <c r="Y38" s="738"/>
      <c r="Z38" s="739" t="s">
        <v>190</v>
      </c>
      <c r="AA38" s="740"/>
      <c r="AB38" s="741"/>
      <c r="AH38" s="208"/>
      <c r="AI38" s="244" t="s">
        <v>401</v>
      </c>
      <c r="AJ38" s="241" t="b">
        <f t="shared" si="0"/>
        <v>1</v>
      </c>
      <c r="AK38" s="206">
        <f t="shared" si="1"/>
        <v>11.9</v>
      </c>
      <c r="AL38" s="241" cm="1">
        <f t="array" ref="AL38">IF(AJ38,(heureConvert2Decimal(W38)*3600+heureConvert2Decimal(Z38)*60),0)</f>
        <v>42840</v>
      </c>
      <c r="AM38" s="243">
        <f t="shared" si="2"/>
        <v>42840</v>
      </c>
      <c r="AN38" s="241">
        <f t="shared" si="3"/>
        <v>11.9</v>
      </c>
    </row>
    <row r="39" spans="1:74" s="182" customFormat="1" ht="17.25" customHeight="1" thickTop="1" thickBot="1" x14ac:dyDescent="0.25">
      <c r="C39" s="710" t="s">
        <v>403</v>
      </c>
      <c r="D39" s="711"/>
      <c r="E39" s="719"/>
      <c r="F39" s="718"/>
      <c r="G39" s="742" t="str" cm="1">
        <f t="array" ref="G39">IF(AJ39,angleDecimal2Txt(angleConvert2Decimal(E39),0),$AL$42)</f>
        <v>---</v>
      </c>
      <c r="H39" s="742"/>
      <c r="I39" s="742"/>
      <c r="J39" s="742"/>
      <c r="K39" s="743"/>
      <c r="L39" s="770" t="str" cm="1">
        <f t="array" ref="L39">IF(AJ39,heureDecimal2Txt($K$27-R39, 0),$AL$42)</f>
        <v>---</v>
      </c>
      <c r="M39" s="770"/>
      <c r="R39" s="734" t="str">
        <f>IF(AJ39,AN39,$AL$42)</f>
        <v>---</v>
      </c>
      <c r="S39" s="735"/>
      <c r="T39" s="720" t="str" cm="1">
        <f t="array" ref="T39">IF(AJ39,heureDecimal2Txt(R39),$AL$42)</f>
        <v>---</v>
      </c>
      <c r="U39" s="721"/>
      <c r="V39" s="722"/>
      <c r="W39" s="736"/>
      <c r="X39" s="737"/>
      <c r="Y39" s="738"/>
      <c r="Z39" s="739"/>
      <c r="AA39" s="740"/>
      <c r="AB39" s="741"/>
      <c r="AH39" s="208"/>
      <c r="AI39" s="244" t="s">
        <v>403</v>
      </c>
      <c r="AJ39" s="241" t="b">
        <f>OR(NOT(ISBLANK(E39)),(E39=$AL$42))</f>
        <v>0</v>
      </c>
      <c r="AK39" s="206">
        <f t="shared" si="1"/>
        <v>0</v>
      </c>
      <c r="AL39" s="241" cm="1">
        <f t="array" ref="AL39">IF(AJ39,(heureConvert2Decimal(W39)*3600+heureConvert2Decimal(Z39)*60),0)</f>
        <v>0</v>
      </c>
      <c r="AM39" s="243">
        <f t="shared" si="2"/>
        <v>0</v>
      </c>
      <c r="AN39" s="241">
        <f t="shared" si="3"/>
        <v>0</v>
      </c>
    </row>
    <row r="40" spans="1:74" s="182" customFormat="1" ht="18" customHeight="1" thickTop="1" x14ac:dyDescent="0.2">
      <c r="C40" s="697" t="s">
        <v>414</v>
      </c>
      <c r="D40" s="698"/>
      <c r="E40" s="698"/>
      <c r="F40" s="698"/>
      <c r="G40" s="698"/>
      <c r="H40" s="698"/>
      <c r="I40" s="698"/>
      <c r="J40" s="698"/>
      <c r="K40" s="698"/>
      <c r="L40" s="698"/>
      <c r="M40" s="698"/>
      <c r="N40" s="698"/>
      <c r="O40" s="698"/>
      <c r="P40" s="698"/>
      <c r="Q40" s="698"/>
      <c r="R40" s="698"/>
      <c r="S40" s="698"/>
      <c r="T40" s="698"/>
      <c r="U40" s="698"/>
      <c r="V40" s="698"/>
      <c r="W40" s="698"/>
      <c r="X40" s="698"/>
      <c r="Y40" s="698"/>
      <c r="Z40" s="698"/>
      <c r="AA40" s="698"/>
      <c r="AB40" s="698"/>
      <c r="AC40" s="698"/>
      <c r="AD40" s="698"/>
      <c r="AE40" s="698"/>
      <c r="AF40" s="698"/>
      <c r="AG40" s="699"/>
      <c r="AH40" s="208"/>
    </row>
    <row r="41" spans="1:74" s="182" customFormat="1" ht="18" customHeight="1" thickBot="1" x14ac:dyDescent="0.25">
      <c r="C41" s="697"/>
      <c r="D41" s="698"/>
      <c r="E41" s="698"/>
      <c r="F41" s="698"/>
      <c r="G41" s="698"/>
      <c r="H41" s="698"/>
      <c r="I41" s="698"/>
      <c r="J41" s="698"/>
      <c r="K41" s="698"/>
      <c r="L41" s="698"/>
      <c r="M41" s="698"/>
      <c r="N41" s="698"/>
      <c r="O41" s="698"/>
      <c r="P41" s="698"/>
      <c r="Q41" s="698"/>
      <c r="R41" s="698"/>
      <c r="S41" s="698"/>
      <c r="T41" s="698"/>
      <c r="U41" s="698"/>
      <c r="V41" s="698"/>
      <c r="W41" s="698"/>
      <c r="X41" s="698"/>
      <c r="Y41" s="698"/>
      <c r="Z41" s="698"/>
      <c r="AA41" s="698"/>
      <c r="AB41" s="698"/>
      <c r="AC41" s="698"/>
      <c r="AD41" s="698"/>
      <c r="AE41" s="698"/>
      <c r="AF41" s="698"/>
      <c r="AG41" s="699"/>
      <c r="AH41" s="208"/>
    </row>
    <row r="42" spans="1:74" s="182" customFormat="1" ht="18" customHeight="1" x14ac:dyDescent="0.2">
      <c r="C42" s="229"/>
      <c r="D42" s="230"/>
      <c r="E42" s="733" t="s">
        <v>419</v>
      </c>
      <c r="F42" s="733"/>
      <c r="G42" s="700" t="s">
        <v>416</v>
      </c>
      <c r="H42" s="701"/>
      <c r="I42" s="701"/>
      <c r="J42" s="701"/>
      <c r="K42" s="702"/>
      <c r="L42" s="727" t="s">
        <v>447</v>
      </c>
      <c r="M42" s="728"/>
      <c r="N42" s="723" t="s">
        <v>424</v>
      </c>
      <c r="O42" s="724"/>
      <c r="P42" s="704" t="s">
        <v>439</v>
      </c>
      <c r="Q42" s="705"/>
      <c r="R42" s="752" t="s">
        <v>2</v>
      </c>
      <c r="S42" s="753"/>
      <c r="T42" s="754" t="s">
        <v>400</v>
      </c>
      <c r="U42" s="755"/>
      <c r="V42" s="756"/>
      <c r="W42" s="746" t="s">
        <v>415</v>
      </c>
      <c r="X42" s="747"/>
      <c r="Y42" s="748"/>
      <c r="Z42" s="749" t="s">
        <v>191</v>
      </c>
      <c r="AA42" s="750"/>
      <c r="AB42" s="751"/>
      <c r="AH42" s="208"/>
      <c r="AI42" s="233" t="s">
        <v>423</v>
      </c>
      <c r="AJ42" s="233" t="s">
        <v>332</v>
      </c>
      <c r="AK42" s="233" t="s">
        <v>333</v>
      </c>
      <c r="AL42" s="238" t="s">
        <v>436</v>
      </c>
    </row>
    <row r="43" spans="1:74" s="182" customFormat="1" ht="18" customHeight="1" x14ac:dyDescent="0.2">
      <c r="C43" s="231"/>
      <c r="D43" s="232"/>
      <c r="E43" s="733"/>
      <c r="F43" s="733"/>
      <c r="G43" s="700"/>
      <c r="H43" s="701"/>
      <c r="I43" s="701"/>
      <c r="J43" s="701"/>
      <c r="K43" s="702"/>
      <c r="L43" s="729"/>
      <c r="M43" s="730"/>
      <c r="N43" s="723"/>
      <c r="O43" s="724"/>
      <c r="P43" s="705"/>
      <c r="Q43" s="705"/>
      <c r="R43" s="383"/>
      <c r="S43" s="385"/>
      <c r="T43" s="757"/>
      <c r="U43" s="758"/>
      <c r="V43" s="759"/>
      <c r="W43" s="511"/>
      <c r="X43" s="512"/>
      <c r="Y43" s="513"/>
      <c r="Z43" s="511"/>
      <c r="AA43" s="512"/>
      <c r="AB43" s="513"/>
      <c r="AH43" s="208"/>
      <c r="AI43" s="241"/>
      <c r="AJ43" s="241" t="s">
        <v>437</v>
      </c>
      <c r="AK43" s="241" t="s">
        <v>438</v>
      </c>
      <c r="AL43" s="245" t="s">
        <v>431</v>
      </c>
      <c r="AM43" s="242" t="s">
        <v>429</v>
      </c>
      <c r="AN43" s="242" t="s">
        <v>435</v>
      </c>
      <c r="AO43" s="242" t="s">
        <v>435</v>
      </c>
      <c r="AP43" s="206" t="s">
        <v>328</v>
      </c>
      <c r="AQ43" s="242" t="s">
        <v>429</v>
      </c>
      <c r="AR43" s="242" t="s">
        <v>430</v>
      </c>
      <c r="AS43" s="242" t="s">
        <v>428</v>
      </c>
    </row>
    <row r="44" spans="1:74" s="182" customFormat="1" ht="17.25" customHeight="1" x14ac:dyDescent="0.2">
      <c r="C44" s="777" t="s">
        <v>404</v>
      </c>
      <c r="D44" s="777"/>
      <c r="E44" s="762" t="str">
        <f>IF(AJ44,E39,$AL$42)</f>
        <v>---</v>
      </c>
      <c r="F44" s="763"/>
      <c r="G44" s="703" t="str" cm="1">
        <f t="array" ref="G44">heureDecimal2Txt(AO44, 0)</f>
        <v>24:20:20.00</v>
      </c>
      <c r="H44" s="703"/>
      <c r="I44" s="703"/>
      <c r="J44" s="703"/>
      <c r="K44" s="703"/>
      <c r="L44" s="731" t="str" cm="1">
        <f t="array" ref="L44">heureDecimal2Txt(AL44-$K$27, 0)</f>
        <v>12:10:10.00</v>
      </c>
      <c r="M44" s="732"/>
      <c r="N44" s="725" t="s">
        <v>333</v>
      </c>
      <c r="O44" s="726"/>
      <c r="P44" s="705" t="str" cm="1">
        <f t="array" ref="P44">IF(AK44,heureDecimal2Txt(AS44-AL44,0),$AL$42)</f>
        <v>---</v>
      </c>
      <c r="Q44" s="705"/>
      <c r="R44" s="734" t="str">
        <f>IF(AK44,AS44,$AL$42)</f>
        <v>---</v>
      </c>
      <c r="S44" s="735"/>
      <c r="T44" s="720" t="str" cm="1">
        <f t="array" ref="T44">IF(AK44,heureDecimal2Txt(R44),$AL$42)</f>
        <v>---</v>
      </c>
      <c r="U44" s="721"/>
      <c r="V44" s="722"/>
      <c r="W44" s="736" t="s">
        <v>422</v>
      </c>
      <c r="X44" s="737"/>
      <c r="Y44" s="738"/>
      <c r="Z44" s="739" t="s">
        <v>190</v>
      </c>
      <c r="AA44" s="760"/>
      <c r="AB44" s="761"/>
      <c r="AH44" s="208"/>
      <c r="AI44" s="241" t="s">
        <v>404</v>
      </c>
      <c r="AJ44" s="241" t="b">
        <f>AJ39</f>
        <v>0</v>
      </c>
      <c r="AK44" s="241" t="b">
        <f>AND(AJ44,(N44=$AJ$42))</f>
        <v>0</v>
      </c>
      <c r="AL44" s="206">
        <f>2*$K$27-AN39</f>
        <v>24.338888888888892</v>
      </c>
      <c r="AM44" s="241">
        <f>AL44*3600</f>
        <v>87620.000000000015</v>
      </c>
      <c r="AN44" s="243">
        <f>AM44+$AM$28</f>
        <v>87620.000000000015</v>
      </c>
      <c r="AO44" s="241">
        <f>AN44/3600</f>
        <v>24.338888888888892</v>
      </c>
      <c r="AP44" s="206">
        <f>AQ44/3600</f>
        <v>0</v>
      </c>
      <c r="AQ44" s="241" cm="1">
        <f t="array" ref="AQ44">IF(AK44,(heureConvert2Decimal(W44)*3600+heureConvert2Decimal(Z44)*60),0)</f>
        <v>0</v>
      </c>
      <c r="AR44" s="243">
        <f>AQ44+$AM$29</f>
        <v>0</v>
      </c>
      <c r="AS44" s="241">
        <f>AR44/3600</f>
        <v>0</v>
      </c>
    </row>
    <row r="45" spans="1:74" s="182" customFormat="1" ht="17.25" customHeight="1" x14ac:dyDescent="0.2">
      <c r="C45" s="777" t="s">
        <v>402</v>
      </c>
      <c r="D45" s="777"/>
      <c r="E45" s="762" t="str">
        <f>IF(AJ45,E38,$AL$42)</f>
        <v>3°20</v>
      </c>
      <c r="F45" s="763"/>
      <c r="G45" s="703" t="str" cm="1">
        <f t="array" ref="G45">heureDecimal2Txt(AO45, 0)</f>
        <v>12:26:20.00</v>
      </c>
      <c r="H45" s="703"/>
      <c r="I45" s="703"/>
      <c r="J45" s="703"/>
      <c r="K45" s="703"/>
      <c r="L45" s="731" t="str" cm="1">
        <f t="array" ref="L45">heureDecimal2Txt(AL45-$K$27, 0)</f>
        <v>00:16:10.00</v>
      </c>
      <c r="M45" s="732"/>
      <c r="N45" s="725" t="s">
        <v>333</v>
      </c>
      <c r="O45" s="726"/>
      <c r="P45" s="705" t="str" cm="1">
        <f t="array" ref="P45">IF(AK45,heureDecimal2Txt(AS45-AL45,0),$AL$42)</f>
        <v>---</v>
      </c>
      <c r="Q45" s="705"/>
      <c r="R45" s="734" t="str">
        <f>IF(AK45,AS45,$AL$42)</f>
        <v>---</v>
      </c>
      <c r="S45" s="735"/>
      <c r="T45" s="720" t="str" cm="1">
        <f t="array" ref="T45">IF(AK45,heureDecimal2Txt(R45),$AL$42)</f>
        <v>---</v>
      </c>
      <c r="U45" s="721"/>
      <c r="V45" s="722"/>
      <c r="W45" s="736" t="s">
        <v>422</v>
      </c>
      <c r="X45" s="737"/>
      <c r="Y45" s="738"/>
      <c r="Z45" s="739" t="s">
        <v>190</v>
      </c>
      <c r="AA45" s="760"/>
      <c r="AB45" s="761"/>
      <c r="AH45" s="208"/>
      <c r="AI45" s="244" t="s">
        <v>402</v>
      </c>
      <c r="AJ45" s="241" t="b">
        <f>AJ38</f>
        <v>1</v>
      </c>
      <c r="AK45" s="241" t="b">
        <f>AND(AJ45,(N45=$AJ$42))</f>
        <v>0</v>
      </c>
      <c r="AL45" s="206">
        <f>2*$K$27-AN38</f>
        <v>12.438888888888892</v>
      </c>
      <c r="AM45" s="241">
        <f t="shared" ref="AM45:AM48" si="4">AL45*3600</f>
        <v>44780.000000000007</v>
      </c>
      <c r="AN45" s="243">
        <f t="shared" ref="AN45:AN48" si="5">AM45+$AM$28</f>
        <v>44780.000000000007</v>
      </c>
      <c r="AO45" s="241">
        <f t="shared" ref="AO45:AO48" si="6">AN45/3600</f>
        <v>12.438888888888892</v>
      </c>
      <c r="AP45" s="206">
        <f t="shared" ref="AP45:AP48" si="7">AQ45/3600</f>
        <v>0</v>
      </c>
      <c r="AQ45" s="241" cm="1">
        <f t="array" ref="AQ45">IF(AK45,(heureConvert2Decimal(W45)*3600+heureConvert2Decimal(Z45)*60),0)</f>
        <v>0</v>
      </c>
      <c r="AR45" s="243">
        <f t="shared" ref="AR45:AR48" si="8">AQ45+$AM$29</f>
        <v>0</v>
      </c>
      <c r="AS45" s="241">
        <f t="shared" ref="AS45:AS48" si="9">AR45/3600</f>
        <v>0</v>
      </c>
    </row>
    <row r="46" spans="1:74" s="182" customFormat="1" ht="17.25" customHeight="1" x14ac:dyDescent="0.2">
      <c r="C46" s="777" t="s">
        <v>399</v>
      </c>
      <c r="D46" s="777"/>
      <c r="E46" s="762" t="str">
        <f>IF(AJ46,E37,$AL$42)</f>
        <v>3°10</v>
      </c>
      <c r="F46" s="763"/>
      <c r="G46" s="703" t="str" cm="1">
        <f t="array" ref="G46">heureDecimal2Txt(AO46, 0)</f>
        <v>12:27:20.00</v>
      </c>
      <c r="H46" s="703"/>
      <c r="I46" s="703"/>
      <c r="J46" s="703"/>
      <c r="K46" s="703"/>
      <c r="L46" s="731" t="str" cm="1">
        <f t="array" ref="L46">heureDecimal2Txt(AL46-$K$27, 0)</f>
        <v>00:17:10.00</v>
      </c>
      <c r="M46" s="732"/>
      <c r="N46" s="725" t="s">
        <v>333</v>
      </c>
      <c r="O46" s="726"/>
      <c r="P46" s="705" t="str" cm="1">
        <f t="array" ref="P46">IF(AK46,heureDecimal2Txt(AS46-AL46,0),$AL$42)</f>
        <v>---</v>
      </c>
      <c r="Q46" s="705"/>
      <c r="R46" s="734" t="str">
        <f>IF(AK46,AS46,$AL$42)</f>
        <v>---</v>
      </c>
      <c r="S46" s="735"/>
      <c r="T46" s="720" t="str" cm="1">
        <f t="array" ref="T46">IF(AK46,heureDecimal2Txt(R46),$AL$42)</f>
        <v>---</v>
      </c>
      <c r="U46" s="721"/>
      <c r="V46" s="722"/>
      <c r="W46" s="736" t="s">
        <v>421</v>
      </c>
      <c r="X46" s="737"/>
      <c r="Y46" s="738"/>
      <c r="Z46" s="739" t="s">
        <v>190</v>
      </c>
      <c r="AA46" s="740"/>
      <c r="AB46" s="741"/>
      <c r="AH46" s="208"/>
      <c r="AI46" s="244" t="s">
        <v>399</v>
      </c>
      <c r="AJ46" s="241" t="b">
        <f>AJ37</f>
        <v>1</v>
      </c>
      <c r="AK46" s="241" t="b">
        <f>AND(AJ46,(N46=$AJ$42))</f>
        <v>0</v>
      </c>
      <c r="AL46" s="206">
        <f>2*$K$27-AN37</f>
        <v>12.455555555555559</v>
      </c>
      <c r="AM46" s="241">
        <f t="shared" si="4"/>
        <v>44840.000000000015</v>
      </c>
      <c r="AN46" s="243">
        <f t="shared" si="5"/>
        <v>44840.000000000015</v>
      </c>
      <c r="AO46" s="241">
        <f t="shared" si="6"/>
        <v>12.455555555555559</v>
      </c>
      <c r="AP46" s="206">
        <f t="shared" si="7"/>
        <v>0</v>
      </c>
      <c r="AQ46" s="241" cm="1">
        <f t="array" ref="AQ46">IF(AK46,(heureConvert2Decimal(W46)*3600+heureConvert2Decimal(Z46)*60),0)</f>
        <v>0</v>
      </c>
      <c r="AR46" s="243">
        <f t="shared" si="8"/>
        <v>0</v>
      </c>
      <c r="AS46" s="241">
        <f t="shared" si="9"/>
        <v>0</v>
      </c>
    </row>
    <row r="47" spans="1:74" s="182" customFormat="1" ht="17.25" customHeight="1" x14ac:dyDescent="0.2">
      <c r="C47" s="777" t="s">
        <v>397</v>
      </c>
      <c r="D47" s="777"/>
      <c r="E47" s="762" t="str">
        <f>IF(AJ47,E36,$AL$42)</f>
        <v>2°59</v>
      </c>
      <c r="F47" s="763"/>
      <c r="G47" s="703" t="str" cm="1">
        <f t="array" ref="G47">heureDecimal2Txt(AO47, 0)</f>
        <v>13:21:20.00</v>
      </c>
      <c r="H47" s="703"/>
      <c r="I47" s="703"/>
      <c r="J47" s="703"/>
      <c r="K47" s="703"/>
      <c r="L47" s="731" t="str" cm="1">
        <f t="array" ref="L47">heureDecimal2Txt(AL47-$K$27, 0)</f>
        <v>01:11:10.00</v>
      </c>
      <c r="M47" s="732"/>
      <c r="N47" s="725" t="s">
        <v>333</v>
      </c>
      <c r="O47" s="726"/>
      <c r="P47" s="705" t="str" cm="1">
        <f t="array" ref="P47">IF(AK47,heureDecimal2Txt(AS47-AL47,0),$AL$42)</f>
        <v>---</v>
      </c>
      <c r="Q47" s="705"/>
      <c r="R47" s="734" t="str">
        <f>IF(AK47,AS47,$AL$42)</f>
        <v>---</v>
      </c>
      <c r="S47" s="735"/>
      <c r="T47" s="720" t="str" cm="1">
        <f t="array" ref="T47">IF(AK47,heureDecimal2Txt(R47),$AL$42)</f>
        <v>---</v>
      </c>
      <c r="U47" s="721"/>
      <c r="V47" s="722"/>
      <c r="W47" s="736" t="s">
        <v>420</v>
      </c>
      <c r="X47" s="737"/>
      <c r="Y47" s="738"/>
      <c r="Z47" s="739" t="s">
        <v>190</v>
      </c>
      <c r="AA47" s="740"/>
      <c r="AB47" s="741"/>
      <c r="AH47" s="208"/>
      <c r="AI47" s="244" t="s">
        <v>397</v>
      </c>
      <c r="AJ47" s="241" t="b">
        <f>AJ36</f>
        <v>1</v>
      </c>
      <c r="AK47" s="241" t="b">
        <f>AND(AJ47,(N47=$AJ$42))</f>
        <v>0</v>
      </c>
      <c r="AL47" s="206">
        <f>2*$K$27-AN36</f>
        <v>13.35555555555556</v>
      </c>
      <c r="AM47" s="241">
        <f t="shared" si="4"/>
        <v>48080.000000000015</v>
      </c>
      <c r="AN47" s="243">
        <f t="shared" si="5"/>
        <v>48080.000000000015</v>
      </c>
      <c r="AO47" s="241">
        <f t="shared" si="6"/>
        <v>13.35555555555556</v>
      </c>
      <c r="AP47" s="206">
        <f t="shared" si="7"/>
        <v>0</v>
      </c>
      <c r="AQ47" s="241" cm="1">
        <f t="array" ref="AQ47">IF(AK47,(heureConvert2Decimal(W47)*3600+heureConvert2Decimal(Z47)*60),0)</f>
        <v>0</v>
      </c>
      <c r="AR47" s="243">
        <f t="shared" si="8"/>
        <v>0</v>
      </c>
      <c r="AS47" s="241">
        <f t="shared" si="9"/>
        <v>0</v>
      </c>
    </row>
    <row r="48" spans="1:74" s="182" customFormat="1" ht="17.25" customHeight="1" x14ac:dyDescent="0.2">
      <c r="C48" s="777" t="s">
        <v>395</v>
      </c>
      <c r="D48" s="777"/>
      <c r="E48" s="762" t="str">
        <f>IF(AJ48,E35,$AL$42)</f>
        <v>2°54</v>
      </c>
      <c r="F48" s="763"/>
      <c r="G48" s="703" t="str" cm="1">
        <f t="array" ref="G48">heureDecimal2Txt(AO48, 0)</f>
        <v>14:15:09.00</v>
      </c>
      <c r="H48" s="703"/>
      <c r="I48" s="703"/>
      <c r="J48" s="703"/>
      <c r="K48" s="703"/>
      <c r="L48" s="731" t="str" cm="1">
        <f t="array" ref="L48">heureDecimal2Txt(AL48-$K$27, 0)</f>
        <v>02:04:59.00</v>
      </c>
      <c r="M48" s="732"/>
      <c r="N48" s="725" t="s">
        <v>332</v>
      </c>
      <c r="O48" s="726"/>
      <c r="P48" s="705" t="str" cm="1">
        <f t="array" ref="P48">IF(AK48,heureDecimal2Txt(AS48-AL48,0),$AL$42)</f>
        <v>00:00:23.99</v>
      </c>
      <c r="Q48" s="705"/>
      <c r="R48" s="734">
        <f>IF(AK48,AS48,$AL$42)</f>
        <v>14.259166666666667</v>
      </c>
      <c r="S48" s="735"/>
      <c r="T48" s="720" t="str" cm="1">
        <f t="array" ref="T48">IF(AK48,heureDecimal2Txt(R48),$AL$42)</f>
        <v>14:15:33.00(14.2591)</v>
      </c>
      <c r="U48" s="721"/>
      <c r="V48" s="722"/>
      <c r="W48" s="736" t="s">
        <v>461</v>
      </c>
      <c r="X48" s="737"/>
      <c r="Y48" s="738"/>
      <c r="Z48" s="739" t="s">
        <v>190</v>
      </c>
      <c r="AA48" s="740"/>
      <c r="AB48" s="741"/>
      <c r="AH48" s="208"/>
      <c r="AI48" s="244" t="s">
        <v>395</v>
      </c>
      <c r="AJ48" s="241" t="b">
        <f>AJ35</f>
        <v>1</v>
      </c>
      <c r="AK48" s="241" t="b">
        <f>AND(AJ48,(N48=$AJ$42))</f>
        <v>1</v>
      </c>
      <c r="AL48" s="206">
        <f>2*$K$27-AN35</f>
        <v>14.252500000000003</v>
      </c>
      <c r="AM48" s="241">
        <f t="shared" si="4"/>
        <v>51309.000000000015</v>
      </c>
      <c r="AN48" s="243">
        <f t="shared" si="5"/>
        <v>51309.000000000015</v>
      </c>
      <c r="AO48" s="241">
        <f t="shared" si="6"/>
        <v>14.252500000000005</v>
      </c>
      <c r="AP48" s="206">
        <f t="shared" si="7"/>
        <v>14.259166666666667</v>
      </c>
      <c r="AQ48" s="241" cm="1">
        <f t="array" ref="AQ48">IF(AK48,(heureConvert2Decimal(W48)*3600+heureConvert2Decimal(Z48)*60),0)</f>
        <v>51333</v>
      </c>
      <c r="AR48" s="243">
        <f t="shared" si="8"/>
        <v>51333</v>
      </c>
      <c r="AS48" s="241">
        <f t="shared" si="9"/>
        <v>14.259166666666667</v>
      </c>
    </row>
    <row r="49" spans="2:71" s="182" customFormat="1" ht="17.25" customHeight="1" x14ac:dyDescent="0.2">
      <c r="T49" s="183"/>
      <c r="U49" s="183"/>
      <c r="V49" s="183"/>
      <c r="Z49" s="183"/>
      <c r="AA49" s="183"/>
      <c r="AB49" s="183"/>
      <c r="AH49" s="208"/>
      <c r="AI49" s="244" t="s">
        <v>440</v>
      </c>
      <c r="AJ49" s="241">
        <f>IF(AK48,(AS48+AN35)/2,0)</f>
        <v>12.172777777777778</v>
      </c>
      <c r="AK49" s="241">
        <f>IF(AJ49&gt;0,1,0)</f>
        <v>1</v>
      </c>
      <c r="AL49" s="206"/>
      <c r="AM49" s="241"/>
      <c r="AN49" s="243"/>
      <c r="AO49" s="241"/>
      <c r="AP49" s="206"/>
      <c r="AQ49" s="241"/>
      <c r="AR49" s="243"/>
      <c r="AS49" s="241"/>
    </row>
    <row r="50" spans="2:71" s="182" customFormat="1" ht="17.25" customHeight="1" x14ac:dyDescent="0.2">
      <c r="D50" s="706" t="s">
        <v>448</v>
      </c>
      <c r="E50" s="706"/>
      <c r="F50" s="706"/>
      <c r="G50" s="707"/>
      <c r="H50" s="817" t="str" cm="1">
        <f t="array" ref="H50">heureDecimal2Txt(AM52)</f>
        <v>12:10:22.00(12.1727)</v>
      </c>
      <c r="I50" s="817"/>
      <c r="J50" s="817"/>
      <c r="K50" s="817"/>
      <c r="L50" s="817"/>
      <c r="M50" s="817"/>
      <c r="N50" s="817"/>
      <c r="T50" s="183"/>
      <c r="U50" s="183"/>
      <c r="V50" s="183"/>
      <c r="Z50" s="183"/>
      <c r="AA50" s="183"/>
      <c r="AB50" s="183"/>
      <c r="AH50" s="208"/>
      <c r="AI50" s="244" t="s">
        <v>441</v>
      </c>
      <c r="AJ50" s="241">
        <f>IF(AK47,(AS47+AN36)/2,0)</f>
        <v>0</v>
      </c>
      <c r="AK50" s="241">
        <f>IF(AJ50&gt;0,1,0)</f>
        <v>0</v>
      </c>
      <c r="AL50" s="206" t="s">
        <v>443</v>
      </c>
      <c r="AM50" s="241">
        <f>SUM(AK49:AK53)</f>
        <v>1</v>
      </c>
      <c r="AN50" s="243"/>
      <c r="AO50" s="241"/>
      <c r="AP50" s="206"/>
      <c r="AQ50" s="241"/>
      <c r="AR50" s="243"/>
      <c r="AS50" s="241"/>
    </row>
    <row r="51" spans="2:71" s="182" customFormat="1" ht="17.25" customHeight="1" x14ac:dyDescent="0.2">
      <c r="D51" s="708"/>
      <c r="E51" s="708"/>
      <c r="F51" s="708"/>
      <c r="G51" s="709"/>
      <c r="H51" s="817"/>
      <c r="I51" s="817"/>
      <c r="J51" s="817"/>
      <c r="K51" s="817"/>
      <c r="L51" s="817"/>
      <c r="M51" s="817"/>
      <c r="N51" s="817"/>
      <c r="T51" s="183"/>
      <c r="U51" s="183"/>
      <c r="V51" s="183"/>
      <c r="Z51" s="183"/>
      <c r="AA51" s="183"/>
      <c r="AB51" s="183"/>
      <c r="AH51" s="208"/>
      <c r="AI51" s="244" t="s">
        <v>442</v>
      </c>
      <c r="AJ51" s="241">
        <f>IF(AK46,(AS46+AN37)/2,0)</f>
        <v>0</v>
      </c>
      <c r="AK51" s="241">
        <f>IF(AJ51&gt;0,1,0)</f>
        <v>0</v>
      </c>
      <c r="AL51" s="206" t="s">
        <v>444</v>
      </c>
      <c r="AM51" s="241">
        <f>SUM(AJ49:AJ53)</f>
        <v>12.172777777777778</v>
      </c>
      <c r="AN51" s="243"/>
      <c r="AO51" s="241"/>
      <c r="AP51" s="206"/>
      <c r="AQ51" s="241"/>
      <c r="AR51" s="243"/>
      <c r="AS51" s="241"/>
    </row>
    <row r="52" spans="2:71" s="182" customFormat="1" ht="17.25" customHeight="1" x14ac:dyDescent="0.2">
      <c r="D52" s="812" t="s">
        <v>337</v>
      </c>
      <c r="E52" s="812"/>
      <c r="F52" s="812"/>
      <c r="G52" s="813"/>
      <c r="H52" s="817" t="str" cm="1">
        <f t="array" ref="H52">latitudeDecimal2Txt(O52)</f>
        <v>N 02°18.01 (N 02.3003) [N 02°18'01.10]</v>
      </c>
      <c r="I52" s="817"/>
      <c r="J52" s="817"/>
      <c r="K52" s="817"/>
      <c r="L52" s="817"/>
      <c r="M52" s="817"/>
      <c r="N52" s="817"/>
      <c r="O52" s="814">
        <f>(AM52-K26)*15.002</f>
        <v>2.3003066666666534</v>
      </c>
      <c r="P52" s="815"/>
      <c r="Q52" s="815"/>
      <c r="R52" s="815"/>
      <c r="S52" s="815"/>
      <c r="Z52" s="183"/>
      <c r="AA52" s="183"/>
      <c r="AB52" s="183"/>
      <c r="AH52" s="208"/>
      <c r="AI52" s="244" t="s">
        <v>458</v>
      </c>
      <c r="AJ52" s="241">
        <f>IF(AK45,(AS45+AN38)/2,0)</f>
        <v>0</v>
      </c>
      <c r="AK52" s="241">
        <f>IF(AJ52&gt;0,1,0)</f>
        <v>0</v>
      </c>
      <c r="AL52" s="248" t="s">
        <v>445</v>
      </c>
      <c r="AM52" s="249">
        <f>AM51/AM50</f>
        <v>12.172777777777778</v>
      </c>
      <c r="AN52" s="243"/>
      <c r="AO52" s="241"/>
      <c r="AP52" s="206"/>
      <c r="AQ52" s="241"/>
      <c r="AR52" s="243"/>
      <c r="AS52" s="241"/>
    </row>
    <row r="53" spans="2:71" s="182" customFormat="1" ht="17.25" customHeight="1" x14ac:dyDescent="0.2">
      <c r="D53" s="812"/>
      <c r="E53" s="812"/>
      <c r="F53" s="812"/>
      <c r="G53" s="813"/>
      <c r="H53" s="817"/>
      <c r="I53" s="817"/>
      <c r="J53" s="817"/>
      <c r="K53" s="817"/>
      <c r="L53" s="817"/>
      <c r="M53" s="817"/>
      <c r="N53" s="817"/>
      <c r="O53" s="816"/>
      <c r="P53" s="815"/>
      <c r="Q53" s="815"/>
      <c r="R53" s="815"/>
      <c r="S53" s="815"/>
      <c r="Z53" s="183"/>
      <c r="AA53" s="183"/>
      <c r="AB53" s="183"/>
      <c r="AH53" s="208"/>
      <c r="AI53" s="244" t="s">
        <v>459</v>
      </c>
      <c r="AJ53" s="241">
        <f>IF(AK44,(AS44+AN39)/2,0)</f>
        <v>0</v>
      </c>
      <c r="AK53" s="241">
        <f>IF(AJ53&gt;0,1,0)</f>
        <v>0</v>
      </c>
    </row>
    <row r="54" spans="2:71" s="182" customFormat="1" ht="17.25" customHeight="1" thickBot="1" x14ac:dyDescent="0.3">
      <c r="D54"/>
      <c r="E54"/>
      <c r="F54"/>
      <c r="G54"/>
      <c r="H54"/>
      <c r="I54"/>
      <c r="J54"/>
      <c r="K54"/>
      <c r="L54"/>
      <c r="M54"/>
      <c r="N54"/>
      <c r="O54" s="96"/>
      <c r="P54" s="96"/>
      <c r="Q54" s="96"/>
      <c r="R54" s="96"/>
      <c r="S54" s="96"/>
      <c r="Z54" s="183"/>
      <c r="AA54" s="183"/>
      <c r="AB54" s="183"/>
      <c r="AH54" s="208"/>
      <c r="AI54"/>
      <c r="AJ54"/>
      <c r="AK54"/>
    </row>
    <row r="55" spans="2:71" ht="17.25" customHeight="1" thickBot="1" x14ac:dyDescent="0.3">
      <c r="B55" s="108" t="s">
        <v>9</v>
      </c>
      <c r="C55" s="109"/>
      <c r="D55" s="109"/>
      <c r="E55" s="109"/>
      <c r="F55" s="416">
        <f>IF(G56=AJ56,F60,F68)</f>
        <v>23.416622222222223</v>
      </c>
      <c r="G55" s="416"/>
      <c r="H55" s="416"/>
      <c r="I55" s="109"/>
      <c r="J55" s="109"/>
      <c r="K55" s="109" t="str" cm="1">
        <f t="array" ref="K55">angleDecimal2Txt(F55)</f>
        <v>+23°24.99 (+23.4166) [+23°24'59.83]</v>
      </c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  <c r="X55" s="109"/>
      <c r="Y55" s="109"/>
      <c r="Z55" s="109"/>
      <c r="AA55" s="109"/>
      <c r="AF55"/>
      <c r="AG55"/>
      <c r="AH55" s="149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107"/>
      <c r="BO55" s="99"/>
      <c r="BP55" s="99"/>
      <c r="BQ55" s="99"/>
      <c r="BR55" s="99"/>
      <c r="BS55" s="99"/>
    </row>
    <row r="56" spans="2:71" s="116" customFormat="1" ht="17.25" customHeight="1" x14ac:dyDescent="0.25">
      <c r="C56" s="414" t="s">
        <v>42</v>
      </c>
      <c r="D56" s="414"/>
      <c r="E56" s="414"/>
      <c r="F56" s="414"/>
      <c r="G56" s="418" t="s">
        <v>16</v>
      </c>
      <c r="H56" s="418"/>
      <c r="I56" s="418"/>
      <c r="AH56" s="150"/>
      <c r="AI56" s="616" t="s">
        <v>43</v>
      </c>
      <c r="AJ56" s="153" t="s">
        <v>10</v>
      </c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2:71" ht="17.25" customHeight="1" x14ac:dyDescent="0.25">
      <c r="C57" s="117" t="s">
        <v>10</v>
      </c>
      <c r="D57" s="117"/>
      <c r="E57" s="118"/>
      <c r="F57" s="118"/>
      <c r="G57" s="97"/>
      <c r="H57" s="97"/>
      <c r="I57" s="97"/>
      <c r="AH57" s="146"/>
      <c r="AI57" s="616"/>
      <c r="AJ57" s="153" t="s">
        <v>16</v>
      </c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107"/>
      <c r="BO57" s="99"/>
      <c r="BP57" s="99"/>
      <c r="BQ57" s="99"/>
      <c r="BR57" s="99"/>
      <c r="BS57" s="99"/>
    </row>
    <row r="58" spans="2:71" ht="17.25" customHeight="1" x14ac:dyDescent="0.25">
      <c r="F58" s="424" t="s">
        <v>9</v>
      </c>
      <c r="G58" s="424"/>
      <c r="H58" s="424"/>
      <c r="I58" s="424" t="s">
        <v>12</v>
      </c>
      <c r="J58" s="424"/>
      <c r="K58" s="424"/>
      <c r="L58" s="424"/>
      <c r="M58" s="417" t="s">
        <v>13</v>
      </c>
      <c r="N58" s="417"/>
      <c r="O58" s="417"/>
      <c r="P58" s="426" t="s">
        <v>17</v>
      </c>
      <c r="Q58" s="426"/>
      <c r="R58" s="426"/>
      <c r="S58" s="426"/>
      <c r="T58" s="426"/>
      <c r="U58" s="97"/>
      <c r="AF58"/>
      <c r="AG58"/>
      <c r="AH58" s="146"/>
      <c r="AI58"/>
      <c r="AJ58" s="158" t="s">
        <v>101</v>
      </c>
      <c r="AK58" s="6" t="s">
        <v>347</v>
      </c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107"/>
      <c r="BO58" s="99"/>
      <c r="BP58" s="99"/>
      <c r="BQ58" s="99"/>
      <c r="BR58" s="99"/>
      <c r="BS58" s="99"/>
    </row>
    <row r="59" spans="2:71" ht="17.25" customHeight="1" thickBot="1" x14ac:dyDescent="0.3">
      <c r="F59" s="424"/>
      <c r="G59" s="424"/>
      <c r="H59" s="424"/>
      <c r="I59" s="424"/>
      <c r="J59" s="424"/>
      <c r="K59" s="424"/>
      <c r="L59" s="424"/>
      <c r="M59" s="417"/>
      <c r="N59" s="417"/>
      <c r="O59" s="417"/>
      <c r="P59" s="426"/>
      <c r="Q59" s="426"/>
      <c r="R59" s="426"/>
      <c r="S59" s="426"/>
      <c r="T59" s="426"/>
      <c r="U59" s="97"/>
      <c r="AF59"/>
      <c r="AG59"/>
      <c r="AH59" s="146"/>
      <c r="AI59" s="6" t="s">
        <v>338</v>
      </c>
      <c r="AJ59" s="6">
        <f>VLOOKUP(P60,A16:C17,3)</f>
        <v>-1</v>
      </c>
      <c r="AK59" s="6" cm="1">
        <f t="array" ref="AK59">AJ59*angleConvert2Decimal(Q60)</f>
        <v>-6.4783333333333335</v>
      </c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107"/>
      <c r="BO59" s="99"/>
      <c r="BP59" s="99"/>
      <c r="BQ59" s="99"/>
      <c r="BR59" s="99"/>
      <c r="BS59" s="99"/>
    </row>
    <row r="60" spans="2:71" ht="17.25" customHeight="1" thickTop="1" thickBot="1" x14ac:dyDescent="0.3">
      <c r="E60" s="99"/>
      <c r="F60" s="490" t="str">
        <f>IF(G56=AJ57,"---",AJ64)</f>
        <v>---</v>
      </c>
      <c r="G60" s="490"/>
      <c r="H60" s="490"/>
      <c r="I60" s="422">
        <f>AM52</f>
        <v>12.172777777777778</v>
      </c>
      <c r="J60" s="422"/>
      <c r="K60" s="422"/>
      <c r="L60" s="422"/>
      <c r="M60" s="613">
        <v>15</v>
      </c>
      <c r="N60" s="422"/>
      <c r="O60" s="422"/>
      <c r="P60" s="422" t="s">
        <v>4</v>
      </c>
      <c r="Q60" s="522" t="s">
        <v>433</v>
      </c>
      <c r="R60" s="611"/>
      <c r="S60" s="611"/>
      <c r="T60" s="611"/>
      <c r="U60" s="344" t="str" cm="1">
        <f t="array" ref="U60">angleDecimal2Txt(AK59)</f>
        <v>-06°28.69 (-06.4783) [-06°28'42.00]</v>
      </c>
      <c r="V60" s="514"/>
      <c r="W60" s="514"/>
      <c r="X60" s="514"/>
      <c r="Y60" s="514"/>
      <c r="AF60"/>
      <c r="AG60"/>
      <c r="AH60" s="146"/>
      <c r="AI60" s="6" t="s">
        <v>339</v>
      </c>
      <c r="AJ60" s="6">
        <f>VLOOKUP(P62,A16:C17,3)</f>
        <v>-1</v>
      </c>
      <c r="AK60" s="6" cm="1">
        <f t="array" ref="AK60">AJ60*angleConvert2Decimal(Q62)</f>
        <v>-6.4616666666666669</v>
      </c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107"/>
      <c r="BO60" s="99"/>
      <c r="BP60" s="99"/>
      <c r="BQ60" s="99"/>
      <c r="BR60" s="99"/>
      <c r="BS60" s="99"/>
    </row>
    <row r="61" spans="2:71" ht="17.25" customHeight="1" thickTop="1" thickBot="1" x14ac:dyDescent="0.3">
      <c r="F61" s="491"/>
      <c r="G61" s="491"/>
      <c r="H61" s="491"/>
      <c r="I61" s="423"/>
      <c r="J61" s="423"/>
      <c r="K61" s="423"/>
      <c r="L61" s="423"/>
      <c r="M61" s="614"/>
      <c r="N61" s="423"/>
      <c r="O61" s="423"/>
      <c r="P61" s="423"/>
      <c r="Q61" s="612"/>
      <c r="R61" s="612"/>
      <c r="S61" s="612"/>
      <c r="T61" s="612"/>
      <c r="U61" s="514"/>
      <c r="V61" s="514"/>
      <c r="W61" s="514"/>
      <c r="X61" s="514"/>
      <c r="Y61" s="514"/>
      <c r="AF61"/>
      <c r="AG61"/>
      <c r="AH61" s="146"/>
      <c r="AI61" s="6" t="s">
        <v>45</v>
      </c>
      <c r="AJ61" s="8">
        <f>AK60-AK59</f>
        <v>1.6666666666666607E-2</v>
      </c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07"/>
      <c r="BO61" s="99"/>
      <c r="BP61" s="99"/>
      <c r="BQ61" s="99"/>
      <c r="BR61" s="99"/>
      <c r="BS61" s="99"/>
    </row>
    <row r="62" spans="2:71" ht="17.25" customHeight="1" thickTop="1" thickBot="1" x14ac:dyDescent="0.3">
      <c r="F62" s="491"/>
      <c r="G62" s="491"/>
      <c r="H62" s="491"/>
      <c r="I62" s="423"/>
      <c r="J62" s="423"/>
      <c r="K62" s="423"/>
      <c r="L62" s="423"/>
      <c r="M62" s="614">
        <v>16</v>
      </c>
      <c r="N62" s="423"/>
      <c r="O62" s="423"/>
      <c r="P62" s="422" t="s">
        <v>4</v>
      </c>
      <c r="Q62" s="615" t="s">
        <v>434</v>
      </c>
      <c r="R62" s="612"/>
      <c r="S62" s="612"/>
      <c r="T62" s="612"/>
      <c r="U62" s="344" t="str" cm="1">
        <f t="array" ref="U62">angleDecimal2Txt((AK60))</f>
        <v>-06°27.69 (-06.4616) [-06°27'42.00]</v>
      </c>
      <c r="V62" s="514"/>
      <c r="W62" s="514"/>
      <c r="X62" s="514"/>
      <c r="Y62" s="514"/>
      <c r="AH62" s="146"/>
      <c r="AI62" s="6" t="s">
        <v>341</v>
      </c>
      <c r="AJ62" s="8">
        <f>M62-M60</f>
        <v>1</v>
      </c>
      <c r="AK62" s="99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07"/>
      <c r="BO62" s="99"/>
      <c r="BP62" s="99"/>
      <c r="BQ62" s="99"/>
      <c r="BR62" s="99"/>
      <c r="BS62" s="99"/>
    </row>
    <row r="63" spans="2:71" ht="17.25" customHeight="1" thickTop="1" thickBot="1" x14ac:dyDescent="0.3">
      <c r="F63" s="491"/>
      <c r="G63" s="491"/>
      <c r="H63" s="491"/>
      <c r="I63" s="423"/>
      <c r="J63" s="423"/>
      <c r="K63" s="423"/>
      <c r="L63" s="423"/>
      <c r="M63" s="614"/>
      <c r="N63" s="423"/>
      <c r="O63" s="423"/>
      <c r="P63" s="423"/>
      <c r="Q63" s="612"/>
      <c r="R63" s="612"/>
      <c r="S63" s="612"/>
      <c r="T63" s="612"/>
      <c r="U63" s="514"/>
      <c r="V63" s="514"/>
      <c r="W63" s="514"/>
      <c r="X63" s="514"/>
      <c r="Y63" s="514"/>
      <c r="AF63"/>
      <c r="AG63"/>
      <c r="AH63" s="146"/>
      <c r="AI63" s="6" t="s">
        <v>46</v>
      </c>
      <c r="AJ63" s="8">
        <f>I60-M60</f>
        <v>-2.8272222222222219</v>
      </c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07"/>
      <c r="BO63" s="99"/>
      <c r="BP63" s="99"/>
      <c r="BQ63" s="99"/>
      <c r="BR63" s="99"/>
      <c r="BS63" s="99"/>
    </row>
    <row r="64" spans="2:71" ht="17.25" customHeight="1" thickTop="1" thickBot="1" x14ac:dyDescent="0.3">
      <c r="F64" s="346" t="e" cm="1">
        <f t="array" ref="F64">angleDecimal2Txt(F60)</f>
        <v>#VALUE!</v>
      </c>
      <c r="G64" s="346"/>
      <c r="H64" s="346"/>
      <c r="I64" s="346"/>
      <c r="J64" s="346"/>
      <c r="K64" s="346"/>
      <c r="AA64" s="97"/>
      <c r="AF64"/>
      <c r="AG64"/>
      <c r="AH64" s="146"/>
      <c r="AI64" s="6" t="s">
        <v>44</v>
      </c>
      <c r="AJ64" s="6">
        <f>AK59+(AJ61/AJ62)*AJ63</f>
        <v>-6.5254537037037039</v>
      </c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07"/>
      <c r="BO64" s="99"/>
      <c r="BP64" s="99"/>
      <c r="BQ64" s="99"/>
      <c r="BR64" s="99"/>
      <c r="BS64" s="99"/>
    </row>
    <row r="65" spans="1:73" ht="17.25" customHeight="1" thickTop="1" x14ac:dyDescent="0.25">
      <c r="C65" s="117" t="s">
        <v>16</v>
      </c>
      <c r="D65" s="117"/>
      <c r="E65" s="118"/>
      <c r="F65" s="118"/>
      <c r="G65" s="97"/>
      <c r="H65" s="97"/>
      <c r="I65" s="97"/>
      <c r="AA65" s="97"/>
      <c r="AF65"/>
      <c r="AG65"/>
      <c r="AH65" s="146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07"/>
      <c r="BO65" s="99"/>
      <c r="BP65" s="99"/>
      <c r="BQ65" s="99"/>
      <c r="BR65" s="99"/>
      <c r="BS65" s="99"/>
    </row>
    <row r="66" spans="1:73" ht="17.25" customHeight="1" x14ac:dyDescent="0.25">
      <c r="C66" s="97"/>
      <c r="D66" s="97"/>
      <c r="E66" s="97"/>
      <c r="F66" s="424" t="s">
        <v>9</v>
      </c>
      <c r="G66" s="424"/>
      <c r="H66" s="424"/>
      <c r="I66" s="424" t="s">
        <v>12</v>
      </c>
      <c r="J66" s="424"/>
      <c r="K66" s="424"/>
      <c r="L66" s="424"/>
      <c r="M66" s="417" t="s">
        <v>13</v>
      </c>
      <c r="N66" s="417"/>
      <c r="O66" s="417"/>
      <c r="P66" s="426" t="s">
        <v>18</v>
      </c>
      <c r="Q66" s="426"/>
      <c r="R66" s="426"/>
      <c r="S66" s="426"/>
      <c r="T66" s="426"/>
      <c r="U66" s="426" t="s">
        <v>235</v>
      </c>
      <c r="V66" s="426"/>
      <c r="W66" s="426"/>
      <c r="X66" s="426"/>
      <c r="Y66" s="426"/>
      <c r="AA66" s="97"/>
      <c r="AF66"/>
      <c r="AG66"/>
      <c r="AH66" s="146"/>
      <c r="AI66" s="6" t="s">
        <v>342</v>
      </c>
      <c r="AJ66" s="6">
        <f>VLOOKUP(P68,A16:C17,3)</f>
        <v>1</v>
      </c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07"/>
      <c r="BO66" s="99"/>
      <c r="BP66" s="99"/>
      <c r="BQ66" s="99"/>
      <c r="BR66" s="99"/>
      <c r="BS66" s="99"/>
    </row>
    <row r="67" spans="1:73" ht="17.25" customHeight="1" x14ac:dyDescent="0.25">
      <c r="F67" s="424"/>
      <c r="G67" s="424"/>
      <c r="H67" s="424"/>
      <c r="I67" s="424"/>
      <c r="J67" s="424"/>
      <c r="K67" s="424"/>
      <c r="L67" s="424"/>
      <c r="M67" s="417"/>
      <c r="N67" s="417"/>
      <c r="O67" s="417"/>
      <c r="P67" s="426"/>
      <c r="Q67" s="426"/>
      <c r="R67" s="426"/>
      <c r="S67" s="426"/>
      <c r="T67" s="426"/>
      <c r="U67" s="426"/>
      <c r="V67" s="426"/>
      <c r="W67" s="426"/>
      <c r="X67" s="426"/>
      <c r="Y67" s="426"/>
      <c r="Z67" s="97"/>
      <c r="AA67" s="97"/>
      <c r="AF67"/>
      <c r="AG67"/>
      <c r="AH67" s="146"/>
      <c r="AI67" s="6" t="s">
        <v>343</v>
      </c>
      <c r="AJ67" s="6" cm="1">
        <f t="array" ref="AJ67">angleConvert2Decimal(Q68)*AJ66</f>
        <v>23.416666666666668</v>
      </c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07"/>
      <c r="BO67" s="99"/>
      <c r="BP67" s="99"/>
      <c r="BQ67" s="99"/>
      <c r="BR67" s="99"/>
      <c r="BS67" s="99"/>
    </row>
    <row r="68" spans="1:73" ht="17.25" customHeight="1" x14ac:dyDescent="0.25">
      <c r="E68" s="99"/>
      <c r="F68" s="490">
        <f>IF(G56=AJ57,AJ70,"---")</f>
        <v>23.416622222222223</v>
      </c>
      <c r="G68" s="490"/>
      <c r="H68" s="490"/>
      <c r="I68" s="422">
        <f>AM52</f>
        <v>12.172777777777778</v>
      </c>
      <c r="J68" s="422"/>
      <c r="K68" s="422"/>
      <c r="L68" s="422"/>
      <c r="M68" s="613">
        <v>12.17</v>
      </c>
      <c r="N68" s="422"/>
      <c r="O68" s="422"/>
      <c r="P68" s="422" t="s">
        <v>3</v>
      </c>
      <c r="Q68" s="637" t="s">
        <v>464</v>
      </c>
      <c r="R68" s="422"/>
      <c r="S68" s="422"/>
      <c r="T68" s="422"/>
      <c r="U68" s="422" t="s">
        <v>4</v>
      </c>
      <c r="V68" s="637" t="s">
        <v>173</v>
      </c>
      <c r="W68" s="422"/>
      <c r="X68" s="422"/>
      <c r="Y68" s="422"/>
      <c r="Z68" s="97"/>
      <c r="AF68"/>
      <c r="AG68"/>
      <c r="AH68" s="146"/>
      <c r="AI68" s="6" t="s">
        <v>344</v>
      </c>
      <c r="AJ68" s="6">
        <f>VLOOKUP(U68,A16:C17,3)</f>
        <v>-1</v>
      </c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07"/>
      <c r="BO68" s="99"/>
      <c r="BP68" s="99"/>
      <c r="BQ68" s="99"/>
      <c r="BR68" s="99"/>
      <c r="BS68" s="99"/>
    </row>
    <row r="69" spans="1:73" ht="17.25" customHeight="1" collapsed="1" thickBot="1" x14ac:dyDescent="0.3">
      <c r="F69" s="491"/>
      <c r="G69" s="491"/>
      <c r="H69" s="491"/>
      <c r="I69" s="423"/>
      <c r="J69" s="423"/>
      <c r="K69" s="423"/>
      <c r="L69" s="423"/>
      <c r="M69" s="614"/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97"/>
      <c r="AF69"/>
      <c r="AG69"/>
      <c r="AH69" s="146"/>
      <c r="AI69" s="6" t="s">
        <v>345</v>
      </c>
      <c r="AJ69" s="6" cm="1">
        <f t="array" ref="AJ69">angleConvert2Decimal(V68)*AJ68</f>
        <v>-1.6E-2</v>
      </c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07"/>
      <c r="BO69" s="99"/>
      <c r="BP69" s="99"/>
      <c r="BQ69" s="99"/>
      <c r="BR69" s="99"/>
      <c r="BS69" s="99"/>
    </row>
    <row r="70" spans="1:73" ht="17.25" customHeight="1" thickTop="1" thickBot="1" x14ac:dyDescent="0.3">
      <c r="F70" s="346" t="str" cm="1">
        <f t="array" ref="F70">angleDecimal2Txt(F68)</f>
        <v>+23°24.99 (+23.4166) [+23°24'59.83]</v>
      </c>
      <c r="G70" s="346"/>
      <c r="H70" s="346"/>
      <c r="I70" s="346"/>
      <c r="J70" s="346"/>
      <c r="K70" s="346"/>
      <c r="P70" s="346" t="str" cm="1">
        <f t="array" ref="P70">angleDecimal2Txt(AJ67)</f>
        <v>+23°25.00 (+23.4166) [+23°25'00.00]</v>
      </c>
      <c r="Q70" s="346"/>
      <c r="R70" s="346"/>
      <c r="S70" s="346"/>
      <c r="T70" s="346"/>
      <c r="U70" s="346" t="str" cm="1">
        <f t="array" ref="U70">angleDecimal2Txt(AJ69)</f>
        <v>-00°00.96 (-00.0160) [-00°00'57.60]</v>
      </c>
      <c r="V70" s="566"/>
      <c r="W70" s="566"/>
      <c r="X70" s="566"/>
      <c r="Y70" s="566"/>
      <c r="AF70"/>
      <c r="AG70"/>
      <c r="AH70" s="146"/>
      <c r="AI70" s="6" t="s">
        <v>346</v>
      </c>
      <c r="AJ70" s="6">
        <f>AJ67+AJ69*(I68-M68)</f>
        <v>23.416622222222223</v>
      </c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07"/>
      <c r="BO70" s="99"/>
      <c r="BP70" s="99"/>
      <c r="BQ70" s="99"/>
      <c r="BR70" s="99"/>
      <c r="BS70" s="99"/>
    </row>
    <row r="71" spans="1:73" ht="17.25" customHeight="1" thickTop="1" x14ac:dyDescent="0.25">
      <c r="S71" s="97"/>
      <c r="T71" s="97"/>
      <c r="U71" s="97"/>
      <c r="V71" s="97"/>
      <c r="W71" s="97"/>
      <c r="X71" s="97"/>
      <c r="AF71"/>
      <c r="AG71"/>
      <c r="AH71" s="146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07"/>
      <c r="BO71" s="99"/>
      <c r="BP71" s="99"/>
      <c r="BQ71" s="99"/>
      <c r="BR71" s="99"/>
      <c r="BS71" s="99"/>
    </row>
    <row r="72" spans="1:73" s="182" customFormat="1" ht="17.25" customHeight="1" thickBot="1" x14ac:dyDescent="0.25">
      <c r="A72" s="99"/>
      <c r="B72" s="99"/>
      <c r="C72" s="98"/>
      <c r="D72" s="98"/>
      <c r="Z72" s="99"/>
      <c r="AA72" s="99"/>
      <c r="AB72" s="99"/>
      <c r="AC72" s="99"/>
      <c r="AD72" s="99"/>
      <c r="AE72" s="99"/>
      <c r="AF72" s="99"/>
      <c r="AG72" s="99"/>
      <c r="AH72" s="201"/>
      <c r="BT72" s="99"/>
      <c r="BU72" s="99"/>
    </row>
    <row r="73" spans="1:73" s="182" customFormat="1" ht="17.25" customHeight="1" thickBot="1" x14ac:dyDescent="0.25">
      <c r="A73" s="99"/>
      <c r="B73" s="108" t="s">
        <v>391</v>
      </c>
      <c r="C73" s="162"/>
      <c r="D73" s="162"/>
      <c r="E73" s="162"/>
      <c r="F73" s="764"/>
      <c r="G73" s="764"/>
      <c r="H73" s="764"/>
      <c r="I73" s="109"/>
      <c r="J73" s="765"/>
      <c r="K73" s="765"/>
      <c r="L73" s="765"/>
      <c r="M73" s="766"/>
      <c r="N73" s="766"/>
      <c r="O73" s="766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09"/>
      <c r="AC73" s="109"/>
      <c r="AD73" s="109"/>
      <c r="AE73" s="109"/>
      <c r="AF73" s="109"/>
      <c r="AG73" s="109"/>
      <c r="AH73" s="201"/>
      <c r="BO73" s="99"/>
      <c r="BP73" s="99"/>
    </row>
    <row r="74" spans="1:73" s="182" customFormat="1" ht="17.25" customHeight="1" collapsed="1" thickTop="1" x14ac:dyDescent="0.2">
      <c r="A74" s="99"/>
      <c r="B74" s="99"/>
      <c r="C74" s="666" t="s">
        <v>392</v>
      </c>
      <c r="D74" s="667"/>
      <c r="E74" s="667"/>
      <c r="F74" s="667"/>
      <c r="G74" s="667"/>
      <c r="H74" s="668"/>
      <c r="I74" s="873" t="s">
        <v>465</v>
      </c>
      <c r="J74" s="873"/>
      <c r="K74" s="873"/>
      <c r="L74" s="874"/>
      <c r="M74" s="877" cm="1">
        <f t="array" ref="M74">angleConvert2Decimal(I74)</f>
        <v>63.116666666666667</v>
      </c>
      <c r="N74" s="877"/>
      <c r="O74" s="877"/>
      <c r="P74" s="877"/>
      <c r="Q74" s="878" t="str" cm="1">
        <f t="array" ref="Q74">angleDecimal2Txt(M74)</f>
        <v>+63°07.00 (+63.1166) [+63°07'00.00]</v>
      </c>
      <c r="R74" s="879"/>
      <c r="S74" s="879"/>
      <c r="T74" s="879"/>
      <c r="U74" s="879"/>
      <c r="V74" s="879"/>
      <c r="W74" s="879"/>
      <c r="X74" s="880"/>
      <c r="Y74" s="99"/>
      <c r="Z74" s="99"/>
      <c r="AA74" s="99"/>
      <c r="AB74" s="99"/>
      <c r="AC74" s="99"/>
      <c r="AD74" s="99"/>
      <c r="AE74" s="99"/>
      <c r="AF74" s="99"/>
      <c r="AG74" s="99"/>
      <c r="AH74" s="201"/>
      <c r="BO74" s="99"/>
      <c r="BP74" s="99"/>
    </row>
    <row r="75" spans="1:73" s="182" customFormat="1" ht="17.25" customHeight="1" thickBot="1" x14ac:dyDescent="0.25">
      <c r="A75" s="99"/>
      <c r="B75" s="99"/>
      <c r="C75" s="669"/>
      <c r="D75" s="670"/>
      <c r="E75" s="670"/>
      <c r="F75" s="670"/>
      <c r="G75" s="670"/>
      <c r="H75" s="671"/>
      <c r="I75" s="875"/>
      <c r="J75" s="875"/>
      <c r="K75" s="875"/>
      <c r="L75" s="876"/>
      <c r="M75" s="877"/>
      <c r="N75" s="877"/>
      <c r="O75" s="877"/>
      <c r="P75" s="877"/>
      <c r="Q75" s="881"/>
      <c r="R75" s="882"/>
      <c r="S75" s="882"/>
      <c r="T75" s="882"/>
      <c r="U75" s="882"/>
      <c r="V75" s="882"/>
      <c r="W75" s="882"/>
      <c r="X75" s="883"/>
      <c r="Y75" s="99"/>
      <c r="Z75" s="99"/>
      <c r="AA75" s="99"/>
      <c r="AB75" s="99"/>
      <c r="AC75" s="99"/>
      <c r="AD75" s="99"/>
      <c r="AE75" s="99"/>
      <c r="AF75" s="99"/>
      <c r="AG75" s="99"/>
      <c r="AH75" s="201"/>
      <c r="BO75" s="99"/>
      <c r="BP75" s="99"/>
    </row>
    <row r="76" spans="1:73" ht="18" customHeight="1" thickTop="1" x14ac:dyDescent="0.25">
      <c r="C76" s="672" t="s">
        <v>84</v>
      </c>
      <c r="D76" s="673"/>
      <c r="E76" s="673"/>
      <c r="F76" s="673"/>
      <c r="G76" s="673"/>
      <c r="H76" s="673"/>
      <c r="I76" s="342" t="str">
        <f>M76</f>
        <v>BordInf</v>
      </c>
      <c r="J76" s="342"/>
      <c r="K76" s="342"/>
      <c r="L76" s="342"/>
      <c r="M76" s="515" t="s">
        <v>85</v>
      </c>
      <c r="N76" s="515"/>
      <c r="O76" s="515"/>
      <c r="P76" s="97"/>
      <c r="Q76" s="97"/>
      <c r="R76" s="97"/>
      <c r="S76" s="97"/>
      <c r="T76" s="97"/>
      <c r="U76" s="97"/>
      <c r="V76" s="97"/>
      <c r="W76" s="97"/>
      <c r="X76" s="97"/>
      <c r="Y76" s="97"/>
      <c r="AH76" s="146"/>
      <c r="AI76" s="154" t="s">
        <v>357</v>
      </c>
      <c r="AJ76" s="155" t="s">
        <v>39</v>
      </c>
      <c r="AK76" s="155" t="s">
        <v>40</v>
      </c>
      <c r="AL76" s="155" t="s">
        <v>38</v>
      </c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07"/>
      <c r="BO76" s="99"/>
      <c r="BP76" s="99"/>
      <c r="BQ76" s="99"/>
      <c r="BR76" s="99"/>
      <c r="BS76" s="99"/>
    </row>
    <row r="77" spans="1:73" ht="17.25" customHeight="1" x14ac:dyDescent="0.25">
      <c r="C77" s="246" t="s">
        <v>314</v>
      </c>
      <c r="D77" s="247"/>
      <c r="E77" s="110"/>
      <c r="F77" s="110"/>
      <c r="G77" s="110"/>
      <c r="H77" s="110"/>
      <c r="I77" s="345" cm="1">
        <f t="array" ref="I77">angleConvert2Decimal(M77)</f>
        <v>2.8833333333333332E-3</v>
      </c>
      <c r="J77" s="345"/>
      <c r="K77" s="345"/>
      <c r="L77" s="345"/>
      <c r="M77" s="545" t="str">
        <f>P79</f>
        <v>0.173'</v>
      </c>
      <c r="N77" s="546"/>
      <c r="O77" s="546"/>
      <c r="P77" s="551" t="s">
        <v>129</v>
      </c>
      <c r="Q77" s="551"/>
      <c r="R77" s="551"/>
      <c r="S77" s="97"/>
      <c r="T77" s="97"/>
      <c r="U77" s="97"/>
      <c r="V77" s="97"/>
      <c r="W77" s="97"/>
      <c r="X77" s="97"/>
      <c r="Y77" s="97"/>
      <c r="AH77" s="146"/>
      <c r="AI77" s="154" t="s">
        <v>131</v>
      </c>
      <c r="AJ77" s="156" t="s">
        <v>132</v>
      </c>
      <c r="AK77" s="156" t="s">
        <v>133</v>
      </c>
      <c r="AL77" s="156" t="s">
        <v>104</v>
      </c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107"/>
      <c r="BO77" s="99"/>
      <c r="BP77" s="99"/>
      <c r="BQ77" s="99"/>
      <c r="BR77" s="99"/>
      <c r="BS77" s="99"/>
    </row>
    <row r="78" spans="1:73" ht="17.25" customHeight="1" thickBot="1" x14ac:dyDescent="0.3">
      <c r="C78" s="112"/>
      <c r="D78" s="674" t="s">
        <v>315</v>
      </c>
      <c r="E78" s="674"/>
      <c r="F78" s="674"/>
      <c r="G78" s="674"/>
      <c r="H78" s="674"/>
      <c r="I78" s="345"/>
      <c r="J78" s="345"/>
      <c r="K78" s="345"/>
      <c r="L78" s="345"/>
      <c r="M78" s="547"/>
      <c r="N78" s="548"/>
      <c r="O78" s="548"/>
      <c r="P78" s="551"/>
      <c r="Q78" s="551"/>
      <c r="R78" s="551"/>
      <c r="S78" s="97"/>
      <c r="T78" s="97"/>
      <c r="U78" s="97"/>
      <c r="V78" s="97"/>
      <c r="W78" s="97"/>
      <c r="X78" s="97"/>
      <c r="Y78" s="97"/>
      <c r="AH78" s="146"/>
      <c r="AI78" s="154" t="s">
        <v>135</v>
      </c>
      <c r="AJ78" s="156" t="s">
        <v>132</v>
      </c>
      <c r="AK78" s="156" t="s">
        <v>136</v>
      </c>
      <c r="AL78" s="156" t="s">
        <v>103</v>
      </c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107"/>
      <c r="BO78" s="99"/>
      <c r="BP78" s="99"/>
      <c r="BQ78" s="99"/>
      <c r="BR78" s="99"/>
      <c r="BS78" s="99"/>
    </row>
    <row r="79" spans="1:73" ht="17.25" customHeight="1" thickTop="1" thickBot="1" x14ac:dyDescent="0.3">
      <c r="C79" s="112"/>
      <c r="D79" s="674"/>
      <c r="E79" s="674"/>
      <c r="F79" s="674"/>
      <c r="G79" s="674"/>
      <c r="H79" s="674"/>
      <c r="I79" s="345"/>
      <c r="J79" s="345"/>
      <c r="K79" s="345"/>
      <c r="L79" s="345"/>
      <c r="M79" s="547"/>
      <c r="N79" s="548"/>
      <c r="O79" s="548"/>
      <c r="P79" s="521" t="str">
        <f>HLOOKUP("Soleil",AJ76:AL78,2,FALSE)</f>
        <v>0.173'</v>
      </c>
      <c r="Q79" s="521"/>
      <c r="R79" s="521"/>
      <c r="S79" s="350" t="str" cm="1">
        <f t="array" ref="S79">angleDecimal2Txt(angleConvert2Decimal(P79))</f>
        <v>+00°00.17 (+00.0028) [+00°00'10.37]</v>
      </c>
      <c r="T79" s="350"/>
      <c r="U79" s="350"/>
      <c r="V79" s="350"/>
      <c r="W79" s="350"/>
      <c r="X79" s="351"/>
      <c r="Y79" s="97"/>
      <c r="AG79"/>
      <c r="AH79" s="146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107"/>
      <c r="BO79" s="99"/>
      <c r="BP79" s="99"/>
      <c r="BQ79" s="99"/>
      <c r="BR79" s="99"/>
      <c r="BS79" s="99"/>
    </row>
    <row r="80" spans="1:73" ht="17.25" customHeight="1" thickTop="1" thickBot="1" x14ac:dyDescent="0.3">
      <c r="C80" s="113"/>
      <c r="D80" s="675"/>
      <c r="E80" s="675"/>
      <c r="F80" s="675"/>
      <c r="G80" s="675"/>
      <c r="H80" s="675"/>
      <c r="I80" s="345"/>
      <c r="J80" s="345"/>
      <c r="K80" s="345"/>
      <c r="L80" s="345"/>
      <c r="M80" s="549"/>
      <c r="N80" s="550"/>
      <c r="O80" s="550"/>
      <c r="P80" s="518" t="str" cm="1">
        <f t="array" ref="P80">angleDecimal2Txt(I77)</f>
        <v>+00°00.17 (+00.0028) [+00°00'10.37]</v>
      </c>
      <c r="Q80" s="518"/>
      <c r="R80" s="518"/>
      <c r="S80" s="346"/>
      <c r="T80" s="346"/>
      <c r="U80" s="346"/>
      <c r="V80" s="346"/>
      <c r="W80" s="346"/>
      <c r="X80" s="346"/>
      <c r="Y80" s="97"/>
      <c r="AG80"/>
      <c r="AH80" s="146"/>
      <c r="AI80" s="154" t="s">
        <v>130</v>
      </c>
      <c r="AJ80" s="155" t="s">
        <v>85</v>
      </c>
      <c r="AK80" s="155" t="s">
        <v>355</v>
      </c>
      <c r="AL80" s="155" t="s">
        <v>86</v>
      </c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107"/>
      <c r="BO80" s="99"/>
      <c r="BP80" s="99"/>
      <c r="BQ80" s="99"/>
      <c r="BR80" s="99"/>
      <c r="BS80" s="99"/>
    </row>
    <row r="81" spans="1:71" ht="17.25" customHeight="1" thickTop="1" x14ac:dyDescent="0.25">
      <c r="C81" s="676" t="s">
        <v>134</v>
      </c>
      <c r="D81" s="677"/>
      <c r="E81" s="677"/>
      <c r="F81" s="677"/>
      <c r="G81" s="677"/>
      <c r="H81" s="677"/>
      <c r="I81" s="345" cm="1">
        <f t="array" ref="I81">angleConvert2Decimal(M81)</f>
        <v>0.53333333333333333</v>
      </c>
      <c r="J81" s="345"/>
      <c r="K81" s="345"/>
      <c r="L81" s="345"/>
      <c r="M81" s="545" t="str">
        <f>P83</f>
        <v>32'</v>
      </c>
      <c r="N81" s="546"/>
      <c r="O81" s="546"/>
      <c r="P81" s="551" t="s">
        <v>129</v>
      </c>
      <c r="Q81" s="551"/>
      <c r="R81" s="551"/>
      <c r="S81" s="97"/>
      <c r="T81" s="97"/>
      <c r="U81" s="97"/>
      <c r="V81" s="97"/>
      <c r="W81" s="97"/>
      <c r="X81" s="97"/>
      <c r="Y81" s="97"/>
      <c r="AG81"/>
      <c r="AH81" s="146"/>
      <c r="AI81" s="154" t="s">
        <v>356</v>
      </c>
      <c r="AJ81" s="157">
        <v>0</v>
      </c>
      <c r="AK81" s="157">
        <v>-1</v>
      </c>
      <c r="AL81" s="157">
        <v>-0.5</v>
      </c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107"/>
      <c r="BO81" s="99"/>
      <c r="BP81" s="99"/>
      <c r="BQ81" s="99"/>
      <c r="BR81" s="99"/>
      <c r="BS81" s="99"/>
    </row>
    <row r="82" spans="1:71" ht="17.25" customHeight="1" thickBot="1" x14ac:dyDescent="0.3">
      <c r="C82" s="678"/>
      <c r="D82" s="679"/>
      <c r="E82" s="679"/>
      <c r="F82" s="679"/>
      <c r="G82" s="679"/>
      <c r="H82" s="679"/>
      <c r="I82" s="345"/>
      <c r="J82" s="345"/>
      <c r="K82" s="345"/>
      <c r="L82" s="345"/>
      <c r="M82" s="547"/>
      <c r="N82" s="548"/>
      <c r="O82" s="548"/>
      <c r="P82" s="551"/>
      <c r="Q82" s="551"/>
      <c r="R82" s="551"/>
      <c r="S82" s="97"/>
      <c r="T82" s="97"/>
      <c r="U82" s="97"/>
      <c r="V82" s="97"/>
      <c r="W82" s="97"/>
      <c r="X82" s="97"/>
      <c r="Y82" s="97"/>
      <c r="AG82"/>
      <c r="AH82" s="146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07"/>
      <c r="BO82" s="99"/>
      <c r="BP82" s="99"/>
      <c r="BQ82" s="99"/>
      <c r="BR82" s="99"/>
      <c r="BS82" s="99"/>
    </row>
    <row r="83" spans="1:71" ht="17.25" customHeight="1" thickTop="1" thickBot="1" x14ac:dyDescent="0.3">
      <c r="C83" s="678"/>
      <c r="D83" s="679"/>
      <c r="E83" s="679"/>
      <c r="F83" s="679"/>
      <c r="G83" s="679"/>
      <c r="H83" s="679"/>
      <c r="I83" s="345"/>
      <c r="J83" s="345"/>
      <c r="K83" s="345"/>
      <c r="L83" s="345"/>
      <c r="M83" s="547"/>
      <c r="N83" s="548"/>
      <c r="O83" s="548"/>
      <c r="P83" s="521" t="str">
        <f>HLOOKUP("Soleil",AJ76:AL78,3,FALSE)</f>
        <v>32'</v>
      </c>
      <c r="Q83" s="521"/>
      <c r="R83" s="521"/>
      <c r="S83" s="350" t="str" cm="1">
        <f t="array" ref="S83">angleDecimal2Txt(angleConvert2Decimal(P83))</f>
        <v>+00°32.00 (+00.5333) [+00°32'00.00]</v>
      </c>
      <c r="T83" s="350"/>
      <c r="U83" s="350"/>
      <c r="V83" s="350"/>
      <c r="W83" s="350"/>
      <c r="X83" s="351"/>
      <c r="Y83" s="97"/>
      <c r="AG83"/>
      <c r="AH83" s="146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107"/>
      <c r="BO83" s="99"/>
      <c r="BP83" s="99"/>
      <c r="BQ83" s="99"/>
      <c r="BR83" s="99"/>
      <c r="BS83" s="99"/>
    </row>
    <row r="84" spans="1:71" ht="17.25" customHeight="1" thickTop="1" thickBot="1" x14ac:dyDescent="0.3">
      <c r="C84" s="680"/>
      <c r="D84" s="681"/>
      <c r="E84" s="681"/>
      <c r="F84" s="681"/>
      <c r="G84" s="681"/>
      <c r="H84" s="681"/>
      <c r="I84" s="345"/>
      <c r="J84" s="345"/>
      <c r="K84" s="345"/>
      <c r="L84" s="345"/>
      <c r="M84" s="549"/>
      <c r="N84" s="550"/>
      <c r="O84" s="550"/>
      <c r="P84" s="518" t="str" cm="1">
        <f t="array" ref="P84">angleDecimal2Txt(I81)</f>
        <v>+00°32.00 (+00.5333) [+00°32'00.00]</v>
      </c>
      <c r="Q84" s="518"/>
      <c r="R84" s="518"/>
      <c r="S84" s="346"/>
      <c r="T84" s="346"/>
      <c r="U84" s="346"/>
      <c r="V84" s="346"/>
      <c r="W84" s="346"/>
      <c r="X84" s="346"/>
      <c r="Y84" s="97"/>
      <c r="AG84"/>
      <c r="AH84" s="146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107"/>
      <c r="BO84" s="99"/>
      <c r="BP84" s="99"/>
      <c r="BQ84" s="99"/>
      <c r="BR84" s="99"/>
      <c r="BS84" s="99"/>
    </row>
    <row r="85" spans="1:71" s="182" customFormat="1" ht="17.25" customHeight="1" thickTop="1" x14ac:dyDescent="0.25">
      <c r="A85" s="99"/>
      <c r="B85" s="99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 s="99"/>
      <c r="Z85" s="99"/>
      <c r="AA85" s="99"/>
      <c r="AB85" s="99"/>
      <c r="AC85" s="99"/>
      <c r="AD85" s="99"/>
      <c r="AE85" s="99"/>
      <c r="AF85" s="99"/>
      <c r="AG85" s="99"/>
      <c r="AH85" s="201"/>
      <c r="AI85"/>
      <c r="AJ85"/>
      <c r="BO85" s="99"/>
      <c r="BP85" s="99"/>
    </row>
    <row r="86" spans="1:71" s="182" customFormat="1" ht="17.25" customHeight="1" x14ac:dyDescent="0.25">
      <c r="A86" s="99"/>
      <c r="B86" s="99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 s="99"/>
      <c r="Z86" s="99"/>
      <c r="AA86" s="99"/>
      <c r="AB86" s="99"/>
      <c r="AC86" s="99"/>
      <c r="AD86" s="99"/>
      <c r="AE86" s="99"/>
      <c r="AF86" s="99"/>
      <c r="AG86" s="99"/>
      <c r="AH86" s="201"/>
      <c r="AI86"/>
      <c r="AJ86"/>
      <c r="BO86" s="99"/>
      <c r="BP86" s="99"/>
    </row>
    <row r="87" spans="1:71" s="182" customFormat="1" ht="17.25" customHeight="1" x14ac:dyDescent="0.25">
      <c r="A87" s="99"/>
      <c r="B87" s="99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 s="99"/>
      <c r="Z87" s="99"/>
      <c r="AA87" s="99"/>
      <c r="AB87" s="99"/>
      <c r="AC87" s="99"/>
      <c r="AD87" s="99"/>
      <c r="AE87" s="99"/>
      <c r="AF87" s="99"/>
      <c r="AG87" s="99"/>
      <c r="AH87" s="201"/>
      <c r="AI87" s="664" t="s">
        <v>43</v>
      </c>
      <c r="AJ87" s="210" t="s">
        <v>58</v>
      </c>
      <c r="BO87" s="99"/>
      <c r="BP87" s="99"/>
    </row>
    <row r="88" spans="1:71" s="182" customFormat="1" ht="17.25" customHeight="1" thickBot="1" x14ac:dyDescent="0.25">
      <c r="A88" s="99"/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H88" s="201"/>
      <c r="AI88" s="665"/>
      <c r="AJ88" s="210" t="s">
        <v>59</v>
      </c>
      <c r="BO88" s="99"/>
      <c r="BP88" s="99"/>
    </row>
    <row r="89" spans="1:71" s="182" customFormat="1" ht="17.25" customHeight="1" thickBot="1" x14ac:dyDescent="0.25">
      <c r="A89" s="99"/>
      <c r="B89" s="108" t="s">
        <v>25</v>
      </c>
      <c r="C89" s="109"/>
      <c r="D89" s="588" t="s">
        <v>100</v>
      </c>
      <c r="E89" s="592"/>
      <c r="F89" s="806">
        <f>IF(G90=AJ87,O127,O119)</f>
        <v>62.99962319343242</v>
      </c>
      <c r="G89" s="806"/>
      <c r="H89" s="806"/>
      <c r="I89" s="109"/>
      <c r="J89" s="109" t="str" cm="1">
        <f t="array" ref="J89">angleDecimal2Txt(F89)</f>
        <v>+62°59.97 (+62.9996) [+62°59'58.64]</v>
      </c>
      <c r="K89" s="109"/>
      <c r="L89" s="109"/>
      <c r="M89" s="109"/>
      <c r="N89" s="109"/>
      <c r="O89" s="109"/>
      <c r="P89" s="145"/>
      <c r="Q89" s="109" t="s">
        <v>127</v>
      </c>
      <c r="R89" s="109"/>
      <c r="S89" s="694">
        <f>-O106+O101+O110</f>
        <v>-8.4434732342498799E-3</v>
      </c>
      <c r="T89" s="695"/>
      <c r="U89" s="696"/>
      <c r="V89" s="691" t="str" cm="1">
        <f t="array" ref="V89">angleDecimal2Txt(S89)</f>
        <v>-00°00.50 (-00.0084) [-00°00'30.39]</v>
      </c>
      <c r="W89" s="692"/>
      <c r="X89" s="692"/>
      <c r="Y89" s="692"/>
      <c r="Z89" s="693"/>
      <c r="AA89" s="221"/>
      <c r="AB89" s="221"/>
      <c r="AC89" s="221"/>
      <c r="AD89" s="221"/>
      <c r="AE89" s="221"/>
      <c r="AF89" s="221"/>
      <c r="AG89" s="109"/>
      <c r="AH89" s="201"/>
      <c r="BO89" s="99"/>
      <c r="BP89" s="99"/>
    </row>
    <row r="90" spans="1:71" s="182" customFormat="1" ht="17.25" customHeight="1" x14ac:dyDescent="0.2">
      <c r="A90" s="99"/>
      <c r="B90" s="99"/>
      <c r="C90" s="414" t="s">
        <v>42</v>
      </c>
      <c r="D90" s="414"/>
      <c r="E90" s="414"/>
      <c r="F90" s="414"/>
      <c r="G90" s="769" t="s">
        <v>59</v>
      </c>
      <c r="H90" s="769"/>
      <c r="I90" s="769"/>
      <c r="J90" s="99"/>
      <c r="K90" s="99"/>
      <c r="L90" s="99"/>
      <c r="M90" s="99"/>
      <c r="N90" s="99"/>
      <c r="O90" s="99"/>
      <c r="P90" s="99" t="s">
        <v>97</v>
      </c>
      <c r="Q90" s="99"/>
      <c r="R90" s="99"/>
      <c r="S90" s="99"/>
      <c r="T90" s="99"/>
      <c r="U90" s="99"/>
      <c r="AG90" s="99"/>
      <c r="AH90" s="201"/>
      <c r="AI90" s="219" t="s">
        <v>87</v>
      </c>
      <c r="AJ90" s="223">
        <f>O93</f>
        <v>0.05</v>
      </c>
      <c r="BO90" s="99"/>
      <c r="BP90" s="99"/>
    </row>
    <row r="91" spans="1:71" s="182" customFormat="1" ht="17.25" customHeight="1" thickBot="1" x14ac:dyDescent="0.25">
      <c r="A91" s="99"/>
      <c r="B91" s="99"/>
      <c r="C91" s="192"/>
      <c r="D91" s="192"/>
      <c r="E91" s="192"/>
      <c r="F91" s="827" t="s">
        <v>90</v>
      </c>
      <c r="G91" s="827"/>
      <c r="H91" s="828"/>
      <c r="I91" s="828"/>
      <c r="J91" s="829">
        <f>IF(G90=AJ87,"---",O119)</f>
        <v>62.99962319343242</v>
      </c>
      <c r="K91" s="829"/>
      <c r="L91" s="829"/>
      <c r="M91" s="99"/>
      <c r="N91" s="99"/>
      <c r="O91" s="99"/>
      <c r="P91" s="99"/>
      <c r="Q91" s="99"/>
      <c r="R91" s="99"/>
      <c r="S91" s="99"/>
      <c r="T91" s="99"/>
      <c r="U91" s="99"/>
      <c r="AG91" s="99"/>
      <c r="AH91" s="201"/>
      <c r="AI91" s="219" t="s">
        <v>54</v>
      </c>
      <c r="AJ91" s="219">
        <f>J8</f>
        <v>4</v>
      </c>
      <c r="BO91" s="99"/>
      <c r="BP91" s="99"/>
    </row>
    <row r="92" spans="1:71" s="182" customFormat="1" ht="17.25" customHeight="1" thickTop="1" thickBot="1" x14ac:dyDescent="0.25">
      <c r="A92" s="99"/>
      <c r="B92" s="99"/>
      <c r="C92" s="99"/>
      <c r="D92" s="99"/>
      <c r="E92" s="99"/>
      <c r="F92" s="99"/>
      <c r="G92" s="99"/>
      <c r="H92" s="767" t="s">
        <v>55</v>
      </c>
      <c r="I92" s="767"/>
      <c r="J92" s="767"/>
      <c r="K92" s="767"/>
      <c r="L92" s="767"/>
      <c r="M92" s="767"/>
      <c r="N92" s="767"/>
      <c r="O92" s="768">
        <f>M74</f>
        <v>63.116666666666667</v>
      </c>
      <c r="P92" s="768"/>
      <c r="Q92" s="768"/>
      <c r="R92" s="768"/>
      <c r="S92" s="99" t="s">
        <v>71</v>
      </c>
      <c r="T92" s="99"/>
      <c r="U92" s="682" t="str" cm="1">
        <f t="array" ref="U92">angleDecimal2Txt(O92)</f>
        <v>+63°07.00 (+63.1166) [+63°07'00.00]</v>
      </c>
      <c r="V92" s="683"/>
      <c r="W92" s="683"/>
      <c r="X92" s="683"/>
      <c r="Y92" s="683"/>
      <c r="Z92" s="684"/>
      <c r="AA92" s="222"/>
      <c r="AB92" s="222"/>
      <c r="AC92" s="222"/>
      <c r="AD92" s="222"/>
      <c r="AE92" s="222"/>
      <c r="AF92" s="222"/>
      <c r="AG92" s="99"/>
      <c r="AH92" s="201"/>
      <c r="AI92" s="224" t="s">
        <v>95</v>
      </c>
      <c r="AJ92" s="219">
        <f>0.0293 * SQRT(AJ91)</f>
        <v>5.8599999999999999E-2</v>
      </c>
      <c r="BO92" s="99"/>
      <c r="BP92" s="99"/>
    </row>
    <row r="93" spans="1:71" s="182" customFormat="1" ht="17.25" customHeight="1" thickTop="1" thickBot="1" x14ac:dyDescent="0.25">
      <c r="A93" s="99"/>
      <c r="B93" s="99"/>
      <c r="C93" s="99"/>
      <c r="D93" s="99"/>
      <c r="E93" s="99"/>
      <c r="F93" s="99"/>
      <c r="G93" s="99"/>
      <c r="H93" s="767" t="s">
        <v>26</v>
      </c>
      <c r="I93" s="767"/>
      <c r="J93" s="767"/>
      <c r="K93" s="767"/>
      <c r="L93" s="767"/>
      <c r="M93" s="767"/>
      <c r="N93" s="767"/>
      <c r="O93" s="768">
        <f>J9</f>
        <v>0.05</v>
      </c>
      <c r="P93" s="768"/>
      <c r="Q93" s="768"/>
      <c r="R93" s="768"/>
      <c r="S93" s="99" t="s">
        <v>71</v>
      </c>
      <c r="T93" s="99"/>
      <c r="U93" s="682" t="str" cm="1">
        <f t="array" ref="U93">angleDecimal2Txt(O93)</f>
        <v>+00°03.00 (+00.0500) [+00°03'00.00]</v>
      </c>
      <c r="V93" s="683"/>
      <c r="W93" s="683"/>
      <c r="X93" s="683"/>
      <c r="Y93" s="683"/>
      <c r="Z93" s="684"/>
      <c r="AA93" s="222"/>
      <c r="AB93" s="222"/>
      <c r="AC93" s="222"/>
      <c r="AD93" s="222"/>
      <c r="AE93" s="222"/>
      <c r="AF93" s="222"/>
      <c r="AG93" s="99"/>
      <c r="AH93" s="211"/>
    </row>
    <row r="94" spans="1:71" ht="17.25" customHeight="1" thickTop="1" thickBot="1" x14ac:dyDescent="0.25">
      <c r="G94" s="99"/>
      <c r="H94" s="821" t="s">
        <v>96</v>
      </c>
      <c r="I94" s="821"/>
      <c r="J94" s="821"/>
      <c r="K94" s="821"/>
      <c r="L94" s="821"/>
      <c r="M94" s="821"/>
      <c r="N94" s="821"/>
      <c r="O94" s="809">
        <f>AJ92</f>
        <v>5.8599999999999999E-2</v>
      </c>
      <c r="P94" s="809"/>
      <c r="Q94" s="809"/>
      <c r="R94" s="809"/>
      <c r="S94" s="99" t="s">
        <v>71</v>
      </c>
      <c r="U94" s="682" t="str" cm="1">
        <f t="array" ref="U94">angleDecimal2Txt(O94)</f>
        <v>+00°03.51 (+00.0586) [+00°03'30.96]</v>
      </c>
      <c r="V94" s="683"/>
      <c r="W94" s="683"/>
      <c r="X94" s="683"/>
      <c r="Y94" s="683"/>
      <c r="Z94" s="684"/>
      <c r="AA94" s="222"/>
      <c r="AB94" s="222"/>
      <c r="AC94" s="222"/>
      <c r="AD94" s="222"/>
      <c r="AE94" s="222"/>
      <c r="AF94" s="222"/>
      <c r="BO94" s="99"/>
      <c r="BP94" s="99"/>
      <c r="BQ94" s="99"/>
      <c r="BR94" s="99"/>
      <c r="BS94" s="99"/>
    </row>
    <row r="95" spans="1:71" ht="17.25" customHeight="1" thickTop="1" thickBot="1" x14ac:dyDescent="0.25">
      <c r="A95" s="182"/>
      <c r="K95" s="182"/>
      <c r="L95" s="182"/>
      <c r="M95" s="822" t="s">
        <v>178</v>
      </c>
      <c r="N95" s="822"/>
      <c r="O95" s="822"/>
      <c r="P95" s="822"/>
      <c r="Q95" s="182"/>
      <c r="R95" s="182"/>
      <c r="U95" s="182"/>
      <c r="V95" s="182"/>
      <c r="W95" s="182"/>
      <c r="X95" s="182"/>
      <c r="Y95" s="182"/>
      <c r="Z95" s="182"/>
      <c r="AA95" s="182"/>
      <c r="AB95" s="182"/>
      <c r="AC95" s="182"/>
      <c r="AD95" s="182"/>
      <c r="AE95" s="182"/>
      <c r="AF95" s="182"/>
      <c r="AH95" s="212"/>
      <c r="BO95" s="99"/>
      <c r="BP95" s="99"/>
      <c r="BQ95" s="99"/>
      <c r="BR95" s="99"/>
      <c r="BS95" s="99"/>
    </row>
    <row r="96" spans="1:71" ht="17.25" customHeight="1" thickTop="1" thickBot="1" x14ac:dyDescent="0.25">
      <c r="G96" s="99"/>
      <c r="H96" s="823" t="s">
        <v>56</v>
      </c>
      <c r="I96" s="823"/>
      <c r="J96" s="823"/>
      <c r="K96" s="823"/>
      <c r="L96" s="823"/>
      <c r="M96" s="823"/>
      <c r="N96" s="823"/>
      <c r="O96" s="824">
        <f>O92-O93-O94</f>
        <v>63.008066666666672</v>
      </c>
      <c r="P96" s="825"/>
      <c r="Q96" s="99" t="s">
        <v>71</v>
      </c>
      <c r="R96" s="826">
        <f>O96*D141</f>
        <v>1.099698218649422</v>
      </c>
      <c r="S96" s="826"/>
      <c r="T96" s="120" t="s">
        <v>92</v>
      </c>
      <c r="U96" s="682" t="str" cm="1">
        <f t="array" ref="U96">angleDecimal2Txt(O96)</f>
        <v>+63°00.48 (+63.0080) [+63°00'29.04]</v>
      </c>
      <c r="V96" s="683"/>
      <c r="W96" s="683"/>
      <c r="X96" s="683"/>
      <c r="Y96" s="683"/>
      <c r="Z96" s="684"/>
      <c r="AA96" s="222"/>
      <c r="AB96" s="222"/>
      <c r="AC96" s="222"/>
      <c r="AD96" s="222"/>
      <c r="AE96" s="222"/>
      <c r="AF96" s="222"/>
      <c r="BO96" s="99"/>
      <c r="BP96" s="99"/>
      <c r="BQ96" s="99"/>
      <c r="BR96" s="99"/>
      <c r="BS96" s="99"/>
    </row>
    <row r="97" spans="1:71" ht="17.25" customHeight="1" thickTop="1" thickBot="1" x14ac:dyDescent="0.25">
      <c r="C97" s="99"/>
      <c r="D97" s="99"/>
      <c r="E97" s="99"/>
      <c r="F97" s="99"/>
      <c r="G97" s="99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U97" s="182"/>
      <c r="V97" s="182"/>
      <c r="W97" s="182"/>
      <c r="X97" s="182"/>
      <c r="Y97" s="182"/>
      <c r="Z97" s="182"/>
      <c r="AA97" s="182"/>
      <c r="AB97" s="182"/>
      <c r="AC97" s="182"/>
      <c r="AD97" s="182"/>
      <c r="AE97" s="182"/>
      <c r="AF97" s="182"/>
      <c r="AH97" s="211"/>
      <c r="AI97" s="219" t="s">
        <v>350</v>
      </c>
      <c r="AJ97" s="219">
        <f>O100*COS(R96)*0</f>
        <v>0</v>
      </c>
      <c r="BO97" s="99"/>
      <c r="BP97" s="99"/>
      <c r="BQ97" s="99"/>
      <c r="BR97" s="99"/>
      <c r="BS97" s="99"/>
    </row>
    <row r="98" spans="1:71" ht="17.25" customHeight="1" x14ac:dyDescent="0.2">
      <c r="G98" s="99"/>
      <c r="H98" s="182"/>
      <c r="I98" s="182"/>
      <c r="J98" s="182"/>
      <c r="K98" s="182"/>
      <c r="L98" s="182"/>
      <c r="M98" s="807" t="s">
        <v>89</v>
      </c>
      <c r="N98" s="807"/>
      <c r="O98" s="807"/>
      <c r="P98" s="807"/>
      <c r="Q98" s="182"/>
      <c r="R98" s="182"/>
      <c r="U98" s="182"/>
      <c r="V98" s="182"/>
      <c r="W98" s="182"/>
      <c r="X98" s="182"/>
      <c r="Y98" s="182"/>
      <c r="Z98" s="182"/>
      <c r="AA98" s="182"/>
      <c r="AB98" s="182"/>
      <c r="AC98" s="182"/>
      <c r="AD98" s="182"/>
      <c r="AE98" s="182"/>
      <c r="AF98" s="182"/>
      <c r="BO98" s="99"/>
      <c r="BP98" s="99"/>
      <c r="BQ98" s="99"/>
      <c r="BR98" s="99"/>
      <c r="BS98" s="99"/>
    </row>
    <row r="99" spans="1:71" ht="17.25" customHeight="1" thickBot="1" x14ac:dyDescent="0.25">
      <c r="C99" s="99"/>
      <c r="D99" s="99"/>
      <c r="E99" s="99"/>
      <c r="F99" s="99"/>
      <c r="G99" s="99"/>
      <c r="M99" s="808" t="s">
        <v>243</v>
      </c>
      <c r="N99" s="808"/>
      <c r="O99" s="807"/>
      <c r="P99" s="807"/>
      <c r="BO99" s="99"/>
      <c r="BP99" s="99"/>
      <c r="BQ99" s="99"/>
      <c r="BR99" s="99"/>
      <c r="BS99" s="99"/>
    </row>
    <row r="100" spans="1:71" ht="17.25" customHeight="1" thickTop="1" thickBot="1" x14ac:dyDescent="0.25">
      <c r="B100" s="182"/>
      <c r="C100" s="182"/>
      <c r="D100" s="182"/>
      <c r="E100" s="182"/>
      <c r="F100" s="99"/>
      <c r="G100" s="99"/>
      <c r="H100" s="809" t="s">
        <v>60</v>
      </c>
      <c r="I100" s="809"/>
      <c r="J100" s="809"/>
      <c r="K100" s="809"/>
      <c r="L100" s="809"/>
      <c r="M100" s="809"/>
      <c r="N100" s="809"/>
      <c r="O100" s="810">
        <v>0</v>
      </c>
      <c r="P100" s="811"/>
      <c r="Q100" s="811"/>
      <c r="R100" s="811"/>
      <c r="S100" s="99" t="s">
        <v>71</v>
      </c>
      <c r="U100" s="682" t="str" cm="1">
        <f t="array" ref="U100">angleDecimal2Txt(O100)</f>
        <v>+00°00.00 (+00.0000) [+00°00'00.00]</v>
      </c>
      <c r="V100" s="683"/>
      <c r="W100" s="683"/>
      <c r="X100" s="683"/>
      <c r="Y100" s="683"/>
      <c r="Z100" s="684"/>
      <c r="AA100" s="222"/>
      <c r="AB100" s="222"/>
      <c r="AC100" s="222"/>
      <c r="AD100" s="222"/>
      <c r="AE100" s="222"/>
      <c r="AF100" s="222"/>
      <c r="AI100" s="219" t="s">
        <v>57</v>
      </c>
      <c r="AJ100" s="219" t="s">
        <v>352</v>
      </c>
      <c r="BO100" s="99"/>
      <c r="BP100" s="99"/>
      <c r="BQ100" s="99"/>
      <c r="BR100" s="99"/>
      <c r="BS100" s="99"/>
    </row>
    <row r="101" spans="1:71" ht="17.25" customHeight="1" thickTop="1" thickBot="1" x14ac:dyDescent="0.25">
      <c r="B101" s="182"/>
      <c r="C101" s="182"/>
      <c r="D101" s="182"/>
      <c r="E101" s="182"/>
      <c r="F101" s="99"/>
      <c r="G101" s="99"/>
      <c r="H101" s="818" t="s">
        <v>244</v>
      </c>
      <c r="I101" s="819"/>
      <c r="J101" s="819"/>
      <c r="K101" s="819"/>
      <c r="L101" s="819"/>
      <c r="M101" s="819"/>
      <c r="N101" s="820"/>
      <c r="O101" s="786">
        <f>AJ97</f>
        <v>0</v>
      </c>
      <c r="P101" s="786"/>
      <c r="Q101" s="786"/>
      <c r="R101" s="786"/>
      <c r="S101" s="99" t="s">
        <v>71</v>
      </c>
      <c r="U101" s="682" t="str" cm="1">
        <f t="array" ref="U101">angleDecimal2Txt(O101)</f>
        <v>+00°00.00 (+00.0000) [+00°00'00.00]</v>
      </c>
      <c r="V101" s="683"/>
      <c r="W101" s="683"/>
      <c r="X101" s="683"/>
      <c r="Y101" s="683"/>
      <c r="Z101" s="684"/>
      <c r="AA101" s="222"/>
      <c r="AB101" s="222"/>
      <c r="AC101" s="222"/>
      <c r="AD101" s="222"/>
      <c r="AE101" s="222"/>
      <c r="AF101" s="222"/>
      <c r="AI101" s="219" t="s">
        <v>353</v>
      </c>
      <c r="AJ101" s="219">
        <f>1/TAN((O96 + 7.31 / (O96 + 4.4)) * D141)</f>
        <v>0.50696667439025089</v>
      </c>
      <c r="BO101" s="99"/>
      <c r="BP101" s="99"/>
      <c r="BQ101" s="99"/>
      <c r="BR101" s="99"/>
      <c r="BS101" s="99"/>
    </row>
    <row r="102" spans="1:71" ht="17.25" customHeight="1" thickTop="1" x14ac:dyDescent="0.2">
      <c r="B102" s="182"/>
      <c r="C102" s="182"/>
      <c r="D102" s="182"/>
      <c r="E102" s="182"/>
      <c r="F102" s="99"/>
      <c r="G102" s="99"/>
      <c r="H102" s="182"/>
      <c r="I102" s="182"/>
      <c r="J102" s="182"/>
      <c r="K102" s="182"/>
      <c r="L102" s="182"/>
      <c r="M102" s="182"/>
      <c r="N102" s="182"/>
      <c r="O102" s="182"/>
      <c r="P102" s="182"/>
      <c r="Q102" s="182"/>
      <c r="R102" s="182"/>
      <c r="S102" s="182"/>
      <c r="T102" s="182"/>
      <c r="U102" s="182"/>
      <c r="V102" s="182"/>
      <c r="W102" s="182"/>
      <c r="X102" s="182"/>
      <c r="Y102" s="182"/>
      <c r="Z102" s="182"/>
      <c r="AA102" s="182"/>
      <c r="AB102" s="182"/>
      <c r="AC102" s="182"/>
      <c r="AD102" s="182"/>
      <c r="AE102" s="182"/>
      <c r="AF102" s="182"/>
      <c r="AI102" s="219" t="s">
        <v>354</v>
      </c>
      <c r="AJ102" s="219">
        <f>AJ101/60</f>
        <v>8.449444573170848E-3</v>
      </c>
      <c r="BO102" s="99"/>
      <c r="BP102" s="99"/>
      <c r="BQ102" s="99"/>
      <c r="BR102" s="99"/>
      <c r="BS102" s="99"/>
    </row>
    <row r="103" spans="1:71" ht="17.25" customHeight="1" x14ac:dyDescent="0.2">
      <c r="B103" s="182"/>
      <c r="C103" s="182"/>
      <c r="D103" s="182"/>
      <c r="F103" s="99"/>
      <c r="G103" s="99"/>
      <c r="H103" s="182"/>
      <c r="I103" s="182"/>
      <c r="J103" s="182"/>
      <c r="K103" s="182"/>
      <c r="L103" s="182"/>
      <c r="M103" s="182"/>
      <c r="N103" s="182"/>
      <c r="O103" s="182"/>
      <c r="S103" s="688" t="s">
        <v>195</v>
      </c>
      <c r="T103" s="689"/>
      <c r="U103" s="690"/>
      <c r="Y103" s="182"/>
      <c r="Z103" s="182"/>
      <c r="AA103" s="182"/>
      <c r="AB103" s="182"/>
      <c r="AC103" s="182"/>
      <c r="AD103" s="182"/>
      <c r="AE103" s="182"/>
      <c r="AF103" s="182"/>
      <c r="AI103" s="219" t="s">
        <v>128</v>
      </c>
      <c r="AJ103" s="219">
        <f xml:space="preserve"> 0.28 * O105 / (273 + O104)</f>
        <v>0.99929328621908131</v>
      </c>
      <c r="BO103" s="99"/>
      <c r="BP103" s="99"/>
      <c r="BQ103" s="99"/>
      <c r="BR103" s="99"/>
      <c r="BS103" s="99"/>
    </row>
    <row r="104" spans="1:71" ht="17.25" customHeight="1" x14ac:dyDescent="0.2">
      <c r="B104" s="182"/>
      <c r="C104" s="182"/>
      <c r="D104" s="182"/>
      <c r="F104" s="99"/>
      <c r="G104" s="99"/>
      <c r="H104" s="809" t="s">
        <v>93</v>
      </c>
      <c r="I104" s="809"/>
      <c r="J104" s="809"/>
      <c r="K104" s="809"/>
      <c r="L104" s="809"/>
      <c r="M104" s="809"/>
      <c r="N104" s="809"/>
      <c r="O104" s="843">
        <f>S104</f>
        <v>10</v>
      </c>
      <c r="P104" s="844"/>
      <c r="Q104" s="844"/>
      <c r="R104" s="844"/>
      <c r="S104" s="688">
        <v>10</v>
      </c>
      <c r="T104" s="689"/>
      <c r="U104" s="690"/>
      <c r="Y104" s="182"/>
      <c r="Z104" s="182"/>
      <c r="AA104" s="182"/>
      <c r="AB104" s="182"/>
      <c r="AC104" s="182"/>
      <c r="AD104" s="182"/>
      <c r="AE104" s="182"/>
      <c r="AF104" s="182"/>
      <c r="AI104" s="219" t="s">
        <v>351</v>
      </c>
      <c r="AJ104" s="219">
        <f>AJ103*AJ102</f>
        <v>8.4434732342498799E-3</v>
      </c>
      <c r="BO104" s="99"/>
      <c r="BP104" s="99"/>
      <c r="BQ104" s="99"/>
      <c r="BR104" s="99"/>
      <c r="BS104" s="99"/>
    </row>
    <row r="105" spans="1:71" ht="17.25" customHeight="1" thickBot="1" x14ac:dyDescent="0.25">
      <c r="B105" s="182"/>
      <c r="C105" s="182"/>
      <c r="D105" s="182"/>
      <c r="E105" s="182"/>
      <c r="F105" s="99"/>
      <c r="G105" s="99"/>
      <c r="H105" s="809" t="s">
        <v>94</v>
      </c>
      <c r="I105" s="809"/>
      <c r="J105" s="809"/>
      <c r="K105" s="809"/>
      <c r="L105" s="809"/>
      <c r="M105" s="809"/>
      <c r="N105" s="809"/>
      <c r="O105" s="843">
        <f>S105</f>
        <v>1010</v>
      </c>
      <c r="P105" s="844"/>
      <c r="Q105" s="844"/>
      <c r="R105" s="844"/>
      <c r="S105" s="685">
        <v>1010</v>
      </c>
      <c r="T105" s="686"/>
      <c r="U105" s="687"/>
      <c r="Y105" s="182"/>
      <c r="Z105" s="182"/>
      <c r="AA105" s="182"/>
      <c r="AB105" s="182"/>
      <c r="AC105" s="182"/>
      <c r="AD105" s="182"/>
      <c r="AE105" s="182"/>
      <c r="AF105" s="182"/>
      <c r="BO105" s="99"/>
      <c r="BP105" s="99"/>
      <c r="BQ105" s="99"/>
      <c r="BR105" s="99"/>
      <c r="BS105" s="99"/>
    </row>
    <row r="106" spans="1:71" ht="17.25" customHeight="1" thickTop="1" thickBot="1" x14ac:dyDescent="0.25">
      <c r="B106" s="182"/>
      <c r="C106" s="182"/>
      <c r="D106" s="182"/>
      <c r="E106" s="182"/>
      <c r="F106" s="99"/>
      <c r="G106" s="99"/>
      <c r="H106" s="818" t="s">
        <v>245</v>
      </c>
      <c r="I106" s="819"/>
      <c r="J106" s="819"/>
      <c r="K106" s="819"/>
      <c r="L106" s="819"/>
      <c r="M106" s="819"/>
      <c r="N106" s="820"/>
      <c r="O106" s="786">
        <f>AJ104</f>
        <v>8.4434732342498799E-3</v>
      </c>
      <c r="P106" s="786"/>
      <c r="Q106" s="786"/>
      <c r="R106" s="786"/>
      <c r="S106" s="99" t="s">
        <v>71</v>
      </c>
      <c r="U106" s="682" t="str" cm="1">
        <f t="array" ref="U106">angleDecimal2Txt(O106)</f>
        <v>+00°00.50 (+00.0084) [+00°00'30.39]</v>
      </c>
      <c r="V106" s="683"/>
      <c r="W106" s="683"/>
      <c r="X106" s="683"/>
      <c r="Y106" s="683"/>
      <c r="Z106" s="684"/>
      <c r="AA106" s="222"/>
      <c r="AB106" s="222"/>
      <c r="AC106" s="222"/>
      <c r="AD106" s="222"/>
      <c r="AE106" s="222"/>
      <c r="AF106" s="222"/>
      <c r="AI106" s="219" t="s">
        <v>37</v>
      </c>
      <c r="AJ106" s="786" t="s">
        <v>38</v>
      </c>
      <c r="AK106" s="786"/>
      <c r="BO106" s="99"/>
      <c r="BP106" s="99"/>
      <c r="BQ106" s="99"/>
      <c r="BR106" s="99"/>
      <c r="BS106" s="99"/>
    </row>
    <row r="107" spans="1:71" ht="17.25" customHeight="1" thickTop="1" x14ac:dyDescent="0.2">
      <c r="B107" s="182"/>
      <c r="C107" s="182"/>
      <c r="D107" s="182"/>
      <c r="E107" s="182"/>
      <c r="F107" s="99"/>
      <c r="G107" s="99"/>
      <c r="H107" s="182"/>
      <c r="I107" s="182"/>
      <c r="J107" s="182"/>
      <c r="K107" s="182"/>
      <c r="L107" s="182"/>
      <c r="M107" s="182"/>
      <c r="N107" s="182"/>
      <c r="O107" s="182"/>
      <c r="Y107" s="182"/>
      <c r="Z107" s="182"/>
      <c r="AA107" s="182"/>
      <c r="AB107" s="182"/>
      <c r="AC107" s="182"/>
      <c r="AD107" s="182"/>
      <c r="AE107" s="182"/>
      <c r="AF107" s="182"/>
      <c r="AI107" s="219" t="s">
        <v>358</v>
      </c>
      <c r="AJ107" s="786" t="str">
        <f>O109</f>
        <v>BordInf</v>
      </c>
      <c r="AK107" s="786"/>
      <c r="BO107" s="99"/>
      <c r="BP107" s="99"/>
      <c r="BQ107" s="99"/>
      <c r="BR107" s="99"/>
      <c r="BS107" s="99"/>
    </row>
    <row r="108" spans="1:71" ht="17.25" customHeight="1" x14ac:dyDescent="0.2">
      <c r="A108" s="182"/>
      <c r="B108" s="182"/>
      <c r="C108" s="182"/>
      <c r="D108" s="182"/>
      <c r="E108" s="182"/>
      <c r="F108" s="99"/>
      <c r="G108" s="99"/>
      <c r="H108" s="809" t="s">
        <v>134</v>
      </c>
      <c r="I108" s="809"/>
      <c r="J108" s="809"/>
      <c r="K108" s="809"/>
      <c r="L108" s="809"/>
      <c r="M108" s="809"/>
      <c r="N108" s="809"/>
      <c r="O108" s="861">
        <v>0</v>
      </c>
      <c r="P108" s="861"/>
      <c r="Q108" s="861"/>
      <c r="R108" s="861"/>
      <c r="AI108" s="219" t="s">
        <v>359</v>
      </c>
      <c r="AJ108" s="787">
        <f>HLOOKUP(AJ107,AJ80:AL81,2)</f>
        <v>0</v>
      </c>
      <c r="AK108" s="787"/>
      <c r="BO108" s="99"/>
      <c r="BP108" s="99"/>
      <c r="BQ108" s="99"/>
      <c r="BR108" s="99"/>
      <c r="BS108" s="99"/>
    </row>
    <row r="109" spans="1:71" s="182" customFormat="1" ht="17.25" customHeight="1" thickBot="1" x14ac:dyDescent="0.25">
      <c r="E109" s="144"/>
      <c r="F109" s="144"/>
      <c r="G109" s="144"/>
      <c r="H109" s="809" t="s">
        <v>98</v>
      </c>
      <c r="I109" s="809"/>
      <c r="J109" s="809"/>
      <c r="K109" s="809"/>
      <c r="L109" s="809"/>
      <c r="M109" s="809"/>
      <c r="N109" s="809"/>
      <c r="O109" s="861" t="str">
        <f>I76</f>
        <v>BordInf</v>
      </c>
      <c r="P109" s="861"/>
      <c r="Q109" s="861"/>
      <c r="R109" s="861"/>
      <c r="S109" s="99"/>
      <c r="T109" s="99"/>
      <c r="U109" s="99"/>
      <c r="V109" s="99"/>
      <c r="W109" s="99"/>
      <c r="X109" s="99"/>
      <c r="Y109" s="99"/>
      <c r="Z109" s="99"/>
      <c r="AA109" s="99"/>
      <c r="AB109" s="99"/>
      <c r="AC109" s="99"/>
      <c r="AD109" s="99"/>
      <c r="AE109" s="99"/>
      <c r="AF109" s="99"/>
      <c r="AG109" s="99"/>
      <c r="AH109" s="201"/>
      <c r="AI109" s="219" t="s">
        <v>134</v>
      </c>
      <c r="AJ109" s="219" t="str">
        <f>HLOOKUP(AJ106,AJ76:AL78,3)</f>
        <v>32'</v>
      </c>
      <c r="AK109" s="219" cm="1">
        <f t="array" ref="AK109">angleConvert2Decimal(AJ109)</f>
        <v>0.53333333333333333</v>
      </c>
      <c r="BO109" s="99"/>
      <c r="BP109" s="99"/>
    </row>
    <row r="110" spans="1:71" s="182" customFormat="1" ht="17.25" customHeight="1" thickTop="1" thickBot="1" x14ac:dyDescent="0.25">
      <c r="B110" s="99"/>
      <c r="C110" s="144"/>
      <c r="D110" s="144"/>
      <c r="E110" s="144"/>
      <c r="F110" s="144"/>
      <c r="G110" s="144"/>
      <c r="H110" s="857" t="s">
        <v>99</v>
      </c>
      <c r="I110" s="858"/>
      <c r="J110" s="858"/>
      <c r="K110" s="858"/>
      <c r="L110" s="858"/>
      <c r="M110" s="858"/>
      <c r="N110" s="859"/>
      <c r="O110" s="860">
        <f>AJ110</f>
        <v>0</v>
      </c>
      <c r="P110" s="860"/>
      <c r="Q110" s="860"/>
      <c r="R110" s="860"/>
      <c r="S110" s="99" t="s">
        <v>71</v>
      </c>
      <c r="T110" s="99"/>
      <c r="U110" s="682" t="str" cm="1">
        <f t="array" ref="U110">angleDecimal2Txt(O110)</f>
        <v>+00°00.00 (+00.0000) [+00°00'00.00]</v>
      </c>
      <c r="V110" s="683"/>
      <c r="W110" s="683"/>
      <c r="X110" s="683"/>
      <c r="Y110" s="683"/>
      <c r="Z110" s="684"/>
      <c r="AA110" s="222"/>
      <c r="AB110" s="222"/>
      <c r="AC110" s="222"/>
      <c r="AD110" s="222"/>
      <c r="AE110" s="222"/>
      <c r="AF110" s="222"/>
      <c r="AG110" s="99"/>
      <c r="AH110" s="201"/>
      <c r="AI110" s="219" t="s">
        <v>359</v>
      </c>
      <c r="AJ110" s="787">
        <f>AK109*AJ108</f>
        <v>0</v>
      </c>
      <c r="AK110" s="787"/>
      <c r="BO110" s="99"/>
      <c r="BP110" s="99"/>
    </row>
    <row r="111" spans="1:71" s="182" customFormat="1" ht="17.25" customHeight="1" thickTop="1" x14ac:dyDescent="0.2">
      <c r="B111" s="99"/>
      <c r="C111" s="144"/>
      <c r="D111" s="144"/>
      <c r="E111" s="144"/>
      <c r="F111" s="144"/>
      <c r="G111" s="144"/>
      <c r="AG111" s="99"/>
      <c r="AH111" s="201"/>
      <c r="BO111" s="99"/>
      <c r="BP111" s="99"/>
    </row>
    <row r="112" spans="1:71" s="182" customFormat="1" ht="17.25" customHeight="1" x14ac:dyDescent="0.2">
      <c r="B112" s="99"/>
      <c r="C112" s="144"/>
      <c r="D112" s="144"/>
      <c r="E112" s="144"/>
      <c r="F112" s="144"/>
      <c r="G112" s="845" t="s">
        <v>170</v>
      </c>
      <c r="H112" s="846"/>
      <c r="I112" s="846"/>
      <c r="J112" s="846"/>
      <c r="K112" s="846"/>
      <c r="L112" s="846"/>
      <c r="M112" s="846"/>
      <c r="N112" s="846"/>
      <c r="O112" s="846"/>
      <c r="P112" s="846"/>
      <c r="Q112" s="846"/>
      <c r="R112" s="846"/>
      <c r="S112" s="847"/>
      <c r="AG112" s="99"/>
      <c r="AH112" s="201"/>
      <c r="BO112" s="99"/>
      <c r="BP112" s="99"/>
    </row>
    <row r="113" spans="1:68" s="182" customFormat="1" ht="17.25" customHeight="1" x14ac:dyDescent="0.2">
      <c r="B113" s="99"/>
      <c r="C113" s="144"/>
      <c r="D113" s="144"/>
      <c r="E113" s="144"/>
      <c r="F113" s="144"/>
      <c r="G113" s="848" t="s">
        <v>183</v>
      </c>
      <c r="H113" s="849"/>
      <c r="I113" s="830" t="s">
        <v>175</v>
      </c>
      <c r="J113" s="831"/>
      <c r="K113" s="831"/>
      <c r="L113" s="831"/>
      <c r="M113" s="831"/>
      <c r="N113" s="832"/>
      <c r="O113" s="852">
        <f>(O101-O106-O94+O108/2) * 60</f>
        <v>-4.0226083940549922</v>
      </c>
      <c r="P113" s="833"/>
      <c r="Q113" s="833"/>
      <c r="R113" s="833"/>
      <c r="S113" s="835" t="s">
        <v>171</v>
      </c>
      <c r="AG113" s="99"/>
      <c r="AH113" s="201"/>
      <c r="BO113" s="99"/>
      <c r="BP113" s="99"/>
    </row>
    <row r="114" spans="1:68" s="182" customFormat="1" ht="17.25" customHeight="1" x14ac:dyDescent="0.2">
      <c r="B114" s="99"/>
      <c r="C114" s="144"/>
      <c r="D114" s="144"/>
      <c r="E114" s="144"/>
      <c r="F114" s="144"/>
      <c r="G114" s="850"/>
      <c r="H114" s="851"/>
      <c r="I114" s="854" t="s">
        <v>179</v>
      </c>
      <c r="J114" s="855"/>
      <c r="K114" s="855"/>
      <c r="L114" s="855"/>
      <c r="M114" s="855"/>
      <c r="N114" s="856"/>
      <c r="O114" s="853"/>
      <c r="P114" s="834"/>
      <c r="Q114" s="834"/>
      <c r="R114" s="834"/>
      <c r="S114" s="836"/>
      <c r="AG114" s="99"/>
      <c r="AH114" s="201"/>
      <c r="BO114" s="99"/>
      <c r="BP114" s="99"/>
    </row>
    <row r="115" spans="1:68" s="182" customFormat="1" ht="17.25" customHeight="1" x14ac:dyDescent="0.2">
      <c r="B115" s="99"/>
      <c r="C115" s="144"/>
      <c r="D115" s="144"/>
      <c r="E115" s="144"/>
      <c r="F115" s="144"/>
      <c r="G115" s="144"/>
      <c r="I115" s="830" t="s">
        <v>176</v>
      </c>
      <c r="J115" s="831"/>
      <c r="K115" s="831"/>
      <c r="L115" s="831"/>
      <c r="M115" s="831"/>
      <c r="N115" s="832"/>
      <c r="O115" s="833">
        <f>(O101-O106+O108/2)*60</f>
        <v>-0.50660839405499281</v>
      </c>
      <c r="P115" s="833"/>
      <c r="Q115" s="833"/>
      <c r="R115" s="833"/>
      <c r="S115" s="835" t="s">
        <v>171</v>
      </c>
      <c r="AG115" s="99"/>
      <c r="AH115" s="201"/>
      <c r="BO115" s="99"/>
      <c r="BP115" s="99"/>
    </row>
    <row r="116" spans="1:68" s="182" customFormat="1" ht="17.25" customHeight="1" x14ac:dyDescent="0.2">
      <c r="B116" s="99"/>
      <c r="C116" s="144"/>
      <c r="D116" s="144"/>
      <c r="E116" s="144"/>
      <c r="F116" s="144"/>
      <c r="G116" s="144"/>
      <c r="I116" s="837" t="s">
        <v>177</v>
      </c>
      <c r="J116" s="838"/>
      <c r="K116" s="838"/>
      <c r="L116" s="838"/>
      <c r="M116" s="838"/>
      <c r="N116" s="839"/>
      <c r="O116" s="834"/>
      <c r="P116" s="834"/>
      <c r="Q116" s="834"/>
      <c r="R116" s="834"/>
      <c r="S116" s="836"/>
      <c r="AG116" s="99"/>
      <c r="AH116" s="201"/>
      <c r="BO116" s="99"/>
      <c r="BP116" s="99"/>
    </row>
    <row r="117" spans="1:68" s="182" customFormat="1" ht="17.25" customHeight="1" x14ac:dyDescent="0.2">
      <c r="A117" s="99"/>
      <c r="B117" s="99"/>
      <c r="C117" s="144"/>
      <c r="D117" s="144"/>
      <c r="E117" s="144"/>
      <c r="F117" s="144"/>
      <c r="G117" s="144"/>
      <c r="I117" s="840" t="s">
        <v>99</v>
      </c>
      <c r="J117" s="840"/>
      <c r="K117" s="840"/>
      <c r="L117" s="840"/>
      <c r="M117" s="840"/>
      <c r="N117" s="840"/>
      <c r="O117" s="841">
        <f>O110*60</f>
        <v>0</v>
      </c>
      <c r="P117" s="842"/>
      <c r="Q117" s="842"/>
      <c r="R117" s="842"/>
      <c r="S117" s="225" t="s">
        <v>171</v>
      </c>
      <c r="AG117" s="99"/>
      <c r="AH117" s="201"/>
      <c r="BO117" s="99"/>
      <c r="BP117" s="99"/>
    </row>
    <row r="118" spans="1:68" s="182" customFormat="1" ht="17.25" customHeight="1" thickBot="1" x14ac:dyDescent="0.25">
      <c r="A118" s="99"/>
      <c r="B118" s="99"/>
      <c r="C118" s="144"/>
      <c r="D118" s="144"/>
      <c r="E118" s="144"/>
      <c r="F118" s="144"/>
      <c r="G118" s="144"/>
      <c r="S118" s="99"/>
      <c r="T118" s="99"/>
      <c r="U118" s="99"/>
      <c r="V118" s="99"/>
      <c r="W118" s="99"/>
      <c r="X118" s="99"/>
      <c r="Y118" s="99"/>
      <c r="Z118" s="99"/>
      <c r="AA118" s="99"/>
      <c r="AB118" s="99"/>
      <c r="AC118" s="99"/>
      <c r="AD118" s="99"/>
      <c r="AE118" s="99"/>
      <c r="AF118" s="99"/>
      <c r="AG118" s="99"/>
      <c r="AH118" s="201"/>
      <c r="BO118" s="99"/>
      <c r="BP118" s="99"/>
    </row>
    <row r="119" spans="1:68" s="182" customFormat="1" ht="17.25" customHeight="1" thickTop="1" thickBot="1" x14ac:dyDescent="0.25">
      <c r="A119" s="99"/>
      <c r="B119" s="99"/>
      <c r="C119" s="144"/>
      <c r="D119" s="144"/>
      <c r="E119" s="144"/>
      <c r="F119" s="144"/>
      <c r="G119" s="144"/>
      <c r="H119" s="867" t="s">
        <v>246</v>
      </c>
      <c r="I119" s="868"/>
      <c r="J119" s="868"/>
      <c r="K119" s="868"/>
      <c r="L119" s="868"/>
      <c r="M119" s="868"/>
      <c r="N119" s="869"/>
      <c r="O119" s="825">
        <f>O96-O106+O101+O110</f>
        <v>62.99962319343242</v>
      </c>
      <c r="P119" s="786"/>
      <c r="Q119" s="786"/>
      <c r="R119" s="786"/>
      <c r="S119" s="99" t="s">
        <v>71</v>
      </c>
      <c r="T119" s="99"/>
      <c r="U119" s="682" t="str" cm="1">
        <f t="array" ref="U119">angleDecimal2Txt(O119)</f>
        <v>+62°59.97 (+62.9996) [+62°59'58.64]</v>
      </c>
      <c r="V119" s="683"/>
      <c r="W119" s="683"/>
      <c r="X119" s="683"/>
      <c r="Y119" s="683"/>
      <c r="Z119" s="684"/>
      <c r="AA119" s="222"/>
      <c r="AB119" s="222"/>
      <c r="AC119" s="222"/>
      <c r="AD119" s="222"/>
      <c r="AE119" s="222"/>
      <c r="AF119" s="222"/>
      <c r="AG119" s="99"/>
      <c r="AH119" s="201"/>
      <c r="BO119" s="99"/>
      <c r="BP119" s="99"/>
    </row>
    <row r="120" spans="1:68" s="182" customFormat="1" ht="17.25" customHeight="1" thickTop="1" x14ac:dyDescent="0.2">
      <c r="A120" s="99"/>
      <c r="B120" s="99"/>
      <c r="C120" s="144"/>
      <c r="D120" s="144"/>
      <c r="E120" s="144"/>
      <c r="F120" s="144"/>
      <c r="G120" s="144"/>
      <c r="H120" s="99"/>
      <c r="I120" s="99"/>
      <c r="J120" s="99"/>
      <c r="K120" s="99"/>
      <c r="L120" s="99"/>
      <c r="M120" s="99"/>
      <c r="N120" s="99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99"/>
      <c r="AC120" s="99"/>
      <c r="AD120" s="99"/>
      <c r="AE120" s="99"/>
      <c r="AF120" s="99"/>
      <c r="AG120" s="99"/>
      <c r="AH120" s="201"/>
      <c r="BO120" s="99"/>
      <c r="BP120" s="99"/>
    </row>
    <row r="121" spans="1:68" s="182" customFormat="1" ht="17.25" customHeight="1" x14ac:dyDescent="0.2">
      <c r="A121" s="99"/>
      <c r="B121" s="99"/>
      <c r="C121" s="144"/>
      <c r="D121" s="144"/>
      <c r="E121" s="144"/>
      <c r="F121" s="827" t="s">
        <v>91</v>
      </c>
      <c r="G121" s="827"/>
      <c r="H121" s="827"/>
      <c r="I121" s="827"/>
      <c r="J121" s="786" t="str">
        <f>IF(G90=AJ87,O127,"---")</f>
        <v>---</v>
      </c>
      <c r="K121" s="786"/>
      <c r="L121" s="786"/>
      <c r="M121" s="99"/>
      <c r="N121" s="99"/>
      <c r="O121" s="99"/>
      <c r="P121" s="99"/>
      <c r="Q121" s="99"/>
      <c r="R121" s="121" t="s">
        <v>112</v>
      </c>
      <c r="S121" s="99" t="s">
        <v>40</v>
      </c>
      <c r="T121" s="99"/>
      <c r="U121" s="99"/>
      <c r="V121" s="99"/>
      <c r="W121" s="99"/>
      <c r="X121" s="99"/>
      <c r="Y121" s="99"/>
      <c r="Z121" s="99"/>
      <c r="AA121" s="99"/>
      <c r="AB121" s="99"/>
      <c r="AC121" s="99"/>
      <c r="AD121" s="99"/>
      <c r="AE121" s="99"/>
      <c r="AF121" s="99"/>
      <c r="AG121" s="99"/>
      <c r="AH121" s="201"/>
      <c r="BO121" s="99"/>
      <c r="BP121" s="99"/>
    </row>
    <row r="122" spans="1:68" s="182" customFormat="1" ht="17.25" customHeight="1" x14ac:dyDescent="0.2">
      <c r="A122" s="99"/>
      <c r="B122" s="99"/>
      <c r="C122" s="144"/>
      <c r="D122" s="144"/>
      <c r="E122" s="144"/>
      <c r="F122" s="144"/>
      <c r="G122" s="144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122" t="s">
        <v>108</v>
      </c>
      <c r="S122" s="99" t="s">
        <v>110</v>
      </c>
      <c r="T122" s="99"/>
      <c r="U122" s="99"/>
      <c r="V122" s="99"/>
      <c r="W122" s="99"/>
      <c r="X122" s="99"/>
      <c r="Y122" s="99"/>
      <c r="Z122" s="99"/>
      <c r="AA122" s="99"/>
      <c r="AB122" s="99"/>
      <c r="AC122" s="99"/>
      <c r="AD122" s="99"/>
      <c r="AE122" s="99"/>
      <c r="AF122" s="99"/>
      <c r="AG122" s="99"/>
      <c r="AH122" s="201"/>
      <c r="BO122" s="99"/>
      <c r="BP122" s="99"/>
    </row>
    <row r="123" spans="1:68" s="182" customFormat="1" ht="17.25" customHeight="1" x14ac:dyDescent="0.2">
      <c r="A123" s="99"/>
      <c r="B123" s="99"/>
      <c r="C123" s="144"/>
      <c r="D123" s="144"/>
      <c r="E123" s="144"/>
      <c r="F123" s="144"/>
      <c r="G123" s="144"/>
      <c r="H123" s="99" t="s">
        <v>100</v>
      </c>
      <c r="I123" s="123" t="s">
        <v>102</v>
      </c>
      <c r="J123" s="99" t="s">
        <v>88</v>
      </c>
      <c r="K123" s="123" t="s">
        <v>105</v>
      </c>
      <c r="L123" s="99" t="s">
        <v>87</v>
      </c>
      <c r="M123" s="99"/>
      <c r="N123" s="123" t="s">
        <v>106</v>
      </c>
      <c r="O123" s="99"/>
      <c r="P123" s="99"/>
      <c r="Q123" s="123" t="s">
        <v>107</v>
      </c>
      <c r="R123" s="124" t="s">
        <v>109</v>
      </c>
      <c r="S123" s="99" t="s">
        <v>111</v>
      </c>
      <c r="T123" s="99"/>
      <c r="U123" s="99"/>
      <c r="AH123" s="201"/>
      <c r="BO123" s="99"/>
      <c r="BP123" s="99"/>
    </row>
    <row r="124" spans="1:68" s="182" customFormat="1" ht="17.25" customHeight="1" thickBot="1" x14ac:dyDescent="0.25">
      <c r="A124" s="99"/>
      <c r="B124" s="99"/>
      <c r="C124" s="144"/>
      <c r="D124" s="144"/>
      <c r="E124" s="144"/>
      <c r="F124" s="144"/>
      <c r="G124" s="144"/>
      <c r="H124" s="99"/>
      <c r="I124" s="123"/>
      <c r="J124" s="193">
        <f>O92</f>
        <v>63.116666666666667</v>
      </c>
      <c r="K124" s="123" t="s">
        <v>105</v>
      </c>
      <c r="L124" s="194">
        <f>O93</f>
        <v>0.05</v>
      </c>
      <c r="M124" s="99"/>
      <c r="N124" s="870" t="s">
        <v>250</v>
      </c>
      <c r="O124" s="870"/>
      <c r="P124" s="870"/>
      <c r="Q124" s="123" t="s">
        <v>107</v>
      </c>
      <c r="R124" s="195">
        <v>0</v>
      </c>
      <c r="S124" s="99"/>
      <c r="T124" s="99"/>
      <c r="U124" s="99"/>
      <c r="AH124" s="201"/>
      <c r="BO124" s="99"/>
      <c r="BP124" s="99"/>
    </row>
    <row r="125" spans="1:68" s="182" customFormat="1" ht="17.25" customHeight="1" thickTop="1" thickBot="1" x14ac:dyDescent="0.25">
      <c r="A125" s="99"/>
      <c r="B125" s="99"/>
      <c r="C125" s="144"/>
      <c r="D125" s="144"/>
      <c r="E125" s="144"/>
      <c r="F125" s="144"/>
      <c r="G125" s="144"/>
      <c r="H125" s="99"/>
      <c r="I125" s="123"/>
      <c r="K125" s="123"/>
      <c r="L125" s="213" cm="1">
        <f t="array" ref="L125">angleConvert2Decimal(L124)</f>
        <v>0.05</v>
      </c>
      <c r="N125" s="884" cm="1">
        <f t="array" ref="N125">angleConvert2Decimal(N124)</f>
        <v>0.17166666666666669</v>
      </c>
      <c r="O125" s="884"/>
      <c r="P125" s="884"/>
      <c r="Q125" s="183"/>
      <c r="R125" s="213" cm="1">
        <f t="array" ref="R125">angleConvert2Decimal(R124)</f>
        <v>0</v>
      </c>
      <c r="T125" s="214" t="s">
        <v>139</v>
      </c>
      <c r="U125" s="214"/>
      <c r="V125" s="214">
        <f>R125+N125</f>
        <v>0.17166666666666669</v>
      </c>
      <c r="W125" s="682" t="str" cm="1">
        <f t="array" ref="W125">angleDecimal2Txt(V125)</f>
        <v>+00°10.30 (+00.1716) [+00°10'18.00]</v>
      </c>
      <c r="X125" s="683"/>
      <c r="Y125" s="683"/>
      <c r="Z125" s="683"/>
      <c r="AA125" s="683"/>
      <c r="AB125" s="683"/>
      <c r="AC125" s="683"/>
      <c r="AD125" s="683"/>
      <c r="AE125" s="683"/>
      <c r="AF125" s="683"/>
      <c r="AG125" s="684"/>
      <c r="AH125" s="201"/>
      <c r="BO125" s="99"/>
      <c r="BP125" s="99"/>
    </row>
    <row r="126" spans="1:68" s="182" customFormat="1" ht="17.25" customHeight="1" thickTop="1" thickBot="1" x14ac:dyDescent="0.25">
      <c r="A126" s="99"/>
      <c r="B126" s="99"/>
      <c r="C126" s="144"/>
      <c r="D126" s="144"/>
      <c r="E126" s="144"/>
      <c r="F126" s="144"/>
      <c r="G126" s="144"/>
      <c r="H126" s="99"/>
      <c r="I126" s="123"/>
      <c r="J126" s="99"/>
      <c r="K126" s="123"/>
      <c r="L126" s="99"/>
      <c r="M126" s="99"/>
      <c r="N126" s="123"/>
      <c r="O126" s="99"/>
      <c r="P126" s="99"/>
      <c r="Q126" s="123"/>
      <c r="R126" s="128"/>
      <c r="S126" s="99"/>
      <c r="T126" s="99"/>
      <c r="U126" s="99"/>
      <c r="V126" s="99"/>
      <c r="W126" s="99"/>
      <c r="X126" s="99"/>
      <c r="Y126" s="99"/>
      <c r="Z126" s="99"/>
      <c r="AA126" s="99"/>
      <c r="AB126" s="99"/>
      <c r="AC126" s="99"/>
      <c r="AD126" s="99"/>
      <c r="AE126" s="99"/>
      <c r="AF126" s="99"/>
      <c r="AG126" s="99"/>
      <c r="AH126" s="201"/>
      <c r="BO126" s="99"/>
      <c r="BP126" s="99"/>
    </row>
    <row r="127" spans="1:68" s="182" customFormat="1" ht="17.25" customHeight="1" thickTop="1" thickBot="1" x14ac:dyDescent="0.25">
      <c r="A127" s="99"/>
      <c r="B127" s="99"/>
      <c r="C127" s="144"/>
      <c r="D127" s="144"/>
      <c r="E127" s="144"/>
      <c r="F127" s="144"/>
      <c r="G127" s="144"/>
      <c r="H127" s="867" t="s">
        <v>249</v>
      </c>
      <c r="I127" s="868"/>
      <c r="J127" s="868"/>
      <c r="K127" s="868"/>
      <c r="L127" s="868"/>
      <c r="M127" s="868"/>
      <c r="N127" s="869"/>
      <c r="O127" s="825">
        <f>J124-L125+N125+R125</f>
        <v>63.238333333333337</v>
      </c>
      <c r="P127" s="786"/>
      <c r="Q127" s="786"/>
      <c r="R127" s="786"/>
      <c r="S127" s="99" t="s">
        <v>71</v>
      </c>
      <c r="T127" s="99"/>
      <c r="U127" s="682" t="str" cm="1">
        <f t="array" ref="U127">angleDecimal2Txt(O127)</f>
        <v>+63°14.30 (+63.2383) [+63°14'18.00]</v>
      </c>
      <c r="V127" s="683"/>
      <c r="W127" s="683"/>
      <c r="X127" s="683"/>
      <c r="Y127" s="683"/>
      <c r="Z127" s="684"/>
      <c r="AA127" s="222"/>
      <c r="AB127" s="222"/>
      <c r="AC127" s="222"/>
      <c r="AD127" s="222"/>
      <c r="AE127" s="222"/>
      <c r="AF127" s="222"/>
      <c r="AG127" s="99"/>
      <c r="AH127" s="201"/>
      <c r="BO127" s="99"/>
      <c r="BP127" s="99"/>
    </row>
    <row r="128" spans="1:68" s="182" customFormat="1" ht="17.25" customHeight="1" thickTop="1" thickBot="1" x14ac:dyDescent="0.25">
      <c r="A128" s="99"/>
      <c r="B128" s="99"/>
      <c r="C128" s="144"/>
      <c r="D128" s="129"/>
      <c r="E128" s="144"/>
      <c r="F128" s="144"/>
      <c r="G128" s="144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9"/>
      <c r="U128" s="99"/>
      <c r="V128" s="99"/>
      <c r="W128" s="99"/>
      <c r="X128" s="99"/>
      <c r="Y128" s="99"/>
      <c r="Z128" s="99"/>
      <c r="AA128" s="99"/>
      <c r="AB128" s="99"/>
      <c r="AC128" s="99"/>
      <c r="AD128" s="99"/>
      <c r="AE128" s="99"/>
      <c r="AF128" s="99"/>
      <c r="AG128" s="99"/>
      <c r="AH128" s="201"/>
      <c r="AI128" s="215" t="s">
        <v>381</v>
      </c>
      <c r="AJ128" s="215"/>
      <c r="AK128" s="215"/>
      <c r="AL128" s="215"/>
      <c r="AM128" s="215"/>
      <c r="BO128" s="99"/>
      <c r="BP128" s="99"/>
    </row>
    <row r="129" spans="1:68" s="182" customFormat="1" ht="17.25" customHeight="1" thickBot="1" x14ac:dyDescent="0.25">
      <c r="A129" s="99"/>
      <c r="B129" s="108" t="s">
        <v>449</v>
      </c>
      <c r="C129" s="109"/>
      <c r="D129" s="130"/>
      <c r="E129" s="109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09"/>
      <c r="R129" s="109"/>
      <c r="S129" s="109"/>
      <c r="T129" s="109"/>
      <c r="U129" s="109"/>
      <c r="V129" s="109"/>
      <c r="W129" s="109"/>
      <c r="X129" s="109"/>
      <c r="Y129" s="109"/>
      <c r="Z129" s="109"/>
      <c r="AA129" s="109"/>
      <c r="AB129" s="109"/>
      <c r="AC129" s="109"/>
      <c r="AD129" s="109"/>
      <c r="AE129" s="109"/>
      <c r="AF129" s="109"/>
      <c r="AG129" s="109"/>
      <c r="AH129" s="201"/>
      <c r="AI129" s="215" t="s">
        <v>382</v>
      </c>
      <c r="AJ129" s="215"/>
      <c r="AK129" s="215"/>
      <c r="AL129" s="215"/>
      <c r="AM129" s="215"/>
      <c r="BO129" s="99"/>
      <c r="BP129" s="99"/>
    </row>
    <row r="130" spans="1:68" s="182" customFormat="1" ht="17.25" customHeight="1" x14ac:dyDescent="0.25">
      <c r="A130" s="99"/>
      <c r="B130" s="99"/>
      <c r="C130" s="99"/>
      <c r="D130" s="99"/>
      <c r="E130" s="99"/>
      <c r="F130" s="871" t="s">
        <v>450</v>
      </c>
      <c r="G130" s="871"/>
      <c r="H130" s="871"/>
      <c r="I130" s="871"/>
      <c r="J130" s="871"/>
      <c r="K130" s="871"/>
      <c r="L130" s="871"/>
      <c r="M130" s="871"/>
      <c r="N130" s="871"/>
      <c r="O130" s="871"/>
      <c r="P130" s="871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 s="201"/>
      <c r="AI130" s="215" t="s">
        <v>383</v>
      </c>
      <c r="AJ130" s="215"/>
      <c r="AK130" s="215"/>
      <c r="AL130" s="215"/>
      <c r="AM130" s="215"/>
      <c r="BO130" s="99"/>
      <c r="BP130" s="99"/>
    </row>
    <row r="131" spans="1:68" s="182" customFormat="1" ht="17.25" customHeight="1" x14ac:dyDescent="0.2">
      <c r="A131" s="99"/>
      <c r="B131" s="99"/>
      <c r="F131" s="326"/>
      <c r="G131" s="326" t="s">
        <v>452</v>
      </c>
      <c r="H131" s="326"/>
      <c r="I131" s="326"/>
      <c r="J131" s="326"/>
      <c r="K131" s="326"/>
      <c r="L131" s="326" t="s">
        <v>454</v>
      </c>
      <c r="M131" s="326"/>
      <c r="N131" s="326"/>
      <c r="O131" s="326"/>
      <c r="P131" s="326"/>
      <c r="Y131" s="99"/>
      <c r="Z131" s="99"/>
      <c r="AA131" s="99"/>
      <c r="AB131" s="99"/>
      <c r="AC131" s="99"/>
      <c r="AD131" s="99"/>
      <c r="AE131" s="99"/>
      <c r="AF131" s="99"/>
      <c r="AG131" s="99"/>
      <c r="AH131" s="201"/>
      <c r="AI131" s="215" t="s">
        <v>384</v>
      </c>
      <c r="AJ131" s="215"/>
      <c r="AK131" s="215"/>
      <c r="AL131" s="215"/>
      <c r="AM131" s="215"/>
      <c r="BO131" s="99"/>
      <c r="BP131" s="99"/>
    </row>
    <row r="132" spans="1:68" s="182" customFormat="1" ht="17.25" customHeight="1" x14ac:dyDescent="0.2">
      <c r="A132" s="99"/>
      <c r="B132" s="99"/>
      <c r="F132" s="326"/>
      <c r="G132" s="326" t="s">
        <v>453</v>
      </c>
      <c r="H132" s="326"/>
      <c r="I132" s="326"/>
      <c r="J132" s="326"/>
      <c r="K132" s="326"/>
      <c r="L132" s="326" t="s">
        <v>455</v>
      </c>
      <c r="M132" s="326"/>
      <c r="N132" s="326"/>
      <c r="O132" s="326"/>
      <c r="P132" s="326"/>
      <c r="Y132" s="99"/>
      <c r="Z132" s="99"/>
      <c r="AA132" s="99"/>
      <c r="AB132" s="99"/>
      <c r="AC132" s="99"/>
      <c r="AD132" s="99"/>
      <c r="AE132" s="99"/>
      <c r="AF132" s="99"/>
      <c r="AG132" s="99"/>
      <c r="AH132" s="201"/>
      <c r="AI132" s="215" t="s">
        <v>385</v>
      </c>
      <c r="AJ132" s="215"/>
      <c r="AK132" s="215"/>
      <c r="AL132" s="215"/>
      <c r="AM132" s="215"/>
      <c r="BO132" s="99"/>
      <c r="BP132" s="99"/>
    </row>
    <row r="133" spans="1:68" s="182" customFormat="1" ht="17.25" customHeight="1" x14ac:dyDescent="0.2">
      <c r="A133" s="99"/>
      <c r="B133" s="99"/>
      <c r="F133" s="871" t="s">
        <v>451</v>
      </c>
      <c r="G133" s="871"/>
      <c r="H133" s="871"/>
      <c r="I133" s="871"/>
      <c r="J133" s="871"/>
      <c r="K133" s="871"/>
      <c r="L133" s="326" t="s">
        <v>456</v>
      </c>
      <c r="M133" s="326"/>
      <c r="N133" s="326"/>
      <c r="O133" s="326"/>
      <c r="P133" s="326"/>
      <c r="Y133" s="99"/>
      <c r="Z133" s="99"/>
      <c r="AA133" s="99"/>
      <c r="AB133" s="99"/>
      <c r="AC133" s="99"/>
      <c r="AD133" s="99"/>
      <c r="AE133" s="99"/>
      <c r="AF133" s="99"/>
      <c r="AG133" s="99"/>
      <c r="AH133" s="201"/>
      <c r="AI133" s="215" t="s">
        <v>386</v>
      </c>
      <c r="AJ133" s="215"/>
      <c r="AK133" s="215"/>
      <c r="AL133" s="215"/>
      <c r="AM133" s="215"/>
      <c r="BO133" s="99"/>
      <c r="BP133" s="99"/>
    </row>
    <row r="134" spans="1:68" s="182" customFormat="1" ht="17.25" customHeight="1" x14ac:dyDescent="0.2">
      <c r="A134" s="99"/>
      <c r="B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99"/>
      <c r="AC134" s="99"/>
      <c r="AD134" s="99"/>
      <c r="AE134" s="99"/>
      <c r="AF134" s="99"/>
      <c r="AG134" s="99"/>
      <c r="AH134" s="201"/>
      <c r="AI134" s="215" t="s">
        <v>387</v>
      </c>
      <c r="AJ134" s="215"/>
      <c r="AK134" s="215"/>
      <c r="AL134" s="215"/>
      <c r="AM134" s="215"/>
      <c r="BO134" s="99"/>
      <c r="BP134" s="99"/>
    </row>
    <row r="135" spans="1:68" s="182" customFormat="1" ht="17.25" customHeight="1" x14ac:dyDescent="0.25">
      <c r="A135" s="99"/>
      <c r="B135" s="99"/>
      <c r="E135"/>
      <c r="F135" s="333" t="s">
        <v>115</v>
      </c>
      <c r="G135" s="333"/>
      <c r="H135" s="142">
        <f>V139</f>
        <v>48.866666666666667</v>
      </c>
      <c r="I135" s="342" t="str">
        <f>CONCATENATE("Lat et Dec - Meme sens ?: ",M135)</f>
        <v>Lat et Dec - Meme sens ?: VRAI</v>
      </c>
      <c r="J135" s="342"/>
      <c r="K135" s="342"/>
      <c r="L135" s="342"/>
      <c r="M135" t="b">
        <f>IF(H135*H136&gt;0,TRUE,FALSE)</f>
        <v>1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 s="99"/>
      <c r="AH135" s="201"/>
      <c r="AI135" s="215"/>
      <c r="AJ135" s="215"/>
      <c r="AK135" s="215"/>
      <c r="AL135" s="215"/>
      <c r="AM135" s="215"/>
      <c r="BO135" s="99"/>
      <c r="BP135" s="99"/>
    </row>
    <row r="136" spans="1:68" s="182" customFormat="1" ht="17.25" customHeight="1" thickBot="1" x14ac:dyDescent="0.3">
      <c r="A136" s="99"/>
      <c r="B136" s="99"/>
      <c r="E136"/>
      <c r="F136" s="333" t="s">
        <v>114</v>
      </c>
      <c r="G136" s="333"/>
      <c r="H136" s="142">
        <f>V138</f>
        <v>23.416622222222223</v>
      </c>
      <c r="I136" s="342" t="str">
        <f>CONCATENATE("Lat &gt; Dec  ? : ",M136)</f>
        <v>Lat &gt; Dec  ? : VRAI</v>
      </c>
      <c r="J136" s="342"/>
      <c r="K136" s="342"/>
      <c r="L136" s="342"/>
      <c r="M136" s="182" t="b">
        <f>IF(ABS(H135)&gt;ABS(H136),TRUE, FALSE)</f>
        <v>1</v>
      </c>
      <c r="P136" s="41"/>
      <c r="Q136" s="41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 s="99"/>
      <c r="AH136" s="201"/>
      <c r="AI136" s="215" t="s">
        <v>388</v>
      </c>
      <c r="AJ136" s="215"/>
      <c r="AK136" s="215"/>
      <c r="AL136" s="215"/>
      <c r="AM136" s="215"/>
      <c r="BO136" s="99"/>
      <c r="BP136" s="99"/>
    </row>
    <row r="137" spans="1:68" s="182" customFormat="1" ht="17.25" customHeight="1" thickBot="1" x14ac:dyDescent="0.3">
      <c r="A137" s="99"/>
      <c r="B137" s="99"/>
      <c r="E137"/>
      <c r="F137"/>
      <c r="G137"/>
      <c r="H137"/>
      <c r="I137"/>
      <c r="J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99"/>
      <c r="AH137" s="202"/>
      <c r="BO137" s="99"/>
      <c r="BP137" s="99"/>
    </row>
    <row r="138" spans="1:68" s="182" customFormat="1" ht="17.25" customHeight="1" x14ac:dyDescent="0.25">
      <c r="A138" s="99"/>
      <c r="B138" s="99"/>
      <c r="E138" s="99"/>
      <c r="J138" s="886" t="s">
        <v>449</v>
      </c>
      <c r="K138" s="887"/>
      <c r="L138" s="887"/>
      <c r="M138" s="887"/>
      <c r="N138" s="862">
        <f>IF(M135,IF(M136,(90-V140)+V138,V138-(90-V140)),(90-V140)-V138)</f>
        <v>50.416999028789803</v>
      </c>
      <c r="O138" s="862"/>
      <c r="P138" s="862"/>
      <c r="Q138" s="862"/>
      <c r="R138" s="862"/>
      <c r="S138"/>
      <c r="T138" s="768" t="s">
        <v>114</v>
      </c>
      <c r="U138" s="768"/>
      <c r="V138" s="768">
        <f>F55</f>
        <v>23.416622222222223</v>
      </c>
      <c r="W138" s="768"/>
      <c r="X138" s="768"/>
      <c r="Y138" s="863" t="s">
        <v>71</v>
      </c>
      <c r="Z138" s="864">
        <f>V138*$D$141</f>
        <v>0.40869715747344909</v>
      </c>
      <c r="AA138" s="865"/>
      <c r="AB138" s="866"/>
      <c r="AC138" s="885" t="s">
        <v>92</v>
      </c>
      <c r="AD138" s="99"/>
      <c r="AE138" s="99"/>
      <c r="AF138" s="99"/>
      <c r="AG138" s="99"/>
      <c r="AH138" s="201"/>
      <c r="BO138" s="99"/>
      <c r="BP138" s="99"/>
    </row>
    <row r="139" spans="1:68" s="182" customFormat="1" ht="17.25" customHeight="1" thickBot="1" x14ac:dyDescent="0.3">
      <c r="A139" s="99"/>
      <c r="B139" s="99"/>
      <c r="C139" s="99"/>
      <c r="D139" s="99"/>
      <c r="E139" s="99"/>
      <c r="J139" s="888"/>
      <c r="K139" s="889"/>
      <c r="L139" s="889"/>
      <c r="M139" s="889"/>
      <c r="N139" s="862"/>
      <c r="O139" s="862"/>
      <c r="P139" s="862"/>
      <c r="Q139" s="862"/>
      <c r="R139" s="862"/>
      <c r="S139"/>
      <c r="T139" s="768" t="s">
        <v>115</v>
      </c>
      <c r="U139" s="768"/>
      <c r="V139" s="768">
        <f>F14</f>
        <v>48.866666666666667</v>
      </c>
      <c r="W139" s="768"/>
      <c r="X139" s="768"/>
      <c r="Y139" s="863"/>
      <c r="Z139" s="864">
        <f>V139*$D$141</f>
        <v>0.85288422780789575</v>
      </c>
      <c r="AA139" s="865"/>
      <c r="AB139" s="866"/>
      <c r="AC139" s="885"/>
      <c r="AD139" s="99"/>
      <c r="AE139" s="99"/>
      <c r="AF139" s="99"/>
      <c r="AG139" s="99"/>
      <c r="AH139" s="201"/>
      <c r="BO139" s="99"/>
      <c r="BP139" s="99"/>
    </row>
    <row r="140" spans="1:68" s="182" customFormat="1" ht="17.25" customHeight="1" thickTop="1" thickBot="1" x14ac:dyDescent="0.3">
      <c r="A140" s="228" t="s">
        <v>138</v>
      </c>
      <c r="B140" s="226"/>
      <c r="C140" s="226"/>
      <c r="D140" s="227"/>
      <c r="E140" s="99"/>
      <c r="F140" s="99"/>
      <c r="G140" s="99"/>
      <c r="H140" s="99"/>
      <c r="I140" s="99"/>
      <c r="J140" s="890"/>
      <c r="K140" s="891"/>
      <c r="L140" s="891"/>
      <c r="M140" s="891"/>
      <c r="N140" s="778" t="str" cm="1">
        <f t="array" ref="N140">angleDecimal2Txt(N138)</f>
        <v>+50°25.01 (+50.4169) [+50°25'01.19]</v>
      </c>
      <c r="O140" s="778"/>
      <c r="P140" s="778"/>
      <c r="Q140" s="778"/>
      <c r="R140" s="778"/>
      <c r="S140"/>
      <c r="T140" s="768" t="s">
        <v>137</v>
      </c>
      <c r="U140" s="768"/>
      <c r="V140" s="768">
        <f>F89</f>
        <v>62.99962319343242</v>
      </c>
      <c r="W140" s="768"/>
      <c r="X140" s="768"/>
      <c r="Y140" s="863"/>
      <c r="Z140" s="864">
        <f>V140*$D$141</f>
        <v>1.0995508522411801</v>
      </c>
      <c r="AA140" s="865"/>
      <c r="AB140" s="866"/>
      <c r="AC140" s="885"/>
      <c r="AD140" s="99"/>
      <c r="AE140" s="99"/>
      <c r="AF140" s="99"/>
      <c r="AG140" s="99"/>
      <c r="AH140" s="201"/>
      <c r="BO140" s="99"/>
      <c r="BP140" s="99"/>
    </row>
    <row r="141" spans="1:68" s="182" customFormat="1" ht="17.25" customHeight="1" thickTop="1" x14ac:dyDescent="0.2">
      <c r="A141" s="200" t="s">
        <v>62</v>
      </c>
      <c r="B141" s="196" t="s">
        <v>121</v>
      </c>
      <c r="C141" s="197" t="s">
        <v>310</v>
      </c>
      <c r="D141" s="138">
        <f>PI()/180</f>
        <v>1.7453292519943295E-2</v>
      </c>
      <c r="E141" s="99"/>
      <c r="F141" s="144"/>
      <c r="G141" s="144"/>
      <c r="H141" s="99"/>
      <c r="I141" s="99"/>
      <c r="J141" s="99"/>
      <c r="K141" s="99"/>
      <c r="L141" s="99"/>
      <c r="M141" s="99"/>
      <c r="N141" s="99"/>
      <c r="O141" s="99"/>
      <c r="P141" s="99"/>
      <c r="Q141" s="99"/>
      <c r="R141" s="99"/>
      <c r="S141" s="99"/>
      <c r="T141" s="99"/>
      <c r="U141" s="99"/>
      <c r="V141" s="99"/>
      <c r="W141" s="99"/>
      <c r="X141" s="99"/>
      <c r="Y141" s="99"/>
      <c r="Z141" s="99"/>
      <c r="AA141" s="99"/>
      <c r="AB141" s="99"/>
      <c r="AC141" s="99"/>
      <c r="AD141" s="99"/>
      <c r="AE141" s="99"/>
      <c r="AF141" s="99"/>
      <c r="AG141" s="99"/>
      <c r="AH141" s="201"/>
      <c r="BO141" s="99"/>
      <c r="BP141" s="99"/>
    </row>
    <row r="142" spans="1:68" s="182" customFormat="1" ht="17.25" customHeight="1" thickBot="1" x14ac:dyDescent="0.3">
      <c r="A142" s="189" t="s">
        <v>123</v>
      </c>
      <c r="B142" s="198" t="s">
        <v>121</v>
      </c>
      <c r="C142" s="199" t="s">
        <v>311</v>
      </c>
      <c r="D142" s="141">
        <f>180/PI()</f>
        <v>57.295779513082323</v>
      </c>
      <c r="E142"/>
      <c r="F142"/>
      <c r="G142"/>
      <c r="H142"/>
      <c r="AC142"/>
      <c r="AD142"/>
      <c r="AE142"/>
      <c r="AF142"/>
      <c r="AG142"/>
      <c r="AH142" s="201"/>
      <c r="BO142" s="99"/>
      <c r="BP142" s="99"/>
    </row>
    <row r="143" spans="1:68" s="182" customFormat="1" ht="17.25" customHeight="1" x14ac:dyDescent="0.25">
      <c r="A143" s="99"/>
      <c r="E143"/>
      <c r="F143"/>
      <c r="G143"/>
      <c r="H143"/>
      <c r="AC143"/>
      <c r="AD143"/>
      <c r="AE143"/>
      <c r="AF143"/>
      <c r="AG143"/>
      <c r="AH143" s="201"/>
      <c r="BO143" s="99"/>
      <c r="BP143" s="99"/>
    </row>
    <row r="144" spans="1:68" s="182" customFormat="1" ht="17.25" customHeight="1" x14ac:dyDescent="0.25">
      <c r="A144" s="99"/>
      <c r="B144" s="99"/>
      <c r="E144"/>
      <c r="F144"/>
      <c r="G144"/>
      <c r="H144"/>
      <c r="AC144"/>
      <c r="AD144"/>
      <c r="AE144"/>
      <c r="AF144"/>
      <c r="AG144"/>
      <c r="AH144" s="201"/>
      <c r="BO144" s="99"/>
      <c r="BP144" s="99"/>
    </row>
    <row r="145" spans="1:71" s="182" customFormat="1" ht="17.25" customHeight="1" x14ac:dyDescent="0.25">
      <c r="A145" s="99"/>
      <c r="B145" s="99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 s="201"/>
      <c r="BO145" s="99"/>
      <c r="BP145" s="99"/>
    </row>
    <row r="146" spans="1:71" s="182" customFormat="1" ht="17.25" customHeight="1" x14ac:dyDescent="0.2">
      <c r="A146" s="99"/>
      <c r="B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  <c r="AH146" s="201"/>
      <c r="BO146" s="99"/>
      <c r="BP146" s="99"/>
    </row>
    <row r="147" spans="1:71" s="182" customFormat="1" ht="17.25" customHeight="1" x14ac:dyDescent="0.2">
      <c r="A147" s="99"/>
      <c r="B147" s="99"/>
      <c r="C147" s="99"/>
      <c r="D147" s="99"/>
      <c r="E147" s="144"/>
      <c r="F147" s="99"/>
      <c r="G147" s="99"/>
      <c r="H147" s="99"/>
      <c r="U147" s="99"/>
      <c r="V147" s="99"/>
      <c r="W147" s="99"/>
      <c r="X147" s="99"/>
      <c r="Y147" s="99"/>
      <c r="Z147" s="99"/>
      <c r="AA147" s="99"/>
      <c r="AB147" s="99"/>
      <c r="AC147" s="99"/>
      <c r="AD147" s="99"/>
      <c r="AE147" s="99"/>
      <c r="AF147" s="99"/>
      <c r="AG147" s="99"/>
      <c r="AH147" s="201"/>
      <c r="BO147" s="99"/>
      <c r="BP147" s="99"/>
    </row>
    <row r="148" spans="1:71" s="182" customFormat="1" ht="17.25" customHeight="1" x14ac:dyDescent="0.2">
      <c r="B148" s="99"/>
      <c r="C148" s="144"/>
      <c r="D148" s="144"/>
      <c r="E148" s="144"/>
      <c r="F148" s="99"/>
      <c r="G148" s="99"/>
      <c r="H148" s="99"/>
      <c r="U148" s="99"/>
      <c r="V148" s="99"/>
      <c r="W148" s="99"/>
      <c r="X148" s="99"/>
      <c r="Y148" s="99"/>
      <c r="Z148" s="99"/>
      <c r="AA148" s="99"/>
      <c r="AB148" s="99"/>
      <c r="AC148" s="99"/>
      <c r="AD148" s="99"/>
      <c r="AE148" s="99"/>
      <c r="AF148" s="99"/>
      <c r="AG148" s="99"/>
      <c r="AH148" s="201"/>
      <c r="BO148" s="99"/>
      <c r="BP148" s="99"/>
    </row>
    <row r="149" spans="1:71" s="182" customFormat="1" ht="17.25" customHeight="1" x14ac:dyDescent="0.2">
      <c r="B149" s="99"/>
      <c r="C149" s="144"/>
      <c r="D149" s="144"/>
      <c r="E149" s="144"/>
      <c r="F149" s="99"/>
      <c r="G149" s="99"/>
      <c r="H149" s="99"/>
      <c r="U149" s="99"/>
      <c r="V149" s="99"/>
      <c r="W149" s="99"/>
      <c r="X149" s="99"/>
      <c r="Y149" s="99"/>
      <c r="Z149" s="99"/>
      <c r="AA149" s="99"/>
      <c r="AB149" s="99"/>
      <c r="AC149" s="99"/>
      <c r="AD149" s="99"/>
      <c r="AE149" s="99"/>
      <c r="AF149" s="99"/>
      <c r="AG149" s="99"/>
      <c r="AH149" s="201"/>
      <c r="BO149" s="99"/>
      <c r="BP149" s="99"/>
    </row>
    <row r="150" spans="1:71" s="182" customFormat="1" ht="17.25" customHeight="1" x14ac:dyDescent="0.2">
      <c r="B150" s="99"/>
      <c r="C150" s="144"/>
      <c r="D150" s="144"/>
      <c r="E150" s="144"/>
      <c r="L150" s="99"/>
      <c r="M150" s="99"/>
      <c r="N150" s="99"/>
      <c r="O150" s="99"/>
      <c r="P150" s="99"/>
      <c r="T150" s="872"/>
      <c r="U150" s="872"/>
      <c r="V150" s="872"/>
      <c r="X150" s="872"/>
      <c r="Y150" s="872"/>
      <c r="Z150" s="872"/>
      <c r="AG150" s="99"/>
      <c r="AH150" s="201"/>
      <c r="BO150" s="99"/>
      <c r="BP150" s="99"/>
    </row>
    <row r="151" spans="1:71" s="182" customFormat="1" ht="17.25" customHeight="1" x14ac:dyDescent="0.25">
      <c r="B151" s="99"/>
      <c r="C151" s="144"/>
      <c r="D151" s="144"/>
      <c r="E151" s="144"/>
      <c r="G151" s="144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G151" s="99"/>
      <c r="AH151" s="201"/>
      <c r="BO151" s="99"/>
      <c r="BP151" s="99"/>
    </row>
    <row r="152" spans="1:71" s="182" customFormat="1" ht="17.25" customHeight="1" x14ac:dyDescent="0.25">
      <c r="A152" s="99"/>
      <c r="B152" s="99"/>
      <c r="C152" s="144"/>
      <c r="D152" s="144"/>
      <c r="E152" s="144"/>
      <c r="F152" s="144"/>
      <c r="G152" s="144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 s="99"/>
      <c r="AB152" s="99"/>
      <c r="AC152" s="99"/>
      <c r="AD152" s="99"/>
      <c r="AE152" s="99"/>
      <c r="AF152" s="99"/>
      <c r="AG152" s="99"/>
      <c r="AH152" s="201"/>
      <c r="BO152" s="99"/>
      <c r="BP152" s="99"/>
    </row>
    <row r="153" spans="1:71" s="182" customFormat="1" ht="17.25" customHeight="1" x14ac:dyDescent="0.25">
      <c r="A153" s="99"/>
      <c r="B153" s="99"/>
      <c r="C153" s="144"/>
      <c r="D153" s="144"/>
      <c r="E153" s="144"/>
      <c r="F153" s="144"/>
      <c r="G153" s="144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 s="99"/>
      <c r="AB153" s="99"/>
      <c r="AC153" s="99"/>
      <c r="AD153" s="99"/>
      <c r="AE153" s="99"/>
      <c r="AF153" s="99"/>
      <c r="AG153" s="99"/>
      <c r="AH153" s="201"/>
      <c r="BO153" s="99"/>
      <c r="BP153" s="99"/>
    </row>
    <row r="154" spans="1:71" s="182" customFormat="1" ht="17.25" customHeight="1" x14ac:dyDescent="0.25">
      <c r="A154" s="99"/>
      <c r="B154" s="99"/>
      <c r="C154" s="144"/>
      <c r="D154" s="144"/>
      <c r="E154" s="144"/>
      <c r="F154" s="144"/>
      <c r="G154" s="14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 s="99"/>
      <c r="AB154" s="99"/>
      <c r="AC154" s="99"/>
      <c r="AD154" s="99"/>
      <c r="AE154" s="99"/>
      <c r="AF154" s="99"/>
      <c r="AG154" s="99"/>
      <c r="AH154" s="201"/>
      <c r="BO154" s="99"/>
      <c r="BP154" s="99"/>
    </row>
    <row r="155" spans="1:71" s="182" customFormat="1" ht="17.25" customHeight="1" x14ac:dyDescent="0.25">
      <c r="A155" s="99"/>
      <c r="B155" s="99"/>
      <c r="C155" s="144"/>
      <c r="D155" s="144"/>
      <c r="E155" s="144"/>
      <c r="F155" s="144"/>
      <c r="G155" s="144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 s="99"/>
      <c r="AB155" s="99"/>
      <c r="AC155" s="99"/>
      <c r="AD155" s="99"/>
      <c r="AE155" s="99"/>
      <c r="AF155" s="99"/>
      <c r="AG155" s="99"/>
      <c r="AH155" s="201"/>
      <c r="BO155" s="99"/>
      <c r="BP155" s="99"/>
    </row>
    <row r="156" spans="1:71" s="182" customFormat="1" ht="17.25" customHeight="1" x14ac:dyDescent="0.25">
      <c r="A156" s="99"/>
      <c r="B156" s="99"/>
      <c r="C156" s="144"/>
      <c r="D156" s="144"/>
      <c r="E156" s="144"/>
      <c r="F156" s="144"/>
      <c r="G156" s="144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 s="99"/>
      <c r="AB156" s="99"/>
      <c r="AC156" s="99"/>
      <c r="AD156" s="99"/>
      <c r="AE156" s="99"/>
      <c r="AF156" s="99"/>
      <c r="AG156" s="99"/>
      <c r="AH156" s="201"/>
      <c r="BO156" s="99"/>
      <c r="BP156" s="99"/>
    </row>
    <row r="157" spans="1:71" ht="17.25" customHeight="1" x14ac:dyDescent="0.2">
      <c r="BO157" s="99"/>
      <c r="BP157" s="99"/>
      <c r="BQ157" s="99"/>
      <c r="BR157" s="99"/>
      <c r="BS157" s="99"/>
    </row>
    <row r="158" spans="1:71" ht="17.25" customHeight="1" x14ac:dyDescent="0.2">
      <c r="BO158" s="99"/>
      <c r="BP158" s="99"/>
      <c r="BQ158" s="99"/>
      <c r="BR158" s="99"/>
      <c r="BS158" s="99"/>
    </row>
    <row r="159" spans="1:71" ht="17.25" customHeight="1" x14ac:dyDescent="0.2">
      <c r="BO159" s="99"/>
      <c r="BP159" s="99"/>
      <c r="BQ159" s="99"/>
      <c r="BR159" s="99"/>
      <c r="BS159" s="99"/>
    </row>
    <row r="160" spans="1:71" ht="17.25" customHeight="1" x14ac:dyDescent="0.2">
      <c r="BO160" s="99"/>
      <c r="BP160" s="99"/>
      <c r="BQ160" s="99"/>
      <c r="BR160" s="99"/>
      <c r="BS160" s="99"/>
    </row>
    <row r="161" spans="67:71" ht="17.25" customHeight="1" x14ac:dyDescent="0.2">
      <c r="BO161" s="99"/>
      <c r="BP161" s="99"/>
      <c r="BQ161" s="99"/>
      <c r="BR161" s="99"/>
      <c r="BS161" s="99"/>
    </row>
    <row r="162" spans="67:71" ht="17.25" customHeight="1" x14ac:dyDescent="0.2">
      <c r="BO162" s="99"/>
      <c r="BP162" s="99"/>
      <c r="BQ162" s="99"/>
      <c r="BR162" s="99"/>
      <c r="BS162" s="99"/>
    </row>
    <row r="163" spans="67:71" ht="17.25" customHeight="1" x14ac:dyDescent="0.2">
      <c r="BO163" s="99"/>
      <c r="BP163" s="99"/>
      <c r="BQ163" s="99"/>
      <c r="BR163" s="99"/>
      <c r="BS163" s="99"/>
    </row>
    <row r="164" spans="67:71" ht="17.25" customHeight="1" x14ac:dyDescent="0.2">
      <c r="BO164" s="99"/>
      <c r="BP164" s="99"/>
      <c r="BQ164" s="99"/>
      <c r="BR164" s="99"/>
      <c r="BS164" s="99"/>
    </row>
  </sheetData>
  <dataConsolidate link="1"/>
  <mergeCells count="311">
    <mergeCell ref="T150:V150"/>
    <mergeCell ref="F131:F132"/>
    <mergeCell ref="AJ106:AK106"/>
    <mergeCell ref="AJ107:AK107"/>
    <mergeCell ref="AJ108:AK108"/>
    <mergeCell ref="AJ110:AK110"/>
    <mergeCell ref="I74:L75"/>
    <mergeCell ref="M74:P75"/>
    <mergeCell ref="Q74:X75"/>
    <mergeCell ref="X150:Z150"/>
    <mergeCell ref="N125:P125"/>
    <mergeCell ref="W125:AG125"/>
    <mergeCell ref="H127:N127"/>
    <mergeCell ref="O127:R127"/>
    <mergeCell ref="U127:Z127"/>
    <mergeCell ref="AC138:AC140"/>
    <mergeCell ref="T139:U139"/>
    <mergeCell ref="V139:X139"/>
    <mergeCell ref="Z139:AB139"/>
    <mergeCell ref="N140:R140"/>
    <mergeCell ref="T140:U140"/>
    <mergeCell ref="V140:X140"/>
    <mergeCell ref="Z140:AB140"/>
    <mergeCell ref="J138:M140"/>
    <mergeCell ref="N138:R139"/>
    <mergeCell ref="T138:U138"/>
    <mergeCell ref="V138:X138"/>
    <mergeCell ref="Y138:Y140"/>
    <mergeCell ref="Z138:AB138"/>
    <mergeCell ref="H119:N119"/>
    <mergeCell ref="O119:R119"/>
    <mergeCell ref="U119:Z119"/>
    <mergeCell ref="F121:I121"/>
    <mergeCell ref="J121:L121"/>
    <mergeCell ref="N124:P124"/>
    <mergeCell ref="I135:L135"/>
    <mergeCell ref="F133:K133"/>
    <mergeCell ref="G132:K132"/>
    <mergeCell ref="G131:K131"/>
    <mergeCell ref="F130:P130"/>
    <mergeCell ref="I136:L136"/>
    <mergeCell ref="L133:P133"/>
    <mergeCell ref="L131:P131"/>
    <mergeCell ref="L132:P132"/>
    <mergeCell ref="F135:G135"/>
    <mergeCell ref="F136:G136"/>
    <mergeCell ref="I115:N115"/>
    <mergeCell ref="O115:R116"/>
    <mergeCell ref="S115:S116"/>
    <mergeCell ref="I116:N116"/>
    <mergeCell ref="I117:N117"/>
    <mergeCell ref="O117:R117"/>
    <mergeCell ref="O104:R104"/>
    <mergeCell ref="H105:N105"/>
    <mergeCell ref="O105:R105"/>
    <mergeCell ref="G112:S112"/>
    <mergeCell ref="G113:H114"/>
    <mergeCell ref="I113:N113"/>
    <mergeCell ref="O113:R114"/>
    <mergeCell ref="S113:S114"/>
    <mergeCell ref="I114:N114"/>
    <mergeCell ref="H110:N110"/>
    <mergeCell ref="O110:R110"/>
    <mergeCell ref="H106:N106"/>
    <mergeCell ref="O106:R106"/>
    <mergeCell ref="H108:N108"/>
    <mergeCell ref="O108:R108"/>
    <mergeCell ref="H109:N109"/>
    <mergeCell ref="O109:R109"/>
    <mergeCell ref="H104:N104"/>
    <mergeCell ref="H101:N101"/>
    <mergeCell ref="O101:R101"/>
    <mergeCell ref="H94:N94"/>
    <mergeCell ref="O94:R94"/>
    <mergeCell ref="M95:P95"/>
    <mergeCell ref="H96:N96"/>
    <mergeCell ref="O96:P96"/>
    <mergeCell ref="R96:S96"/>
    <mergeCell ref="F91:I91"/>
    <mergeCell ref="J91:L91"/>
    <mergeCell ref="C47:D47"/>
    <mergeCell ref="C48:D48"/>
    <mergeCell ref="E44:F44"/>
    <mergeCell ref="D89:E89"/>
    <mergeCell ref="F89:H89"/>
    <mergeCell ref="M98:P98"/>
    <mergeCell ref="M99:P99"/>
    <mergeCell ref="H100:N100"/>
    <mergeCell ref="O100:R100"/>
    <mergeCell ref="G56:I56"/>
    <mergeCell ref="R48:S48"/>
    <mergeCell ref="D52:G53"/>
    <mergeCell ref="O52:S53"/>
    <mergeCell ref="H50:N51"/>
    <mergeCell ref="H52:N53"/>
    <mergeCell ref="C44:D44"/>
    <mergeCell ref="C45:D45"/>
    <mergeCell ref="C46:D46"/>
    <mergeCell ref="F58:H59"/>
    <mergeCell ref="I58:L59"/>
    <mergeCell ref="M58:O59"/>
    <mergeCell ref="P58:T59"/>
    <mergeCell ref="F60:H63"/>
    <mergeCell ref="I60:L63"/>
    <mergeCell ref="T33:V34"/>
    <mergeCell ref="W33:Y34"/>
    <mergeCell ref="E17:H18"/>
    <mergeCell ref="F19:H20"/>
    <mergeCell ref="I19:I20"/>
    <mergeCell ref="J19:N20"/>
    <mergeCell ref="O19:X20"/>
    <mergeCell ref="E12:H13"/>
    <mergeCell ref="F14:H15"/>
    <mergeCell ref="I14:I15"/>
    <mergeCell ref="J14:N15"/>
    <mergeCell ref="O14:X15"/>
    <mergeCell ref="K27:N27"/>
    <mergeCell ref="K26:N26"/>
    <mergeCell ref="O26:V26"/>
    <mergeCell ref="G27:J27"/>
    <mergeCell ref="E33:F34"/>
    <mergeCell ref="K28:O29"/>
    <mergeCell ref="P28:S29"/>
    <mergeCell ref="K30:O30"/>
    <mergeCell ref="P30:S30"/>
    <mergeCell ref="G28:J30"/>
    <mergeCell ref="C28:F30"/>
    <mergeCell ref="L33:M34"/>
    <mergeCell ref="C1:F4"/>
    <mergeCell ref="G1:Y2"/>
    <mergeCell ref="G3:I4"/>
    <mergeCell ref="J3:L4"/>
    <mergeCell ref="C26:F26"/>
    <mergeCell ref="C27:F27"/>
    <mergeCell ref="G25:J25"/>
    <mergeCell ref="C25:F25"/>
    <mergeCell ref="B24:AG24"/>
    <mergeCell ref="P9:X9"/>
    <mergeCell ref="C8:I8"/>
    <mergeCell ref="J8:L8"/>
    <mergeCell ref="M8:O8"/>
    <mergeCell ref="C9:I9"/>
    <mergeCell ref="J9:L9"/>
    <mergeCell ref="M9:O9"/>
    <mergeCell ref="G26:J26"/>
    <mergeCell ref="Z35:AB35"/>
    <mergeCell ref="Z36:AB36"/>
    <mergeCell ref="Z37:AB37"/>
    <mergeCell ref="Z38:AB38"/>
    <mergeCell ref="Z39:AB39"/>
    <mergeCell ref="G35:K35"/>
    <mergeCell ref="G36:K36"/>
    <mergeCell ref="G37:K37"/>
    <mergeCell ref="W36:Y36"/>
    <mergeCell ref="W39:Y39"/>
    <mergeCell ref="W37:Y37"/>
    <mergeCell ref="W35:Y35"/>
    <mergeCell ref="W38:Y38"/>
    <mergeCell ref="L35:M35"/>
    <mergeCell ref="L36:M36"/>
    <mergeCell ref="L37:M37"/>
    <mergeCell ref="L38:M38"/>
    <mergeCell ref="L39:M39"/>
    <mergeCell ref="U110:Z110"/>
    <mergeCell ref="U101:Z101"/>
    <mergeCell ref="U100:Z100"/>
    <mergeCell ref="U96:Z96"/>
    <mergeCell ref="U94:Z94"/>
    <mergeCell ref="W44:Y44"/>
    <mergeCell ref="Z44:AB44"/>
    <mergeCell ref="W45:Y45"/>
    <mergeCell ref="E45:F45"/>
    <mergeCell ref="E46:F46"/>
    <mergeCell ref="E47:F47"/>
    <mergeCell ref="E48:F48"/>
    <mergeCell ref="Z45:AB45"/>
    <mergeCell ref="W46:Y46"/>
    <mergeCell ref="Z46:AB46"/>
    <mergeCell ref="F73:H73"/>
    <mergeCell ref="J73:L73"/>
    <mergeCell ref="M73:O73"/>
    <mergeCell ref="H92:N92"/>
    <mergeCell ref="O92:R92"/>
    <mergeCell ref="H93:N93"/>
    <mergeCell ref="O93:R93"/>
    <mergeCell ref="C90:F90"/>
    <mergeCell ref="G90:I90"/>
    <mergeCell ref="AI56:AI57"/>
    <mergeCell ref="W47:Y47"/>
    <mergeCell ref="Z47:AB47"/>
    <mergeCell ref="W48:Y48"/>
    <mergeCell ref="Z48:AB48"/>
    <mergeCell ref="G38:K38"/>
    <mergeCell ref="G39:K39"/>
    <mergeCell ref="G33:K34"/>
    <mergeCell ref="W42:Y43"/>
    <mergeCell ref="Z42:AB43"/>
    <mergeCell ref="R42:S43"/>
    <mergeCell ref="T42:V43"/>
    <mergeCell ref="R35:S35"/>
    <mergeCell ref="R36:S36"/>
    <mergeCell ref="R37:S37"/>
    <mergeCell ref="R38:S38"/>
    <mergeCell ref="R39:S39"/>
    <mergeCell ref="R33:S34"/>
    <mergeCell ref="T35:V35"/>
    <mergeCell ref="T36:V36"/>
    <mergeCell ref="T37:V37"/>
    <mergeCell ref="T38:V38"/>
    <mergeCell ref="T39:V39"/>
    <mergeCell ref="Z33:AB34"/>
    <mergeCell ref="E42:F43"/>
    <mergeCell ref="R44:S44"/>
    <mergeCell ref="T44:V44"/>
    <mergeCell ref="R45:S45"/>
    <mergeCell ref="T45:V45"/>
    <mergeCell ref="R46:S46"/>
    <mergeCell ref="T46:V46"/>
    <mergeCell ref="R47:S47"/>
    <mergeCell ref="T47:V47"/>
    <mergeCell ref="T48:V48"/>
    <mergeCell ref="N42:O43"/>
    <mergeCell ref="N44:O44"/>
    <mergeCell ref="N45:O45"/>
    <mergeCell ref="N46:O46"/>
    <mergeCell ref="N47:O47"/>
    <mergeCell ref="N48:O48"/>
    <mergeCell ref="L42:M43"/>
    <mergeCell ref="L44:M44"/>
    <mergeCell ref="L45:M45"/>
    <mergeCell ref="L46:M46"/>
    <mergeCell ref="L47:M47"/>
    <mergeCell ref="L48:M48"/>
    <mergeCell ref="C36:D36"/>
    <mergeCell ref="C39:D39"/>
    <mergeCell ref="C37:D37"/>
    <mergeCell ref="C35:D35"/>
    <mergeCell ref="C33:D34"/>
    <mergeCell ref="C38:D38"/>
    <mergeCell ref="E35:F35"/>
    <mergeCell ref="E36:F36"/>
    <mergeCell ref="E37:F37"/>
    <mergeCell ref="E38:F38"/>
    <mergeCell ref="E39:F39"/>
    <mergeCell ref="U106:Z106"/>
    <mergeCell ref="S105:U105"/>
    <mergeCell ref="S104:U104"/>
    <mergeCell ref="S103:U103"/>
    <mergeCell ref="U93:Z93"/>
    <mergeCell ref="U92:Z92"/>
    <mergeCell ref="V89:Z89"/>
    <mergeCell ref="S89:U89"/>
    <mergeCell ref="C40:AG41"/>
    <mergeCell ref="G42:K43"/>
    <mergeCell ref="G44:K44"/>
    <mergeCell ref="G45:K45"/>
    <mergeCell ref="G46:K46"/>
    <mergeCell ref="G47:K47"/>
    <mergeCell ref="G48:K48"/>
    <mergeCell ref="P42:Q43"/>
    <mergeCell ref="P44:Q44"/>
    <mergeCell ref="P45:Q45"/>
    <mergeCell ref="P46:Q46"/>
    <mergeCell ref="P47:Q47"/>
    <mergeCell ref="P48:Q48"/>
    <mergeCell ref="D50:G51"/>
    <mergeCell ref="F55:H55"/>
    <mergeCell ref="C56:F56"/>
    <mergeCell ref="AI87:AI88"/>
    <mergeCell ref="C74:H75"/>
    <mergeCell ref="M76:O76"/>
    <mergeCell ref="M77:O80"/>
    <mergeCell ref="P77:R78"/>
    <mergeCell ref="P79:R79"/>
    <mergeCell ref="S79:X79"/>
    <mergeCell ref="P80:X80"/>
    <mergeCell ref="M81:O84"/>
    <mergeCell ref="P81:R82"/>
    <mergeCell ref="P83:R83"/>
    <mergeCell ref="S83:X83"/>
    <mergeCell ref="P84:X84"/>
    <mergeCell ref="C76:H76"/>
    <mergeCell ref="D78:H80"/>
    <mergeCell ref="C81:H84"/>
    <mergeCell ref="I76:L76"/>
    <mergeCell ref="I77:L80"/>
    <mergeCell ref="I81:L84"/>
    <mergeCell ref="M60:O61"/>
    <mergeCell ref="P60:P61"/>
    <mergeCell ref="Q60:T61"/>
    <mergeCell ref="Q68:T69"/>
    <mergeCell ref="U68:U69"/>
    <mergeCell ref="V68:Y69"/>
    <mergeCell ref="F70:K70"/>
    <mergeCell ref="P70:T70"/>
    <mergeCell ref="U70:Y70"/>
    <mergeCell ref="U60:Y61"/>
    <mergeCell ref="M62:O63"/>
    <mergeCell ref="P62:P63"/>
    <mergeCell ref="Q62:T63"/>
    <mergeCell ref="U62:Y63"/>
    <mergeCell ref="F64:K64"/>
    <mergeCell ref="F66:H67"/>
    <mergeCell ref="I66:L67"/>
    <mergeCell ref="M66:O67"/>
    <mergeCell ref="P66:T67"/>
    <mergeCell ref="U66:Y67"/>
    <mergeCell ref="F68:H69"/>
    <mergeCell ref="I68:L69"/>
    <mergeCell ref="M68:O69"/>
    <mergeCell ref="P68:P69"/>
  </mergeCells>
  <dataValidations count="6">
    <dataValidation type="list" allowBlank="1" showInputMessage="1" showErrorMessage="1" sqref="M21 I21 I19 R21" xr:uid="{0E8BD054-457E-49D7-9C1E-E3B197FDE030}">
      <formula1>$B$16:$B$17</formula1>
    </dataValidation>
    <dataValidation type="list" allowBlank="1" showInputMessage="1" showErrorMessage="1" sqref="I14:I15 P25 P31:P32 P72 U25 U31:U32 U72 P60:P63 P68:P69 U68:U69" xr:uid="{9099DC52-7EF8-459C-A197-50EBD3CDFB7B}">
      <formula1>$A$16:$A$17</formula1>
    </dataValidation>
    <dataValidation type="list" allowBlank="1" showInputMessage="1" showErrorMessage="1" sqref="G90:I90" xr:uid="{E93E6582-776F-420D-B958-43ED853F9428}">
      <formula1>$AJ$87:$AJ$88</formula1>
    </dataValidation>
    <dataValidation type="list" allowBlank="1" showInputMessage="1" showErrorMessage="1" sqref="N44:N49 O44:O51 P52:Q54" xr:uid="{8BC6A31F-94CE-40E9-8EB9-C59782EA01DB}">
      <formula1>$AJ$42:$AK$42</formula1>
    </dataValidation>
    <dataValidation type="list" allowBlank="1" showInputMessage="1" showErrorMessage="1" sqref="M76:O76" xr:uid="{1AD5DE5F-BE00-4CC6-A04D-E7A8465B69D4}">
      <formula1>$AJ$80:$AL$80</formula1>
    </dataValidation>
    <dataValidation type="list" allowBlank="1" showInputMessage="1" showErrorMessage="1" sqref="G56:I56" xr:uid="{E7825213-99DF-4A97-8626-7613CF24C73D}">
      <formula1>$AJ$56:$AJ$57</formula1>
    </dataValidation>
  </dataValidations>
  <printOptions horizontalCentered="1" verticalCentered="1"/>
  <pageMargins left="0.25" right="0.25" top="0.1" bottom="0.1" header="0.3" footer="0.3"/>
  <pageSetup paperSize="9" scale="37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9D949-F173-4F0B-98AC-62243D09D787}">
  <sheetPr codeName="Sheet11">
    <pageSetUpPr fitToPage="1"/>
  </sheetPr>
  <dimension ref="A1:BO163"/>
  <sheetViews>
    <sheetView topLeftCell="A103" zoomScaleNormal="100" workbookViewId="0">
      <selection activeCell="M22" sqref="M22:O22"/>
    </sheetView>
  </sheetViews>
  <sheetFormatPr baseColWidth="10" defaultColWidth="5.140625" defaultRowHeight="17.25" customHeight="1" outlineLevelCol="1" x14ac:dyDescent="0.25"/>
  <cols>
    <col min="1" max="2" width="6.42578125" style="99" customWidth="1"/>
    <col min="3" max="7" width="7" style="144" customWidth="1"/>
    <col min="8" max="9" width="7" style="99" customWidth="1"/>
    <col min="10" max="10" width="6.42578125" style="99" customWidth="1"/>
    <col min="11" max="11" width="8" style="99" customWidth="1"/>
    <col min="12" max="19" width="6.42578125" style="99" customWidth="1"/>
    <col min="20" max="20" width="7.28515625" style="99" customWidth="1"/>
    <col min="21" max="21" width="6.42578125" style="99" customWidth="1"/>
    <col min="22" max="22" width="7.28515625" style="99" customWidth="1"/>
    <col min="23" max="27" width="6.42578125" style="99" customWidth="1"/>
    <col min="28" max="28" width="1.28515625" style="146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7" customWidth="1" outlineLevel="1"/>
    <col min="67" max="16384" width="5.140625" style="99"/>
  </cols>
  <sheetData>
    <row r="1" spans="2:66" ht="17.25" customHeight="1" x14ac:dyDescent="0.25">
      <c r="C1" s="412" t="s">
        <v>236</v>
      </c>
      <c r="D1" s="412"/>
      <c r="E1" s="412"/>
      <c r="F1" s="412"/>
      <c r="G1" s="403" t="s">
        <v>237</v>
      </c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</row>
    <row r="2" spans="2:66" ht="17.25" customHeight="1" x14ac:dyDescent="0.25">
      <c r="C2" s="412"/>
      <c r="D2" s="412"/>
      <c r="E2" s="412"/>
      <c r="F2" s="412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2:66" ht="17.25" customHeight="1" x14ac:dyDescent="0.25">
      <c r="C3" s="412"/>
      <c r="D3" s="412"/>
      <c r="E3" s="412"/>
      <c r="F3" s="412"/>
      <c r="G3" s="408" t="s">
        <v>241</v>
      </c>
      <c r="H3" s="408"/>
      <c r="I3" s="408"/>
      <c r="J3" s="410" t="s">
        <v>240</v>
      </c>
      <c r="K3" s="410"/>
      <c r="L3" s="410"/>
      <c r="N3" s="330" t="s">
        <v>527</v>
      </c>
      <c r="O3" s="330"/>
      <c r="P3" s="330"/>
      <c r="Q3" s="331" t="s">
        <v>363</v>
      </c>
      <c r="R3" s="331"/>
      <c r="S3" s="331"/>
    </row>
    <row r="4" spans="2:66" ht="17.25" customHeight="1" x14ac:dyDescent="0.25">
      <c r="C4" s="412"/>
      <c r="D4" s="412"/>
      <c r="E4" s="412"/>
      <c r="F4" s="412"/>
      <c r="G4" s="409"/>
      <c r="H4" s="409"/>
      <c r="I4" s="409"/>
      <c r="J4" s="411"/>
      <c r="K4" s="411"/>
      <c r="L4" s="411"/>
      <c r="N4" s="330"/>
      <c r="O4" s="330"/>
      <c r="P4" s="330"/>
      <c r="Q4" s="331"/>
      <c r="R4" s="331"/>
      <c r="S4" s="331"/>
    </row>
    <row r="6" spans="2:66" ht="17.25" customHeight="1" thickBot="1" x14ac:dyDescent="0.3"/>
    <row r="7" spans="2:66" ht="17.25" customHeight="1" thickBot="1" x14ac:dyDescent="0.3">
      <c r="B7" s="108" t="s">
        <v>0</v>
      </c>
      <c r="C7" s="109"/>
      <c r="D7" s="109"/>
      <c r="E7" s="289" t="str" cm="1">
        <f t="array" ref="E7">dateDecimale2txt(dateConvert2Decimal(E8))</f>
        <v>2025/6/30 [YYYY/MM/DD]</v>
      </c>
      <c r="F7" s="289"/>
      <c r="G7" s="290"/>
      <c r="H7" s="291"/>
      <c r="I7" s="289" t="str" cm="1">
        <f t="array" ref="I7">heureDecimal2Txt(E11)</f>
        <v>12:31:07.00(12.5186)</v>
      </c>
      <c r="J7" s="289"/>
      <c r="K7" s="28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85"/>
      <c r="AB7" s="147"/>
    </row>
    <row r="8" spans="2:66" ht="17.25" customHeight="1" x14ac:dyDescent="0.25">
      <c r="C8" s="404" t="s">
        <v>1</v>
      </c>
      <c r="D8" s="405"/>
      <c r="E8" s="526" t="s">
        <v>528</v>
      </c>
      <c r="F8" s="527"/>
      <c r="G8" s="527"/>
      <c r="H8" s="144"/>
      <c r="I8" s="332"/>
      <c r="J8" s="332"/>
      <c r="K8" s="332"/>
      <c r="L8" s="332"/>
      <c r="M8" s="332"/>
      <c r="N8" s="332"/>
      <c r="O8" s="332"/>
      <c r="AC8" s="6" t="s">
        <v>328</v>
      </c>
      <c r="AD8" s="6" cm="1">
        <f t="array" ref="AD8">heureConvert2Decimal(I11)</f>
        <v>12.518611111111111</v>
      </c>
    </row>
    <row r="9" spans="2:66" ht="17.25" customHeight="1" thickBot="1" x14ac:dyDescent="0.3">
      <c r="C9" s="380" t="s">
        <v>11</v>
      </c>
      <c r="D9" s="382"/>
      <c r="E9" s="380" t="s">
        <v>2</v>
      </c>
      <c r="F9" s="381"/>
      <c r="G9" s="381"/>
      <c r="H9" s="382"/>
      <c r="I9" s="523" t="s">
        <v>529</v>
      </c>
      <c r="J9" s="523"/>
      <c r="K9" s="523"/>
      <c r="L9" s="523" t="s">
        <v>525</v>
      </c>
      <c r="M9" s="523"/>
      <c r="N9" s="523"/>
      <c r="O9" s="523"/>
      <c r="P9" s="523"/>
      <c r="Q9" s="523" t="s">
        <v>526</v>
      </c>
      <c r="R9" s="523"/>
      <c r="S9" s="523"/>
      <c r="T9" s="523"/>
      <c r="U9" s="523"/>
      <c r="V9" s="508" t="s">
        <v>191</v>
      </c>
      <c r="W9" s="509"/>
      <c r="X9" s="509"/>
      <c r="Y9" s="510"/>
      <c r="AB9" s="148"/>
      <c r="AC9" s="6" t="s">
        <v>329</v>
      </c>
      <c r="AD9" s="152">
        <f>L11</f>
        <v>0</v>
      </c>
    </row>
    <row r="10" spans="2:66" ht="17.25" customHeight="1" x14ac:dyDescent="0.25">
      <c r="C10" s="406"/>
      <c r="D10" s="407"/>
      <c r="E10" s="383"/>
      <c r="F10" s="384"/>
      <c r="G10" s="384"/>
      <c r="H10" s="385"/>
      <c r="I10" s="523"/>
      <c r="J10" s="523"/>
      <c r="K10" s="523"/>
      <c r="L10" s="523"/>
      <c r="M10" s="523"/>
      <c r="N10" s="523"/>
      <c r="O10" s="523"/>
      <c r="P10" s="523"/>
      <c r="Q10" s="523"/>
      <c r="R10" s="523"/>
      <c r="S10" s="523"/>
      <c r="T10" s="523"/>
      <c r="U10" s="523"/>
      <c r="V10" s="511"/>
      <c r="W10" s="512"/>
      <c r="X10" s="512"/>
      <c r="Y10" s="513"/>
      <c r="AC10" s="6" t="s">
        <v>330</v>
      </c>
      <c r="AD10" s="6">
        <f>Q11/3600</f>
        <v>0</v>
      </c>
    </row>
    <row r="11" spans="2:66" ht="17.25" customHeight="1" thickBot="1" x14ac:dyDescent="0.3">
      <c r="C11" s="383"/>
      <c r="D11" s="385"/>
      <c r="E11" s="355">
        <f>AD8+AD9+AD10+AD11</f>
        <v>12.518611111111111</v>
      </c>
      <c r="F11" s="356"/>
      <c r="G11" s="356"/>
      <c r="H11" s="357"/>
      <c r="I11" s="522" t="s">
        <v>609</v>
      </c>
      <c r="J11" s="522"/>
      <c r="K11" s="522"/>
      <c r="L11" s="558">
        <v>0</v>
      </c>
      <c r="M11" s="558"/>
      <c r="N11" s="558"/>
      <c r="O11" s="558"/>
      <c r="P11" s="558"/>
      <c r="Q11" s="558">
        <v>0</v>
      </c>
      <c r="R11" s="558"/>
      <c r="S11" s="558"/>
      <c r="T11" s="558"/>
      <c r="U11" s="559"/>
      <c r="V11" s="557" t="s">
        <v>190</v>
      </c>
      <c r="W11" s="557"/>
      <c r="X11" s="557"/>
      <c r="Y11" s="557"/>
      <c r="AC11" s="6" t="s">
        <v>36</v>
      </c>
      <c r="AD11" s="6" cm="1">
        <f t="array" ref="AD11">heureConvert2Decimal(V11) / 60</f>
        <v>0</v>
      </c>
    </row>
    <row r="12" spans="2:66" customFormat="1" ht="17.25" customHeight="1" thickTop="1" thickBot="1" x14ac:dyDescent="0.3">
      <c r="B12" s="99"/>
      <c r="E12" s="601" t="str" cm="1">
        <f t="array" ref="E12">heureDecimal2Txt(E11)</f>
        <v>12:31:07.00(12.5186)</v>
      </c>
      <c r="F12" s="602"/>
      <c r="G12" s="602"/>
      <c r="H12" s="603"/>
      <c r="I12" s="41"/>
      <c r="J12" s="41"/>
      <c r="K12" s="41"/>
      <c r="V12" s="41"/>
      <c r="W12" s="41"/>
      <c r="X12" s="41"/>
      <c r="Y12" s="41"/>
      <c r="Z12" s="99"/>
      <c r="AA12" s="99"/>
      <c r="AB12" s="146"/>
      <c r="BN12" s="107"/>
    </row>
    <row r="13" spans="2:66" ht="17.25" customHeight="1" thickTop="1" thickBot="1" x14ac:dyDescent="0.3">
      <c r="C13" s="98"/>
      <c r="D13" s="98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</row>
    <row r="14" spans="2:66" ht="17.25" customHeight="1" thickBot="1" x14ac:dyDescent="0.3">
      <c r="B14" s="108" t="s">
        <v>20</v>
      </c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47"/>
    </row>
    <row r="15" spans="2:66" ht="18" customHeight="1" thickBot="1" x14ac:dyDescent="0.3">
      <c r="B15"/>
      <c r="C15" s="367" t="s">
        <v>331</v>
      </c>
      <c r="D15" s="368"/>
      <c r="E15" s="368"/>
      <c r="F15" s="368"/>
      <c r="G15" s="368"/>
      <c r="H15" s="368"/>
      <c r="I15" s="369"/>
      <c r="J15" s="370" t="s">
        <v>333</v>
      </c>
      <c r="K15" s="370"/>
      <c r="L15" s="370"/>
      <c r="M15" s="370"/>
      <c r="N15" s="370"/>
      <c r="O15" s="370"/>
      <c r="P15"/>
      <c r="Q15"/>
      <c r="R15"/>
      <c r="S15"/>
      <c r="T15"/>
      <c r="U15"/>
      <c r="V15"/>
      <c r="W15"/>
      <c r="X15"/>
      <c r="Y15"/>
      <c r="Z15"/>
      <c r="AA15"/>
      <c r="AC15" s="153" t="s">
        <v>332</v>
      </c>
      <c r="AD15" s="153" t="s">
        <v>333</v>
      </c>
    </row>
    <row r="16" spans="2:66" ht="18" customHeight="1" thickTop="1" thickBot="1" x14ac:dyDescent="0.3">
      <c r="B16" s="97"/>
      <c r="C16" s="367" t="s">
        <v>230</v>
      </c>
      <c r="D16" s="368"/>
      <c r="E16" s="368"/>
      <c r="F16" s="368"/>
      <c r="G16" s="368"/>
      <c r="H16" s="368"/>
      <c r="I16" s="369"/>
      <c r="J16" s="364" cm="1">
        <f t="array" ref="J16">angleConvert2Decimal(M16)</f>
        <v>0.9</v>
      </c>
      <c r="K16" s="365"/>
      <c r="L16" s="366"/>
      <c r="M16" s="361" t="s">
        <v>133</v>
      </c>
      <c r="N16" s="362"/>
      <c r="O16" s="363"/>
      <c r="P16" s="358" t="str" cm="1">
        <f t="array" ref="P16">angleDecimal2Txt(J16)</f>
        <v>+00°54.00 (+00.9000) [+00°54'00.00]</v>
      </c>
      <c r="Q16" s="359"/>
      <c r="R16" s="359"/>
      <c r="S16" s="359"/>
      <c r="T16" s="359"/>
      <c r="U16" s="359"/>
      <c r="V16" s="359"/>
      <c r="W16" s="359"/>
      <c r="X16" s="360"/>
      <c r="Y16" s="97"/>
    </row>
    <row r="17" spans="2:34" ht="18" customHeight="1" thickTop="1" thickBot="1" x14ac:dyDescent="0.3">
      <c r="C17" s="525" t="s">
        <v>229</v>
      </c>
      <c r="D17" s="525"/>
      <c r="E17" s="525"/>
      <c r="F17" s="525"/>
      <c r="G17" s="525"/>
      <c r="H17" s="525"/>
      <c r="I17" s="525"/>
      <c r="J17" s="492" cm="1">
        <f t="array" ref="J17">angleConvert2Decimal(M17)</f>
        <v>33.4</v>
      </c>
      <c r="K17" s="563"/>
      <c r="L17" s="474"/>
      <c r="M17" s="419" t="s">
        <v>432</v>
      </c>
      <c r="N17" s="420"/>
      <c r="O17" s="421"/>
      <c r="P17" s="346" t="str" cm="1">
        <f t="array" ref="P17">angleDecimal2Txt(J17)</f>
        <v>+33°24.00 (+33.3999) [+33°24'00.00]</v>
      </c>
      <c r="Q17" s="346"/>
      <c r="R17" s="346"/>
      <c r="S17" s="346"/>
      <c r="T17" s="346"/>
      <c r="U17" s="346"/>
      <c r="V17" s="346"/>
      <c r="W17" s="346"/>
      <c r="X17" s="346"/>
      <c r="Y17" s="97"/>
    </row>
    <row r="18" spans="2:34" ht="18" customHeight="1" thickTop="1" thickBot="1" x14ac:dyDescent="0.3">
      <c r="C18" s="525" t="s">
        <v>239</v>
      </c>
      <c r="D18" s="525"/>
      <c r="E18" s="525"/>
      <c r="F18" s="525"/>
      <c r="G18" s="525"/>
      <c r="H18" s="525"/>
      <c r="I18" s="525"/>
      <c r="J18" s="492" cm="1">
        <f t="array" ref="J18">angleConvert2Decimal(M18)</f>
        <v>16.25</v>
      </c>
      <c r="K18" s="563"/>
      <c r="L18" s="474"/>
      <c r="M18" s="419">
        <f>(J17-J16)/2</f>
        <v>16.25</v>
      </c>
      <c r="N18" s="420"/>
      <c r="O18" s="421"/>
      <c r="P18" s="346" t="str" cm="1">
        <f t="array" ref="P18">angleDecimal2Txt(J18)</f>
        <v>+16°15.00 (+16.2500) [+16°15'00.00]</v>
      </c>
      <c r="Q18" s="346"/>
      <c r="R18" s="346"/>
      <c r="S18" s="346"/>
      <c r="T18" s="346"/>
      <c r="U18" s="346"/>
      <c r="V18" s="346"/>
      <c r="W18" s="346"/>
      <c r="X18" s="346"/>
      <c r="Y18" s="97"/>
    </row>
    <row r="19" spans="2:34" ht="18" customHeight="1" thickTop="1" thickBot="1" x14ac:dyDescent="0.3">
      <c r="C19" s="604" t="s">
        <v>21</v>
      </c>
      <c r="D19" s="604"/>
      <c r="E19" s="604"/>
      <c r="F19" s="604"/>
      <c r="G19" s="604"/>
      <c r="H19" s="604"/>
      <c r="I19" s="604"/>
      <c r="J19" s="560">
        <f>M19</f>
        <v>2</v>
      </c>
      <c r="K19" s="561"/>
      <c r="L19" s="562"/>
      <c r="M19" s="520">
        <v>2</v>
      </c>
      <c r="N19" s="520"/>
      <c r="O19" s="520"/>
      <c r="P19" s="97"/>
      <c r="Q19" s="97"/>
      <c r="R19" s="97"/>
      <c r="S19" s="97"/>
      <c r="T19" s="97"/>
      <c r="U19" s="97"/>
      <c r="V19" s="97"/>
      <c r="W19" s="97"/>
      <c r="X19" s="97"/>
      <c r="Y19" s="97"/>
    </row>
    <row r="20" spans="2:34" ht="18" customHeight="1" thickTop="1" thickBot="1" x14ac:dyDescent="0.3">
      <c r="B20" s="97"/>
      <c r="C20" s="619" t="s">
        <v>22</v>
      </c>
      <c r="D20" s="620"/>
      <c r="E20" s="620"/>
      <c r="F20" s="620"/>
      <c r="G20" s="620"/>
      <c r="H20" s="620"/>
      <c r="I20" s="621"/>
      <c r="J20" s="334" cm="1">
        <f t="array" ref="J20">angleConvert2Decimal(M20)</f>
        <v>2.1666666666666667E-2</v>
      </c>
      <c r="K20" s="433"/>
      <c r="L20" s="433"/>
      <c r="M20" s="519" t="s">
        <v>568</v>
      </c>
      <c r="N20" s="520"/>
      <c r="O20" s="520"/>
      <c r="P20" s="346" t="str" cm="1">
        <f t="array" ref="P20">angleDecimal2Txt(J20)</f>
        <v>+00°01.30 (+00.0216) [+00°01'18.00]</v>
      </c>
      <c r="Q20" s="346"/>
      <c r="R20" s="346"/>
      <c r="S20" s="346"/>
      <c r="T20" s="346"/>
      <c r="U20" s="346"/>
      <c r="V20" s="346"/>
      <c r="W20" s="346"/>
      <c r="X20" s="346"/>
      <c r="Y20" s="97"/>
    </row>
    <row r="21" spans="2:34" ht="18" customHeight="1" thickTop="1" thickBot="1" x14ac:dyDescent="0.3">
      <c r="C21" s="629" t="s">
        <v>32</v>
      </c>
      <c r="D21" s="629"/>
      <c r="E21" s="629"/>
      <c r="F21" s="629"/>
      <c r="G21" s="629"/>
      <c r="H21" s="629"/>
      <c r="I21" s="629"/>
      <c r="J21" s="334" cm="1">
        <f t="array" ref="J21">IF(J15=AC15,J18,angleConvert2Decimal(M21))</f>
        <v>66.95</v>
      </c>
      <c r="K21" s="433"/>
      <c r="L21" s="433"/>
      <c r="M21" s="519" t="s">
        <v>593</v>
      </c>
      <c r="N21" s="520"/>
      <c r="O21" s="520"/>
      <c r="P21" s="346" t="str" cm="1">
        <f t="array" ref="P21">angleDecimal2Txt(J21)</f>
        <v>+66°57.00 (+66.9500) [+66°57'00.00]</v>
      </c>
      <c r="Q21" s="346"/>
      <c r="R21" s="346"/>
      <c r="S21" s="346"/>
      <c r="T21" s="346"/>
      <c r="U21" s="346"/>
      <c r="V21" s="346"/>
      <c r="W21" s="346"/>
      <c r="X21" s="346"/>
      <c r="Y21" s="97"/>
    </row>
    <row r="22" spans="2:34" ht="18" customHeight="1" thickTop="1" x14ac:dyDescent="0.25">
      <c r="C22" s="622" t="s">
        <v>37</v>
      </c>
      <c r="D22" s="622"/>
      <c r="E22" s="622"/>
      <c r="F22" s="622"/>
      <c r="G22" s="622"/>
      <c r="H22" s="622"/>
      <c r="I22" s="622"/>
      <c r="J22" s="623" t="str">
        <f>M22</f>
        <v>Soleil</v>
      </c>
      <c r="K22" s="624"/>
      <c r="L22" s="625"/>
      <c r="M22" s="528" t="s">
        <v>38</v>
      </c>
      <c r="N22" s="529"/>
      <c r="O22" s="530"/>
      <c r="P22" s="97"/>
      <c r="Q22" s="97"/>
      <c r="R22" s="97"/>
      <c r="S22" s="97"/>
      <c r="T22" s="97"/>
      <c r="U22" s="97"/>
      <c r="V22" s="97"/>
      <c r="W22" s="97"/>
      <c r="X22" s="97"/>
      <c r="Y22" s="97"/>
      <c r="AG22" s="99"/>
      <c r="AH22" s="99"/>
    </row>
    <row r="23" spans="2:34" ht="18" customHeight="1" x14ac:dyDescent="0.25">
      <c r="C23" s="622" t="s">
        <v>84</v>
      </c>
      <c r="D23" s="622"/>
      <c r="E23" s="622"/>
      <c r="F23" s="622"/>
      <c r="G23" s="622"/>
      <c r="H23" s="622"/>
      <c r="I23" s="622"/>
      <c r="J23" s="342" t="str">
        <f>M23</f>
        <v>BordInf</v>
      </c>
      <c r="K23" s="342"/>
      <c r="L23" s="342"/>
      <c r="M23" s="515" t="s">
        <v>85</v>
      </c>
      <c r="N23" s="515"/>
      <c r="O23" s="515"/>
      <c r="P23" s="97"/>
      <c r="Q23" s="97"/>
      <c r="R23" s="97"/>
      <c r="S23" s="97"/>
      <c r="T23" s="97"/>
      <c r="U23" s="97"/>
      <c r="V23" s="97"/>
      <c r="W23" s="97"/>
      <c r="X23" s="97"/>
      <c r="Y23" s="97"/>
      <c r="AC23" s="154" t="s">
        <v>357</v>
      </c>
      <c r="AD23" s="155" t="s">
        <v>39</v>
      </c>
      <c r="AE23" s="155" t="s">
        <v>40</v>
      </c>
      <c r="AF23" s="155" t="s">
        <v>38</v>
      </c>
      <c r="AG23" s="99"/>
      <c r="AH23" s="99"/>
    </row>
    <row r="24" spans="2:34" ht="17.25" customHeight="1" x14ac:dyDescent="0.25">
      <c r="C24" s="630" t="s">
        <v>314</v>
      </c>
      <c r="D24" s="631"/>
      <c r="E24" s="110"/>
      <c r="F24" s="110"/>
      <c r="G24" s="110"/>
      <c r="H24" s="110"/>
      <c r="I24" s="111"/>
      <c r="J24" s="539" cm="1">
        <f t="array" ref="J24">angleConvert2Decimal(M24)</f>
        <v>2.8833333333333332E-3</v>
      </c>
      <c r="K24" s="338"/>
      <c r="L24" s="339"/>
      <c r="M24" s="545" t="str">
        <f>P26</f>
        <v>0.173'</v>
      </c>
      <c r="N24" s="546"/>
      <c r="O24" s="546"/>
      <c r="P24" s="551" t="s">
        <v>129</v>
      </c>
      <c r="Q24" s="551"/>
      <c r="R24" s="551"/>
      <c r="S24" s="97"/>
      <c r="T24" s="97"/>
      <c r="U24" s="97"/>
      <c r="V24" s="97"/>
      <c r="W24" s="97"/>
      <c r="X24" s="97"/>
      <c r="Y24" s="97"/>
      <c r="AC24" s="154" t="s">
        <v>131</v>
      </c>
      <c r="AD24" s="156" t="s">
        <v>132</v>
      </c>
      <c r="AE24" s="156" t="s">
        <v>133</v>
      </c>
      <c r="AF24" s="156" t="s">
        <v>104</v>
      </c>
      <c r="AG24" s="99"/>
      <c r="AH24" s="99"/>
    </row>
    <row r="25" spans="2:34" ht="17.25" customHeight="1" thickBot="1" x14ac:dyDescent="0.3">
      <c r="C25" s="112"/>
      <c r="D25" s="607" t="s">
        <v>315</v>
      </c>
      <c r="E25" s="607"/>
      <c r="F25" s="607"/>
      <c r="G25" s="607"/>
      <c r="H25" s="607"/>
      <c r="I25" s="608"/>
      <c r="J25" s="540"/>
      <c r="K25" s="409"/>
      <c r="L25" s="541"/>
      <c r="M25" s="547"/>
      <c r="N25" s="548"/>
      <c r="O25" s="548"/>
      <c r="P25" s="551"/>
      <c r="Q25" s="551"/>
      <c r="R25" s="551"/>
      <c r="S25" s="97"/>
      <c r="T25" s="97"/>
      <c r="U25" s="97"/>
      <c r="V25" s="97"/>
      <c r="W25" s="97"/>
      <c r="X25" s="97"/>
      <c r="Y25" s="97"/>
      <c r="AC25" s="154" t="s">
        <v>135</v>
      </c>
      <c r="AD25" s="156" t="s">
        <v>132</v>
      </c>
      <c r="AE25" s="156" t="s">
        <v>136</v>
      </c>
      <c r="AF25" s="156" t="s">
        <v>103</v>
      </c>
      <c r="AG25" s="99"/>
      <c r="AH25" s="99"/>
    </row>
    <row r="26" spans="2:34" ht="17.25" customHeight="1" thickTop="1" thickBot="1" x14ac:dyDescent="0.3">
      <c r="C26" s="112"/>
      <c r="D26" s="607"/>
      <c r="E26" s="607"/>
      <c r="F26" s="607"/>
      <c r="G26" s="607"/>
      <c r="H26" s="607"/>
      <c r="I26" s="608"/>
      <c r="J26" s="540"/>
      <c r="K26" s="409"/>
      <c r="L26" s="541"/>
      <c r="M26" s="547"/>
      <c r="N26" s="548"/>
      <c r="O26" s="548"/>
      <c r="P26" s="521" t="str">
        <f>HLOOKUP(M22,AD23:AF25,2,FALSE)</f>
        <v>0.173'</v>
      </c>
      <c r="Q26" s="521"/>
      <c r="R26" s="521"/>
      <c r="S26" s="350" t="str" cm="1">
        <f t="array" ref="S26">angleDecimal2Txt(angleConvert2Decimal(P26))</f>
        <v>+00°00.17 (+00.0028) [+00°00'10.37]</v>
      </c>
      <c r="T26" s="350"/>
      <c r="U26" s="350"/>
      <c r="V26" s="350"/>
      <c r="W26" s="350"/>
      <c r="X26" s="351"/>
      <c r="Y26" s="97"/>
    </row>
    <row r="27" spans="2:34" ht="17.25" customHeight="1" thickTop="1" thickBot="1" x14ac:dyDescent="0.3">
      <c r="C27" s="113"/>
      <c r="D27" s="609"/>
      <c r="E27" s="609"/>
      <c r="F27" s="609"/>
      <c r="G27" s="609"/>
      <c r="H27" s="609"/>
      <c r="I27" s="610"/>
      <c r="J27" s="542"/>
      <c r="K27" s="543"/>
      <c r="L27" s="544"/>
      <c r="M27" s="549"/>
      <c r="N27" s="550"/>
      <c r="O27" s="550"/>
      <c r="P27" s="518" t="str" cm="1">
        <f t="array" ref="P27">angleDecimal2Txt(J24)</f>
        <v>+00°00.17 (+00.0028) [+00°00'10.37]</v>
      </c>
      <c r="Q27" s="518"/>
      <c r="R27" s="518"/>
      <c r="S27" s="346"/>
      <c r="T27" s="346"/>
      <c r="U27" s="346"/>
      <c r="V27" s="346"/>
      <c r="W27" s="346"/>
      <c r="X27" s="346"/>
      <c r="Y27" s="97"/>
      <c r="AC27" s="154" t="s">
        <v>130</v>
      </c>
      <c r="AD27" s="155" t="s">
        <v>85</v>
      </c>
      <c r="AE27" s="155" t="s">
        <v>355</v>
      </c>
      <c r="AF27" s="155" t="s">
        <v>86</v>
      </c>
    </row>
    <row r="28" spans="2:34" ht="17.25" customHeight="1" thickTop="1" x14ac:dyDescent="0.25">
      <c r="C28" s="531" t="s">
        <v>134</v>
      </c>
      <c r="D28" s="532"/>
      <c r="E28" s="532"/>
      <c r="F28" s="532"/>
      <c r="G28" s="532"/>
      <c r="H28" s="532"/>
      <c r="I28" s="533"/>
      <c r="J28" s="539" cm="1">
        <f t="array" ref="J28">angleConvert2Decimal(M28)</f>
        <v>0.53333333333333333</v>
      </c>
      <c r="K28" s="338"/>
      <c r="L28" s="339"/>
      <c r="M28" s="552" t="str">
        <f>P30</f>
        <v>32'</v>
      </c>
      <c r="N28" s="553"/>
      <c r="O28" s="553"/>
      <c r="P28" s="551" t="s">
        <v>129</v>
      </c>
      <c r="Q28" s="551"/>
      <c r="R28" s="551"/>
      <c r="S28" s="97"/>
      <c r="T28" s="97"/>
      <c r="U28" s="97"/>
      <c r="V28" s="97"/>
      <c r="W28" s="97"/>
      <c r="X28" s="97"/>
      <c r="Y28" s="97"/>
      <c r="AC28" s="154" t="s">
        <v>356</v>
      </c>
      <c r="AD28" s="157">
        <v>0.5</v>
      </c>
      <c r="AE28" s="157">
        <v>-0.5</v>
      </c>
      <c r="AF28" s="157">
        <v>0</v>
      </c>
    </row>
    <row r="29" spans="2:34" ht="17.25" customHeight="1" thickBot="1" x14ac:dyDescent="0.3">
      <c r="C29" s="534"/>
      <c r="D29" s="414"/>
      <c r="E29" s="414"/>
      <c r="F29" s="414"/>
      <c r="G29" s="414"/>
      <c r="H29" s="414"/>
      <c r="I29" s="535"/>
      <c r="J29" s="540"/>
      <c r="K29" s="409"/>
      <c r="L29" s="541"/>
      <c r="M29" s="554"/>
      <c r="N29" s="411"/>
      <c r="O29" s="411"/>
      <c r="P29" s="551"/>
      <c r="Q29" s="551"/>
      <c r="R29" s="551"/>
      <c r="S29" s="97"/>
      <c r="T29" s="97"/>
      <c r="U29" s="97"/>
      <c r="V29" s="97"/>
      <c r="W29" s="97"/>
      <c r="X29" s="97"/>
      <c r="Y29" s="97"/>
    </row>
    <row r="30" spans="2:34" ht="17.25" customHeight="1" thickTop="1" thickBot="1" x14ac:dyDescent="0.3">
      <c r="C30" s="534"/>
      <c r="D30" s="414"/>
      <c r="E30" s="414"/>
      <c r="F30" s="414"/>
      <c r="G30" s="414"/>
      <c r="H30" s="414"/>
      <c r="I30" s="535"/>
      <c r="J30" s="540"/>
      <c r="K30" s="409"/>
      <c r="L30" s="541"/>
      <c r="M30" s="554"/>
      <c r="N30" s="411"/>
      <c r="O30" s="411"/>
      <c r="P30" s="521" t="str">
        <f>HLOOKUP(M22,AD23:AF25,3,FALSE)</f>
        <v>32'</v>
      </c>
      <c r="Q30" s="521"/>
      <c r="R30" s="521"/>
      <c r="S30" s="350" t="str" cm="1">
        <f t="array" ref="S30">angleDecimal2Txt(angleConvert2Decimal(P30))</f>
        <v>+00°32.00 (+00.5333) [+00°32'00.00]</v>
      </c>
      <c r="T30" s="350"/>
      <c r="U30" s="350"/>
      <c r="V30" s="350"/>
      <c r="W30" s="350"/>
      <c r="X30" s="351"/>
      <c r="Y30" s="97"/>
    </row>
    <row r="31" spans="2:34" ht="17.25" customHeight="1" thickTop="1" thickBot="1" x14ac:dyDescent="0.3">
      <c r="C31" s="536"/>
      <c r="D31" s="537"/>
      <c r="E31" s="537"/>
      <c r="F31" s="537"/>
      <c r="G31" s="537"/>
      <c r="H31" s="537"/>
      <c r="I31" s="538"/>
      <c r="J31" s="542"/>
      <c r="K31" s="543"/>
      <c r="L31" s="544"/>
      <c r="M31" s="555"/>
      <c r="N31" s="556"/>
      <c r="O31" s="556"/>
      <c r="P31" s="518" t="str" cm="1">
        <f t="array" ref="P31">angleDecimal2Txt(J28)</f>
        <v>+00°32.00 (+00.5333) [+00°32'00.00]</v>
      </c>
      <c r="Q31" s="518"/>
      <c r="R31" s="518"/>
      <c r="S31" s="346"/>
      <c r="T31" s="346"/>
      <c r="U31" s="346"/>
      <c r="V31" s="346"/>
      <c r="W31" s="346"/>
      <c r="X31" s="346"/>
      <c r="Y31" s="97"/>
    </row>
    <row r="32" spans="2:34" ht="17.25" customHeight="1" thickTop="1" thickBot="1" x14ac:dyDescent="0.3"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</row>
    <row r="33" spans="1:66" ht="17.25" customHeight="1" thickBot="1" x14ac:dyDescent="0.3">
      <c r="B33" s="108" t="s">
        <v>389</v>
      </c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47"/>
    </row>
    <row r="34" spans="1:66" ht="17.25" customHeight="1" x14ac:dyDescent="0.25">
      <c r="C34" s="97"/>
      <c r="D34" s="97"/>
      <c r="E34" s="524" t="s">
        <v>7</v>
      </c>
      <c r="F34" s="524"/>
      <c r="G34" s="524"/>
      <c r="H34" s="524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</row>
    <row r="35" spans="1:66" ht="17.25" customHeight="1" thickBot="1" x14ac:dyDescent="0.3">
      <c r="C35" s="97"/>
      <c r="D35" s="97"/>
      <c r="E35" s="524"/>
      <c r="F35" s="524"/>
      <c r="G35" s="524"/>
      <c r="H35" s="524"/>
      <c r="I35" s="97"/>
      <c r="J35" s="97" t="s">
        <v>233</v>
      </c>
      <c r="K35" s="97"/>
      <c r="L35" s="97" t="s">
        <v>234</v>
      </c>
      <c r="M35" s="97"/>
      <c r="N35" s="97"/>
      <c r="O35" s="97"/>
      <c r="P35" s="97"/>
      <c r="Q35" s="97"/>
      <c r="R35" s="97"/>
      <c r="S35" s="97"/>
      <c r="T35" s="97"/>
      <c r="U35" s="97"/>
      <c r="V35" s="97"/>
    </row>
    <row r="36" spans="1:66" ht="17.25" customHeight="1" thickTop="1" thickBot="1" x14ac:dyDescent="0.3">
      <c r="A36" s="626" t="s">
        <v>41</v>
      </c>
      <c r="B36" s="627"/>
      <c r="C36" s="628"/>
      <c r="D36" s="97"/>
      <c r="E36" s="97"/>
      <c r="F36" s="491">
        <f>AD37</f>
        <v>46</v>
      </c>
      <c r="G36" s="516"/>
      <c r="H36" s="516"/>
      <c r="I36" s="423" t="s">
        <v>3</v>
      </c>
      <c r="J36" s="425" t="s">
        <v>601</v>
      </c>
      <c r="K36" s="423"/>
      <c r="L36" s="423"/>
      <c r="M36" s="423"/>
      <c r="N36" s="423"/>
      <c r="O36" s="344" t="str" cm="1">
        <f t="array" ref="O36">angleDecimal2Txt(F36)</f>
        <v>+46°00.00 (+46.0000) [+46°00'00.00]</v>
      </c>
      <c r="P36" s="344"/>
      <c r="Q36" s="344"/>
      <c r="R36" s="344"/>
      <c r="S36" s="344"/>
      <c r="T36" s="344"/>
      <c r="U36" s="344"/>
      <c r="V36" s="344"/>
      <c r="W36" s="344"/>
      <c r="X36" s="344"/>
      <c r="Y36" s="97"/>
      <c r="Z36" s="97"/>
      <c r="AC36" s="6" t="s">
        <v>334</v>
      </c>
      <c r="AD36" s="6">
        <f>VLOOKUP(I36,A38:C39,3)</f>
        <v>1</v>
      </c>
      <c r="BN36" s="114"/>
    </row>
    <row r="37" spans="1:66" ht="17.25" customHeight="1" thickTop="1" thickBot="1" x14ac:dyDescent="0.3">
      <c r="A37" s="100" t="s">
        <v>49</v>
      </c>
      <c r="B37" s="115" t="s">
        <v>50</v>
      </c>
      <c r="C37" s="101"/>
      <c r="D37" s="97"/>
      <c r="E37" s="97"/>
      <c r="F37" s="516"/>
      <c r="G37" s="516"/>
      <c r="H37" s="516"/>
      <c r="I37" s="423"/>
      <c r="J37" s="423"/>
      <c r="K37" s="423"/>
      <c r="L37" s="423"/>
      <c r="M37" s="423"/>
      <c r="N37" s="423"/>
      <c r="O37" s="344"/>
      <c r="P37" s="344"/>
      <c r="Q37" s="344"/>
      <c r="R37" s="344"/>
      <c r="S37" s="344"/>
      <c r="T37" s="344"/>
      <c r="U37" s="344"/>
      <c r="V37" s="344"/>
      <c r="W37" s="344"/>
      <c r="X37" s="344"/>
      <c r="Y37" s="97"/>
      <c r="Z37" s="97"/>
      <c r="AC37" s="6" t="s">
        <v>335</v>
      </c>
      <c r="AD37" s="6" cm="1">
        <f t="array" ref="AD37">angleConvert2Decimal(J36)*AD36</f>
        <v>46</v>
      </c>
      <c r="BN37" s="114"/>
    </row>
    <row r="38" spans="1:66" ht="17.25" customHeight="1" thickTop="1" x14ac:dyDescent="0.25">
      <c r="A38" s="100" t="s">
        <v>3</v>
      </c>
      <c r="B38" s="115" t="s">
        <v>5</v>
      </c>
      <c r="C38" s="101">
        <v>1</v>
      </c>
      <c r="D38" s="97"/>
      <c r="E38" s="97"/>
      <c r="F38" s="97"/>
      <c r="G38" s="97"/>
      <c r="H38" s="97"/>
      <c r="BN38" s="114"/>
    </row>
    <row r="39" spans="1:66" ht="17.25" customHeight="1" thickBot="1" x14ac:dyDescent="0.3">
      <c r="A39" s="102" t="s">
        <v>4</v>
      </c>
      <c r="B39" s="103" t="s">
        <v>6</v>
      </c>
      <c r="C39" s="104">
        <v>-1</v>
      </c>
      <c r="D39" s="97"/>
      <c r="E39" s="517" t="s">
        <v>8</v>
      </c>
      <c r="F39" s="517"/>
      <c r="G39" s="517"/>
      <c r="H39" s="51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BN39" s="114"/>
    </row>
    <row r="40" spans="1:66" ht="17.25" customHeight="1" thickBot="1" x14ac:dyDescent="0.3">
      <c r="C40" s="97"/>
      <c r="D40" s="97"/>
      <c r="E40" s="517"/>
      <c r="F40" s="517"/>
      <c r="G40" s="517"/>
      <c r="H40" s="517"/>
      <c r="I40" s="97"/>
      <c r="J40" s="97" t="s">
        <v>233</v>
      </c>
      <c r="K40" s="97"/>
      <c r="L40" s="97" t="s">
        <v>242</v>
      </c>
      <c r="M40" s="97"/>
      <c r="N40" s="97"/>
      <c r="O40" s="97"/>
      <c r="P40" s="97"/>
      <c r="Q40" s="97"/>
      <c r="R40" s="97"/>
      <c r="S40" s="97"/>
      <c r="T40" s="97"/>
      <c r="U40" s="97"/>
      <c r="V40" s="97"/>
      <c r="BN40" s="114"/>
    </row>
    <row r="41" spans="1:66" ht="17.25" customHeight="1" thickTop="1" thickBot="1" x14ac:dyDescent="0.3">
      <c r="B41" s="97"/>
      <c r="C41" s="97"/>
      <c r="D41" s="97"/>
      <c r="E41" s="97"/>
      <c r="F41" s="491">
        <f>AD42</f>
        <v>-7.004833333333333</v>
      </c>
      <c r="G41" s="516"/>
      <c r="H41" s="516"/>
      <c r="I41" s="423" t="s">
        <v>6</v>
      </c>
      <c r="J41" s="425" t="s">
        <v>610</v>
      </c>
      <c r="K41" s="423"/>
      <c r="L41" s="423"/>
      <c r="M41" s="423"/>
      <c r="N41" s="423"/>
      <c r="O41" s="344" t="str" cm="1">
        <f t="array" ref="O41">angleDecimal2Txt(F41)</f>
        <v>-07°00.28 (-07.0048) [-07°00'17.39]</v>
      </c>
      <c r="P41" s="344"/>
      <c r="Q41" s="344"/>
      <c r="R41" s="344"/>
      <c r="S41" s="344"/>
      <c r="T41" s="344"/>
      <c r="U41" s="344"/>
      <c r="V41" s="344"/>
      <c r="W41" s="344"/>
      <c r="X41" s="344"/>
      <c r="Y41" s="97"/>
      <c r="Z41" s="97"/>
      <c r="AC41" s="6" t="s">
        <v>336</v>
      </c>
      <c r="AD41" s="6">
        <f>VLOOKUP(I41,B38:C39,2)</f>
        <v>-1</v>
      </c>
    </row>
    <row r="42" spans="1:66" ht="17.25" customHeight="1" thickTop="1" thickBot="1" x14ac:dyDescent="0.3">
      <c r="C42" s="97"/>
      <c r="D42" s="97"/>
      <c r="E42" s="97"/>
      <c r="F42" s="516"/>
      <c r="G42" s="516"/>
      <c r="H42" s="516"/>
      <c r="I42" s="423"/>
      <c r="J42" s="423"/>
      <c r="K42" s="423"/>
      <c r="L42" s="423"/>
      <c r="M42" s="423"/>
      <c r="N42" s="423"/>
      <c r="O42" s="344"/>
      <c r="P42" s="344"/>
      <c r="Q42" s="344"/>
      <c r="R42" s="344"/>
      <c r="S42" s="344"/>
      <c r="T42" s="344"/>
      <c r="U42" s="344"/>
      <c r="V42" s="344"/>
      <c r="W42" s="344"/>
      <c r="X42" s="344"/>
      <c r="Y42" s="97"/>
      <c r="Z42" s="97"/>
      <c r="AC42" s="6" t="s">
        <v>337</v>
      </c>
      <c r="AD42" s="6" cm="1">
        <f t="array" ref="AD42">angleConvert2Decimal(J41)*AD41</f>
        <v>-7.004833333333333</v>
      </c>
    </row>
    <row r="43" spans="1:66" ht="17.25" customHeight="1" thickTop="1" x14ac:dyDescent="0.25"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</row>
    <row r="44" spans="1:66" ht="17.25" customHeight="1" thickBot="1" x14ac:dyDescent="0.3"/>
    <row r="45" spans="1:66" ht="17.25" customHeight="1" thickBot="1" x14ac:dyDescent="0.3">
      <c r="B45" s="108" t="s">
        <v>9</v>
      </c>
      <c r="C45" s="109"/>
      <c r="D45" s="109"/>
      <c r="E45" s="109"/>
      <c r="F45" s="416">
        <f>IF(G46=AD46,F50,F58)</f>
        <v>23.134135648148149</v>
      </c>
      <c r="G45" s="416"/>
      <c r="H45" s="416"/>
      <c r="I45" s="109"/>
      <c r="J45" s="109"/>
      <c r="K45" s="109" t="str" cm="1">
        <f t="array" ref="K45">angleDecimal2Txt(F45)</f>
        <v>+23°08.04 (+23.1341) [+23°08'02.88]</v>
      </c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49"/>
    </row>
    <row r="46" spans="1:66" s="116" customFormat="1" ht="17.25" customHeight="1" x14ac:dyDescent="0.25">
      <c r="C46" s="414" t="s">
        <v>42</v>
      </c>
      <c r="D46" s="414"/>
      <c r="E46" s="414"/>
      <c r="F46" s="414"/>
      <c r="G46" s="418" t="s">
        <v>10</v>
      </c>
      <c r="H46" s="418"/>
      <c r="I46" s="418"/>
      <c r="AB46" s="150"/>
      <c r="AC46" s="616" t="s">
        <v>43</v>
      </c>
      <c r="AD46" s="153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17" t="s">
        <v>10</v>
      </c>
      <c r="D47" s="117"/>
      <c r="E47" s="118"/>
      <c r="F47" s="118"/>
      <c r="G47" s="97"/>
      <c r="H47" s="97"/>
      <c r="I47" s="97"/>
      <c r="AC47" s="616"/>
      <c r="AD47" s="153" t="s">
        <v>16</v>
      </c>
      <c r="AF47" s="99"/>
      <c r="AG47" s="99"/>
    </row>
    <row r="48" spans="1:66" ht="17.25" customHeight="1" x14ac:dyDescent="0.25">
      <c r="F48" s="424" t="s">
        <v>9</v>
      </c>
      <c r="G48" s="424"/>
      <c r="H48" s="424"/>
      <c r="I48" s="424" t="s">
        <v>12</v>
      </c>
      <c r="J48" s="424"/>
      <c r="K48" s="424"/>
      <c r="L48" s="424"/>
      <c r="M48" s="417" t="s">
        <v>13</v>
      </c>
      <c r="N48" s="417"/>
      <c r="O48" s="417"/>
      <c r="P48" s="426" t="s">
        <v>17</v>
      </c>
      <c r="Q48" s="426"/>
      <c r="R48" s="426"/>
      <c r="S48" s="426"/>
      <c r="T48" s="426"/>
      <c r="U48" s="97"/>
      <c r="AD48" s="158" t="s">
        <v>101</v>
      </c>
      <c r="AE48" s="6" t="s">
        <v>347</v>
      </c>
    </row>
    <row r="49" spans="2:35" ht="17.25" customHeight="1" thickBot="1" x14ac:dyDescent="0.3">
      <c r="F49" s="424"/>
      <c r="G49" s="424"/>
      <c r="H49" s="424"/>
      <c r="I49" s="424"/>
      <c r="J49" s="424"/>
      <c r="K49" s="424"/>
      <c r="L49" s="424"/>
      <c r="M49" s="417"/>
      <c r="N49" s="417"/>
      <c r="O49" s="417"/>
      <c r="P49" s="426"/>
      <c r="Q49" s="426"/>
      <c r="R49" s="426"/>
      <c r="S49" s="426"/>
      <c r="T49" s="426"/>
      <c r="U49" s="97"/>
      <c r="AC49" s="6" t="s">
        <v>338</v>
      </c>
      <c r="AD49" s="6">
        <f>VLOOKUP(P50,$A$38:$C$39,3)</f>
        <v>1</v>
      </c>
      <c r="AE49" s="6" cm="1">
        <f t="array" ref="AE49">AD49*angleConvert2Decimal(Q50)</f>
        <v>23.135000000000002</v>
      </c>
    </row>
    <row r="50" spans="2:35" ht="17.25" customHeight="1" thickTop="1" thickBot="1" x14ac:dyDescent="0.3">
      <c r="E50" s="99"/>
      <c r="F50" s="490">
        <f>IF(G46=AD47,"---",AD54)</f>
        <v>23.134135648148149</v>
      </c>
      <c r="G50" s="490"/>
      <c r="H50" s="490"/>
      <c r="I50" s="371">
        <f>E11</f>
        <v>12.518611111111111</v>
      </c>
      <c r="J50" s="371"/>
      <c r="K50" s="371"/>
      <c r="L50" s="371"/>
      <c r="M50" s="613">
        <v>12</v>
      </c>
      <c r="N50" s="422"/>
      <c r="O50" s="422"/>
      <c r="P50" s="422" t="s">
        <v>3</v>
      </c>
      <c r="Q50" s="522" t="s">
        <v>594</v>
      </c>
      <c r="R50" s="611"/>
      <c r="S50" s="611"/>
      <c r="T50" s="611"/>
      <c r="U50" s="344" t="str" cm="1">
        <f t="array" ref="U50">angleDecimal2Txt(AE49)</f>
        <v>+23°08.09 (+23.1350) [+23°08'06.00]</v>
      </c>
      <c r="V50" s="514"/>
      <c r="W50" s="514"/>
      <c r="X50" s="514"/>
      <c r="Y50" s="514"/>
      <c r="AC50" s="6" t="s">
        <v>339</v>
      </c>
      <c r="AD50" s="6">
        <f>VLOOKUP(P52,$A$38:$C$39,3)</f>
        <v>1</v>
      </c>
      <c r="AE50" s="6" cm="1">
        <f t="array" ref="AE50">AD50*angleConvert2Decimal(Q52)</f>
        <v>23.133333333333333</v>
      </c>
    </row>
    <row r="51" spans="2:35" ht="17.25" customHeight="1" thickTop="1" thickBot="1" x14ac:dyDescent="0.3">
      <c r="F51" s="491"/>
      <c r="G51" s="491"/>
      <c r="H51" s="491"/>
      <c r="I51" s="371"/>
      <c r="J51" s="371"/>
      <c r="K51" s="371"/>
      <c r="L51" s="371"/>
      <c r="M51" s="614"/>
      <c r="N51" s="423"/>
      <c r="O51" s="423"/>
      <c r="P51" s="423"/>
      <c r="Q51" s="612"/>
      <c r="R51" s="612"/>
      <c r="S51" s="612"/>
      <c r="T51" s="612"/>
      <c r="U51" s="514"/>
      <c r="V51" s="514"/>
      <c r="W51" s="514"/>
      <c r="X51" s="514"/>
      <c r="Y51" s="514"/>
      <c r="AC51" s="6" t="s">
        <v>45</v>
      </c>
      <c r="AD51" s="8">
        <f>AE50-AE49</f>
        <v>-1.6666666666687036E-3</v>
      </c>
    </row>
    <row r="52" spans="2:35" ht="17.25" customHeight="1" thickTop="1" thickBot="1" x14ac:dyDescent="0.3">
      <c r="F52" s="491"/>
      <c r="G52" s="491"/>
      <c r="H52" s="491"/>
      <c r="I52" s="371"/>
      <c r="J52" s="371"/>
      <c r="K52" s="371"/>
      <c r="L52" s="371"/>
      <c r="M52" s="614">
        <v>13</v>
      </c>
      <c r="N52" s="423"/>
      <c r="O52" s="423"/>
      <c r="P52" s="423" t="s">
        <v>3</v>
      </c>
      <c r="Q52" s="615" t="s">
        <v>611</v>
      </c>
      <c r="R52" s="612"/>
      <c r="S52" s="612"/>
      <c r="T52" s="612"/>
      <c r="U52" s="344" t="str" cm="1">
        <f t="array" ref="U52">angleDecimal2Txt((AE50))</f>
        <v>+23°08.00 (+23.1333) [+23°08'00.00]</v>
      </c>
      <c r="V52" s="514"/>
      <c r="W52" s="514"/>
      <c r="X52" s="514"/>
      <c r="Y52" s="514"/>
      <c r="AC52" s="6" t="s">
        <v>341</v>
      </c>
      <c r="AD52" s="8">
        <f>M52-M50</f>
        <v>1</v>
      </c>
      <c r="AE52" s="99"/>
      <c r="AF52" s="99"/>
      <c r="AG52" s="99"/>
      <c r="AH52" s="99"/>
    </row>
    <row r="53" spans="2:35" ht="17.25" customHeight="1" thickTop="1" thickBot="1" x14ac:dyDescent="0.3">
      <c r="F53" s="491"/>
      <c r="G53" s="491"/>
      <c r="H53" s="491"/>
      <c r="I53" s="371"/>
      <c r="J53" s="371"/>
      <c r="K53" s="371"/>
      <c r="L53" s="371"/>
      <c r="M53" s="614"/>
      <c r="N53" s="423"/>
      <c r="O53" s="423"/>
      <c r="P53" s="423"/>
      <c r="Q53" s="612"/>
      <c r="R53" s="612"/>
      <c r="S53" s="612"/>
      <c r="T53" s="612"/>
      <c r="U53" s="514"/>
      <c r="V53" s="514"/>
      <c r="W53" s="514"/>
      <c r="X53" s="514"/>
      <c r="Y53" s="514"/>
      <c r="AC53" s="6" t="s">
        <v>46</v>
      </c>
      <c r="AD53" s="8">
        <f>I50-M50</f>
        <v>0.51861111111111136</v>
      </c>
      <c r="AI53" s="41"/>
    </row>
    <row r="54" spans="2:35" ht="17.25" customHeight="1" thickTop="1" thickBot="1" x14ac:dyDescent="0.3">
      <c r="F54" s="346" t="str" cm="1">
        <f t="array" ref="F54">angleDecimal2Txt(F50)</f>
        <v>+23°08.04 (+23.1341) [+23°08'02.88]</v>
      </c>
      <c r="G54" s="346"/>
      <c r="H54" s="346"/>
      <c r="I54" s="518"/>
      <c r="J54" s="518"/>
      <c r="K54" s="518"/>
      <c r="AA54" s="97"/>
      <c r="AC54" s="6" t="s">
        <v>44</v>
      </c>
      <c r="AD54" s="6">
        <f>AE49+(AD51/AD52)*AD53</f>
        <v>23.134135648148149</v>
      </c>
    </row>
    <row r="55" spans="2:35" ht="17.25" customHeight="1" thickTop="1" x14ac:dyDescent="0.25">
      <c r="C55" s="117" t="s">
        <v>16</v>
      </c>
      <c r="D55" s="117"/>
      <c r="E55" s="118"/>
      <c r="F55" s="118"/>
      <c r="G55" s="97"/>
      <c r="H55" s="97"/>
      <c r="I55" s="97"/>
      <c r="AA55" s="97"/>
    </row>
    <row r="56" spans="2:35" ht="17.25" customHeight="1" x14ac:dyDescent="0.25">
      <c r="C56" s="97"/>
      <c r="D56" s="97"/>
      <c r="E56" s="97"/>
      <c r="F56" s="424" t="s">
        <v>9</v>
      </c>
      <c r="G56" s="424"/>
      <c r="H56" s="424"/>
      <c r="I56" s="424" t="s">
        <v>12</v>
      </c>
      <c r="J56" s="424"/>
      <c r="K56" s="424"/>
      <c r="L56" s="424"/>
      <c r="M56" s="417" t="s">
        <v>13</v>
      </c>
      <c r="N56" s="417"/>
      <c r="O56" s="417"/>
      <c r="P56" s="426" t="s">
        <v>18</v>
      </c>
      <c r="Q56" s="426"/>
      <c r="R56" s="426"/>
      <c r="S56" s="426"/>
      <c r="T56" s="426"/>
      <c r="U56" s="426" t="s">
        <v>235</v>
      </c>
      <c r="V56" s="426"/>
      <c r="W56" s="426"/>
      <c r="X56" s="426"/>
      <c r="Y56" s="426"/>
      <c r="AA56" s="97"/>
      <c r="AC56" s="6" t="s">
        <v>342</v>
      </c>
      <c r="AD56" s="6">
        <f>VLOOKUP(P58,$A$38:$C$39,3)</f>
        <v>-1</v>
      </c>
    </row>
    <row r="57" spans="2:35" ht="17.25" customHeight="1" x14ac:dyDescent="0.25">
      <c r="F57" s="424"/>
      <c r="G57" s="424"/>
      <c r="H57" s="424"/>
      <c r="I57" s="424"/>
      <c r="J57" s="424"/>
      <c r="K57" s="424"/>
      <c r="L57" s="424"/>
      <c r="M57" s="417"/>
      <c r="N57" s="417"/>
      <c r="O57" s="417"/>
      <c r="P57" s="426"/>
      <c r="Q57" s="426"/>
      <c r="R57" s="426"/>
      <c r="S57" s="426"/>
      <c r="T57" s="426"/>
      <c r="U57" s="426"/>
      <c r="V57" s="426"/>
      <c r="W57" s="426"/>
      <c r="X57" s="426"/>
      <c r="Y57" s="426"/>
      <c r="Z57" s="97"/>
      <c r="AA57" s="97"/>
      <c r="AC57" s="6" t="s">
        <v>343</v>
      </c>
      <c r="AD57" s="6" cm="1">
        <f t="array" ref="AD57">angleConvert2Decimal(Q58)*AD56</f>
        <v>-12.24</v>
      </c>
    </row>
    <row r="58" spans="2:35" ht="17.25" customHeight="1" x14ac:dyDescent="0.25">
      <c r="E58" s="99"/>
      <c r="F58" s="490" t="str">
        <f>IF(G46=AD47,AD60,"---")</f>
        <v>---</v>
      </c>
      <c r="G58" s="490"/>
      <c r="H58" s="490"/>
      <c r="I58" s="371">
        <f>E11</f>
        <v>12.518611111111111</v>
      </c>
      <c r="J58" s="371"/>
      <c r="K58" s="371"/>
      <c r="L58" s="371"/>
      <c r="M58" s="613">
        <v>0</v>
      </c>
      <c r="N58" s="422"/>
      <c r="O58" s="422"/>
      <c r="P58" s="422" t="s">
        <v>4</v>
      </c>
      <c r="Q58" s="637" t="s">
        <v>227</v>
      </c>
      <c r="R58" s="422"/>
      <c r="S58" s="422"/>
      <c r="T58" s="422"/>
      <c r="U58" s="422" t="s">
        <v>3</v>
      </c>
      <c r="V58" s="637" t="s">
        <v>173</v>
      </c>
      <c r="W58" s="422"/>
      <c r="X58" s="422"/>
      <c r="Y58" s="422"/>
      <c r="Z58" s="97"/>
      <c r="AC58" s="6" t="s">
        <v>344</v>
      </c>
      <c r="AD58" s="6">
        <f>VLOOKUP(U58,$A$38:$C$39,3)</f>
        <v>1</v>
      </c>
    </row>
    <row r="59" spans="2:35" ht="17.25" customHeight="1" collapsed="1" thickBot="1" x14ac:dyDescent="0.3">
      <c r="F59" s="491"/>
      <c r="G59" s="491"/>
      <c r="H59" s="491"/>
      <c r="I59" s="371"/>
      <c r="J59" s="371"/>
      <c r="K59" s="371"/>
      <c r="L59" s="371"/>
      <c r="M59" s="614"/>
      <c r="N59" s="423"/>
      <c r="O59" s="423"/>
      <c r="P59" s="423"/>
      <c r="Q59" s="423"/>
      <c r="R59" s="423"/>
      <c r="S59" s="423"/>
      <c r="T59" s="423"/>
      <c r="U59" s="423"/>
      <c r="V59" s="423"/>
      <c r="W59" s="423"/>
      <c r="X59" s="423"/>
      <c r="Y59" s="423"/>
      <c r="Z59" s="97"/>
      <c r="AC59" s="6" t="s">
        <v>345</v>
      </c>
      <c r="AD59" s="6" cm="1">
        <f t="array" ref="AD59">angleConvert2Decimal(V58)*AD58</f>
        <v>1.6E-2</v>
      </c>
    </row>
    <row r="60" spans="2:35" ht="17.25" customHeight="1" thickTop="1" thickBot="1" x14ac:dyDescent="0.3">
      <c r="F60" s="346" t="e" cm="1">
        <f t="array" ref="F60">angleDecimal2Txt(F58)</f>
        <v>#VALUE!</v>
      </c>
      <c r="G60" s="346"/>
      <c r="H60" s="346"/>
      <c r="I60" s="518"/>
      <c r="J60" s="518"/>
      <c r="K60" s="518"/>
      <c r="P60" s="346" t="str" cm="1">
        <f t="array" ref="P60">angleDecimal2Txt(AD57)</f>
        <v>-12°14.40 (-12.2400) [-12°14'24.00]</v>
      </c>
      <c r="Q60" s="346"/>
      <c r="R60" s="346"/>
      <c r="S60" s="346"/>
      <c r="T60" s="346"/>
      <c r="U60" s="346" t="str" cm="1">
        <f t="array" ref="U60">angleDecimal2Txt(AD59)</f>
        <v>+00°00.96 (+00.0160) [+00°00'57.60]</v>
      </c>
      <c r="V60" s="566"/>
      <c r="W60" s="566"/>
      <c r="X60" s="566"/>
      <c r="Y60" s="566"/>
      <c r="AC60" s="6" t="s">
        <v>346</v>
      </c>
      <c r="AD60" s="6">
        <f>AD57+AD59*(I58-M58)</f>
        <v>-12.039702222222223</v>
      </c>
    </row>
    <row r="61" spans="2:35" ht="17.25" customHeight="1" thickTop="1" x14ac:dyDescent="0.25">
      <c r="S61" s="97"/>
      <c r="T61" s="97"/>
      <c r="U61" s="97"/>
      <c r="V61" s="97"/>
      <c r="W61" s="97"/>
      <c r="X61" s="97"/>
    </row>
    <row r="62" spans="2:35" ht="17.25" customHeight="1" thickBot="1" x14ac:dyDescent="0.3">
      <c r="S62" s="97"/>
      <c r="T62" s="97"/>
      <c r="U62" s="97"/>
      <c r="V62" s="97"/>
      <c r="W62" s="97"/>
      <c r="X62" s="97"/>
    </row>
    <row r="63" spans="2:35" ht="17.25" customHeight="1" thickBot="1" x14ac:dyDescent="0.3">
      <c r="B63" s="108" t="s">
        <v>25</v>
      </c>
      <c r="C63" s="109"/>
      <c r="D63" s="588" t="s">
        <v>100</v>
      </c>
      <c r="E63" s="592"/>
      <c r="F63" s="416">
        <f>IF(G64=AD64,O103,O93)</f>
        <v>67.147622184360216</v>
      </c>
      <c r="G63" s="416"/>
      <c r="H63" s="416"/>
      <c r="I63" s="109"/>
      <c r="J63" s="109"/>
      <c r="K63" s="109"/>
      <c r="L63" s="109" t="s">
        <v>88</v>
      </c>
      <c r="M63" s="588">
        <f>O66</f>
        <v>66.95</v>
      </c>
      <c r="N63" s="588"/>
      <c r="O63" s="109"/>
      <c r="P63" s="145"/>
      <c r="Q63" s="109" t="s">
        <v>127</v>
      </c>
      <c r="R63" s="109"/>
      <c r="S63" s="569">
        <f>-O80+O75+O84</f>
        <v>0.260725308404401</v>
      </c>
      <c r="T63" s="570"/>
      <c r="U63" s="571"/>
      <c r="V63" s="572" t="str" cm="1">
        <f t="array" ref="V63">angleDecimal2Txt(S63)</f>
        <v>+00°15.64 (+00.2607) [+00°15'38.61]</v>
      </c>
      <c r="W63" s="572"/>
      <c r="X63" s="572"/>
      <c r="Y63" s="572"/>
      <c r="Z63" s="572"/>
      <c r="AA63" s="109"/>
      <c r="AB63" s="149"/>
    </row>
    <row r="64" spans="2:35" ht="17.25" customHeight="1" x14ac:dyDescent="0.25">
      <c r="C64" s="414" t="s">
        <v>42</v>
      </c>
      <c r="D64" s="414"/>
      <c r="E64" s="414"/>
      <c r="F64" s="414"/>
      <c r="G64" s="585" t="s">
        <v>59</v>
      </c>
      <c r="H64" s="585"/>
      <c r="I64" s="585"/>
      <c r="P64" s="99" t="s">
        <v>97</v>
      </c>
      <c r="V64" s="97"/>
      <c r="W64" s="97"/>
      <c r="X64" s="97"/>
      <c r="Y64" s="97"/>
      <c r="Z64" s="97"/>
      <c r="AC64" s="616" t="s">
        <v>43</v>
      </c>
      <c r="AD64" s="153" t="s">
        <v>58</v>
      </c>
    </row>
    <row r="65" spans="1:67" ht="17.25" customHeight="1" thickBot="1" x14ac:dyDescent="0.3">
      <c r="C65" s="116"/>
      <c r="D65" s="116"/>
      <c r="E65" s="116"/>
      <c r="F65" s="475" t="s">
        <v>90</v>
      </c>
      <c r="G65" s="475"/>
      <c r="H65" s="586"/>
      <c r="I65" s="586"/>
      <c r="J65" s="568">
        <f>IF(G64=AD64,"---",O93)</f>
        <v>67.147622184360216</v>
      </c>
      <c r="K65" s="568"/>
      <c r="L65" s="568"/>
      <c r="M65" s="292"/>
      <c r="N65" s="292"/>
      <c r="O65" s="292"/>
      <c r="P65" s="292"/>
      <c r="Q65" s="292"/>
      <c r="R65" s="292"/>
      <c r="S65" s="292"/>
      <c r="T65" s="292"/>
      <c r="U65" s="292"/>
      <c r="V65" s="293"/>
      <c r="W65" s="293"/>
      <c r="X65" s="293"/>
      <c r="Y65" s="293"/>
      <c r="Z65" s="293"/>
      <c r="AC65" s="616"/>
      <c r="AD65" s="153" t="s">
        <v>59</v>
      </c>
    </row>
    <row r="66" spans="1:67" ht="17.25" customHeight="1" thickTop="1" thickBot="1" x14ac:dyDescent="0.3">
      <c r="C66" s="99"/>
      <c r="D66" s="99"/>
      <c r="E66" s="99"/>
      <c r="F66" s="99"/>
      <c r="G66" s="99"/>
      <c r="H66" s="452" t="s">
        <v>55</v>
      </c>
      <c r="I66" s="452"/>
      <c r="J66" s="452"/>
      <c r="K66" s="452"/>
      <c r="L66" s="452"/>
      <c r="M66" s="452"/>
      <c r="N66" s="452"/>
      <c r="O66" s="333">
        <f>J21</f>
        <v>66.95</v>
      </c>
      <c r="P66" s="333"/>
      <c r="Q66" s="333"/>
      <c r="R66" s="333"/>
      <c r="S66" s="99" t="s">
        <v>71</v>
      </c>
      <c r="U66" s="346" t="str" cm="1">
        <f t="array" ref="U66">angleDecimal2Txt(O66)</f>
        <v>+66°57.00 (+66.9500) [+66°57'00.00]</v>
      </c>
      <c r="V66" s="346"/>
      <c r="W66" s="346"/>
      <c r="X66" s="346"/>
      <c r="Y66" s="346"/>
      <c r="Z66" s="346"/>
    </row>
    <row r="67" spans="1:67" ht="17.25" customHeight="1" thickTop="1" thickBot="1" x14ac:dyDescent="0.3">
      <c r="C67" s="99"/>
      <c r="D67" s="99"/>
      <c r="E67" s="99"/>
      <c r="F67" s="99"/>
      <c r="G67" s="99"/>
      <c r="H67" s="452" t="s">
        <v>26</v>
      </c>
      <c r="I67" s="452"/>
      <c r="J67" s="452"/>
      <c r="K67" s="452"/>
      <c r="L67" s="452"/>
      <c r="M67" s="452"/>
      <c r="N67" s="452"/>
      <c r="O67" s="333">
        <f>J20</f>
        <v>2.1666666666666667E-2</v>
      </c>
      <c r="P67" s="333"/>
      <c r="Q67" s="333"/>
      <c r="R67" s="333"/>
      <c r="S67" s="99" t="s">
        <v>71</v>
      </c>
      <c r="U67" s="346" t="str" cm="1">
        <f t="array" ref="U67">angleDecimal2Txt(O67)</f>
        <v>+00°01.30 (+00.0216) [+00°01'18.00]</v>
      </c>
      <c r="V67" s="346"/>
      <c r="W67" s="346"/>
      <c r="X67" s="346"/>
      <c r="Y67" s="346"/>
      <c r="Z67" s="346"/>
      <c r="AC67" s="6" t="s">
        <v>87</v>
      </c>
      <c r="AD67" s="8">
        <f>O67</f>
        <v>2.1666666666666667E-2</v>
      </c>
    </row>
    <row r="68" spans="1:67" ht="17.25" customHeight="1" thickTop="1" thickBot="1" x14ac:dyDescent="0.3">
      <c r="G68" s="99"/>
      <c r="H68" s="480" t="s">
        <v>96</v>
      </c>
      <c r="I68" s="480"/>
      <c r="J68" s="480"/>
      <c r="K68" s="480"/>
      <c r="L68" s="480"/>
      <c r="M68" s="480"/>
      <c r="N68" s="480"/>
      <c r="O68" s="342">
        <f>AD69</f>
        <v>4.1436457377531689E-2</v>
      </c>
      <c r="P68" s="342"/>
      <c r="Q68" s="342"/>
      <c r="R68" s="342"/>
      <c r="S68" s="99" t="s">
        <v>71</v>
      </c>
      <c r="U68" s="346" t="str" cm="1">
        <f t="array" ref="U68">angleDecimal2Txt(O68)</f>
        <v>+00°02.48 (+00.0414) [+00°02'29.17]</v>
      </c>
      <c r="V68" s="346"/>
      <c r="W68" s="346"/>
      <c r="X68" s="346"/>
      <c r="Y68" s="346"/>
      <c r="Z68" s="346"/>
      <c r="AC68" s="6" t="s">
        <v>54</v>
      </c>
      <c r="AD68" s="6">
        <f>J19</f>
        <v>2</v>
      </c>
    </row>
    <row r="69" spans="1:67" ht="17.25" customHeight="1" thickTop="1" thickBot="1" x14ac:dyDescent="0.3">
      <c r="K69" s="97"/>
      <c r="L69" s="97"/>
      <c r="M69" s="598" t="s">
        <v>178</v>
      </c>
      <c r="N69" s="598"/>
      <c r="O69" s="598"/>
      <c r="P69" s="598"/>
      <c r="Q69" s="97"/>
      <c r="R69" s="97"/>
      <c r="U69" s="97"/>
      <c r="V69" s="97"/>
      <c r="W69" s="97"/>
      <c r="X69" s="97"/>
      <c r="Y69" s="97"/>
      <c r="Z69" s="97"/>
      <c r="AC69" s="159" t="s">
        <v>95</v>
      </c>
      <c r="AD69" s="6">
        <f>0.0293 * SQRT(AD68)</f>
        <v>4.1436457377531689E-2</v>
      </c>
    </row>
    <row r="70" spans="1:67" ht="17.25" customHeight="1" thickTop="1" thickBot="1" x14ac:dyDescent="0.3">
      <c r="G70" s="99"/>
      <c r="H70" s="329" t="s">
        <v>56</v>
      </c>
      <c r="I70" s="329"/>
      <c r="J70" s="329"/>
      <c r="K70" s="329"/>
      <c r="L70" s="329"/>
      <c r="M70" s="329"/>
      <c r="N70" s="329"/>
      <c r="O70" s="492">
        <f>O66-O67-O68</f>
        <v>66.886896875955813</v>
      </c>
      <c r="P70" s="474"/>
      <c r="Q70" s="99" t="s">
        <v>71</v>
      </c>
      <c r="R70" s="498">
        <f>O70*Outils!F6</f>
        <v>1.1673965769273382</v>
      </c>
      <c r="S70" s="498"/>
      <c r="T70" s="120" t="s">
        <v>92</v>
      </c>
      <c r="U70" s="346" t="str" cm="1">
        <f t="array" ref="U70">angleDecimal2Txt(O70)</f>
        <v>+66°53.21 (+66.8868) [+66°53'12.82]</v>
      </c>
      <c r="V70" s="346"/>
      <c r="W70" s="346"/>
      <c r="X70" s="346"/>
      <c r="Y70" s="346"/>
      <c r="Z70" s="346"/>
    </row>
    <row r="71" spans="1:67" ht="17.25" customHeight="1" thickTop="1" x14ac:dyDescent="0.25">
      <c r="C71" s="99"/>
      <c r="D71" s="99"/>
      <c r="E71" s="99"/>
      <c r="F71" s="99"/>
      <c r="G71" s="99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U71" s="97"/>
      <c r="V71" s="97"/>
      <c r="W71" s="97"/>
      <c r="X71" s="97"/>
      <c r="Y71" s="97"/>
      <c r="Z71" s="97"/>
    </row>
    <row r="72" spans="1:67" ht="17.25" customHeight="1" x14ac:dyDescent="0.25">
      <c r="G72" s="99"/>
      <c r="H72" s="97"/>
      <c r="I72" s="97"/>
      <c r="J72" s="97"/>
      <c r="K72" s="97"/>
      <c r="L72" s="97"/>
      <c r="M72" s="494" t="s">
        <v>89</v>
      </c>
      <c r="N72" s="494"/>
      <c r="O72" s="494"/>
      <c r="P72" s="494"/>
      <c r="Q72" s="97"/>
      <c r="R72" s="97"/>
      <c r="U72" s="97"/>
      <c r="V72" s="97"/>
      <c r="W72" s="97"/>
      <c r="X72" s="97"/>
      <c r="Y72" s="97"/>
      <c r="Z72" s="97"/>
    </row>
    <row r="73" spans="1:67" ht="17.25" customHeight="1" thickBot="1" x14ac:dyDescent="0.3">
      <c r="C73" s="99"/>
      <c r="D73" s="99"/>
      <c r="E73" s="99"/>
      <c r="F73" s="99"/>
      <c r="G73" s="99"/>
      <c r="M73" s="495" t="s">
        <v>243</v>
      </c>
      <c r="N73" s="495"/>
      <c r="O73" s="494"/>
      <c r="P73" s="494"/>
    </row>
    <row r="74" spans="1:67" customFormat="1" ht="17.25" customHeight="1" thickTop="1" thickBot="1" x14ac:dyDescent="0.3">
      <c r="A74" s="97"/>
      <c r="B74" s="97"/>
      <c r="C74" s="97"/>
      <c r="D74" s="97"/>
      <c r="E74" s="97"/>
      <c r="F74" s="99"/>
      <c r="G74" s="99"/>
      <c r="H74" s="342" t="s">
        <v>60</v>
      </c>
      <c r="I74" s="342"/>
      <c r="J74" s="342"/>
      <c r="K74" s="342"/>
      <c r="L74" s="342"/>
      <c r="M74" s="342"/>
      <c r="N74" s="342"/>
      <c r="O74" s="496">
        <f>J24</f>
        <v>2.8833333333333332E-3</v>
      </c>
      <c r="P74" s="497"/>
      <c r="Q74" s="497"/>
      <c r="R74" s="497"/>
      <c r="S74" s="99" t="s">
        <v>71</v>
      </c>
      <c r="T74" s="99"/>
      <c r="U74" s="346" t="str" cm="1">
        <f t="array" ref="U74">angleDecimal2Txt(O74)</f>
        <v>+00°00.17 (+00.0028) [+00°00'10.37]</v>
      </c>
      <c r="V74" s="346"/>
      <c r="W74" s="346"/>
      <c r="X74" s="346"/>
      <c r="Y74" s="346"/>
      <c r="Z74" s="346"/>
      <c r="AA74" s="99"/>
      <c r="AB74" s="146"/>
      <c r="AC74" s="6" t="s">
        <v>350</v>
      </c>
      <c r="AD74" s="6">
        <f>O74*COS(R70)</f>
        <v>1.1318451843031962E-3</v>
      </c>
      <c r="BN74" s="107"/>
      <c r="BO74" s="99"/>
    </row>
    <row r="75" spans="1:67" customFormat="1" ht="17.25" customHeight="1" thickTop="1" thickBot="1" x14ac:dyDescent="0.3">
      <c r="A75" s="97"/>
      <c r="B75" s="97"/>
      <c r="C75" s="97"/>
      <c r="D75" s="97"/>
      <c r="E75" s="97"/>
      <c r="F75" s="99"/>
      <c r="G75" s="99"/>
      <c r="H75" s="462" t="s">
        <v>244</v>
      </c>
      <c r="I75" s="463"/>
      <c r="J75" s="463"/>
      <c r="K75" s="463"/>
      <c r="L75" s="463"/>
      <c r="M75" s="463"/>
      <c r="N75" s="464"/>
      <c r="O75" s="334">
        <f>AD74</f>
        <v>1.1318451843031962E-3</v>
      </c>
      <c r="P75" s="334"/>
      <c r="Q75" s="334"/>
      <c r="R75" s="334"/>
      <c r="S75" s="99" t="s">
        <v>71</v>
      </c>
      <c r="T75" s="99"/>
      <c r="U75" s="346" t="str" cm="1">
        <f t="array" ref="U75">angleDecimal2Txt(O75)</f>
        <v>+00°00.06 (+00.0011) [+00°00'04.07]</v>
      </c>
      <c r="V75" s="346"/>
      <c r="W75" s="346"/>
      <c r="X75" s="346"/>
      <c r="Y75" s="346"/>
      <c r="Z75" s="346"/>
      <c r="AA75" s="99"/>
      <c r="AB75" s="146"/>
      <c r="BN75" s="107"/>
      <c r="BO75" s="99"/>
    </row>
    <row r="76" spans="1:67" customFormat="1" ht="17.25" customHeight="1" thickTop="1" x14ac:dyDescent="0.25">
      <c r="A76" s="97"/>
      <c r="B76" s="97"/>
      <c r="C76" s="97"/>
      <c r="D76" s="97"/>
      <c r="E76" s="97"/>
      <c r="F76" s="99"/>
      <c r="G76" s="99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9"/>
      <c r="AB76" s="146"/>
      <c r="BN76" s="107"/>
      <c r="BO76" s="99"/>
    </row>
    <row r="77" spans="1:67" customFormat="1" ht="17.25" customHeight="1" x14ac:dyDescent="0.25">
      <c r="A77" s="97"/>
      <c r="B77" s="97"/>
      <c r="C77" s="97"/>
      <c r="D77" s="97"/>
      <c r="E77" s="144"/>
      <c r="F77" s="99"/>
      <c r="G77" s="99"/>
      <c r="H77" s="97"/>
      <c r="I77" s="97"/>
      <c r="J77" s="97"/>
      <c r="K77" s="97"/>
      <c r="L77" s="97"/>
      <c r="M77" s="97"/>
      <c r="N77" s="97"/>
      <c r="O77" s="97"/>
      <c r="P77" s="99"/>
      <c r="Q77" s="99"/>
      <c r="R77" s="99"/>
      <c r="S77" s="505" t="s">
        <v>195</v>
      </c>
      <c r="T77" s="506"/>
      <c r="U77" s="507"/>
      <c r="V77" s="99"/>
      <c r="W77" s="99"/>
      <c r="X77" s="99"/>
      <c r="Y77" s="97"/>
      <c r="Z77" s="97"/>
      <c r="AA77" s="99"/>
      <c r="AB77" s="146"/>
      <c r="AC77" s="6" t="s">
        <v>57</v>
      </c>
      <c r="AD77" s="6" t="s">
        <v>352</v>
      </c>
      <c r="BN77" s="107"/>
      <c r="BO77" s="99"/>
    </row>
    <row r="78" spans="1:67" customFormat="1" ht="17.25" customHeight="1" x14ac:dyDescent="0.25">
      <c r="A78" s="97"/>
      <c r="B78" s="97"/>
      <c r="C78" s="97"/>
      <c r="D78" s="97"/>
      <c r="E78" s="144"/>
      <c r="F78" s="99"/>
      <c r="G78" s="99"/>
      <c r="H78" s="342" t="s">
        <v>93</v>
      </c>
      <c r="I78" s="342"/>
      <c r="J78" s="342"/>
      <c r="K78" s="342"/>
      <c r="L78" s="342"/>
      <c r="M78" s="342"/>
      <c r="N78" s="342"/>
      <c r="O78" s="465">
        <f>S78</f>
        <v>10</v>
      </c>
      <c r="P78" s="466"/>
      <c r="Q78" s="466"/>
      <c r="R78" s="466"/>
      <c r="S78" s="595">
        <v>10</v>
      </c>
      <c r="T78" s="596"/>
      <c r="U78" s="597"/>
      <c r="V78" s="99"/>
      <c r="W78" s="99"/>
      <c r="X78" s="99"/>
      <c r="Y78" s="97"/>
      <c r="Z78" s="97"/>
      <c r="AA78" s="99"/>
      <c r="AB78" s="146"/>
      <c r="AC78" s="6" t="s">
        <v>353</v>
      </c>
      <c r="AD78" s="6">
        <f>1/TAN((O70 + 7.31 / (O70 + 4.4)) * Outils!F6)</f>
        <v>0.4246923427253872</v>
      </c>
      <c r="BN78" s="107"/>
      <c r="BO78" s="99"/>
    </row>
    <row r="79" spans="1:67" customFormat="1" ht="17.25" customHeight="1" thickBot="1" x14ac:dyDescent="0.3">
      <c r="A79" s="97"/>
      <c r="B79" s="97"/>
      <c r="C79" s="97"/>
      <c r="D79" s="97"/>
      <c r="E79" s="97"/>
      <c r="F79" s="99"/>
      <c r="G79" s="99"/>
      <c r="H79" s="342" t="s">
        <v>94</v>
      </c>
      <c r="I79" s="342"/>
      <c r="J79" s="342"/>
      <c r="K79" s="342"/>
      <c r="L79" s="342"/>
      <c r="M79" s="342"/>
      <c r="N79" s="342"/>
      <c r="O79" s="465">
        <f>S79</f>
        <v>1010</v>
      </c>
      <c r="P79" s="466"/>
      <c r="Q79" s="466"/>
      <c r="R79" s="466"/>
      <c r="S79" s="595">
        <v>1010</v>
      </c>
      <c r="T79" s="596"/>
      <c r="U79" s="597"/>
      <c r="V79" s="99"/>
      <c r="W79" s="99"/>
      <c r="X79" s="99"/>
      <c r="Y79" s="97"/>
      <c r="Z79" s="97"/>
      <c r="AA79" s="99"/>
      <c r="AB79" s="146"/>
      <c r="AC79" s="6" t="s">
        <v>354</v>
      </c>
      <c r="AD79" s="6">
        <f>AD78/60</f>
        <v>7.0782057120897862E-3</v>
      </c>
      <c r="BN79" s="107"/>
      <c r="BO79" s="99"/>
    </row>
    <row r="80" spans="1:67" customFormat="1" ht="17.25" customHeight="1" thickTop="1" thickBot="1" x14ac:dyDescent="0.3">
      <c r="A80" s="97"/>
      <c r="B80" s="97"/>
      <c r="C80" s="97"/>
      <c r="D80" s="97"/>
      <c r="E80" s="97"/>
      <c r="F80" s="99"/>
      <c r="G80" s="99"/>
      <c r="H80" s="462" t="s">
        <v>245</v>
      </c>
      <c r="I80" s="463"/>
      <c r="J80" s="463"/>
      <c r="K80" s="463"/>
      <c r="L80" s="463"/>
      <c r="M80" s="463"/>
      <c r="N80" s="464"/>
      <c r="O80" s="334">
        <f>AD81</f>
        <v>7.0732034465688749E-3</v>
      </c>
      <c r="P80" s="334"/>
      <c r="Q80" s="334"/>
      <c r="R80" s="334"/>
      <c r="S80" s="99" t="s">
        <v>71</v>
      </c>
      <c r="T80" s="99"/>
      <c r="U80" s="346" t="str" cm="1">
        <f t="array" ref="U80">angleDecimal2Txt(O80)</f>
        <v>+00°00.42 (+00.0070) [+00°00'25.46]</v>
      </c>
      <c r="V80" s="346"/>
      <c r="W80" s="346"/>
      <c r="X80" s="346"/>
      <c r="Y80" s="346"/>
      <c r="Z80" s="346"/>
      <c r="AA80" s="99"/>
      <c r="AB80" s="146"/>
      <c r="AC80" s="6" t="s">
        <v>128</v>
      </c>
      <c r="AD80" s="6">
        <f xml:space="preserve"> 0.28 * O79 / (273 + O78)</f>
        <v>0.99929328621908131</v>
      </c>
      <c r="BN80" s="107"/>
      <c r="BO80" s="99"/>
    </row>
    <row r="81" spans="1:67" customFormat="1" ht="17.25" customHeight="1" thickTop="1" x14ac:dyDescent="0.25">
      <c r="A81" s="97"/>
      <c r="B81" s="97"/>
      <c r="C81" s="97"/>
      <c r="D81" s="97"/>
      <c r="E81" s="97"/>
      <c r="F81" s="99"/>
      <c r="G81" s="99"/>
      <c r="H81" s="97"/>
      <c r="I81" s="97"/>
      <c r="J81" s="97"/>
      <c r="K81" s="97"/>
      <c r="L81" s="97"/>
      <c r="M81" s="97"/>
      <c r="N81" s="97"/>
      <c r="O81" s="97"/>
      <c r="P81" s="99"/>
      <c r="Q81" s="99"/>
      <c r="R81" s="99"/>
      <c r="S81" s="99"/>
      <c r="T81" s="99"/>
      <c r="U81" s="99"/>
      <c r="V81" s="99"/>
      <c r="W81" s="99"/>
      <c r="X81" s="99"/>
      <c r="Y81" s="97"/>
      <c r="Z81" s="97"/>
      <c r="AA81" s="99"/>
      <c r="AB81" s="146"/>
      <c r="AC81" s="6" t="s">
        <v>351</v>
      </c>
      <c r="AD81" s="6">
        <f>AD80*AD79</f>
        <v>7.0732034465688749E-3</v>
      </c>
      <c r="BN81" s="107"/>
      <c r="BO81" s="99"/>
    </row>
    <row r="82" spans="1:67" customFormat="1" ht="17.25" customHeight="1" x14ac:dyDescent="0.25">
      <c r="A82" s="97"/>
      <c r="B82" s="97"/>
      <c r="C82" s="97"/>
      <c r="D82" s="97"/>
      <c r="E82" s="97"/>
      <c r="F82" s="99"/>
      <c r="G82" s="99"/>
      <c r="H82" s="342" t="s">
        <v>134</v>
      </c>
      <c r="I82" s="342"/>
      <c r="J82" s="342"/>
      <c r="K82" s="342"/>
      <c r="L82" s="342"/>
      <c r="M82" s="342"/>
      <c r="N82" s="342"/>
      <c r="O82" s="587">
        <f>J28</f>
        <v>0.53333333333333333</v>
      </c>
      <c r="P82" s="587"/>
      <c r="Q82" s="587"/>
      <c r="R82" s="587"/>
      <c r="S82" s="99"/>
      <c r="T82" s="99"/>
      <c r="U82" s="99"/>
      <c r="V82" s="99"/>
      <c r="W82" s="99"/>
      <c r="X82" s="99"/>
      <c r="Y82" s="99"/>
      <c r="Z82" s="99"/>
      <c r="AA82" s="99"/>
      <c r="AB82" s="146"/>
      <c r="BN82" s="107"/>
      <c r="BO82" s="99"/>
    </row>
    <row r="83" spans="1:67" customFormat="1" ht="17.25" customHeight="1" thickBot="1" x14ac:dyDescent="0.3">
      <c r="A83" s="99"/>
      <c r="B83" s="97"/>
      <c r="C83" s="97"/>
      <c r="D83" s="97"/>
      <c r="E83" s="144"/>
      <c r="F83" s="144"/>
      <c r="G83" s="144"/>
      <c r="H83" s="342" t="s">
        <v>98</v>
      </c>
      <c r="I83" s="342"/>
      <c r="J83" s="342"/>
      <c r="K83" s="342"/>
      <c r="L83" s="342"/>
      <c r="M83" s="342"/>
      <c r="N83" s="342"/>
      <c r="O83" s="587" t="str">
        <f>J23</f>
        <v>BordInf</v>
      </c>
      <c r="P83" s="587"/>
      <c r="Q83" s="587"/>
      <c r="R83" s="587"/>
      <c r="S83" s="99"/>
      <c r="T83" s="99"/>
      <c r="U83" s="99"/>
      <c r="V83" s="99"/>
      <c r="W83" s="99"/>
      <c r="X83" s="99"/>
      <c r="Y83" s="99"/>
      <c r="Z83" s="99"/>
      <c r="AA83" s="99"/>
      <c r="AB83" s="146"/>
      <c r="AC83" s="6" t="s">
        <v>37</v>
      </c>
      <c r="AD83" s="319" t="str">
        <f>J22</f>
        <v>Soleil</v>
      </c>
      <c r="AE83" s="319"/>
      <c r="BN83" s="107"/>
      <c r="BO83" s="99"/>
    </row>
    <row r="84" spans="1:67" customFormat="1" ht="17.25" customHeight="1" thickTop="1" thickBot="1" x14ac:dyDescent="0.3">
      <c r="A84" s="99"/>
      <c r="B84" s="99"/>
      <c r="C84" s="144"/>
      <c r="D84" s="144"/>
      <c r="E84" s="144"/>
      <c r="F84" s="144"/>
      <c r="G84" s="144"/>
      <c r="H84" s="467" t="s">
        <v>99</v>
      </c>
      <c r="I84" s="468"/>
      <c r="J84" s="468"/>
      <c r="K84" s="468"/>
      <c r="L84" s="468"/>
      <c r="M84" s="468"/>
      <c r="N84" s="469"/>
      <c r="O84" s="470">
        <f>AD87</f>
        <v>0.26666666666666666</v>
      </c>
      <c r="P84" s="470"/>
      <c r="Q84" s="470"/>
      <c r="R84" s="470"/>
      <c r="S84" s="99" t="s">
        <v>71</v>
      </c>
      <c r="T84" s="99"/>
      <c r="U84" s="346" t="str" cm="1">
        <f t="array" ref="U84">angleDecimal2Txt(O84)</f>
        <v>+00°16.00 (+00.2666) [+00°16'00.00]</v>
      </c>
      <c r="V84" s="346"/>
      <c r="W84" s="346"/>
      <c r="X84" s="346"/>
      <c r="Y84" s="346"/>
      <c r="Z84" s="346"/>
      <c r="AA84" s="99"/>
      <c r="AB84" s="146"/>
      <c r="AC84" s="6" t="s">
        <v>358</v>
      </c>
      <c r="AD84" s="319" t="str">
        <f>O83</f>
        <v>BordInf</v>
      </c>
      <c r="AE84" s="319"/>
      <c r="BN84" s="107"/>
      <c r="BO84" s="99"/>
    </row>
    <row r="85" spans="1:67" customFormat="1" ht="17.25" customHeight="1" thickTop="1" x14ac:dyDescent="0.25">
      <c r="A85" s="99"/>
      <c r="B85" s="99"/>
      <c r="C85" s="144"/>
      <c r="D85" s="144"/>
      <c r="E85" s="144"/>
      <c r="F85" s="144"/>
      <c r="G85" s="144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9"/>
      <c r="AB85" s="146"/>
      <c r="AC85" s="6" t="s">
        <v>359</v>
      </c>
      <c r="AD85" s="591">
        <f>HLOOKUP(AD84,AD27:AF28,2)</f>
        <v>0.5</v>
      </c>
      <c r="AE85" s="591"/>
      <c r="BN85" s="107"/>
      <c r="BO85" s="99"/>
    </row>
    <row r="86" spans="1:67" customFormat="1" ht="17.25" customHeight="1" x14ac:dyDescent="0.25">
      <c r="A86" s="99"/>
      <c r="B86" s="99"/>
      <c r="C86" s="144"/>
      <c r="D86" s="144"/>
      <c r="E86" s="144"/>
      <c r="F86" s="144"/>
      <c r="G86" s="477" t="s">
        <v>170</v>
      </c>
      <c r="H86" s="478"/>
      <c r="I86" s="478"/>
      <c r="J86" s="478"/>
      <c r="K86" s="478"/>
      <c r="L86" s="478"/>
      <c r="M86" s="478"/>
      <c r="N86" s="478"/>
      <c r="O86" s="478"/>
      <c r="P86" s="478"/>
      <c r="Q86" s="478"/>
      <c r="R86" s="478"/>
      <c r="S86" s="479"/>
      <c r="T86" s="97"/>
      <c r="U86" s="97"/>
      <c r="V86" s="97"/>
      <c r="W86" s="97"/>
      <c r="X86" s="97"/>
      <c r="Y86" s="97"/>
      <c r="Z86" s="97"/>
      <c r="AA86" s="99"/>
      <c r="AB86" s="146"/>
      <c r="AC86" s="6" t="s">
        <v>134</v>
      </c>
      <c r="AD86" s="6" t="str">
        <f>HLOOKUP(AD83,AD23:AF25,3)</f>
        <v>32'</v>
      </c>
      <c r="AE86" s="6" cm="1">
        <f t="array" ref="AE86">angleConvert2Decimal(AD86)</f>
        <v>0.53333333333333333</v>
      </c>
      <c r="BN86" s="107"/>
      <c r="BO86" s="99"/>
    </row>
    <row r="87" spans="1:67" customFormat="1" ht="17.25" customHeight="1" x14ac:dyDescent="0.25">
      <c r="A87" s="99"/>
      <c r="B87" s="99"/>
      <c r="C87" s="144"/>
      <c r="D87" s="144"/>
      <c r="E87" s="144"/>
      <c r="F87" s="144"/>
      <c r="G87" s="481" t="s">
        <v>183</v>
      </c>
      <c r="H87" s="483"/>
      <c r="I87" s="499" t="s">
        <v>175</v>
      </c>
      <c r="J87" s="500"/>
      <c r="K87" s="500"/>
      <c r="L87" s="500"/>
      <c r="M87" s="500"/>
      <c r="N87" s="501"/>
      <c r="O87" s="453">
        <f>(O75-O80-O68+O82/2) * 60</f>
        <v>13.157331061612158</v>
      </c>
      <c r="P87" s="454"/>
      <c r="Q87" s="454"/>
      <c r="R87" s="454"/>
      <c r="S87" s="457" t="s">
        <v>171</v>
      </c>
      <c r="T87" s="97"/>
      <c r="U87" s="97"/>
      <c r="V87" s="97"/>
      <c r="W87" s="97"/>
      <c r="X87" s="97"/>
      <c r="Y87" s="97"/>
      <c r="Z87" s="97"/>
      <c r="AA87" s="99"/>
      <c r="AB87" s="146"/>
      <c r="AC87" s="6" t="s">
        <v>359</v>
      </c>
      <c r="AD87" s="591">
        <f>AE86*AD85</f>
        <v>0.26666666666666666</v>
      </c>
      <c r="AE87" s="591"/>
      <c r="BN87" s="107"/>
      <c r="BO87" s="99"/>
    </row>
    <row r="88" spans="1:67" customFormat="1" ht="17.25" customHeight="1" x14ac:dyDescent="0.25">
      <c r="A88" s="99"/>
      <c r="B88" s="99"/>
      <c r="C88" s="144"/>
      <c r="D88" s="144"/>
      <c r="E88" s="144"/>
      <c r="F88" s="144"/>
      <c r="G88" s="599"/>
      <c r="H88" s="600"/>
      <c r="I88" s="502" t="s">
        <v>179</v>
      </c>
      <c r="J88" s="503"/>
      <c r="K88" s="503"/>
      <c r="L88" s="503"/>
      <c r="M88" s="503"/>
      <c r="N88" s="504"/>
      <c r="O88" s="455"/>
      <c r="P88" s="456"/>
      <c r="Q88" s="456"/>
      <c r="R88" s="456"/>
      <c r="S88" s="458"/>
      <c r="T88" s="97"/>
      <c r="U88" s="97"/>
      <c r="V88" s="97"/>
      <c r="W88" s="97"/>
      <c r="X88" s="97"/>
      <c r="Y88" s="97"/>
      <c r="Z88" s="97"/>
      <c r="AA88" s="99"/>
      <c r="AB88" s="146"/>
      <c r="BN88" s="107"/>
      <c r="BO88" s="99"/>
    </row>
    <row r="89" spans="1:67" customFormat="1" ht="17.25" customHeight="1" x14ac:dyDescent="0.25">
      <c r="A89" s="99"/>
      <c r="B89" s="99"/>
      <c r="C89" s="144"/>
      <c r="D89" s="144"/>
      <c r="E89" s="144"/>
      <c r="F89" s="144"/>
      <c r="G89" s="144"/>
      <c r="H89" s="97"/>
      <c r="I89" s="499" t="s">
        <v>176</v>
      </c>
      <c r="J89" s="500"/>
      <c r="K89" s="500"/>
      <c r="L89" s="500"/>
      <c r="M89" s="500"/>
      <c r="N89" s="501"/>
      <c r="O89" s="454">
        <f>(O75-O80+O82/2)*60</f>
        <v>15.64351850426406</v>
      </c>
      <c r="P89" s="454"/>
      <c r="Q89" s="454"/>
      <c r="R89" s="454"/>
      <c r="S89" s="457" t="s">
        <v>171</v>
      </c>
      <c r="T89" s="97"/>
      <c r="U89" s="97"/>
      <c r="V89" s="97"/>
      <c r="W89" s="97"/>
      <c r="X89" s="97"/>
      <c r="Y89" s="97"/>
      <c r="Z89" s="97"/>
      <c r="AA89" s="99"/>
      <c r="AB89" s="146"/>
      <c r="BN89" s="107"/>
      <c r="BO89" s="99"/>
    </row>
    <row r="90" spans="1:67" customFormat="1" ht="17.25" customHeight="1" x14ac:dyDescent="0.25">
      <c r="A90" s="99"/>
      <c r="B90" s="99"/>
      <c r="C90" s="144"/>
      <c r="D90" s="144"/>
      <c r="E90" s="144"/>
      <c r="F90" s="144"/>
      <c r="G90" s="144"/>
      <c r="H90" s="97"/>
      <c r="I90" s="459" t="s">
        <v>177</v>
      </c>
      <c r="J90" s="460"/>
      <c r="K90" s="460"/>
      <c r="L90" s="460"/>
      <c r="M90" s="460"/>
      <c r="N90" s="461"/>
      <c r="O90" s="456"/>
      <c r="P90" s="456"/>
      <c r="Q90" s="456"/>
      <c r="R90" s="456"/>
      <c r="S90" s="458"/>
      <c r="T90" s="97"/>
      <c r="U90" s="97"/>
      <c r="V90" s="97"/>
      <c r="W90" s="97"/>
      <c r="X90" s="97"/>
      <c r="Y90" s="97"/>
      <c r="Z90" s="97"/>
      <c r="AA90" s="99"/>
      <c r="AB90" s="146"/>
      <c r="BN90" s="107"/>
      <c r="BO90" s="99"/>
    </row>
    <row r="91" spans="1:67" customFormat="1" ht="17.25" customHeight="1" x14ac:dyDescent="0.25">
      <c r="A91" s="99"/>
      <c r="B91" s="99"/>
      <c r="C91" s="144"/>
      <c r="D91" s="144"/>
      <c r="E91" s="144"/>
      <c r="F91" s="144"/>
      <c r="G91" s="144"/>
      <c r="H91" s="97"/>
      <c r="I91" s="434" t="s">
        <v>99</v>
      </c>
      <c r="J91" s="434"/>
      <c r="K91" s="434"/>
      <c r="L91" s="434"/>
      <c r="M91" s="434"/>
      <c r="N91" s="434"/>
      <c r="O91" s="435">
        <f>O84*60</f>
        <v>16</v>
      </c>
      <c r="P91" s="436"/>
      <c r="Q91" s="436"/>
      <c r="R91" s="436"/>
      <c r="S91" s="160" t="s">
        <v>171</v>
      </c>
      <c r="T91" s="97"/>
      <c r="U91" s="97"/>
      <c r="V91" s="97"/>
      <c r="W91" s="97"/>
      <c r="X91" s="97"/>
      <c r="Y91" s="97"/>
      <c r="Z91" s="97"/>
      <c r="AA91" s="99"/>
      <c r="AB91" s="146"/>
      <c r="BN91" s="107"/>
      <c r="BO91" s="99"/>
    </row>
    <row r="92" spans="1:67" customFormat="1" ht="17.25" customHeight="1" thickBot="1" x14ac:dyDescent="0.3">
      <c r="A92" s="99"/>
      <c r="B92" s="99"/>
      <c r="C92" s="144"/>
      <c r="D92" s="144"/>
      <c r="E92" s="144"/>
      <c r="F92" s="144"/>
      <c r="G92" s="144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9"/>
      <c r="T92" s="99"/>
      <c r="U92" s="99"/>
      <c r="V92" s="99"/>
      <c r="W92" s="99"/>
      <c r="X92" s="99"/>
      <c r="Y92" s="99"/>
      <c r="Z92" s="99"/>
      <c r="AA92" s="99"/>
      <c r="AB92" s="146"/>
      <c r="BN92" s="107"/>
      <c r="BO92" s="99"/>
    </row>
    <row r="93" spans="1:67" customFormat="1" ht="17.25" customHeight="1" thickTop="1" thickBot="1" x14ac:dyDescent="0.3">
      <c r="A93" s="99"/>
      <c r="B93" s="99"/>
      <c r="C93" s="144"/>
      <c r="D93" s="144"/>
      <c r="E93" s="144"/>
      <c r="F93" s="144"/>
      <c r="G93" s="144"/>
      <c r="H93" s="471" t="s">
        <v>246</v>
      </c>
      <c r="I93" s="472"/>
      <c r="J93" s="472"/>
      <c r="K93" s="472"/>
      <c r="L93" s="472"/>
      <c r="M93" s="472"/>
      <c r="N93" s="473"/>
      <c r="O93" s="474">
        <f>O70-O80+O75+O84</f>
        <v>67.147622184360216</v>
      </c>
      <c r="P93" s="334"/>
      <c r="Q93" s="334"/>
      <c r="R93" s="334"/>
      <c r="S93" s="99" t="s">
        <v>71</v>
      </c>
      <c r="T93" s="99"/>
      <c r="U93" s="346" t="str" cm="1">
        <f t="array" ref="U93">angleDecimal2Txt(O93)</f>
        <v>+67°08.85 (+67.1476) [+67°08'51.43]</v>
      </c>
      <c r="V93" s="346"/>
      <c r="W93" s="346"/>
      <c r="X93" s="346"/>
      <c r="Y93" s="346"/>
      <c r="Z93" s="346"/>
      <c r="AA93" s="99"/>
      <c r="AB93" s="146"/>
      <c r="BN93" s="107"/>
      <c r="BO93" s="99"/>
    </row>
    <row r="94" spans="1:67" customFormat="1" ht="17.25" customHeight="1" thickTop="1" x14ac:dyDescent="0.25">
      <c r="A94" s="99"/>
      <c r="B94" s="99"/>
      <c r="C94" s="144"/>
      <c r="D94" s="144"/>
      <c r="E94" s="144"/>
      <c r="F94" s="144"/>
      <c r="G94" s="144"/>
      <c r="H94" s="99"/>
      <c r="I94" s="99"/>
      <c r="J94" s="99"/>
      <c r="K94" s="99"/>
      <c r="L94" s="99"/>
      <c r="M94" s="99"/>
      <c r="N94" s="99"/>
      <c r="O94" s="99"/>
      <c r="P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  <c r="AB94" s="146"/>
      <c r="BN94" s="107"/>
      <c r="BO94" s="99"/>
    </row>
    <row r="95" spans="1:67" customFormat="1" ht="17.25" customHeight="1" x14ac:dyDescent="0.25">
      <c r="A95" s="99"/>
      <c r="B95" s="99"/>
      <c r="C95" s="144"/>
      <c r="D95" s="144"/>
      <c r="E95" s="144"/>
      <c r="F95" s="475" t="s">
        <v>91</v>
      </c>
      <c r="G95" s="475"/>
      <c r="H95" s="475"/>
      <c r="I95" s="475"/>
      <c r="J95" s="334" t="str">
        <f>IF(G64=AD64,O103,"---")</f>
        <v>---</v>
      </c>
      <c r="K95" s="334"/>
      <c r="L95" s="334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  <c r="AA95" s="99"/>
      <c r="AB95" s="146"/>
      <c r="BN95" s="107"/>
      <c r="BO95" s="99"/>
    </row>
    <row r="96" spans="1:67" customFormat="1" ht="17.25" customHeight="1" x14ac:dyDescent="0.25">
      <c r="A96" s="99"/>
      <c r="B96" s="99"/>
      <c r="C96" s="144"/>
      <c r="D96" s="144"/>
      <c r="E96" s="144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146"/>
      <c r="BN96" s="107"/>
      <c r="BO96" s="99"/>
    </row>
    <row r="97" spans="1:67" customFormat="1" ht="17.25" customHeight="1" x14ac:dyDescent="0.25">
      <c r="A97" s="99"/>
      <c r="B97" s="99"/>
      <c r="C97" s="144"/>
      <c r="D97" s="144"/>
      <c r="E97" s="144"/>
      <c r="M97" s="99"/>
      <c r="N97" s="99"/>
      <c r="O97" s="99"/>
      <c r="P97" s="99"/>
      <c r="Q97" s="99"/>
      <c r="R97" s="99"/>
      <c r="S97" s="99"/>
      <c r="T97" s="295" t="s">
        <v>112</v>
      </c>
      <c r="U97" s="352" t="s">
        <v>40</v>
      </c>
      <c r="V97" s="352"/>
      <c r="W97" s="99"/>
      <c r="X97" s="99"/>
      <c r="Y97" s="99"/>
      <c r="Z97" s="99"/>
      <c r="AA97" s="99"/>
      <c r="AB97" s="146"/>
      <c r="BN97" s="107"/>
      <c r="BO97" s="99"/>
    </row>
    <row r="98" spans="1:67" customFormat="1" ht="17.25" customHeight="1" x14ac:dyDescent="0.25">
      <c r="A98" s="99"/>
      <c r="B98" s="99"/>
      <c r="C98" s="144"/>
      <c r="D98" s="144"/>
      <c r="E98" s="144"/>
      <c r="F98" s="144"/>
      <c r="G98" s="144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99"/>
      <c r="S98" s="99"/>
      <c r="T98" s="296" t="s">
        <v>108</v>
      </c>
      <c r="U98" s="352" t="s">
        <v>110</v>
      </c>
      <c r="V98" s="352"/>
      <c r="W98" s="99"/>
      <c r="X98" s="99"/>
      <c r="Y98" s="99"/>
      <c r="Z98" s="99"/>
      <c r="AA98" s="99"/>
      <c r="AB98" s="146"/>
      <c r="BN98" s="107"/>
      <c r="BO98" s="99"/>
    </row>
    <row r="99" spans="1:67" customFormat="1" ht="17.25" customHeight="1" x14ac:dyDescent="0.25">
      <c r="A99" s="99"/>
      <c r="B99" s="99"/>
      <c r="C99" s="144"/>
      <c r="D99" s="144"/>
      <c r="E99" s="144"/>
      <c r="F99" s="144"/>
      <c r="G99" s="144"/>
      <c r="H99" s="99" t="s">
        <v>100</v>
      </c>
      <c r="I99" s="123" t="s">
        <v>102</v>
      </c>
      <c r="J99" s="99" t="s">
        <v>88</v>
      </c>
      <c r="K99" s="354" t="s">
        <v>105</v>
      </c>
      <c r="L99" s="99" t="s">
        <v>87</v>
      </c>
      <c r="M99" s="99"/>
      <c r="N99" s="354" t="s">
        <v>107</v>
      </c>
      <c r="O99" s="123" t="s">
        <v>531</v>
      </c>
      <c r="P99" s="99"/>
      <c r="Q99" s="354" t="s">
        <v>107</v>
      </c>
      <c r="R99" s="99" t="s">
        <v>532</v>
      </c>
      <c r="S99" s="99"/>
      <c r="T99" s="294" t="s">
        <v>109</v>
      </c>
      <c r="U99" s="353" t="s">
        <v>111</v>
      </c>
      <c r="V99" s="353"/>
      <c r="W99" s="99"/>
      <c r="X99" s="99"/>
      <c r="Y99" s="99"/>
      <c r="AB99" s="146"/>
      <c r="BN99" s="107"/>
      <c r="BO99" s="99"/>
    </row>
    <row r="100" spans="1:67" customFormat="1" ht="17.25" customHeight="1" thickBot="1" x14ac:dyDescent="0.3">
      <c r="A100" s="99"/>
      <c r="B100" s="99"/>
      <c r="C100" s="144"/>
      <c r="D100" s="144"/>
      <c r="E100" s="144"/>
      <c r="F100" s="144"/>
      <c r="G100" s="144"/>
      <c r="H100" s="99"/>
      <c r="I100" s="123"/>
      <c r="J100" s="125">
        <f>O66</f>
        <v>66.95</v>
      </c>
      <c r="K100" s="354"/>
      <c r="L100" s="437">
        <f>O67</f>
        <v>2.1666666666666667E-2</v>
      </c>
      <c r="M100" s="438"/>
      <c r="N100" s="354"/>
      <c r="O100" s="441" t="s">
        <v>250</v>
      </c>
      <c r="P100" s="442"/>
      <c r="Q100" s="354"/>
      <c r="R100" s="297" t="s">
        <v>109</v>
      </c>
      <c r="S100" s="99"/>
      <c r="T100" s="99"/>
      <c r="U100" s="99"/>
      <c r="AB100" s="146"/>
      <c r="BN100" s="107"/>
      <c r="BO100" s="99"/>
    </row>
    <row r="101" spans="1:67" customFormat="1" ht="17.25" customHeight="1" thickTop="1" thickBot="1" x14ac:dyDescent="0.3">
      <c r="A101" s="99"/>
      <c r="B101" s="99"/>
      <c r="C101" s="144"/>
      <c r="D101" s="144"/>
      <c r="E101" s="144"/>
      <c r="F101" s="144"/>
      <c r="G101" s="144"/>
      <c r="H101" s="99"/>
      <c r="I101" s="123"/>
      <c r="K101" s="123" t="s">
        <v>530</v>
      </c>
      <c r="L101" s="439" cm="1">
        <f t="array" ref="L101">angleConvert2Decimal(L100)</f>
        <v>2.1666666666666699E-2</v>
      </c>
      <c r="M101" s="440"/>
      <c r="N101" s="99"/>
      <c r="O101" s="589" cm="1">
        <f t="array" ref="O101">angleConvert2Decimal(O100)</f>
        <v>0.17166666666666669</v>
      </c>
      <c r="P101" s="590"/>
      <c r="Q101" s="41"/>
      <c r="R101" s="287" cm="1">
        <f t="array" ref="R101">angleConvert2Decimal(R100)</f>
        <v>-0.53333333333333333</v>
      </c>
      <c r="T101" s="13" t="s">
        <v>139</v>
      </c>
      <c r="U101" s="13"/>
      <c r="V101" s="13">
        <f>R101+O101</f>
        <v>-0.36166666666666664</v>
      </c>
      <c r="W101" s="358" t="str" cm="1">
        <f t="array" ref="W101">angleDecimal2Txt(V101)</f>
        <v>-00°21.69 (-00.3616) [-00°21'42.00]</v>
      </c>
      <c r="X101" s="359"/>
      <c r="Y101" s="359"/>
      <c r="Z101" s="359"/>
      <c r="AA101" s="360"/>
      <c r="AB101" s="146"/>
      <c r="BN101" s="107"/>
      <c r="BO101" s="99"/>
    </row>
    <row r="102" spans="1:67" customFormat="1" ht="17.25" customHeight="1" thickTop="1" thickBot="1" x14ac:dyDescent="0.3">
      <c r="A102" s="99"/>
      <c r="B102" s="99"/>
      <c r="C102" s="144"/>
      <c r="D102" s="144"/>
      <c r="E102" s="144"/>
      <c r="F102" s="144"/>
      <c r="G102" s="144"/>
      <c r="H102" s="99"/>
      <c r="I102" s="123"/>
      <c r="J102" s="99"/>
      <c r="K102" s="123"/>
      <c r="L102" s="99"/>
      <c r="M102" s="99"/>
      <c r="N102" s="123"/>
      <c r="O102" s="99"/>
      <c r="P102" s="99"/>
      <c r="Q102" s="123"/>
      <c r="R102" s="128"/>
      <c r="S102" s="99"/>
      <c r="T102" s="99"/>
      <c r="U102" s="99"/>
      <c r="V102" s="99"/>
      <c r="W102" s="99"/>
      <c r="X102" s="99"/>
      <c r="Y102" s="99"/>
      <c r="Z102" s="99"/>
      <c r="AA102" s="99"/>
      <c r="AB102" s="146"/>
      <c r="BN102" s="107"/>
      <c r="BO102" s="99"/>
    </row>
    <row r="103" spans="1:67" customFormat="1" ht="17.25" customHeight="1" thickTop="1" thickBot="1" x14ac:dyDescent="0.3">
      <c r="A103" s="99"/>
      <c r="B103" s="99"/>
      <c r="C103" s="144"/>
      <c r="D103" s="144"/>
      <c r="E103" s="144"/>
      <c r="F103" s="144"/>
      <c r="G103" s="144"/>
      <c r="H103" s="471" t="s">
        <v>249</v>
      </c>
      <c r="I103" s="472"/>
      <c r="J103" s="472"/>
      <c r="K103" s="472"/>
      <c r="L103" s="472"/>
      <c r="M103" s="472"/>
      <c r="N103" s="473"/>
      <c r="O103" s="474">
        <f>J100-L101+O101+R101</f>
        <v>66.566666666666677</v>
      </c>
      <c r="P103" s="334"/>
      <c r="Q103" s="334"/>
      <c r="R103" s="334"/>
      <c r="S103" s="99" t="s">
        <v>71</v>
      </c>
      <c r="T103" s="99"/>
      <c r="U103" s="346" t="str" cm="1">
        <f t="array" ref="U103">angleDecimal2Txt(O103)</f>
        <v>+66°34.00 (+66.5666) [+66°34'00.00]</v>
      </c>
      <c r="V103" s="346"/>
      <c r="W103" s="346"/>
      <c r="X103" s="346"/>
      <c r="Y103" s="346"/>
      <c r="Z103" s="346"/>
      <c r="AA103" s="99"/>
      <c r="AB103" s="146"/>
      <c r="BN103" s="107"/>
      <c r="BO103" s="99"/>
    </row>
    <row r="104" spans="1:67" customFormat="1" ht="17.25" customHeight="1" thickTop="1" thickBot="1" x14ac:dyDescent="0.3">
      <c r="A104" s="99"/>
      <c r="B104" s="99"/>
      <c r="C104" s="144"/>
      <c r="D104" s="129"/>
      <c r="E104" s="144"/>
      <c r="F104" s="144"/>
      <c r="G104" s="144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146"/>
      <c r="BN104" s="107"/>
      <c r="BO104" s="99"/>
    </row>
    <row r="105" spans="1:67" customFormat="1" ht="17.25" customHeight="1" thickBot="1" x14ac:dyDescent="0.3">
      <c r="A105" s="99"/>
      <c r="B105" s="1144" t="s">
        <v>607</v>
      </c>
      <c r="C105" s="1145"/>
      <c r="D105" s="1145"/>
      <c r="E105" s="1145"/>
      <c r="F105" s="1145"/>
      <c r="G105" s="1145"/>
      <c r="H105" s="1145"/>
      <c r="I105" s="1145"/>
      <c r="J105" s="1145"/>
      <c r="K105" s="1145"/>
      <c r="L105" s="1145"/>
      <c r="M105" s="1145"/>
      <c r="N105" s="1145"/>
      <c r="O105" s="1145"/>
      <c r="P105" s="1145"/>
      <c r="Q105" s="1145"/>
      <c r="R105" s="1145"/>
      <c r="S105" s="1145"/>
      <c r="T105" s="1145"/>
      <c r="U105" s="1145"/>
      <c r="V105" s="1145"/>
      <c r="W105" s="1145"/>
      <c r="X105" s="1145"/>
      <c r="Y105" s="1145"/>
      <c r="Z105" s="1145"/>
      <c r="AA105" s="1145"/>
      <c r="AB105" s="147"/>
      <c r="BN105" s="107"/>
      <c r="BO105" s="99"/>
    </row>
    <row r="106" spans="1:67" customFormat="1" ht="17.25" customHeight="1" x14ac:dyDescent="0.25">
      <c r="A106" s="99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99"/>
      <c r="P106" s="99"/>
      <c r="Q106" s="99"/>
      <c r="R106" s="99"/>
      <c r="S106" s="99"/>
      <c r="T106" s="99"/>
      <c r="U106" s="99"/>
      <c r="V106" s="99"/>
      <c r="W106" s="99"/>
      <c r="X106" s="99"/>
      <c r="Y106" s="99"/>
      <c r="Z106" s="99"/>
      <c r="AA106" s="99"/>
      <c r="AB106" s="146"/>
      <c r="BN106" s="107"/>
      <c r="BO106" s="99"/>
    </row>
    <row r="107" spans="1:67" customFormat="1" ht="17.25" customHeight="1" x14ac:dyDescent="0.25">
      <c r="A107" s="99"/>
      <c r="B107" s="99"/>
      <c r="C107" s="97"/>
      <c r="D107" s="97"/>
      <c r="E107" s="443" t="s">
        <v>615</v>
      </c>
      <c r="F107" s="444"/>
      <c r="G107" s="444"/>
      <c r="H107" s="444"/>
      <c r="I107" s="345">
        <f>90-Q108</f>
        <v>22.852377815639784</v>
      </c>
      <c r="J107" s="345"/>
      <c r="K107" s="345"/>
      <c r="L107" s="345"/>
      <c r="M107" s="345"/>
      <c r="N107" s="99"/>
      <c r="O107" s="1149" t="s">
        <v>608</v>
      </c>
      <c r="P107" s="1150"/>
      <c r="Q107" s="1152"/>
      <c r="R107" s="1152"/>
      <c r="S107" s="1152"/>
      <c r="T107" s="1153"/>
      <c r="AB107" s="146"/>
      <c r="BN107" s="107"/>
      <c r="BO107" s="99"/>
    </row>
    <row r="108" spans="1:67" customFormat="1" ht="17.25" customHeight="1" thickBot="1" x14ac:dyDescent="0.3">
      <c r="A108" s="99"/>
      <c r="B108" s="99"/>
      <c r="C108" s="97"/>
      <c r="D108" s="97"/>
      <c r="E108" s="446"/>
      <c r="F108" s="447"/>
      <c r="G108" s="447"/>
      <c r="H108" s="447"/>
      <c r="I108" s="345"/>
      <c r="J108" s="345"/>
      <c r="K108" s="345"/>
      <c r="L108" s="345"/>
      <c r="M108" s="345"/>
      <c r="N108" s="131" t="s">
        <v>184</v>
      </c>
      <c r="O108" s="644" t="s">
        <v>100</v>
      </c>
      <c r="P108" s="1151"/>
      <c r="Q108" s="347">
        <f>F63</f>
        <v>67.147622184360216</v>
      </c>
      <c r="R108" s="348"/>
      <c r="S108" s="348"/>
      <c r="T108" s="1154" t="s">
        <v>71</v>
      </c>
      <c r="Y108" s="99"/>
      <c r="Z108" s="99"/>
      <c r="AA108" s="99"/>
      <c r="AB108" s="146"/>
      <c r="BN108" s="107"/>
      <c r="BO108" s="99"/>
    </row>
    <row r="109" spans="1:67" customFormat="1" ht="17.25" customHeight="1" thickTop="1" thickBot="1" x14ac:dyDescent="0.3">
      <c r="A109" s="99"/>
      <c r="B109" s="99"/>
      <c r="C109" s="97"/>
      <c r="D109" s="97"/>
      <c r="E109" s="449"/>
      <c r="F109" s="450"/>
      <c r="G109" s="450"/>
      <c r="H109" s="450"/>
      <c r="I109" s="346" t="str" cm="1">
        <f t="array" ref="I109">angleDecimal2Txt(I107)</f>
        <v>+22°51.14 (+22.8523) [+22°51'08.56]</v>
      </c>
      <c r="J109" s="346"/>
      <c r="K109" s="346"/>
      <c r="L109" s="346"/>
      <c r="M109" s="346"/>
      <c r="N109" s="99"/>
      <c r="O109" s="644" t="s">
        <v>114</v>
      </c>
      <c r="P109" s="1151"/>
      <c r="Q109" s="347">
        <f>F45</f>
        <v>23.134135648148149</v>
      </c>
      <c r="R109" s="348"/>
      <c r="S109" s="348"/>
      <c r="T109" s="1154" t="s">
        <v>71</v>
      </c>
      <c r="Y109" s="99"/>
      <c r="Z109" s="99"/>
      <c r="AA109" s="99"/>
      <c r="AB109" s="146"/>
      <c r="BN109" s="107"/>
      <c r="BO109" s="99"/>
    </row>
    <row r="110" spans="1:67" customFormat="1" ht="17.25" customHeight="1" thickTop="1" x14ac:dyDescent="0.25">
      <c r="A110" s="99"/>
      <c r="B110" s="99"/>
      <c r="C110" s="97"/>
      <c r="D110" s="97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99"/>
      <c r="S110" s="99"/>
      <c r="T110" s="99"/>
      <c r="U110" s="99"/>
      <c r="V110" s="99"/>
      <c r="W110" s="99"/>
      <c r="X110" s="99"/>
      <c r="Y110" s="99"/>
      <c r="Z110" s="99"/>
      <c r="AA110" s="99"/>
      <c r="AB110" s="146"/>
      <c r="BN110" s="107"/>
      <c r="BO110" s="99"/>
    </row>
    <row r="111" spans="1:67" customFormat="1" ht="17.25" customHeight="1" x14ac:dyDescent="0.25">
      <c r="A111" s="99"/>
      <c r="B111" s="99"/>
      <c r="C111" s="97"/>
      <c r="D111" s="97"/>
      <c r="AB111" s="146"/>
      <c r="BN111" s="107"/>
      <c r="BO111" s="99"/>
    </row>
    <row r="112" spans="1:67" customFormat="1" ht="17.25" customHeight="1" x14ac:dyDescent="0.25">
      <c r="A112" s="99"/>
      <c r="B112" s="99"/>
      <c r="C112" s="97"/>
      <c r="D112" s="97"/>
      <c r="E112" s="871" t="s">
        <v>450</v>
      </c>
      <c r="F112" s="871"/>
      <c r="G112" s="871"/>
      <c r="H112" s="871"/>
      <c r="I112" s="871"/>
      <c r="J112" s="871"/>
      <c r="K112" s="871"/>
      <c r="L112" s="871"/>
      <c r="M112" s="871"/>
      <c r="N112" s="871"/>
      <c r="O112" s="871"/>
      <c r="AB112" s="146"/>
      <c r="BN112" s="107"/>
      <c r="BO112" s="99"/>
    </row>
    <row r="113" spans="1:67" customFormat="1" ht="17.25" customHeight="1" x14ac:dyDescent="0.25">
      <c r="A113" s="99"/>
      <c r="B113" s="99"/>
      <c r="C113" s="97"/>
      <c r="D113" s="97"/>
      <c r="E113" s="326"/>
      <c r="F113" s="326" t="s">
        <v>452</v>
      </c>
      <c r="G113" s="326"/>
      <c r="H113" s="326"/>
      <c r="I113" s="326"/>
      <c r="J113" s="326"/>
      <c r="K113" s="326" t="s">
        <v>454</v>
      </c>
      <c r="L113" s="326"/>
      <c r="M113" s="326"/>
      <c r="N113" s="326"/>
      <c r="O113" s="326"/>
      <c r="Q113" s="333" t="s">
        <v>115</v>
      </c>
      <c r="R113" s="333"/>
      <c r="S113" s="142">
        <f>F36</f>
        <v>46</v>
      </c>
      <c r="T113" s="342" t="str">
        <f>CONCATENATE("Lat et Dec - Meme sens ?: ",AC113)</f>
        <v>Lat et Dec - Meme sens ?: VRAI</v>
      </c>
      <c r="U113" s="342"/>
      <c r="V113" s="342"/>
      <c r="W113" s="342"/>
      <c r="X113" s="99"/>
      <c r="Y113" s="99"/>
      <c r="AB113" s="146"/>
      <c r="AC113" t="b">
        <f>IF(S113*S114&gt;0,TRUE,FALSE)</f>
        <v>1</v>
      </c>
      <c r="BN113" s="107"/>
      <c r="BO113" s="99"/>
    </row>
    <row r="114" spans="1:67" customFormat="1" ht="17.25" customHeight="1" x14ac:dyDescent="0.25">
      <c r="A114" s="99"/>
      <c r="B114" s="99"/>
      <c r="C114" s="97"/>
      <c r="D114" s="97"/>
      <c r="E114" s="326"/>
      <c r="F114" s="326" t="s">
        <v>453</v>
      </c>
      <c r="G114" s="326"/>
      <c r="H114" s="326"/>
      <c r="I114" s="326"/>
      <c r="J114" s="326"/>
      <c r="K114" s="326" t="s">
        <v>455</v>
      </c>
      <c r="L114" s="326"/>
      <c r="M114" s="326"/>
      <c r="N114" s="326"/>
      <c r="O114" s="326"/>
      <c r="Q114" s="333" t="s">
        <v>114</v>
      </c>
      <c r="R114" s="333"/>
      <c r="S114" s="142">
        <f>F45</f>
        <v>23.134135648148149</v>
      </c>
      <c r="T114" s="342" t="str">
        <f>CONCATENATE("Lat &gt; Dec  ? : ",AC114)</f>
        <v>Lat &gt; Dec  ? : VRAI</v>
      </c>
      <c r="U114" s="342"/>
      <c r="V114" s="342"/>
      <c r="W114" s="342"/>
      <c r="X114" s="99"/>
      <c r="Y114" s="99"/>
      <c r="AB114" s="146"/>
      <c r="AC114" s="182" t="b">
        <f>IF(ABS(S113)&gt;ABS(S114),TRUE, FALSE)</f>
        <v>1</v>
      </c>
      <c r="BN114" s="107"/>
      <c r="BO114" s="99"/>
    </row>
    <row r="115" spans="1:67" customFormat="1" ht="17.25" customHeight="1" x14ac:dyDescent="0.25">
      <c r="A115" s="99"/>
      <c r="B115" s="99"/>
      <c r="C115" s="99"/>
      <c r="D115" s="99"/>
      <c r="E115" s="871" t="s">
        <v>451</v>
      </c>
      <c r="F115" s="871"/>
      <c r="G115" s="871"/>
      <c r="H115" s="871"/>
      <c r="I115" s="871"/>
      <c r="J115" s="871"/>
      <c r="K115" s="326" t="s">
        <v>456</v>
      </c>
      <c r="L115" s="326"/>
      <c r="M115" s="326"/>
      <c r="N115" s="326"/>
      <c r="O115" s="326"/>
      <c r="AB115" s="146"/>
      <c r="AC115" t="s">
        <v>612</v>
      </c>
      <c r="AD115" s="277">
        <f>I107+S114</f>
        <v>45.986513463787929</v>
      </c>
      <c r="BN115" s="107"/>
      <c r="BO115" s="99"/>
    </row>
    <row r="116" spans="1:67" customFormat="1" ht="17.25" customHeight="1" x14ac:dyDescent="0.25">
      <c r="A116" s="99"/>
      <c r="B116" s="99"/>
      <c r="C116" s="144"/>
      <c r="D116" s="144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99"/>
      <c r="AB116" s="146"/>
      <c r="AC116" t="s">
        <v>613</v>
      </c>
      <c r="AD116" s="277">
        <f>S114-I107</f>
        <v>0.28175783250836517</v>
      </c>
      <c r="BN116" s="107"/>
      <c r="BO116" s="99"/>
    </row>
    <row r="117" spans="1:67" customFormat="1" ht="17.25" customHeight="1" thickBot="1" x14ac:dyDescent="0.3">
      <c r="A117" s="99"/>
      <c r="B117" s="99"/>
      <c r="C117" s="144"/>
      <c r="D117" s="144"/>
      <c r="E117" s="144"/>
      <c r="F117" s="144"/>
      <c r="G117" s="144"/>
      <c r="H117" s="99"/>
      <c r="I117" s="99"/>
      <c r="J117" s="99"/>
      <c r="K117" s="99"/>
      <c r="L117" s="99"/>
      <c r="AB117" s="146"/>
      <c r="AC117" t="s">
        <v>614</v>
      </c>
      <c r="AD117" s="277">
        <f>I107-S114</f>
        <v>-0.28175783250836517</v>
      </c>
      <c r="BN117" s="107"/>
      <c r="BO117" s="99"/>
    </row>
    <row r="118" spans="1:67" customFormat="1" ht="17.25" customHeight="1" thickTop="1" thickBot="1" x14ac:dyDescent="0.3">
      <c r="A118" s="99"/>
      <c r="B118" s="99"/>
      <c r="C118" s="144"/>
      <c r="D118" s="144"/>
      <c r="E118" s="144"/>
      <c r="F118" s="144"/>
      <c r="G118" s="144"/>
      <c r="H118" s="427" t="s">
        <v>449</v>
      </c>
      <c r="I118" s="428"/>
      <c r="J118" s="428"/>
      <c r="K118" s="428"/>
      <c r="L118" s="431"/>
      <c r="M118" s="132">
        <f>AC118</f>
        <v>45.986513463787929</v>
      </c>
      <c r="N118" s="133" t="s">
        <v>34</v>
      </c>
      <c r="O118" s="346" t="str">
        <f>latitudeDecimal2Txt(M118)</f>
        <v>N 45°59.19 (N 45.9865) [N 45°59'11.44]</v>
      </c>
      <c r="P118" s="346"/>
      <c r="Q118" s="346"/>
      <c r="R118" s="346"/>
      <c r="S118" s="346"/>
      <c r="T118" s="346"/>
      <c r="AB118" s="146"/>
      <c r="AC118">
        <f>IF(AC113,IF(AC114,AD115,AD116),AD117)</f>
        <v>45.986513463787929</v>
      </c>
      <c r="BN118" s="107"/>
      <c r="BO118" s="99"/>
    </row>
    <row r="119" spans="1:67" customFormat="1" ht="17.25" customHeight="1" thickTop="1" x14ac:dyDescent="0.25">
      <c r="A119" s="97"/>
      <c r="B119" s="97"/>
      <c r="C119" s="97"/>
      <c r="D119" s="97"/>
      <c r="O119" s="99"/>
      <c r="P119" s="99"/>
      <c r="Q119" s="99"/>
      <c r="R119" s="99"/>
      <c r="S119" s="99"/>
      <c r="T119" s="99"/>
      <c r="U119" s="99"/>
      <c r="V119" s="99"/>
      <c r="W119" s="99"/>
      <c r="X119" s="99"/>
      <c r="Y119" s="99"/>
      <c r="Z119" s="99"/>
      <c r="AA119" s="99"/>
      <c r="AB119" s="146"/>
      <c r="BN119" s="107"/>
      <c r="BO119" s="99"/>
    </row>
    <row r="120" spans="1:67" customFormat="1" ht="17.25" customHeight="1" x14ac:dyDescent="0.25">
      <c r="A120" s="99"/>
      <c r="B120" s="99"/>
      <c r="C120" s="97"/>
      <c r="D120" s="97"/>
      <c r="O120" s="99"/>
      <c r="P120" s="99"/>
      <c r="Q120" s="99"/>
      <c r="R120" s="99"/>
      <c r="S120" s="99"/>
      <c r="T120" s="99"/>
      <c r="U120" s="99"/>
      <c r="V120" s="99"/>
      <c r="W120" s="99"/>
      <c r="X120" s="99"/>
      <c r="Y120" s="99"/>
      <c r="Z120" s="99"/>
      <c r="AA120" s="99"/>
      <c r="AB120" s="146"/>
      <c r="BN120" s="107"/>
      <c r="BO120" s="99"/>
    </row>
    <row r="121" spans="1:67" customFormat="1" ht="17.25" customHeight="1" x14ac:dyDescent="0.25">
      <c r="A121" s="99"/>
      <c r="B121" s="99"/>
      <c r="C121" s="97"/>
      <c r="D121" s="97"/>
      <c r="R121" s="99"/>
      <c r="S121" s="99"/>
      <c r="T121" s="99"/>
      <c r="U121" s="99"/>
      <c r="V121" s="99"/>
      <c r="W121" s="99"/>
      <c r="X121" s="99"/>
      <c r="AB121" s="146"/>
      <c r="BN121" s="107"/>
      <c r="BO121" s="99"/>
    </row>
    <row r="122" spans="1:67" customFormat="1" ht="17.25" customHeight="1" x14ac:dyDescent="0.25">
      <c r="A122" s="99"/>
      <c r="B122" s="99"/>
      <c r="C122" s="97"/>
      <c r="D122" s="97"/>
      <c r="R122" s="99"/>
      <c r="S122" s="99"/>
      <c r="T122" s="99"/>
      <c r="U122" s="99"/>
      <c r="V122" s="99"/>
      <c r="W122" s="99"/>
      <c r="X122" s="99"/>
      <c r="AB122" s="146"/>
      <c r="BN122" s="107"/>
      <c r="BO122" s="99"/>
    </row>
    <row r="123" spans="1:67" customFormat="1" ht="17.25" customHeight="1" x14ac:dyDescent="0.25">
      <c r="A123" s="99"/>
      <c r="B123" s="99"/>
      <c r="C123" s="99"/>
      <c r="D123" s="99"/>
      <c r="AB123" s="146"/>
      <c r="BN123" s="107"/>
      <c r="BO123" s="99"/>
    </row>
    <row r="124" spans="1:67" customFormat="1" ht="17.25" customHeight="1" x14ac:dyDescent="0.25">
      <c r="A124" s="99"/>
      <c r="B124" s="99"/>
      <c r="C124" s="144"/>
      <c r="D124" s="144"/>
      <c r="AB124" s="146"/>
      <c r="BN124" s="107"/>
      <c r="BO124" s="99"/>
    </row>
    <row r="125" spans="1:67" customFormat="1" ht="17.25" customHeight="1" x14ac:dyDescent="0.25">
      <c r="A125" s="99"/>
      <c r="B125" s="99"/>
      <c r="C125" s="144"/>
      <c r="D125" s="144"/>
      <c r="AB125" s="146"/>
      <c r="BN125" s="107"/>
      <c r="BO125" s="99"/>
    </row>
    <row r="126" spans="1:67" customFormat="1" ht="17.25" customHeight="1" x14ac:dyDescent="0.25">
      <c r="A126" s="99"/>
      <c r="B126" s="99"/>
      <c r="C126" s="144"/>
      <c r="D126" s="144"/>
      <c r="AB126" s="146"/>
      <c r="BN126" s="107"/>
      <c r="BO126" s="99"/>
    </row>
    <row r="127" spans="1:67" customFormat="1" ht="17.25" customHeight="1" x14ac:dyDescent="0.25">
      <c r="A127" s="99"/>
      <c r="B127" s="99"/>
      <c r="C127" s="144"/>
      <c r="D127" s="144"/>
      <c r="AB127" s="146"/>
      <c r="BN127" s="107"/>
      <c r="BO127" s="99"/>
    </row>
    <row r="128" spans="1:67" customFormat="1" ht="17.25" customHeight="1" x14ac:dyDescent="0.25">
      <c r="A128" s="99"/>
      <c r="B128" s="99"/>
      <c r="C128" s="144"/>
      <c r="D128" s="144"/>
      <c r="AB128" s="146"/>
      <c r="BN128" s="107"/>
      <c r="BO128" s="99"/>
    </row>
    <row r="129" spans="1:67" customFormat="1" ht="17.25" customHeight="1" x14ac:dyDescent="0.25">
      <c r="A129" s="99"/>
      <c r="B129" s="99"/>
      <c r="C129" s="144"/>
      <c r="D129" s="144"/>
      <c r="AB129" s="146"/>
      <c r="BN129" s="107"/>
      <c r="BO129" s="99"/>
    </row>
    <row r="130" spans="1:67" customFormat="1" ht="17.25" customHeight="1" x14ac:dyDescent="0.25">
      <c r="A130" s="99"/>
      <c r="B130" s="99"/>
      <c r="C130" s="144"/>
      <c r="D130" s="144"/>
      <c r="AB130" s="146"/>
      <c r="BN130" s="107"/>
      <c r="BO130" s="99"/>
    </row>
    <row r="132" spans="1:67" customFormat="1" ht="17.25" customHeight="1" thickBot="1" x14ac:dyDescent="0.3">
      <c r="A132" s="99"/>
      <c r="B132" s="99"/>
      <c r="C132" s="144"/>
      <c r="D132" s="144"/>
      <c r="E132" s="144"/>
      <c r="F132" s="144"/>
      <c r="G132" s="144"/>
      <c r="H132" s="99"/>
      <c r="I132" s="99"/>
      <c r="J132" s="99"/>
      <c r="K132" s="99"/>
      <c r="L132" s="99"/>
      <c r="M132" s="99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146"/>
      <c r="BN132" s="107"/>
      <c r="BO132" s="99"/>
    </row>
    <row r="133" spans="1:67" customFormat="1" ht="17.25" customHeight="1" thickBot="1" x14ac:dyDescent="0.3">
      <c r="A133" s="99"/>
      <c r="B133" s="108" t="s">
        <v>533</v>
      </c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  <c r="X133" s="109"/>
      <c r="Y133" s="109"/>
      <c r="Z133" s="109"/>
      <c r="AA133" s="185"/>
      <c r="AB133" s="147"/>
      <c r="BN133" s="107"/>
      <c r="BO133" s="99"/>
    </row>
    <row r="135" spans="1:67" customFormat="1" ht="17.25" customHeight="1" thickBot="1" x14ac:dyDescent="0.3">
      <c r="A135" s="99"/>
      <c r="B135" s="99"/>
      <c r="C135" s="322" t="s">
        <v>534</v>
      </c>
      <c r="D135" s="322"/>
      <c r="E135" s="322"/>
      <c r="F135" s="322"/>
      <c r="G135" s="298"/>
      <c r="H135" s="322" t="s">
        <v>535</v>
      </c>
      <c r="I135" s="322"/>
      <c r="J135" s="322"/>
      <c r="K135" s="99"/>
      <c r="L135" s="323" t="s">
        <v>512</v>
      </c>
      <c r="M135" s="323"/>
      <c r="N135" s="323"/>
      <c r="O135" s="99"/>
      <c r="P135" s="99"/>
      <c r="Q135" s="321" t="s">
        <v>536</v>
      </c>
      <c r="R135" s="321"/>
      <c r="S135" s="321"/>
      <c r="T135" s="321"/>
      <c r="U135" s="234"/>
      <c r="V135" s="99"/>
      <c r="W135" s="99"/>
      <c r="X135" s="99"/>
      <c r="Y135" s="99"/>
      <c r="Z135" s="99"/>
      <c r="AA135" s="99"/>
      <c r="AB135" s="146"/>
      <c r="AC135" t="s">
        <v>475</v>
      </c>
      <c r="AD135" s="277">
        <f>I136/60</f>
        <v>0</v>
      </c>
      <c r="BN135" s="107"/>
      <c r="BO135" s="99"/>
    </row>
    <row r="136" spans="1:67" customFormat="1" ht="17.25" customHeight="1" thickTop="1" thickBot="1" x14ac:dyDescent="0.3">
      <c r="A136" s="99"/>
      <c r="B136" s="99"/>
      <c r="C136" s="144"/>
      <c r="D136" s="302" t="s">
        <v>49</v>
      </c>
      <c r="E136" s="326">
        <f>F36</f>
        <v>46</v>
      </c>
      <c r="F136" s="326"/>
      <c r="G136" s="144"/>
      <c r="H136" s="99"/>
      <c r="I136" s="326">
        <f>V112</f>
        <v>0</v>
      </c>
      <c r="J136" s="326"/>
      <c r="K136" s="99" t="s">
        <v>149</v>
      </c>
      <c r="L136" s="99"/>
      <c r="M136" s="326">
        <f>T129</f>
        <v>0</v>
      </c>
      <c r="N136" s="326"/>
      <c r="O136" s="99"/>
      <c r="P136" s="99"/>
      <c r="Q136" s="99"/>
      <c r="R136" s="300" t="s">
        <v>49</v>
      </c>
      <c r="S136" s="319">
        <f>AD138</f>
        <v>46</v>
      </c>
      <c r="T136" s="319"/>
      <c r="U136" s="320" t="str" cm="1">
        <f t="array" ref="U136">latitudeDecimal2Txt(S136)</f>
        <v>N 46°00.00 (N 46.0000) [N 46°00'00.00]</v>
      </c>
      <c r="V136" s="320"/>
      <c r="W136" s="320"/>
      <c r="X136" s="320"/>
      <c r="Y136" s="320"/>
      <c r="Z136" s="320"/>
      <c r="AA136" s="99"/>
      <c r="AB136" s="146"/>
      <c r="AC136" t="s">
        <v>502</v>
      </c>
      <c r="AD136" s="277">
        <f>M136</f>
        <v>0</v>
      </c>
      <c r="BN136" s="107"/>
      <c r="BO136" s="99"/>
    </row>
    <row r="137" spans="1:67" customFormat="1" ht="17.25" customHeight="1" thickTop="1" thickBot="1" x14ac:dyDescent="0.3">
      <c r="A137" s="99"/>
      <c r="B137" s="99"/>
      <c r="C137" s="144"/>
      <c r="D137" s="302" t="s">
        <v>50</v>
      </c>
      <c r="E137" s="326">
        <f>F41</f>
        <v>-7.004833333333333</v>
      </c>
      <c r="F137" s="326"/>
      <c r="G137" s="144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300" t="s">
        <v>50</v>
      </c>
      <c r="S137" s="319">
        <f>AD140</f>
        <v>-7.004833333333333</v>
      </c>
      <c r="T137" s="319"/>
      <c r="U137" s="320" t="str" cm="1">
        <f t="array" ref="U137">longitudeDecimal2Txt(S137)</f>
        <v>W 07°00.28 (W 07.0048) [W 07°00'17.39]</v>
      </c>
      <c r="V137" s="320"/>
      <c r="W137" s="320"/>
      <c r="X137" s="320"/>
      <c r="Y137" s="320"/>
      <c r="Z137" s="320"/>
      <c r="AA137" s="99"/>
      <c r="AB137" s="146"/>
      <c r="AC137" s="99"/>
      <c r="AD137" s="99"/>
      <c r="BN137" s="107"/>
      <c r="BO137" s="99"/>
    </row>
    <row r="138" spans="1:67" customFormat="1" ht="17.25" customHeight="1" thickTop="1" x14ac:dyDescent="0.25">
      <c r="A138" s="99"/>
      <c r="B138" s="99"/>
      <c r="C138" s="144"/>
      <c r="D138" s="99"/>
      <c r="E138" s="144"/>
      <c r="F138" s="144"/>
      <c r="G138" s="144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146"/>
      <c r="AC138" t="s">
        <v>538</v>
      </c>
      <c r="AD138">
        <f>E136+AD135*COS(AD136*Outils!$F$6)</f>
        <v>46</v>
      </c>
      <c r="BN138" s="107"/>
      <c r="BO138" s="99"/>
    </row>
    <row r="139" spans="1:67" customFormat="1" ht="17.25" customHeight="1" x14ac:dyDescent="0.25">
      <c r="A139" s="99"/>
      <c r="B139" s="99"/>
      <c r="F139" s="144"/>
      <c r="G139" s="144"/>
      <c r="H139" s="99"/>
      <c r="I139" s="99"/>
      <c r="J139" s="99"/>
      <c r="K139" s="99"/>
      <c r="L139" s="99"/>
      <c r="M139" s="99"/>
      <c r="N139" s="99"/>
      <c r="O139" s="99"/>
      <c r="P139" s="99"/>
      <c r="Q139" s="321" t="s">
        <v>537</v>
      </c>
      <c r="R139" s="321"/>
      <c r="S139" s="321"/>
      <c r="T139" s="99"/>
      <c r="U139" s="99"/>
      <c r="V139" s="99"/>
      <c r="W139" s="99"/>
      <c r="X139" s="99"/>
      <c r="Y139" s="99"/>
      <c r="Z139" s="99"/>
      <c r="AA139" s="99"/>
      <c r="AB139" s="146"/>
      <c r="AC139" t="s">
        <v>539</v>
      </c>
      <c r="AD139">
        <f>(E136+AD138)/2</f>
        <v>46</v>
      </c>
      <c r="BN139" s="107"/>
      <c r="BO139" s="99"/>
    </row>
    <row r="140" spans="1:67" customFormat="1" ht="17.25" customHeight="1" x14ac:dyDescent="0.25">
      <c r="A140" s="99"/>
      <c r="B140" s="99"/>
      <c r="C140" s="144"/>
      <c r="D140" s="144"/>
      <c r="E140" s="144"/>
      <c r="F140" s="144"/>
      <c r="G140" s="144"/>
      <c r="H140" s="99"/>
      <c r="I140" s="99"/>
      <c r="J140" s="99"/>
      <c r="K140" s="99"/>
      <c r="L140" s="99"/>
      <c r="M140" s="99"/>
      <c r="N140" s="99"/>
      <c r="O140" s="99"/>
      <c r="P140" s="99"/>
      <c r="Q140" s="99"/>
      <c r="R140" s="319">
        <f>M136-90</f>
        <v>-90</v>
      </c>
      <c r="S140" s="319"/>
      <c r="T140" s="133" t="s">
        <v>34</v>
      </c>
      <c r="U140" s="99"/>
      <c r="V140" s="99"/>
      <c r="W140" s="99"/>
      <c r="X140" s="99"/>
      <c r="Y140" s="99"/>
      <c r="Z140" s="99"/>
      <c r="AA140" s="99"/>
      <c r="AB140" s="146"/>
      <c r="AC140" t="s">
        <v>540</v>
      </c>
      <c r="AD140">
        <f>E137+(AD135*SIN(M136*Outils!$F$6)/COS(AD139*Outils!$F$6))</f>
        <v>-7.004833333333333</v>
      </c>
      <c r="BN140" s="107"/>
      <c r="BO140" s="99"/>
    </row>
    <row r="141" spans="1:67" customFormat="1" ht="17.25" customHeight="1" x14ac:dyDescent="0.25"/>
    <row r="142" spans="1:67" customFormat="1" ht="17.25" customHeight="1" thickBot="1" x14ac:dyDescent="0.3"/>
    <row r="143" spans="1:67" customFormat="1" ht="17.25" customHeight="1" thickBot="1" x14ac:dyDescent="0.3">
      <c r="B143" s="304" t="s">
        <v>541</v>
      </c>
      <c r="C143" s="305"/>
      <c r="D143" s="305"/>
      <c r="E143" s="305"/>
      <c r="F143" s="305"/>
      <c r="G143" s="305"/>
      <c r="H143" s="305"/>
      <c r="I143" s="305"/>
      <c r="J143" s="305"/>
      <c r="K143" s="305"/>
      <c r="L143" s="305"/>
      <c r="M143" s="305"/>
      <c r="N143" s="305"/>
      <c r="O143" s="305"/>
      <c r="P143" s="305"/>
      <c r="Q143" s="305"/>
      <c r="R143" s="305"/>
      <c r="S143" s="305"/>
      <c r="T143" s="305"/>
      <c r="U143" s="305"/>
      <c r="V143" s="305"/>
      <c r="W143" s="305"/>
      <c r="X143" s="305"/>
      <c r="Y143" s="305"/>
      <c r="Z143" s="305"/>
      <c r="AA143" s="306"/>
    </row>
    <row r="144" spans="1:67" customFormat="1" ht="17.25" customHeight="1" x14ac:dyDescent="0.25">
      <c r="AC144" t="s">
        <v>488</v>
      </c>
      <c r="AD144" s="277">
        <f>E146-S136</f>
        <v>0</v>
      </c>
      <c r="AF144" t="s">
        <v>550</v>
      </c>
      <c r="AG144" t="b">
        <f>IF(ABS(R140-90)&lt;1,TRUE, FALSE)</f>
        <v>0</v>
      </c>
    </row>
    <row r="145" spans="3:33" customFormat="1" ht="17.25" customHeight="1" thickBot="1" x14ac:dyDescent="0.3">
      <c r="C145" s="327" t="s">
        <v>536</v>
      </c>
      <c r="D145" s="327"/>
      <c r="E145" s="327"/>
      <c r="F145" s="327"/>
      <c r="G145" s="234"/>
      <c r="H145" s="99"/>
      <c r="I145" s="99"/>
      <c r="J145" s="99"/>
      <c r="K145" s="99"/>
      <c r="L145" s="99"/>
      <c r="Q145" s="299" t="s">
        <v>542</v>
      </c>
      <c r="R145" s="299"/>
      <c r="S145" s="299"/>
      <c r="T145" s="299"/>
      <c r="U145" s="299"/>
      <c r="V145" s="299"/>
      <c r="W145" s="299"/>
      <c r="AC145" t="s">
        <v>544</v>
      </c>
      <c r="AD145" s="277">
        <f>E147-S137</f>
        <v>4.8333333333330231E-3</v>
      </c>
    </row>
    <row r="146" spans="3:33" customFormat="1" ht="17.25" customHeight="1" thickTop="1" thickBot="1" x14ac:dyDescent="0.3">
      <c r="C146" s="303"/>
      <c r="D146" s="301" t="s">
        <v>49</v>
      </c>
      <c r="E146" s="328">
        <v>46</v>
      </c>
      <c r="F146" s="328"/>
      <c r="G146" s="320" t="str" cm="1">
        <f t="array" ref="G146">latitudeDecimal2Txt(E146)</f>
        <v>N 46°00.00 (N 46.0000) [N 46°00'00.00]</v>
      </c>
      <c r="H146" s="320"/>
      <c r="I146" s="320"/>
      <c r="J146" s="320"/>
      <c r="K146" s="320"/>
      <c r="L146" s="320"/>
      <c r="R146" s="300" t="s">
        <v>49</v>
      </c>
      <c r="S146" s="319">
        <f>AD150</f>
        <v>46</v>
      </c>
      <c r="T146" s="319"/>
      <c r="U146" s="320" t="str" cm="1">
        <f t="array" ref="U146">latitudeDecimal2Txt(S146)</f>
        <v>N 46°00.00 (N 46.0000) [N 46°00'00.00]</v>
      </c>
      <c r="V146" s="320"/>
      <c r="W146" s="320"/>
      <c r="X146" s="320"/>
      <c r="Y146" s="320"/>
      <c r="Z146" s="320"/>
      <c r="AC146" t="s">
        <v>543</v>
      </c>
      <c r="AD146">
        <f>TAN(R140*Outils!$F$6)</f>
        <v>-1.6324552277619072E+16</v>
      </c>
      <c r="AF146" t="s">
        <v>551</v>
      </c>
      <c r="AG146">
        <f>(AD146*AD144-AD145)/(AD147-AD148*AD146)</f>
        <v>5.9215508653912871E-19</v>
      </c>
    </row>
    <row r="147" spans="3:33" customFormat="1" ht="17.25" customHeight="1" thickTop="1" thickBot="1" x14ac:dyDescent="0.3">
      <c r="C147" s="303"/>
      <c r="D147" s="301" t="s">
        <v>50</v>
      </c>
      <c r="E147" s="328">
        <v>-7</v>
      </c>
      <c r="F147" s="328"/>
      <c r="G147" s="320" t="str" cm="1">
        <f t="array" ref="G147">longitudeDecimal2Txt(E147)</f>
        <v>W 07°00.00 (W 07.0000) [W 07°00'00.00]</v>
      </c>
      <c r="H147" s="320"/>
      <c r="I147" s="320"/>
      <c r="J147" s="320"/>
      <c r="K147" s="320"/>
      <c r="L147" s="320"/>
      <c r="R147" s="300" t="s">
        <v>50</v>
      </c>
      <c r="S147" s="319">
        <f>AD151</f>
        <v>-7</v>
      </c>
      <c r="T147" s="319"/>
      <c r="U147" s="320" t="str" cm="1">
        <f t="array" ref="U147">longitudeDecimal2Txt(S147)</f>
        <v>W 07°00.00 (W 07.0000) [W 07°00'00.00]</v>
      </c>
      <c r="V147" s="320"/>
      <c r="W147" s="320"/>
      <c r="X147" s="320"/>
      <c r="Y147" s="320"/>
      <c r="Z147" s="320"/>
      <c r="AC147" t="s">
        <v>545</v>
      </c>
      <c r="AD147">
        <f>SIN(D150*Outils!$F$6)</f>
        <v>0.86602540378443871</v>
      </c>
      <c r="AF147" t="s">
        <v>552</v>
      </c>
      <c r="AG147">
        <f>-AD144/AD148</f>
        <v>0</v>
      </c>
    </row>
    <row r="148" spans="3:33" customFormat="1" ht="17.25" customHeight="1" thickTop="1" x14ac:dyDescent="0.25">
      <c r="C148" s="99"/>
      <c r="D148" s="99"/>
      <c r="E148" s="99"/>
      <c r="F148" s="99"/>
      <c r="G148" s="99"/>
      <c r="H148" s="99"/>
      <c r="I148" s="99"/>
      <c r="J148" s="99"/>
      <c r="K148" s="99"/>
      <c r="L148" s="99"/>
      <c r="AC148" t="s">
        <v>546</v>
      </c>
      <c r="AD148">
        <f>COS(D150*Outils!$F$6)</f>
        <v>-0.49999999999999978</v>
      </c>
      <c r="AF148" t="s">
        <v>547</v>
      </c>
      <c r="AG148">
        <f>IF(AG144,AG147,AG146)</f>
        <v>5.9215508653912871E-19</v>
      </c>
    </row>
    <row r="149" spans="3:33" customFormat="1" ht="17.25" customHeight="1" x14ac:dyDescent="0.25">
      <c r="C149" s="327" t="s">
        <v>537</v>
      </c>
      <c r="D149" s="327"/>
      <c r="E149" s="327"/>
      <c r="F149" s="303"/>
      <c r="G149" s="99"/>
      <c r="H149" s="99"/>
      <c r="I149" s="99"/>
      <c r="J149" s="99"/>
      <c r="K149" s="99"/>
      <c r="L149" s="99"/>
    </row>
    <row r="150" spans="3:33" customFormat="1" ht="17.25" customHeight="1" x14ac:dyDescent="0.25">
      <c r="C150" s="303"/>
      <c r="D150" s="328">
        <v>120</v>
      </c>
      <c r="E150" s="328"/>
      <c r="F150" s="307" t="s">
        <v>34</v>
      </c>
      <c r="G150" s="99"/>
      <c r="H150" s="99"/>
      <c r="I150" s="99"/>
      <c r="J150" s="99"/>
      <c r="K150" s="99"/>
      <c r="L150" s="99"/>
      <c r="AC150" t="s">
        <v>548</v>
      </c>
      <c r="AD150">
        <f>E146+AG148*AD148</f>
        <v>46</v>
      </c>
    </row>
    <row r="151" spans="3:33" customFormat="1" ht="15" x14ac:dyDescent="0.25">
      <c r="AC151" t="s">
        <v>549</v>
      </c>
      <c r="AD151">
        <f>E147+AG148*AD147</f>
        <v>-7</v>
      </c>
    </row>
    <row r="152" spans="3:33" customFormat="1" ht="15" x14ac:dyDescent="0.25">
      <c r="S152" s="99"/>
      <c r="T152" s="99"/>
    </row>
    <row r="153" spans="3:33" customFormat="1" ht="15" x14ac:dyDescent="0.25"/>
    <row r="154" spans="3:33" customFormat="1" ht="17.25" customHeight="1" x14ac:dyDescent="0.25">
      <c r="P154" s="99"/>
      <c r="Q154" s="99"/>
    </row>
    <row r="155" spans="3:33" customFormat="1" ht="17.25" customHeight="1" x14ac:dyDescent="0.25"/>
    <row r="156" spans="3:33" customFormat="1" ht="15" x14ac:dyDescent="0.25">
      <c r="K156" s="99"/>
      <c r="L156" s="99"/>
    </row>
    <row r="157" spans="3:33" customFormat="1" ht="15" x14ac:dyDescent="0.25">
      <c r="K157" s="99"/>
      <c r="L157" s="99"/>
    </row>
    <row r="158" spans="3:33" customFormat="1" ht="15" x14ac:dyDescent="0.25">
      <c r="K158" s="99"/>
      <c r="L158" s="99"/>
    </row>
    <row r="159" spans="3:33" customFormat="1" ht="15" x14ac:dyDescent="0.25">
      <c r="K159" s="99"/>
      <c r="L159" s="99"/>
    </row>
    <row r="160" spans="3:33" customFormat="1" ht="15" x14ac:dyDescent="0.25">
      <c r="K160" s="99"/>
      <c r="L160" s="99"/>
    </row>
    <row r="161" spans="11:30" customFormat="1" ht="15" x14ac:dyDescent="0.25">
      <c r="K161" s="99"/>
      <c r="L161" s="99"/>
    </row>
    <row r="162" spans="11:30" customFormat="1" ht="15" x14ac:dyDescent="0.25">
      <c r="K162" s="99"/>
      <c r="L162" s="99"/>
    </row>
    <row r="163" spans="11:30" s="16" customFormat="1" ht="15" x14ac:dyDescent="0.25">
      <c r="AA163" s="31"/>
      <c r="AB163"/>
      <c r="AC163"/>
      <c r="AD163"/>
    </row>
  </sheetData>
  <sheetProtection selectLockedCells="1"/>
  <protectedRanges>
    <protectedRange sqref="I11:Y11" name="Heure visee" securityDescriptor="O:WDG:WDD:(A;;CC;;;WD)"/>
  </protectedRanges>
  <dataConsolidate link="1"/>
  <mergeCells count="245">
    <mergeCell ref="O107:T107"/>
    <mergeCell ref="H118:L118"/>
    <mergeCell ref="O118:T118"/>
    <mergeCell ref="O109:P109"/>
    <mergeCell ref="Q109:S109"/>
    <mergeCell ref="Q113:R113"/>
    <mergeCell ref="T113:W113"/>
    <mergeCell ref="Q114:R114"/>
    <mergeCell ref="T114:W114"/>
    <mergeCell ref="D150:E150"/>
    <mergeCell ref="B105:AA105"/>
    <mergeCell ref="E112:O112"/>
    <mergeCell ref="E113:E114"/>
    <mergeCell ref="F113:J113"/>
    <mergeCell ref="K113:O113"/>
    <mergeCell ref="F114:J114"/>
    <mergeCell ref="K114:O114"/>
    <mergeCell ref="E115:J115"/>
    <mergeCell ref="K115:O115"/>
    <mergeCell ref="U146:Z146"/>
    <mergeCell ref="E147:F147"/>
    <mergeCell ref="G147:L147"/>
    <mergeCell ref="S147:T147"/>
    <mergeCell ref="U147:Z147"/>
    <mergeCell ref="C149:E149"/>
    <mergeCell ref="Q139:S139"/>
    <mergeCell ref="R140:S140"/>
    <mergeCell ref="C145:F145"/>
    <mergeCell ref="E146:F146"/>
    <mergeCell ref="G146:L146"/>
    <mergeCell ref="S146:T146"/>
    <mergeCell ref="E136:F136"/>
    <mergeCell ref="I136:J136"/>
    <mergeCell ref="M136:N136"/>
    <mergeCell ref="S136:T136"/>
    <mergeCell ref="U136:Z136"/>
    <mergeCell ref="E137:F137"/>
    <mergeCell ref="S137:T137"/>
    <mergeCell ref="U137:Z137"/>
    <mergeCell ref="C135:F135"/>
    <mergeCell ref="H135:J135"/>
    <mergeCell ref="L135:N135"/>
    <mergeCell ref="Q135:T135"/>
    <mergeCell ref="I109:M109"/>
    <mergeCell ref="E107:H109"/>
    <mergeCell ref="I107:M108"/>
    <mergeCell ref="O108:P108"/>
    <mergeCell ref="Q108:S108"/>
    <mergeCell ref="L101:M101"/>
    <mergeCell ref="O101:P101"/>
    <mergeCell ref="W101:AA101"/>
    <mergeCell ref="H103:N103"/>
    <mergeCell ref="O103:R103"/>
    <mergeCell ref="U103:Z103"/>
    <mergeCell ref="U98:V98"/>
    <mergeCell ref="K99:K100"/>
    <mergeCell ref="N99:N100"/>
    <mergeCell ref="Q99:Q100"/>
    <mergeCell ref="U99:V99"/>
    <mergeCell ref="L100:M100"/>
    <mergeCell ref="O100:P100"/>
    <mergeCell ref="H93:N93"/>
    <mergeCell ref="O93:R93"/>
    <mergeCell ref="U93:Z93"/>
    <mergeCell ref="F95:I95"/>
    <mergeCell ref="J95:L95"/>
    <mergeCell ref="U97:V97"/>
    <mergeCell ref="I89:N89"/>
    <mergeCell ref="O89:R90"/>
    <mergeCell ref="S89:S90"/>
    <mergeCell ref="I90:N90"/>
    <mergeCell ref="I91:N91"/>
    <mergeCell ref="O91:R91"/>
    <mergeCell ref="G86:S86"/>
    <mergeCell ref="G87:H88"/>
    <mergeCell ref="I87:N87"/>
    <mergeCell ref="O87:R88"/>
    <mergeCell ref="S87:S88"/>
    <mergeCell ref="AD87:AE87"/>
    <mergeCell ref="I88:N88"/>
    <mergeCell ref="AD83:AE83"/>
    <mergeCell ref="H84:N84"/>
    <mergeCell ref="O84:R84"/>
    <mergeCell ref="U84:Z84"/>
    <mergeCell ref="AD84:AE84"/>
    <mergeCell ref="AD85:AE85"/>
    <mergeCell ref="H80:N80"/>
    <mergeCell ref="O80:R80"/>
    <mergeCell ref="U80:Z80"/>
    <mergeCell ref="H82:N82"/>
    <mergeCell ref="O82:R82"/>
    <mergeCell ref="H83:N83"/>
    <mergeCell ref="O83:R83"/>
    <mergeCell ref="S77:U77"/>
    <mergeCell ref="H78:N78"/>
    <mergeCell ref="O78:R78"/>
    <mergeCell ref="S78:U78"/>
    <mergeCell ref="H79:N79"/>
    <mergeCell ref="O79:R79"/>
    <mergeCell ref="S79:U79"/>
    <mergeCell ref="M72:P72"/>
    <mergeCell ref="M73:P73"/>
    <mergeCell ref="H74:N74"/>
    <mergeCell ref="O74:R74"/>
    <mergeCell ref="U74:Z74"/>
    <mergeCell ref="H75:N75"/>
    <mergeCell ref="O75:R75"/>
    <mergeCell ref="U75:Z75"/>
    <mergeCell ref="H68:N68"/>
    <mergeCell ref="O68:R68"/>
    <mergeCell ref="U68:Z68"/>
    <mergeCell ref="M69:P69"/>
    <mergeCell ref="H70:N70"/>
    <mergeCell ref="O70:P70"/>
    <mergeCell ref="R70:S70"/>
    <mergeCell ref="U70:Z70"/>
    <mergeCell ref="H66:N66"/>
    <mergeCell ref="O66:R66"/>
    <mergeCell ref="U66:Z66"/>
    <mergeCell ref="H67:N67"/>
    <mergeCell ref="O67:R67"/>
    <mergeCell ref="U67:Z67"/>
    <mergeCell ref="S63:U63"/>
    <mergeCell ref="V63:Z63"/>
    <mergeCell ref="C64:F64"/>
    <mergeCell ref="G64:I64"/>
    <mergeCell ref="AC64:AC65"/>
    <mergeCell ref="F65:I65"/>
    <mergeCell ref="J65:L65"/>
    <mergeCell ref="D63:E63"/>
    <mergeCell ref="F63:H63"/>
    <mergeCell ref="M63:N63"/>
    <mergeCell ref="V58:Y59"/>
    <mergeCell ref="F60:K60"/>
    <mergeCell ref="P60:T60"/>
    <mergeCell ref="U60:Y60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C19:I19"/>
    <mergeCell ref="J19:L19"/>
    <mergeCell ref="M19:O19"/>
    <mergeCell ref="C20:I20"/>
    <mergeCell ref="J20:L20"/>
    <mergeCell ref="M20:O20"/>
    <mergeCell ref="P16:X16"/>
    <mergeCell ref="C17:I17"/>
    <mergeCell ref="J17:L17"/>
    <mergeCell ref="M17:O17"/>
    <mergeCell ref="P17:X17"/>
    <mergeCell ref="C18:I18"/>
    <mergeCell ref="J18:L18"/>
    <mergeCell ref="M18:O18"/>
    <mergeCell ref="P18:X18"/>
    <mergeCell ref="E12:H12"/>
    <mergeCell ref="C15:I15"/>
    <mergeCell ref="J15:O15"/>
    <mergeCell ref="C16:I16"/>
    <mergeCell ref="J16:L16"/>
    <mergeCell ref="M16:O16"/>
    <mergeCell ref="Q9:U10"/>
    <mergeCell ref="V9:Y10"/>
    <mergeCell ref="E11:H11"/>
    <mergeCell ref="I11:K11"/>
    <mergeCell ref="L11:P11"/>
    <mergeCell ref="Q11:U11"/>
    <mergeCell ref="V11:Y11"/>
    <mergeCell ref="C8:D8"/>
    <mergeCell ref="E8:G8"/>
    <mergeCell ref="I8:K8"/>
    <mergeCell ref="L8:O8"/>
    <mergeCell ref="C9:D11"/>
    <mergeCell ref="E9:H10"/>
    <mergeCell ref="I9:K10"/>
    <mergeCell ref="L9:P10"/>
    <mergeCell ref="C1:F4"/>
    <mergeCell ref="G1:Y2"/>
    <mergeCell ref="G3:I4"/>
    <mergeCell ref="J3:L4"/>
    <mergeCell ref="N3:P4"/>
    <mergeCell ref="Q3:S4"/>
  </mergeCells>
  <dataValidations count="7">
    <dataValidation type="list" allowBlank="1" showInputMessage="1" showErrorMessage="1" sqref="M43 I43 I41 R43" xr:uid="{D32574AA-8BF0-4CBE-9CAB-3FD2757CDE83}">
      <formula1>$B$38:$B$39</formula1>
    </dataValidation>
    <dataValidation type="list" allowBlank="1" showInputMessage="1" showErrorMessage="1" sqref="I36:I37 P58:P59 U58:U59 P50:P53" xr:uid="{3B5F6906-6EEA-4E08-A0C3-C1D5DAE02C48}">
      <formula1>$A$38:$A$39</formula1>
    </dataValidation>
    <dataValidation type="list" allowBlank="1" showInputMessage="1" showErrorMessage="1" sqref="M23:O23" xr:uid="{46D9BFFB-766A-491E-8840-FABD452081F7}">
      <formula1>$AD$27:$AF$27</formula1>
    </dataValidation>
    <dataValidation type="list" allowBlank="1" showInputMessage="1" showErrorMessage="1" sqref="M22:O22" xr:uid="{F39B73BF-68DC-4933-905B-2080A188E988}">
      <formula1>$AD$23:$AF$23</formula1>
    </dataValidation>
    <dataValidation type="list" allowBlank="1" showInputMessage="1" showErrorMessage="1" sqref="G64:I64" xr:uid="{26C2D47B-39F4-43F1-9FDB-BE88B518D5AB}">
      <formula1>$AD$64:$AD$65</formula1>
    </dataValidation>
    <dataValidation type="list" allowBlank="1" showInputMessage="1" showErrorMessage="1" sqref="G46:I46" xr:uid="{B80DE897-6191-4207-8AD8-D86F14352946}">
      <formula1>$AD$46:$AD$47</formula1>
    </dataValidation>
    <dataValidation type="list" allowBlank="1" showInputMessage="1" showErrorMessage="1" sqref="J15:O15" xr:uid="{085B4DBA-5CF9-4829-A498-52FBF4F06D5F}">
      <formula1>$AC$15:$AD$15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O152"/>
  <sheetViews>
    <sheetView topLeftCell="A10" zoomScaleNormal="100" workbookViewId="0">
      <selection activeCell="V154" sqref="V154"/>
    </sheetView>
  </sheetViews>
  <sheetFormatPr baseColWidth="10" defaultColWidth="5.140625" defaultRowHeight="17.25" customHeight="1" outlineLevelCol="1" x14ac:dyDescent="0.25"/>
  <cols>
    <col min="1" max="2" width="6.42578125" style="99" customWidth="1"/>
    <col min="3" max="7" width="7" style="144" customWidth="1"/>
    <col min="8" max="9" width="7" style="99" customWidth="1"/>
    <col min="10" max="10" width="6.42578125" style="99" customWidth="1"/>
    <col min="11" max="11" width="8" style="99" customWidth="1"/>
    <col min="12" max="19" width="6.42578125" style="99" customWidth="1"/>
    <col min="20" max="20" width="7.28515625" style="99" customWidth="1"/>
    <col min="21" max="21" width="6.42578125" style="99" customWidth="1"/>
    <col min="22" max="22" width="7.28515625" style="99" customWidth="1"/>
    <col min="23" max="27" width="6.42578125" style="99" customWidth="1"/>
    <col min="28" max="28" width="1.28515625" style="146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7" customWidth="1" outlineLevel="1"/>
    <col min="68" max="16384" width="5.140625" style="99"/>
  </cols>
  <sheetData>
    <row r="1" spans="1:66" ht="17.25" customHeight="1" x14ac:dyDescent="0.25">
      <c r="C1" s="412" t="s">
        <v>236</v>
      </c>
      <c r="D1" s="412"/>
      <c r="E1" s="412"/>
      <c r="F1" s="412"/>
      <c r="G1" s="403" t="s">
        <v>237</v>
      </c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</row>
    <row r="2" spans="1:66" ht="17.25" customHeight="1" x14ac:dyDescent="0.25">
      <c r="C2" s="412"/>
      <c r="D2" s="412"/>
      <c r="E2" s="412"/>
      <c r="F2" s="412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</row>
    <row r="3" spans="1:66" ht="17.25" customHeight="1" x14ac:dyDescent="0.25">
      <c r="C3" s="412"/>
      <c r="D3" s="412"/>
      <c r="E3" s="412"/>
      <c r="F3" s="412"/>
      <c r="G3" s="408" t="s">
        <v>241</v>
      </c>
      <c r="H3" s="408"/>
      <c r="I3" s="408"/>
      <c r="J3" s="410" t="s">
        <v>240</v>
      </c>
      <c r="K3" s="410"/>
      <c r="L3" s="410"/>
    </row>
    <row r="4" spans="1:66" ht="17.25" customHeight="1" x14ac:dyDescent="0.25">
      <c r="C4" s="412"/>
      <c r="D4" s="412"/>
      <c r="E4" s="412"/>
      <c r="F4" s="412"/>
      <c r="G4" s="409"/>
      <c r="H4" s="409"/>
      <c r="I4" s="409"/>
      <c r="J4" s="411"/>
      <c r="K4" s="411"/>
      <c r="L4" s="411"/>
      <c r="O4" s="99" t="s">
        <v>47</v>
      </c>
      <c r="P4" s="99" t="s">
        <v>363</v>
      </c>
    </row>
    <row r="6" spans="1:66" ht="17.25" customHeight="1" thickBot="1" x14ac:dyDescent="0.3"/>
    <row r="7" spans="1:66" ht="17.25" customHeight="1" thickBot="1" x14ac:dyDescent="0.3">
      <c r="B7" s="108" t="s">
        <v>0</v>
      </c>
      <c r="C7" s="109"/>
      <c r="D7" s="109"/>
      <c r="E7" s="143" t="str">
        <f>E8</f>
        <v>21/04/2024</v>
      </c>
      <c r="F7" s="143"/>
      <c r="G7" s="143" t="str" cm="1">
        <f t="array" ref="G7">heureDecimal2Txt(E11)</f>
        <v>18:48:51.00(18.8141)</v>
      </c>
      <c r="H7" s="143"/>
      <c r="I7" s="143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47"/>
    </row>
    <row r="8" spans="1:66" ht="17.25" customHeight="1" x14ac:dyDescent="0.25">
      <c r="C8" s="404" t="s">
        <v>1</v>
      </c>
      <c r="D8" s="405"/>
      <c r="E8" s="892" t="s">
        <v>513</v>
      </c>
      <c r="F8" s="893"/>
      <c r="G8" s="893"/>
      <c r="H8" s="144"/>
      <c r="AC8" s="6" t="s">
        <v>328</v>
      </c>
      <c r="AD8" s="6" cm="1">
        <f t="array" ref="AD8">heureConvert2Decimal(I11)</f>
        <v>20.814166666666669</v>
      </c>
    </row>
    <row r="9" spans="1:66" ht="17.25" customHeight="1" thickBot="1" x14ac:dyDescent="0.3">
      <c r="C9" s="380" t="s">
        <v>11</v>
      </c>
      <c r="D9" s="382"/>
      <c r="E9" s="380" t="s">
        <v>2</v>
      </c>
      <c r="F9" s="381"/>
      <c r="G9" s="381"/>
      <c r="H9" s="382"/>
      <c r="I9" s="523" t="s">
        <v>192</v>
      </c>
      <c r="J9" s="523"/>
      <c r="K9" s="523"/>
      <c r="L9" s="523" t="s">
        <v>193</v>
      </c>
      <c r="M9" s="523"/>
      <c r="N9" s="523"/>
      <c r="O9" s="523"/>
      <c r="P9" s="523"/>
      <c r="Q9" s="523" t="s">
        <v>194</v>
      </c>
      <c r="R9" s="523"/>
      <c r="S9" s="523"/>
      <c r="T9" s="523"/>
      <c r="U9" s="523"/>
      <c r="V9" s="508" t="s">
        <v>191</v>
      </c>
      <c r="W9" s="509"/>
      <c r="X9" s="509"/>
      <c r="Y9" s="510"/>
      <c r="AB9" s="148"/>
      <c r="AC9" s="6" t="s">
        <v>329</v>
      </c>
      <c r="AD9" s="152">
        <f>L11</f>
        <v>-2</v>
      </c>
    </row>
    <row r="10" spans="1:66" ht="17.25" customHeight="1" x14ac:dyDescent="0.25">
      <c r="C10" s="406"/>
      <c r="D10" s="407"/>
      <c r="E10" s="383"/>
      <c r="F10" s="384"/>
      <c r="G10" s="384"/>
      <c r="H10" s="385"/>
      <c r="I10" s="523"/>
      <c r="J10" s="523"/>
      <c r="K10" s="523"/>
      <c r="L10" s="523"/>
      <c r="M10" s="523"/>
      <c r="N10" s="523"/>
      <c r="O10" s="523"/>
      <c r="P10" s="523"/>
      <c r="Q10" s="523"/>
      <c r="R10" s="523"/>
      <c r="S10" s="523"/>
      <c r="T10" s="523"/>
      <c r="U10" s="523"/>
      <c r="V10" s="511"/>
      <c r="W10" s="512"/>
      <c r="X10" s="512"/>
      <c r="Y10" s="513"/>
      <c r="AC10" s="6" t="s">
        <v>330</v>
      </c>
      <c r="AD10" s="6">
        <f>Q11/3600</f>
        <v>0</v>
      </c>
    </row>
    <row r="11" spans="1:66" customFormat="1" ht="17.25" customHeight="1" thickBot="1" x14ac:dyDescent="0.3">
      <c r="A11" s="99"/>
      <c r="B11" s="99"/>
      <c r="C11" s="383"/>
      <c r="D11" s="385"/>
      <c r="E11" s="355">
        <f>AD8+AD9+AD10+AD11</f>
        <v>18.814166666666669</v>
      </c>
      <c r="F11" s="356"/>
      <c r="G11" s="356"/>
      <c r="H11" s="357"/>
      <c r="I11" s="522" t="s">
        <v>514</v>
      </c>
      <c r="J11" s="522"/>
      <c r="K11" s="522"/>
      <c r="L11" s="558">
        <v>-2</v>
      </c>
      <c r="M11" s="558"/>
      <c r="N11" s="558"/>
      <c r="O11" s="558"/>
      <c r="P11" s="558"/>
      <c r="Q11" s="558">
        <v>0</v>
      </c>
      <c r="R11" s="558"/>
      <c r="S11" s="558"/>
      <c r="T11" s="558"/>
      <c r="U11" s="559"/>
      <c r="V11" s="557" t="s">
        <v>190</v>
      </c>
      <c r="W11" s="557"/>
      <c r="X11" s="557"/>
      <c r="Y11" s="557"/>
      <c r="Z11" s="99"/>
      <c r="AA11" s="99"/>
      <c r="AB11" s="146"/>
      <c r="AC11" s="6" t="s">
        <v>36</v>
      </c>
      <c r="AD11" s="6" cm="1">
        <f t="array" ref="AD11">heureConvert2Decimal(V11) / 60</f>
        <v>0</v>
      </c>
      <c r="BN11" s="107"/>
    </row>
    <row r="12" spans="1:66" customFormat="1" ht="17.25" customHeight="1" thickTop="1" thickBot="1" x14ac:dyDescent="0.3">
      <c r="B12" s="99"/>
      <c r="E12" s="601" t="str" cm="1">
        <f t="array" ref="E12">heureDecimal2Txt(E11)</f>
        <v>18:48:51.00(18.8141)</v>
      </c>
      <c r="F12" s="602"/>
      <c r="G12" s="602"/>
      <c r="H12" s="603"/>
      <c r="I12" s="41"/>
      <c r="J12" s="41"/>
      <c r="K12" s="41"/>
      <c r="V12" s="41"/>
      <c r="W12" s="41"/>
      <c r="X12" s="41"/>
      <c r="Y12" s="41"/>
      <c r="Z12" s="99"/>
      <c r="AA12" s="99"/>
      <c r="AB12" s="146"/>
      <c r="BN12" s="107"/>
    </row>
    <row r="13" spans="1:66" customFormat="1" ht="17.25" customHeight="1" thickTop="1" thickBot="1" x14ac:dyDescent="0.3">
      <c r="B13" s="99"/>
      <c r="C13" s="98"/>
      <c r="D13" s="98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9"/>
      <c r="AA13" s="99"/>
      <c r="AB13" s="146"/>
      <c r="BN13" s="107"/>
    </row>
    <row r="14" spans="1:66" customFormat="1" ht="17.25" customHeight="1" thickBot="1" x14ac:dyDescent="0.3">
      <c r="A14" s="99"/>
      <c r="B14" s="108" t="s">
        <v>20</v>
      </c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47"/>
      <c r="BN14" s="107"/>
    </row>
    <row r="15" spans="1:66" customFormat="1" ht="18" customHeight="1" thickBot="1" x14ac:dyDescent="0.3">
      <c r="A15" s="99"/>
      <c r="C15" s="367" t="s">
        <v>331</v>
      </c>
      <c r="D15" s="368"/>
      <c r="E15" s="368"/>
      <c r="F15" s="368"/>
      <c r="G15" s="368"/>
      <c r="H15" s="368"/>
      <c r="I15" s="369"/>
      <c r="J15" s="370" t="s">
        <v>332</v>
      </c>
      <c r="K15" s="370"/>
      <c r="L15" s="370"/>
      <c r="M15" s="370"/>
      <c r="N15" s="370"/>
      <c r="O15" s="370"/>
      <c r="AB15" s="146"/>
      <c r="AC15" s="153" t="s">
        <v>332</v>
      </c>
      <c r="AD15" s="153" t="s">
        <v>333</v>
      </c>
      <c r="BN15" s="107"/>
    </row>
    <row r="16" spans="1:66" customFormat="1" ht="18" customHeight="1" thickTop="1" thickBot="1" x14ac:dyDescent="0.3">
      <c r="A16" s="99"/>
      <c r="B16" s="97"/>
      <c r="C16" s="367" t="s">
        <v>230</v>
      </c>
      <c r="D16" s="368"/>
      <c r="E16" s="368"/>
      <c r="F16" s="368"/>
      <c r="G16" s="368"/>
      <c r="H16" s="368"/>
      <c r="I16" s="369"/>
      <c r="J16" s="364" cm="1">
        <f t="array" ref="J16">angleConvert2Decimal(M16)</f>
        <v>0.9</v>
      </c>
      <c r="K16" s="365"/>
      <c r="L16" s="366"/>
      <c r="M16" s="361" t="s">
        <v>515</v>
      </c>
      <c r="N16" s="362"/>
      <c r="O16" s="363"/>
      <c r="P16" s="358" t="str" cm="1">
        <f t="array" ref="P16">angleDecimal2Txt(J16)</f>
        <v>+00°54.00 (+00.9000) [+00°54'00.00]</v>
      </c>
      <c r="Q16" s="359"/>
      <c r="R16" s="359"/>
      <c r="S16" s="359"/>
      <c r="T16" s="359"/>
      <c r="U16" s="359"/>
      <c r="V16" s="359"/>
      <c r="W16" s="359"/>
      <c r="X16" s="360"/>
      <c r="Y16" s="97"/>
      <c r="Z16" s="99"/>
      <c r="AA16" s="99"/>
      <c r="AB16" s="146"/>
      <c r="BN16" s="107"/>
    </row>
    <row r="17" spans="1:66" customFormat="1" ht="18" customHeight="1" thickTop="1" thickBot="1" x14ac:dyDescent="0.3">
      <c r="A17" s="99"/>
      <c r="B17" s="99"/>
      <c r="C17" s="525" t="s">
        <v>229</v>
      </c>
      <c r="D17" s="525"/>
      <c r="E17" s="525"/>
      <c r="F17" s="525"/>
      <c r="G17" s="525"/>
      <c r="H17" s="525"/>
      <c r="I17" s="525"/>
      <c r="J17" s="492" cm="1">
        <f t="array" ref="J17">angleConvert2Decimal(M17)</f>
        <v>41.9</v>
      </c>
      <c r="K17" s="563"/>
      <c r="L17" s="474"/>
      <c r="M17" s="419" t="s">
        <v>516</v>
      </c>
      <c r="N17" s="420"/>
      <c r="O17" s="421"/>
      <c r="P17" s="346" t="str" cm="1">
        <f t="array" ref="P17">angleDecimal2Txt(J17)</f>
        <v>+41°54.00 (+41.8999) [+41°54'00.00]</v>
      </c>
      <c r="Q17" s="346"/>
      <c r="R17" s="346"/>
      <c r="S17" s="346"/>
      <c r="T17" s="346"/>
      <c r="U17" s="346"/>
      <c r="V17" s="346"/>
      <c r="W17" s="346"/>
      <c r="X17" s="346"/>
      <c r="Y17" s="97"/>
      <c r="Z17" s="99"/>
      <c r="AA17" s="99"/>
      <c r="AB17" s="146"/>
      <c r="BN17" s="107"/>
    </row>
    <row r="18" spans="1:66" customFormat="1" ht="18" customHeight="1" thickTop="1" thickBot="1" x14ac:dyDescent="0.3">
      <c r="A18" s="99"/>
      <c r="B18" s="99"/>
      <c r="C18" s="525" t="s">
        <v>239</v>
      </c>
      <c r="D18" s="525"/>
      <c r="E18" s="525"/>
      <c r="F18" s="525"/>
      <c r="G18" s="525"/>
      <c r="H18" s="525"/>
      <c r="I18" s="525"/>
      <c r="J18" s="492" cm="1">
        <f t="array" ref="J18">angleConvert2Decimal(M18)</f>
        <v>20.5</v>
      </c>
      <c r="K18" s="563"/>
      <c r="L18" s="474"/>
      <c r="M18" s="419">
        <f>(J17-J16)/2</f>
        <v>20.5</v>
      </c>
      <c r="N18" s="420"/>
      <c r="O18" s="421"/>
      <c r="P18" s="346" t="str" cm="1">
        <f t="array" ref="P18">angleDecimal2Txt(J18)</f>
        <v>+20°30.00 (+20.5000) [+20°30'00.00]</v>
      </c>
      <c r="Q18" s="346"/>
      <c r="R18" s="346"/>
      <c r="S18" s="346"/>
      <c r="T18" s="346"/>
      <c r="U18" s="346"/>
      <c r="V18" s="346"/>
      <c r="W18" s="346"/>
      <c r="X18" s="346"/>
      <c r="Y18" s="97"/>
      <c r="Z18" s="99"/>
      <c r="AA18" s="99"/>
      <c r="AB18" s="146"/>
      <c r="BN18" s="107"/>
    </row>
    <row r="19" spans="1:66" customFormat="1" ht="18" customHeight="1" thickTop="1" thickBot="1" x14ac:dyDescent="0.3">
      <c r="A19" s="99"/>
      <c r="B19" s="99"/>
      <c r="C19" s="622" t="s">
        <v>21</v>
      </c>
      <c r="D19" s="622"/>
      <c r="E19" s="622"/>
      <c r="F19" s="622"/>
      <c r="G19" s="622"/>
      <c r="H19" s="622"/>
      <c r="I19" s="622"/>
      <c r="J19" s="560">
        <f>M19</f>
        <v>0</v>
      </c>
      <c r="K19" s="561"/>
      <c r="L19" s="562"/>
      <c r="M19" s="520">
        <v>0</v>
      </c>
      <c r="N19" s="520"/>
      <c r="O19" s="520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9"/>
      <c r="AA19" s="99"/>
      <c r="AB19" s="146"/>
      <c r="BN19" s="107"/>
    </row>
    <row r="20" spans="1:66" customFormat="1" ht="18" customHeight="1" thickTop="1" thickBot="1" x14ac:dyDescent="0.3">
      <c r="A20" s="99"/>
      <c r="B20" s="97"/>
      <c r="C20" s="783" t="s">
        <v>22</v>
      </c>
      <c r="D20" s="784"/>
      <c r="E20" s="784"/>
      <c r="F20" s="784"/>
      <c r="G20" s="784"/>
      <c r="H20" s="784"/>
      <c r="I20" s="785"/>
      <c r="J20" s="334" cm="1">
        <f t="array" ref="J20">angleConvert2Decimal(M20)</f>
        <v>0</v>
      </c>
      <c r="K20" s="433"/>
      <c r="L20" s="433"/>
      <c r="M20" s="519">
        <v>0</v>
      </c>
      <c r="N20" s="520"/>
      <c r="O20" s="520"/>
      <c r="P20" s="346" t="str" cm="1">
        <f t="array" ref="P20">angleDecimal2Txt(J20)</f>
        <v>+00°00.00 (+00.0000) [+00°00'00.00]</v>
      </c>
      <c r="Q20" s="346"/>
      <c r="R20" s="346"/>
      <c r="S20" s="346"/>
      <c r="T20" s="346"/>
      <c r="U20" s="346"/>
      <c r="V20" s="346"/>
      <c r="W20" s="346"/>
      <c r="X20" s="346"/>
      <c r="Y20" s="97"/>
      <c r="Z20" s="99"/>
      <c r="AA20" s="99"/>
      <c r="AB20" s="146"/>
      <c r="BN20" s="107"/>
    </row>
    <row r="21" spans="1:66" customFormat="1" ht="18" customHeight="1" thickTop="1" thickBot="1" x14ac:dyDescent="0.3">
      <c r="A21" s="99"/>
      <c r="B21" s="99"/>
      <c r="C21" s="629" t="s">
        <v>32</v>
      </c>
      <c r="D21" s="629"/>
      <c r="E21" s="629"/>
      <c r="F21" s="629"/>
      <c r="G21" s="629"/>
      <c r="H21" s="629"/>
      <c r="I21" s="629"/>
      <c r="J21" s="894" cm="1">
        <f t="array" ref="J21">IF(J15=AC15,J18,angleConvert2Decimal(M21))</f>
        <v>20.5</v>
      </c>
      <c r="K21" s="895"/>
      <c r="L21" s="895"/>
      <c r="M21" s="896" t="s">
        <v>232</v>
      </c>
      <c r="N21" s="897"/>
      <c r="O21" s="898"/>
      <c r="P21" s="346" t="str" cm="1">
        <f t="array" ref="P21">angleDecimal2Txt(J21)</f>
        <v>+20°30.00 (+20.5000) [+20°30'00.00]</v>
      </c>
      <c r="Q21" s="346"/>
      <c r="R21" s="346"/>
      <c r="S21" s="346"/>
      <c r="T21" s="346"/>
      <c r="U21" s="346"/>
      <c r="V21" s="346"/>
      <c r="W21" s="346"/>
      <c r="X21" s="346"/>
      <c r="Y21" s="97"/>
      <c r="Z21" s="99"/>
      <c r="AA21" s="99"/>
      <c r="AB21" s="146"/>
      <c r="BN21" s="107"/>
    </row>
    <row r="22" spans="1:66" customFormat="1" ht="18" customHeight="1" thickTop="1" x14ac:dyDescent="0.25">
      <c r="A22" s="99"/>
      <c r="B22" s="99"/>
      <c r="C22" s="622" t="s">
        <v>37</v>
      </c>
      <c r="D22" s="622"/>
      <c r="E22" s="622"/>
      <c r="F22" s="622"/>
      <c r="G22" s="622"/>
      <c r="H22" s="622"/>
      <c r="I22" s="622"/>
      <c r="J22" s="623" t="str">
        <f>M22</f>
        <v>Lune</v>
      </c>
      <c r="K22" s="624"/>
      <c r="L22" s="625"/>
      <c r="M22" s="899" t="s">
        <v>40</v>
      </c>
      <c r="N22" s="900"/>
      <c r="O22" s="901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9"/>
      <c r="AA22" s="99"/>
      <c r="AB22" s="146"/>
      <c r="AG22" s="99"/>
      <c r="AH22" s="99"/>
      <c r="BN22" s="107"/>
    </row>
    <row r="23" spans="1:66" customFormat="1" ht="18" customHeight="1" x14ac:dyDescent="0.25">
      <c r="A23" s="99"/>
      <c r="B23" s="99"/>
      <c r="C23" s="622" t="s">
        <v>84</v>
      </c>
      <c r="D23" s="622"/>
      <c r="E23" s="622"/>
      <c r="F23" s="622"/>
      <c r="G23" s="622"/>
      <c r="H23" s="622"/>
      <c r="I23" s="622"/>
      <c r="J23" s="342" t="str">
        <f>M23</f>
        <v>BordInf</v>
      </c>
      <c r="K23" s="342"/>
      <c r="L23" s="342"/>
      <c r="M23" s="515" t="s">
        <v>85</v>
      </c>
      <c r="N23" s="515"/>
      <c r="O23" s="515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9"/>
      <c r="AA23" s="99"/>
      <c r="AB23" s="146"/>
      <c r="AC23" s="154" t="s">
        <v>357</v>
      </c>
      <c r="AD23" s="155" t="s">
        <v>39</v>
      </c>
      <c r="AE23" s="155" t="s">
        <v>40</v>
      </c>
      <c r="AF23" s="155" t="s">
        <v>38</v>
      </c>
      <c r="AG23" s="99"/>
      <c r="AH23" s="99"/>
      <c r="BN23" s="107"/>
    </row>
    <row r="24" spans="1:66" customFormat="1" ht="17.25" customHeight="1" x14ac:dyDescent="0.25">
      <c r="A24" s="99"/>
      <c r="B24" s="99"/>
      <c r="C24" s="630" t="s">
        <v>314</v>
      </c>
      <c r="D24" s="631"/>
      <c r="E24" s="110"/>
      <c r="F24" s="110"/>
      <c r="G24" s="110"/>
      <c r="H24" s="110"/>
      <c r="I24" s="111"/>
      <c r="J24" s="539" cm="1">
        <f t="array" ref="J24">angleConvert2Decimal(M24)</f>
        <v>0.90380000000000005</v>
      </c>
      <c r="K24" s="338"/>
      <c r="L24" s="339"/>
      <c r="M24" s="545" t="s">
        <v>517</v>
      </c>
      <c r="N24" s="546"/>
      <c r="O24" s="546"/>
      <c r="P24" s="551" t="s">
        <v>129</v>
      </c>
      <c r="Q24" s="551"/>
      <c r="R24" s="551"/>
      <c r="S24" s="97"/>
      <c r="T24" s="97"/>
      <c r="U24" s="97"/>
      <c r="V24" s="97"/>
      <c r="W24" s="97"/>
      <c r="X24" s="97"/>
      <c r="Y24" s="97"/>
      <c r="Z24" s="99"/>
      <c r="AA24" s="99"/>
      <c r="AB24" s="146"/>
      <c r="AC24" s="154" t="s">
        <v>131</v>
      </c>
      <c r="AD24" s="156" t="s">
        <v>132</v>
      </c>
      <c r="AE24" s="156" t="s">
        <v>133</v>
      </c>
      <c r="AF24" s="156" t="s">
        <v>104</v>
      </c>
      <c r="AG24" s="99"/>
      <c r="AH24" s="99"/>
      <c r="BN24" s="107"/>
    </row>
    <row r="25" spans="1:66" customFormat="1" ht="17.25" customHeight="1" thickBot="1" x14ac:dyDescent="0.3">
      <c r="A25" s="99"/>
      <c r="B25" s="99"/>
      <c r="C25" s="112"/>
      <c r="D25" s="607" t="s">
        <v>315</v>
      </c>
      <c r="E25" s="607"/>
      <c r="F25" s="607"/>
      <c r="G25" s="607"/>
      <c r="H25" s="607"/>
      <c r="I25" s="608"/>
      <c r="J25" s="540"/>
      <c r="K25" s="409"/>
      <c r="L25" s="541"/>
      <c r="M25" s="547"/>
      <c r="N25" s="548"/>
      <c r="O25" s="548"/>
      <c r="P25" s="551"/>
      <c r="Q25" s="551"/>
      <c r="R25" s="551"/>
      <c r="S25" s="97"/>
      <c r="T25" s="97"/>
      <c r="U25" s="97"/>
      <c r="V25" s="97"/>
      <c r="W25" s="97"/>
      <c r="X25" s="97"/>
      <c r="Y25" s="97"/>
      <c r="Z25" s="99"/>
      <c r="AA25" s="99"/>
      <c r="AB25" s="146"/>
      <c r="AC25" s="154" t="s">
        <v>135</v>
      </c>
      <c r="AD25" s="156" t="s">
        <v>132</v>
      </c>
      <c r="AE25" s="156" t="s">
        <v>518</v>
      </c>
      <c r="AF25" s="156" t="s">
        <v>103</v>
      </c>
      <c r="AG25" s="99"/>
      <c r="AH25" s="99"/>
      <c r="BN25" s="107"/>
    </row>
    <row r="26" spans="1:66" customFormat="1" ht="17.25" customHeight="1" thickTop="1" thickBot="1" x14ac:dyDescent="0.3">
      <c r="A26" s="99"/>
      <c r="B26" s="99"/>
      <c r="C26" s="112"/>
      <c r="D26" s="607"/>
      <c r="E26" s="607"/>
      <c r="F26" s="607"/>
      <c r="G26" s="607"/>
      <c r="H26" s="607"/>
      <c r="I26" s="608"/>
      <c r="J26" s="540"/>
      <c r="K26" s="409"/>
      <c r="L26" s="541"/>
      <c r="M26" s="547"/>
      <c r="N26" s="548"/>
      <c r="O26" s="548"/>
      <c r="P26" s="521" t="str">
        <f>HLOOKUP(M22,AD23:AF25,2,FALSE)</f>
        <v>54'</v>
      </c>
      <c r="Q26" s="521"/>
      <c r="R26" s="521"/>
      <c r="S26" s="350" t="str" cm="1">
        <f t="array" ref="S26">angleDecimal2Txt(angleConvert2Decimal(P26))</f>
        <v>+00°54.00 (+00.9000) [+00°54'00.00]</v>
      </c>
      <c r="T26" s="350"/>
      <c r="U26" s="350"/>
      <c r="V26" s="350"/>
      <c r="W26" s="350"/>
      <c r="X26" s="351"/>
      <c r="Y26" s="97"/>
      <c r="Z26" s="99"/>
      <c r="AA26" s="99"/>
      <c r="AB26" s="146"/>
      <c r="BN26" s="107"/>
    </row>
    <row r="27" spans="1:66" customFormat="1" ht="17.25" customHeight="1" thickTop="1" thickBot="1" x14ac:dyDescent="0.3">
      <c r="A27" s="99"/>
      <c r="B27" s="99"/>
      <c r="C27" s="113"/>
      <c r="D27" s="609"/>
      <c r="E27" s="609"/>
      <c r="F27" s="609"/>
      <c r="G27" s="609"/>
      <c r="H27" s="609"/>
      <c r="I27" s="610"/>
      <c r="J27" s="542"/>
      <c r="K27" s="543"/>
      <c r="L27" s="544"/>
      <c r="M27" s="549"/>
      <c r="N27" s="550"/>
      <c r="O27" s="550"/>
      <c r="P27" s="518" t="str" cm="1">
        <f t="array" ref="P27">angleDecimal2Txt(J24)</f>
        <v>+00°54.22 (+00.9038) [+00°54'13.68]</v>
      </c>
      <c r="Q27" s="518"/>
      <c r="R27" s="518"/>
      <c r="S27" s="346"/>
      <c r="T27" s="346"/>
      <c r="U27" s="346"/>
      <c r="V27" s="346"/>
      <c r="W27" s="346"/>
      <c r="X27" s="346"/>
      <c r="Y27" s="97"/>
      <c r="Z27" s="99"/>
      <c r="AA27" s="99"/>
      <c r="AB27" s="146"/>
      <c r="AC27" s="154" t="s">
        <v>130</v>
      </c>
      <c r="AD27" s="155" t="s">
        <v>85</v>
      </c>
      <c r="AE27" s="155" t="s">
        <v>355</v>
      </c>
      <c r="AF27" s="155" t="s">
        <v>86</v>
      </c>
      <c r="BN27" s="107"/>
    </row>
    <row r="28" spans="1:66" customFormat="1" ht="17.25" customHeight="1" thickTop="1" x14ac:dyDescent="0.25">
      <c r="A28" s="99"/>
      <c r="B28" s="99"/>
      <c r="C28" s="531" t="s">
        <v>134</v>
      </c>
      <c r="D28" s="532"/>
      <c r="E28" s="532"/>
      <c r="F28" s="532"/>
      <c r="G28" s="532"/>
      <c r="H28" s="532"/>
      <c r="I28" s="533"/>
      <c r="J28" s="539" cm="1">
        <f t="array" ref="J28">angleConvert2Decimal(M28)</f>
        <v>0.4924</v>
      </c>
      <c r="K28" s="338"/>
      <c r="L28" s="339"/>
      <c r="M28" s="545">
        <v>0.4924</v>
      </c>
      <c r="N28" s="546"/>
      <c r="O28" s="546"/>
      <c r="P28" s="551" t="s">
        <v>129</v>
      </c>
      <c r="Q28" s="551"/>
      <c r="R28" s="551"/>
      <c r="S28" s="97"/>
      <c r="T28" s="97"/>
      <c r="U28" s="97"/>
      <c r="V28" s="97"/>
      <c r="W28" s="97"/>
      <c r="X28" s="97"/>
      <c r="Y28" s="97"/>
      <c r="Z28" s="99"/>
      <c r="AA28" s="99"/>
      <c r="AB28" s="146"/>
      <c r="AC28" s="154" t="s">
        <v>356</v>
      </c>
      <c r="AD28" s="157">
        <v>1</v>
      </c>
      <c r="AE28" s="157">
        <v>-1</v>
      </c>
      <c r="AF28" s="157">
        <v>-0.5</v>
      </c>
      <c r="BN28" s="107"/>
    </row>
    <row r="29" spans="1:66" customFormat="1" ht="17.25" customHeight="1" thickBot="1" x14ac:dyDescent="0.3">
      <c r="A29" s="99"/>
      <c r="B29" s="99"/>
      <c r="C29" s="534"/>
      <c r="D29" s="414"/>
      <c r="E29" s="414"/>
      <c r="F29" s="414"/>
      <c r="G29" s="414"/>
      <c r="H29" s="414"/>
      <c r="I29" s="535"/>
      <c r="J29" s="540"/>
      <c r="K29" s="409"/>
      <c r="L29" s="541"/>
      <c r="M29" s="547"/>
      <c r="N29" s="548"/>
      <c r="O29" s="548"/>
      <c r="P29" s="551"/>
      <c r="Q29" s="551"/>
      <c r="R29" s="551"/>
      <c r="S29" s="97"/>
      <c r="T29" s="97"/>
      <c r="U29" s="97"/>
      <c r="V29" s="97"/>
      <c r="W29" s="97"/>
      <c r="X29" s="97"/>
      <c r="Y29" s="97"/>
      <c r="Z29" s="99"/>
      <c r="AA29" s="99"/>
      <c r="AB29" s="146"/>
      <c r="BN29" s="107"/>
    </row>
    <row r="30" spans="1:66" customFormat="1" ht="17.25" customHeight="1" thickTop="1" thickBot="1" x14ac:dyDescent="0.3">
      <c r="A30" s="99"/>
      <c r="B30" s="99"/>
      <c r="C30" s="534"/>
      <c r="D30" s="414"/>
      <c r="E30" s="414"/>
      <c r="F30" s="414"/>
      <c r="G30" s="414"/>
      <c r="H30" s="414"/>
      <c r="I30" s="535"/>
      <c r="J30" s="540"/>
      <c r="K30" s="409"/>
      <c r="L30" s="541"/>
      <c r="M30" s="547"/>
      <c r="N30" s="548"/>
      <c r="O30" s="548"/>
      <c r="P30" s="521" t="str">
        <f>HLOOKUP(M22,AD23:AF25,3,FALSE)</f>
        <v>28.0'</v>
      </c>
      <c r="Q30" s="521"/>
      <c r="R30" s="521"/>
      <c r="S30" s="350" t="str" cm="1">
        <f t="array" ref="S30">angleDecimal2Txt(angleConvert2Decimal(P30))</f>
        <v>+00°28.00 (+00.4666) [+00°28'00.00]</v>
      </c>
      <c r="T30" s="350"/>
      <c r="U30" s="350"/>
      <c r="V30" s="350"/>
      <c r="W30" s="350"/>
      <c r="X30" s="351"/>
      <c r="Y30" s="97"/>
      <c r="Z30" s="99"/>
      <c r="AA30" s="99"/>
      <c r="AB30" s="146"/>
      <c r="AD30">
        <f>J28*2</f>
        <v>0.98480000000000001</v>
      </c>
      <c r="BN30" s="107"/>
    </row>
    <row r="31" spans="1:66" customFormat="1" ht="17.25" customHeight="1" thickTop="1" thickBot="1" x14ac:dyDescent="0.3">
      <c r="A31" s="99"/>
      <c r="B31" s="99"/>
      <c r="C31" s="536"/>
      <c r="D31" s="537"/>
      <c r="E31" s="537"/>
      <c r="F31" s="537"/>
      <c r="G31" s="537"/>
      <c r="H31" s="537"/>
      <c r="I31" s="538"/>
      <c r="J31" s="542"/>
      <c r="K31" s="543"/>
      <c r="L31" s="544"/>
      <c r="M31" s="549"/>
      <c r="N31" s="550"/>
      <c r="O31" s="550"/>
      <c r="P31" s="518" t="str" cm="1">
        <f t="array" ref="P31">angleDecimal2Txt(J28)</f>
        <v>+00°29.54 (+00.4924) [+00°29'32.64]</v>
      </c>
      <c r="Q31" s="518"/>
      <c r="R31" s="518"/>
      <c r="S31" s="346"/>
      <c r="T31" s="346"/>
      <c r="U31" s="346"/>
      <c r="V31" s="346"/>
      <c r="W31" s="346"/>
      <c r="X31" s="346"/>
      <c r="Y31" s="97"/>
      <c r="Z31" s="99"/>
      <c r="AA31" s="99"/>
      <c r="AB31" s="146"/>
      <c r="BN31" s="107"/>
    </row>
    <row r="32" spans="1:66" customFormat="1" ht="17.25" customHeight="1" thickTop="1" thickBot="1" x14ac:dyDescent="0.3">
      <c r="A32" s="99"/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9"/>
      <c r="AA32" s="99"/>
      <c r="AB32" s="146"/>
      <c r="BN32" s="107"/>
    </row>
    <row r="33" spans="1:66" customFormat="1" ht="17.25" customHeight="1" thickBot="1" x14ac:dyDescent="0.3">
      <c r="A33" s="99"/>
      <c r="B33" s="108" t="s">
        <v>19</v>
      </c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47"/>
      <c r="BN33" s="107"/>
    </row>
    <row r="34" spans="1:66" ht="17.25" customHeight="1" x14ac:dyDescent="0.25">
      <c r="C34" s="97"/>
      <c r="D34" s="97"/>
      <c r="E34" s="524" t="s">
        <v>7</v>
      </c>
      <c r="F34" s="524"/>
      <c r="G34" s="524"/>
      <c r="H34" s="524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</row>
    <row r="35" spans="1:66" ht="17.25" customHeight="1" thickBot="1" x14ac:dyDescent="0.3">
      <c r="C35" s="97"/>
      <c r="D35" s="97"/>
      <c r="E35" s="524"/>
      <c r="F35" s="524"/>
      <c r="G35" s="524"/>
      <c r="H35" s="524"/>
      <c r="I35" s="97"/>
      <c r="J35" s="97" t="s">
        <v>233</v>
      </c>
      <c r="K35" s="97"/>
      <c r="L35" s="97" t="s">
        <v>234</v>
      </c>
      <c r="M35" s="97"/>
      <c r="N35" s="97"/>
      <c r="O35" s="97"/>
      <c r="P35" s="97"/>
      <c r="Q35" s="97"/>
      <c r="R35" s="97"/>
      <c r="S35" s="97"/>
      <c r="T35" s="97"/>
      <c r="U35" s="97"/>
      <c r="V35" s="97"/>
    </row>
    <row r="36" spans="1:66" ht="17.25" customHeight="1" thickTop="1" thickBot="1" x14ac:dyDescent="0.3">
      <c r="A36" s="626" t="s">
        <v>41</v>
      </c>
      <c r="B36" s="627"/>
      <c r="C36" s="628"/>
      <c r="D36" s="97"/>
      <c r="E36" s="97"/>
      <c r="F36" s="491">
        <f>AD37</f>
        <v>48.875500000000002</v>
      </c>
      <c r="G36" s="516"/>
      <c r="H36" s="516"/>
      <c r="I36" s="423" t="s">
        <v>3</v>
      </c>
      <c r="J36" s="425" t="s">
        <v>519</v>
      </c>
      <c r="K36" s="423"/>
      <c r="L36" s="423"/>
      <c r="M36" s="423"/>
      <c r="N36" s="423"/>
      <c r="O36" s="344" t="str" cm="1">
        <f t="array" ref="O36">angleDecimal2Txt(AD37)</f>
        <v>+48°52.53 (+48.8755) [+48°52'31.80]</v>
      </c>
      <c r="P36" s="344"/>
      <c r="Q36" s="344"/>
      <c r="R36" s="344"/>
      <c r="S36" s="344"/>
      <c r="T36" s="344"/>
      <c r="U36" s="344"/>
      <c r="V36" s="344"/>
      <c r="W36" s="344"/>
      <c r="X36" s="344"/>
      <c r="Y36" s="97"/>
      <c r="Z36" s="97"/>
      <c r="AC36" s="6" t="s">
        <v>334</v>
      </c>
      <c r="AD36" s="6">
        <f>VLOOKUP(I36,A38:C39,3)</f>
        <v>1</v>
      </c>
      <c r="BN36" s="114"/>
    </row>
    <row r="37" spans="1:66" ht="17.25" customHeight="1" thickTop="1" thickBot="1" x14ac:dyDescent="0.3">
      <c r="A37" s="100" t="s">
        <v>49</v>
      </c>
      <c r="B37" s="115" t="s">
        <v>50</v>
      </c>
      <c r="C37" s="101"/>
      <c r="D37" s="97"/>
      <c r="E37" s="97"/>
      <c r="F37" s="516"/>
      <c r="G37" s="516"/>
      <c r="H37" s="516"/>
      <c r="I37" s="423"/>
      <c r="J37" s="423"/>
      <c r="K37" s="423"/>
      <c r="L37" s="423"/>
      <c r="M37" s="423"/>
      <c r="N37" s="423"/>
      <c r="O37" s="344"/>
      <c r="P37" s="344"/>
      <c r="Q37" s="344"/>
      <c r="R37" s="344"/>
      <c r="S37" s="344"/>
      <c r="T37" s="344"/>
      <c r="U37" s="344"/>
      <c r="V37" s="344"/>
      <c r="W37" s="344"/>
      <c r="X37" s="344"/>
      <c r="Y37" s="97"/>
      <c r="Z37" s="97"/>
      <c r="AC37" s="6" t="s">
        <v>335</v>
      </c>
      <c r="AD37" s="6" cm="1">
        <f t="array" ref="AD37">angleConvert2Decimal(J36)*AD36</f>
        <v>48.875500000000002</v>
      </c>
      <c r="BN37" s="114"/>
    </row>
    <row r="38" spans="1:66" ht="17.25" customHeight="1" thickTop="1" x14ac:dyDescent="0.25">
      <c r="A38" s="100" t="s">
        <v>3</v>
      </c>
      <c r="B38" s="115" t="s">
        <v>5</v>
      </c>
      <c r="C38" s="101">
        <v>1</v>
      </c>
      <c r="D38" s="97"/>
      <c r="E38" s="97"/>
      <c r="F38" s="97"/>
      <c r="G38" s="97"/>
      <c r="H38" s="97"/>
      <c r="BN38" s="114"/>
    </row>
    <row r="39" spans="1:66" ht="17.25" customHeight="1" thickBot="1" x14ac:dyDescent="0.3">
      <c r="A39" s="102" t="s">
        <v>4</v>
      </c>
      <c r="B39" s="103" t="s">
        <v>6</v>
      </c>
      <c r="C39" s="104">
        <v>-1</v>
      </c>
      <c r="D39" s="97"/>
      <c r="E39" s="517" t="s">
        <v>8</v>
      </c>
      <c r="F39" s="517"/>
      <c r="G39" s="517"/>
      <c r="H39" s="51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BN39" s="114"/>
    </row>
    <row r="40" spans="1:66" ht="17.25" customHeight="1" thickBot="1" x14ac:dyDescent="0.3">
      <c r="C40" s="97"/>
      <c r="D40" s="97"/>
      <c r="E40" s="517"/>
      <c r="F40" s="517"/>
      <c r="G40" s="517"/>
      <c r="H40" s="517"/>
      <c r="I40" s="97"/>
      <c r="J40" s="97" t="s">
        <v>233</v>
      </c>
      <c r="K40" s="97"/>
      <c r="L40" s="97" t="s">
        <v>242</v>
      </c>
      <c r="M40" s="97"/>
      <c r="N40" s="97"/>
      <c r="O40" s="97"/>
      <c r="P40" s="97"/>
      <c r="Q40" s="97"/>
      <c r="R40" s="97"/>
      <c r="S40" s="97"/>
      <c r="T40" s="97"/>
      <c r="U40" s="97"/>
      <c r="V40" s="97"/>
      <c r="BN40" s="114"/>
    </row>
    <row r="41" spans="1:66" ht="17.25" customHeight="1" thickTop="1" thickBot="1" x14ac:dyDescent="0.3">
      <c r="B41" s="97"/>
      <c r="C41" s="97"/>
      <c r="D41" s="97"/>
      <c r="E41" s="97"/>
      <c r="F41" s="491">
        <f>AD42</f>
        <v>2.0945</v>
      </c>
      <c r="G41" s="516"/>
      <c r="H41" s="516"/>
      <c r="I41" s="423" t="s">
        <v>5</v>
      </c>
      <c r="J41" s="425" t="s">
        <v>520</v>
      </c>
      <c r="K41" s="423"/>
      <c r="L41" s="423"/>
      <c r="M41" s="423"/>
      <c r="N41" s="423"/>
      <c r="O41" s="344" t="str" cm="1">
        <f t="array" ref="O41">angleDecimal2Txt(AD42)</f>
        <v>+02°05.66 (+02.0945) [+02°05'40.19]</v>
      </c>
      <c r="P41" s="344"/>
      <c r="Q41" s="344"/>
      <c r="R41" s="344"/>
      <c r="S41" s="344"/>
      <c r="T41" s="344"/>
      <c r="U41" s="344"/>
      <c r="V41" s="344"/>
      <c r="W41" s="344"/>
      <c r="X41" s="344"/>
      <c r="Y41" s="97"/>
      <c r="Z41" s="97"/>
      <c r="AC41" s="6" t="s">
        <v>336</v>
      </c>
      <c r="AD41" s="6">
        <f>VLOOKUP(I41,B38:C39,2)</f>
        <v>1</v>
      </c>
    </row>
    <row r="42" spans="1:66" ht="17.25" customHeight="1" thickTop="1" thickBot="1" x14ac:dyDescent="0.3">
      <c r="C42" s="97"/>
      <c r="D42" s="97"/>
      <c r="E42" s="97"/>
      <c r="F42" s="516"/>
      <c r="G42" s="516"/>
      <c r="H42" s="516"/>
      <c r="I42" s="423"/>
      <c r="J42" s="423"/>
      <c r="K42" s="423"/>
      <c r="L42" s="423"/>
      <c r="M42" s="423"/>
      <c r="N42" s="423"/>
      <c r="O42" s="344"/>
      <c r="P42" s="344"/>
      <c r="Q42" s="344"/>
      <c r="R42" s="344"/>
      <c r="S42" s="344"/>
      <c r="T42" s="344"/>
      <c r="U42" s="344"/>
      <c r="V42" s="344"/>
      <c r="W42" s="344"/>
      <c r="X42" s="344"/>
      <c r="Y42" s="97"/>
      <c r="Z42" s="97"/>
      <c r="AC42" s="6" t="s">
        <v>337</v>
      </c>
      <c r="AD42" s="6" cm="1">
        <f t="array" ref="AD42">angleConvert2Decimal(J41)*AD41</f>
        <v>2.0945</v>
      </c>
    </row>
    <row r="43" spans="1:66" ht="17.25" customHeight="1" thickTop="1" x14ac:dyDescent="0.25"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</row>
    <row r="44" spans="1:66" ht="17.25" customHeight="1" thickBot="1" x14ac:dyDescent="0.3"/>
    <row r="45" spans="1:66" ht="17.25" customHeight="1" thickBot="1" x14ac:dyDescent="0.3">
      <c r="B45" s="108" t="s">
        <v>9</v>
      </c>
      <c r="C45" s="109"/>
      <c r="D45" s="109"/>
      <c r="E45" s="109"/>
      <c r="F45" s="416">
        <f>IF(G46=AD46,F50,F58)</f>
        <v>-2.4</v>
      </c>
      <c r="G45" s="416"/>
      <c r="H45" s="416"/>
      <c r="I45" s="109"/>
      <c r="J45" s="109"/>
      <c r="K45" s="109" t="e" cm="1">
        <f t="array" ref="K45">angleDecimal2Txt(D)</f>
        <v>#VALUE!</v>
      </c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49"/>
    </row>
    <row r="46" spans="1:66" s="116" customFormat="1" ht="17.25" customHeight="1" x14ac:dyDescent="0.25">
      <c r="C46" s="414" t="s">
        <v>42</v>
      </c>
      <c r="D46" s="414"/>
      <c r="E46" s="414"/>
      <c r="F46" s="414"/>
      <c r="G46" s="418" t="s">
        <v>10</v>
      </c>
      <c r="H46" s="418"/>
      <c r="I46" s="418"/>
      <c r="AB46" s="150"/>
      <c r="AC46" s="616" t="s">
        <v>43</v>
      </c>
      <c r="AD46" s="153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 x14ac:dyDescent="0.25">
      <c r="C47" s="117" t="s">
        <v>10</v>
      </c>
      <c r="D47" s="117"/>
      <c r="E47" s="118"/>
      <c r="F47" s="118"/>
      <c r="G47" s="97"/>
      <c r="H47" s="97"/>
      <c r="I47" s="97"/>
      <c r="AC47" s="616"/>
      <c r="AD47" s="153" t="s">
        <v>16</v>
      </c>
      <c r="AF47" s="99"/>
      <c r="AG47" s="99"/>
    </row>
    <row r="48" spans="1:66" ht="17.25" customHeight="1" x14ac:dyDescent="0.25">
      <c r="F48" s="424" t="s">
        <v>9</v>
      </c>
      <c r="G48" s="424"/>
      <c r="H48" s="424"/>
      <c r="I48" s="424" t="s">
        <v>12</v>
      </c>
      <c r="J48" s="424"/>
      <c r="K48" s="424"/>
      <c r="L48" s="424"/>
      <c r="M48" s="417" t="s">
        <v>13</v>
      </c>
      <c r="N48" s="417"/>
      <c r="O48" s="417"/>
      <c r="P48" s="426" t="s">
        <v>17</v>
      </c>
      <c r="Q48" s="426"/>
      <c r="R48" s="426"/>
      <c r="S48" s="426"/>
      <c r="T48" s="426"/>
      <c r="U48" s="97"/>
      <c r="AD48" s="158" t="s">
        <v>101</v>
      </c>
      <c r="AE48" s="6" t="s">
        <v>347</v>
      </c>
    </row>
    <row r="49" spans="1:66" ht="17.25" customHeight="1" thickBot="1" x14ac:dyDescent="0.3">
      <c r="F49" s="424"/>
      <c r="G49" s="424"/>
      <c r="H49" s="424"/>
      <c r="I49" s="424"/>
      <c r="J49" s="424"/>
      <c r="K49" s="424"/>
      <c r="L49" s="424"/>
      <c r="M49" s="417"/>
      <c r="N49" s="417"/>
      <c r="O49" s="417"/>
      <c r="P49" s="426"/>
      <c r="Q49" s="426"/>
      <c r="R49" s="426"/>
      <c r="S49" s="426"/>
      <c r="T49" s="426"/>
      <c r="U49" s="97"/>
      <c r="AC49" s="6" t="s">
        <v>338</v>
      </c>
      <c r="AD49" s="6">
        <f>VLOOKUP(P50,$A$38:$C$39,3)</f>
        <v>-1</v>
      </c>
      <c r="AE49" s="6" cm="1">
        <f t="array" ref="AE49">AD49*angleConvert2Decimal(Q50)</f>
        <v>-2.4</v>
      </c>
    </row>
    <row r="50" spans="1:66" customFormat="1" ht="17.25" customHeight="1" thickTop="1" thickBot="1" x14ac:dyDescent="0.3">
      <c r="A50" s="99"/>
      <c r="B50" s="99"/>
      <c r="C50" s="144"/>
      <c r="D50" s="144"/>
      <c r="E50" s="99"/>
      <c r="F50" s="490">
        <f>IF(G46=AD47,"---",AD54)</f>
        <v>-2.4</v>
      </c>
      <c r="G50" s="490"/>
      <c r="H50" s="490"/>
      <c r="I50" s="422">
        <f>E11</f>
        <v>18.814166666666669</v>
      </c>
      <c r="J50" s="422"/>
      <c r="K50" s="422"/>
      <c r="L50" s="422"/>
      <c r="M50" s="613">
        <v>10</v>
      </c>
      <c r="N50" s="422"/>
      <c r="O50" s="422"/>
      <c r="P50" s="422" t="s">
        <v>4</v>
      </c>
      <c r="Q50" s="637">
        <v>2.4</v>
      </c>
      <c r="R50" s="422"/>
      <c r="S50" s="422"/>
      <c r="T50" s="422"/>
      <c r="U50" s="344" t="str" cm="1">
        <f t="array" ref="U50">angleDecimal2Txt(AE49)</f>
        <v>-02°24.00 (-02.3999) [-02°24'00.00]</v>
      </c>
      <c r="V50" s="514"/>
      <c r="W50" s="514"/>
      <c r="X50" s="514"/>
      <c r="Y50" s="514"/>
      <c r="Z50" s="99"/>
      <c r="AA50" s="99"/>
      <c r="AB50" s="146"/>
      <c r="AC50" s="6" t="s">
        <v>339</v>
      </c>
      <c r="AD50" s="6">
        <f>VLOOKUP(P52,$A$38:$C$39,3)</f>
        <v>-1</v>
      </c>
      <c r="AE50" s="6" cm="1">
        <f t="array" ref="AE50">AD50*angleConvert2Decimal(Q52)</f>
        <v>-2.4</v>
      </c>
      <c r="BN50" s="107"/>
    </row>
    <row r="51" spans="1:66" customFormat="1" ht="17.25" customHeight="1" thickTop="1" thickBot="1" x14ac:dyDescent="0.3">
      <c r="A51" s="99"/>
      <c r="B51" s="99"/>
      <c r="C51" s="144"/>
      <c r="D51" s="144"/>
      <c r="E51" s="144"/>
      <c r="F51" s="491"/>
      <c r="G51" s="491"/>
      <c r="H51" s="491"/>
      <c r="I51" s="423"/>
      <c r="J51" s="423"/>
      <c r="K51" s="423"/>
      <c r="L51" s="423"/>
      <c r="M51" s="614"/>
      <c r="N51" s="423"/>
      <c r="O51" s="423"/>
      <c r="P51" s="423"/>
      <c r="Q51" s="423"/>
      <c r="R51" s="423"/>
      <c r="S51" s="423"/>
      <c r="T51" s="423"/>
      <c r="U51" s="514"/>
      <c r="V51" s="514"/>
      <c r="W51" s="514"/>
      <c r="X51" s="514"/>
      <c r="Y51" s="514"/>
      <c r="Z51" s="99"/>
      <c r="AA51" s="99"/>
      <c r="AB51" s="146"/>
      <c r="AC51" s="6" t="s">
        <v>45</v>
      </c>
      <c r="AD51" s="8">
        <f>AE50-AE49</f>
        <v>0</v>
      </c>
      <c r="BN51" s="107"/>
    </row>
    <row r="52" spans="1:66" customFormat="1" ht="17.25" customHeight="1" thickTop="1" thickBot="1" x14ac:dyDescent="0.3">
      <c r="A52" s="99"/>
      <c r="B52" s="99"/>
      <c r="C52" s="144"/>
      <c r="D52" s="144"/>
      <c r="E52" s="144"/>
      <c r="F52" s="491"/>
      <c r="G52" s="491"/>
      <c r="H52" s="491"/>
      <c r="I52" s="423"/>
      <c r="J52" s="423"/>
      <c r="K52" s="423"/>
      <c r="L52" s="423"/>
      <c r="M52" s="614">
        <v>11</v>
      </c>
      <c r="N52" s="423"/>
      <c r="O52" s="423"/>
      <c r="P52" s="423" t="s">
        <v>4</v>
      </c>
      <c r="Q52" s="425">
        <v>2.4</v>
      </c>
      <c r="R52" s="423"/>
      <c r="S52" s="423"/>
      <c r="T52" s="423"/>
      <c r="U52" s="344" t="str" cm="1">
        <f t="array" ref="U52">angleDecimal2Txt((AE50))</f>
        <v>-02°24.00 (-02.3999) [-02°24'00.00]</v>
      </c>
      <c r="V52" s="514"/>
      <c r="W52" s="514"/>
      <c r="X52" s="514"/>
      <c r="Y52" s="514"/>
      <c r="Z52" s="99"/>
      <c r="AA52" s="99"/>
      <c r="AB52" s="146"/>
      <c r="AC52" s="6" t="s">
        <v>341</v>
      </c>
      <c r="AD52" s="8">
        <f>M52-M50</f>
        <v>1</v>
      </c>
      <c r="AE52" s="99"/>
      <c r="AF52" s="99"/>
      <c r="AG52" s="99"/>
      <c r="AH52" s="99"/>
      <c r="BN52" s="107"/>
    </row>
    <row r="53" spans="1:66" customFormat="1" ht="17.25" customHeight="1" thickTop="1" thickBot="1" x14ac:dyDescent="0.3">
      <c r="A53" s="99"/>
      <c r="B53" s="99"/>
      <c r="C53" s="144"/>
      <c r="D53" s="144"/>
      <c r="E53" s="144"/>
      <c r="F53" s="491"/>
      <c r="G53" s="491"/>
      <c r="H53" s="491"/>
      <c r="I53" s="423"/>
      <c r="J53" s="423"/>
      <c r="K53" s="423"/>
      <c r="L53" s="423"/>
      <c r="M53" s="614"/>
      <c r="N53" s="423"/>
      <c r="O53" s="423"/>
      <c r="P53" s="423"/>
      <c r="Q53" s="423"/>
      <c r="R53" s="423"/>
      <c r="S53" s="423"/>
      <c r="T53" s="423"/>
      <c r="U53" s="514"/>
      <c r="V53" s="514"/>
      <c r="W53" s="514"/>
      <c r="X53" s="514"/>
      <c r="Y53" s="514"/>
      <c r="Z53" s="99"/>
      <c r="AA53" s="99"/>
      <c r="AB53" s="146"/>
      <c r="AC53" s="6" t="s">
        <v>46</v>
      </c>
      <c r="AD53" s="8">
        <f>I50-M50</f>
        <v>8.8141666666666687</v>
      </c>
      <c r="AI53" s="41"/>
      <c r="BN53" s="107"/>
    </row>
    <row r="54" spans="1:66" customFormat="1" ht="17.25" customHeight="1" thickTop="1" thickBot="1" x14ac:dyDescent="0.3">
      <c r="A54" s="99"/>
      <c r="B54" s="99"/>
      <c r="C54" s="144"/>
      <c r="D54" s="144"/>
      <c r="E54" s="144"/>
      <c r="F54" s="346" t="str" cm="1">
        <f t="array" ref="F54">angleDecimal2Txt(F50)</f>
        <v>-02°24.00 (-02.3999) [-02°24'00.00]</v>
      </c>
      <c r="G54" s="346"/>
      <c r="H54" s="346"/>
      <c r="I54" s="346"/>
      <c r="J54" s="346"/>
      <c r="K54" s="346"/>
      <c r="L54" s="99"/>
      <c r="M54" s="99"/>
      <c r="N54" s="99"/>
      <c r="O54" s="99"/>
      <c r="P54" s="99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7"/>
      <c r="AB54" s="146"/>
      <c r="AC54" s="6" t="s">
        <v>44</v>
      </c>
      <c r="AD54" s="6">
        <f>AE49+(AD51/AD52)*AD53</f>
        <v>-2.4</v>
      </c>
      <c r="BN54" s="107"/>
    </row>
    <row r="55" spans="1:66" customFormat="1" ht="17.25" customHeight="1" thickTop="1" x14ac:dyDescent="0.25">
      <c r="A55" s="99"/>
      <c r="B55" s="99"/>
      <c r="C55" s="117" t="s">
        <v>16</v>
      </c>
      <c r="D55" s="117"/>
      <c r="E55" s="118"/>
      <c r="F55" s="118"/>
      <c r="G55" s="97"/>
      <c r="H55" s="97"/>
      <c r="I55" s="97"/>
      <c r="J55" s="99"/>
      <c r="K55" s="99"/>
      <c r="L55" s="99"/>
      <c r="M55" s="99"/>
      <c r="N55" s="99"/>
      <c r="O55" s="99"/>
      <c r="P55" s="99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7"/>
      <c r="AB55" s="146"/>
      <c r="BN55" s="107"/>
    </row>
    <row r="56" spans="1:66" customFormat="1" ht="17.25" customHeight="1" x14ac:dyDescent="0.25">
      <c r="A56" s="99"/>
      <c r="B56" s="99"/>
      <c r="C56" s="97"/>
      <c r="D56" s="97"/>
      <c r="E56" s="97"/>
      <c r="F56" s="424" t="s">
        <v>9</v>
      </c>
      <c r="G56" s="424"/>
      <c r="H56" s="424"/>
      <c r="I56" s="424" t="s">
        <v>12</v>
      </c>
      <c r="J56" s="424"/>
      <c r="K56" s="424"/>
      <c r="L56" s="424"/>
      <c r="M56" s="417" t="s">
        <v>13</v>
      </c>
      <c r="N56" s="417"/>
      <c r="O56" s="417"/>
      <c r="P56" s="426" t="s">
        <v>18</v>
      </c>
      <c r="Q56" s="426"/>
      <c r="R56" s="426"/>
      <c r="S56" s="426"/>
      <c r="T56" s="426"/>
      <c r="U56" s="426" t="s">
        <v>235</v>
      </c>
      <c r="V56" s="426"/>
      <c r="W56" s="426"/>
      <c r="X56" s="426"/>
      <c r="Y56" s="426"/>
      <c r="Z56" s="99"/>
      <c r="AA56" s="97"/>
      <c r="AB56" s="146"/>
      <c r="AC56" s="6" t="s">
        <v>342</v>
      </c>
      <c r="AD56" s="6">
        <f>VLOOKUP(P58,$A$38:$C$39,3)</f>
        <v>-1</v>
      </c>
      <c r="BN56" s="107"/>
    </row>
    <row r="57" spans="1:66" customFormat="1" ht="17.25" customHeight="1" x14ac:dyDescent="0.25">
      <c r="A57" s="99"/>
      <c r="B57" s="99"/>
      <c r="C57" s="144"/>
      <c r="D57" s="144"/>
      <c r="E57" s="144"/>
      <c r="F57" s="424"/>
      <c r="G57" s="424"/>
      <c r="H57" s="424"/>
      <c r="I57" s="424"/>
      <c r="J57" s="424"/>
      <c r="K57" s="424"/>
      <c r="L57" s="424"/>
      <c r="M57" s="417"/>
      <c r="N57" s="417"/>
      <c r="O57" s="417"/>
      <c r="P57" s="426"/>
      <c r="Q57" s="426"/>
      <c r="R57" s="426"/>
      <c r="S57" s="426"/>
      <c r="T57" s="426"/>
      <c r="U57" s="426"/>
      <c r="V57" s="426"/>
      <c r="W57" s="426"/>
      <c r="X57" s="426"/>
      <c r="Y57" s="426"/>
      <c r="Z57" s="97"/>
      <c r="AA57" s="97"/>
      <c r="AB57" s="146"/>
      <c r="AC57" s="6" t="s">
        <v>343</v>
      </c>
      <c r="AD57" s="6" cm="1">
        <f t="array" ref="AD57">angleConvert2Decimal(Q58)*AD56</f>
        <v>-12.24</v>
      </c>
      <c r="BN57" s="107"/>
    </row>
    <row r="58" spans="1:66" customFormat="1" ht="17.25" customHeight="1" x14ac:dyDescent="0.25">
      <c r="A58" s="99"/>
      <c r="B58" s="99"/>
      <c r="C58" s="144"/>
      <c r="D58" s="144"/>
      <c r="E58" s="99"/>
      <c r="F58" s="490" t="str">
        <f>IF(G46=AD47,AD60,"---")</f>
        <v>---</v>
      </c>
      <c r="G58" s="490"/>
      <c r="H58" s="490"/>
      <c r="I58" s="422">
        <f>E11</f>
        <v>18.814166666666669</v>
      </c>
      <c r="J58" s="422"/>
      <c r="K58" s="422"/>
      <c r="L58" s="422"/>
      <c r="M58" s="613">
        <v>0</v>
      </c>
      <c r="N58" s="422"/>
      <c r="O58" s="422"/>
      <c r="P58" s="422" t="s">
        <v>4</v>
      </c>
      <c r="Q58" s="637" t="s">
        <v>227</v>
      </c>
      <c r="R58" s="422"/>
      <c r="S58" s="422"/>
      <c r="T58" s="422"/>
      <c r="U58" s="422" t="s">
        <v>3</v>
      </c>
      <c r="V58" s="637" t="s">
        <v>173</v>
      </c>
      <c r="W58" s="422"/>
      <c r="X58" s="422"/>
      <c r="Y58" s="422"/>
      <c r="Z58" s="97"/>
      <c r="AA58" s="99"/>
      <c r="AB58" s="146"/>
      <c r="AC58" s="6" t="s">
        <v>344</v>
      </c>
      <c r="AD58" s="6">
        <f>VLOOKUP(U58,$A$38:$C$39,3)</f>
        <v>1</v>
      </c>
      <c r="BN58" s="107"/>
    </row>
    <row r="59" spans="1:66" customFormat="1" ht="17.25" customHeight="1" collapsed="1" thickBot="1" x14ac:dyDescent="0.3">
      <c r="A59" s="99"/>
      <c r="B59" s="99"/>
      <c r="C59" s="144"/>
      <c r="D59" s="144"/>
      <c r="E59" s="144"/>
      <c r="F59" s="491"/>
      <c r="G59" s="491"/>
      <c r="H59" s="491"/>
      <c r="I59" s="423"/>
      <c r="J59" s="423"/>
      <c r="K59" s="423"/>
      <c r="L59" s="423"/>
      <c r="M59" s="614"/>
      <c r="N59" s="423"/>
      <c r="O59" s="423"/>
      <c r="P59" s="423"/>
      <c r="Q59" s="423"/>
      <c r="R59" s="423"/>
      <c r="S59" s="423"/>
      <c r="T59" s="423"/>
      <c r="U59" s="423"/>
      <c r="V59" s="423"/>
      <c r="W59" s="423"/>
      <c r="X59" s="423"/>
      <c r="Y59" s="423"/>
      <c r="Z59" s="97"/>
      <c r="AA59" s="99"/>
      <c r="AB59" s="146"/>
      <c r="AC59" s="6" t="s">
        <v>345</v>
      </c>
      <c r="AD59" s="6" cm="1">
        <f t="array" ref="AD59">angleConvert2Decimal(V58)*AD58</f>
        <v>1.6E-2</v>
      </c>
      <c r="BN59" s="107"/>
    </row>
    <row r="60" spans="1:66" customFormat="1" ht="17.25" customHeight="1" thickTop="1" thickBot="1" x14ac:dyDescent="0.3">
      <c r="A60" s="99"/>
      <c r="B60" s="99"/>
      <c r="C60" s="144"/>
      <c r="D60" s="144"/>
      <c r="E60" s="144"/>
      <c r="F60" s="346" t="e" cm="1">
        <f t="array" ref="F60">angleDecimal2Txt(F58)</f>
        <v>#VALUE!</v>
      </c>
      <c r="G60" s="346"/>
      <c r="H60" s="346"/>
      <c r="I60" s="346"/>
      <c r="J60" s="346"/>
      <c r="K60" s="346"/>
      <c r="L60" s="99"/>
      <c r="M60" s="99"/>
      <c r="N60" s="99"/>
      <c r="O60" s="99"/>
      <c r="P60" s="346" t="str" cm="1">
        <f t="array" ref="P60">angleDecimal2Txt(AD57)</f>
        <v>-12°14.40 (-12.2400) [-12°14'24.00]</v>
      </c>
      <c r="Q60" s="346"/>
      <c r="R60" s="346"/>
      <c r="S60" s="346"/>
      <c r="T60" s="346"/>
      <c r="U60" s="346" t="str" cm="1">
        <f t="array" ref="U60">angleDecimal2Txt(AD59)</f>
        <v>+00°00.96 (+00.0160) [+00°00'57.60]</v>
      </c>
      <c r="V60" s="566"/>
      <c r="W60" s="566"/>
      <c r="X60" s="566"/>
      <c r="Y60" s="566"/>
      <c r="Z60" s="99"/>
      <c r="AA60" s="99"/>
      <c r="AB60" s="146"/>
      <c r="AC60" s="6" t="s">
        <v>346</v>
      </c>
      <c r="AD60" s="6">
        <f>AD57+AD59*(I58-M58)</f>
        <v>-11.938973333333333</v>
      </c>
      <c r="BN60" s="107"/>
    </row>
    <row r="61" spans="1:66" customFormat="1" ht="17.25" customHeight="1" thickTop="1" x14ac:dyDescent="0.25">
      <c r="A61" s="99"/>
      <c r="B61" s="99"/>
      <c r="C61" s="144"/>
      <c r="D61" s="144"/>
      <c r="E61" s="144"/>
      <c r="F61" s="144"/>
      <c r="G61" s="144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7"/>
      <c r="T61" s="97"/>
      <c r="U61" s="97"/>
      <c r="V61" s="97"/>
      <c r="W61" s="97"/>
      <c r="X61" s="97"/>
      <c r="Y61" s="99"/>
      <c r="Z61" s="99"/>
      <c r="AA61" s="99"/>
      <c r="AB61" s="146"/>
      <c r="BN61" s="107"/>
    </row>
    <row r="62" spans="1:66" customFormat="1" ht="17.25" customHeight="1" thickBot="1" x14ac:dyDescent="0.3">
      <c r="A62" s="99"/>
      <c r="B62" s="99"/>
      <c r="C62" s="144"/>
      <c r="D62" s="144"/>
      <c r="E62" s="144"/>
      <c r="F62" s="144"/>
      <c r="G62" s="144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7"/>
      <c r="T62" s="97"/>
      <c r="U62" s="97"/>
      <c r="V62" s="97"/>
      <c r="W62" s="97"/>
      <c r="X62" s="97"/>
      <c r="Y62" s="99"/>
      <c r="Z62" s="99"/>
      <c r="AA62" s="99"/>
      <c r="AB62" s="146"/>
      <c r="BN62" s="107"/>
    </row>
    <row r="63" spans="1:66" customFormat="1" ht="17.25" customHeight="1" thickBot="1" x14ac:dyDescent="0.3">
      <c r="A63" s="116"/>
      <c r="B63" s="108" t="s">
        <v>521</v>
      </c>
      <c r="C63" s="109"/>
      <c r="D63" s="109"/>
      <c r="E63" s="109"/>
      <c r="F63" s="416">
        <f>IF(G64=AD64,F68,F76)</f>
        <v>305.14</v>
      </c>
      <c r="G63" s="416"/>
      <c r="H63" s="416"/>
      <c r="I63" s="109"/>
      <c r="J63" s="109"/>
      <c r="K63" s="109"/>
      <c r="L63" s="413">
        <f>F63-360</f>
        <v>-54.860000000000014</v>
      </c>
      <c r="M63" s="413"/>
      <c r="N63" s="109" t="s">
        <v>34</v>
      </c>
      <c r="O63" s="109"/>
      <c r="P63" s="109"/>
      <c r="Q63" s="109"/>
      <c r="R63" s="109"/>
      <c r="S63" s="109"/>
      <c r="T63" s="109"/>
      <c r="U63" s="109"/>
      <c r="V63" s="109"/>
      <c r="W63" s="109"/>
      <c r="X63" s="109"/>
      <c r="Y63" s="109"/>
      <c r="Z63" s="109"/>
      <c r="AA63" s="109"/>
      <c r="AB63" s="149"/>
      <c r="BN63" s="107"/>
    </row>
    <row r="64" spans="1:66" customFormat="1" ht="17.25" customHeight="1" x14ac:dyDescent="0.25">
      <c r="A64" s="99"/>
      <c r="B64" s="116"/>
      <c r="C64" s="414" t="s">
        <v>42</v>
      </c>
      <c r="D64" s="414"/>
      <c r="E64" s="414"/>
      <c r="F64" s="415"/>
      <c r="G64" s="575" t="s">
        <v>10</v>
      </c>
      <c r="H64" s="576"/>
      <c r="I64" s="577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50"/>
      <c r="AC64" s="616" t="s">
        <v>43</v>
      </c>
      <c r="AD64" s="153" t="s">
        <v>10</v>
      </c>
      <c r="BN64" s="107"/>
    </row>
    <row r="65" spans="1:66" customFormat="1" ht="17.25" customHeight="1" x14ac:dyDescent="0.25">
      <c r="A65" s="99"/>
      <c r="B65" s="99"/>
      <c r="C65" s="117" t="s">
        <v>10</v>
      </c>
      <c r="D65" s="117"/>
      <c r="E65" s="118"/>
      <c r="F65" s="118"/>
      <c r="G65" s="97"/>
      <c r="H65" s="97"/>
      <c r="I65" s="97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146"/>
      <c r="AC65" s="616"/>
      <c r="AD65" s="153" t="s">
        <v>16</v>
      </c>
      <c r="BN65" s="107"/>
    </row>
    <row r="66" spans="1:66" customFormat="1" ht="17.25" customHeight="1" x14ac:dyDescent="0.25">
      <c r="A66" s="99"/>
      <c r="B66" s="99"/>
      <c r="C66" s="144"/>
      <c r="D66" s="144"/>
      <c r="E66" s="144"/>
      <c r="F66" s="380" t="s">
        <v>9</v>
      </c>
      <c r="G66" s="381"/>
      <c r="H66" s="382"/>
      <c r="I66" s="380" t="s">
        <v>12</v>
      </c>
      <c r="J66" s="381"/>
      <c r="K66" s="381"/>
      <c r="L66" s="382"/>
      <c r="M66" s="386" t="s">
        <v>13</v>
      </c>
      <c r="N66" s="387"/>
      <c r="O66" s="388"/>
      <c r="P66" s="372" t="s">
        <v>17</v>
      </c>
      <c r="Q66" s="373"/>
      <c r="R66" s="373"/>
      <c r="S66" s="373"/>
      <c r="T66" s="374"/>
      <c r="U66" s="97"/>
      <c r="V66" s="99"/>
      <c r="W66" s="99"/>
      <c r="X66" s="99"/>
      <c r="Y66" s="99"/>
      <c r="Z66" s="99"/>
      <c r="AA66" s="99"/>
      <c r="AB66" s="146"/>
      <c r="AD66" s="158" t="s">
        <v>101</v>
      </c>
      <c r="AE66" s="6" t="s">
        <v>347</v>
      </c>
      <c r="BN66" s="107"/>
    </row>
    <row r="67" spans="1:66" customFormat="1" ht="17.25" customHeight="1" thickBot="1" x14ac:dyDescent="0.3">
      <c r="A67" s="99"/>
      <c r="B67" s="99"/>
      <c r="C67" s="144"/>
      <c r="D67" s="144"/>
      <c r="E67" s="144"/>
      <c r="F67" s="383"/>
      <c r="G67" s="384"/>
      <c r="H67" s="385"/>
      <c r="I67" s="383"/>
      <c r="J67" s="384"/>
      <c r="K67" s="384"/>
      <c r="L67" s="385"/>
      <c r="M67" s="389"/>
      <c r="N67" s="390"/>
      <c r="O67" s="391"/>
      <c r="P67" s="902"/>
      <c r="Q67" s="376"/>
      <c r="R67" s="376"/>
      <c r="S67" s="376"/>
      <c r="T67" s="377"/>
      <c r="U67" s="97"/>
      <c r="V67" s="99"/>
      <c r="W67" s="99"/>
      <c r="X67" s="99"/>
      <c r="Y67" s="99"/>
      <c r="AA67" s="99"/>
      <c r="AB67" s="146"/>
      <c r="AC67" s="6" t="s">
        <v>338</v>
      </c>
      <c r="AD67" s="6">
        <f>VLOOKUP(P68,$B$38:$C$39,2)</f>
        <v>1</v>
      </c>
      <c r="AE67" s="6" cm="1">
        <f t="array" ref="AE67">AD67*angleConvert2Decimal(Q68)</f>
        <v>305.14</v>
      </c>
      <c r="BN67" s="107"/>
    </row>
    <row r="68" spans="1:66" customFormat="1" ht="17.25" customHeight="1" thickTop="1" thickBot="1" x14ac:dyDescent="0.3">
      <c r="A68" s="99"/>
      <c r="B68" s="99"/>
      <c r="C68" s="144"/>
      <c r="D68" s="144"/>
      <c r="E68" s="99"/>
      <c r="F68" s="490">
        <f>IF(G64=AD65,"---",AD72)</f>
        <v>305.14</v>
      </c>
      <c r="G68" s="490"/>
      <c r="H68" s="490"/>
      <c r="I68" s="486">
        <f>E11</f>
        <v>18.814166666666669</v>
      </c>
      <c r="J68" s="487"/>
      <c r="K68" s="487"/>
      <c r="L68" s="903"/>
      <c r="M68" s="486">
        <v>10</v>
      </c>
      <c r="N68" s="487"/>
      <c r="O68" s="903"/>
      <c r="P68" s="905" t="s">
        <v>5</v>
      </c>
      <c r="Q68" s="906">
        <v>305.14</v>
      </c>
      <c r="R68" s="635"/>
      <c r="S68" s="635"/>
      <c r="T68" s="907"/>
      <c r="U68" s="344" t="str" cm="1">
        <f t="array" ref="U68">angleDecimal2Txt(AE67)</f>
        <v>+305°08.40 (+305.1399) [+305°08'24.00]</v>
      </c>
      <c r="V68" s="514"/>
      <c r="W68" s="514"/>
      <c r="X68" s="514"/>
      <c r="Y68" s="514"/>
      <c r="AA68" s="99"/>
      <c r="AB68" s="146"/>
      <c r="AC68" s="6" t="s">
        <v>339</v>
      </c>
      <c r="AD68" s="6">
        <f>VLOOKUP(P70,$B$38:$C$39,2)</f>
        <v>1</v>
      </c>
      <c r="AE68" s="6" cm="1">
        <f t="array" ref="AE68">AD68*angleConvert2Decimal(Q70)</f>
        <v>305.14</v>
      </c>
      <c r="BN68" s="107"/>
    </row>
    <row r="69" spans="1:66" customFormat="1" ht="17.25" customHeight="1" thickTop="1" thickBot="1" x14ac:dyDescent="0.3">
      <c r="A69" s="99"/>
      <c r="B69" s="99"/>
      <c r="C69" s="144"/>
      <c r="D69" s="144"/>
      <c r="E69" s="144"/>
      <c r="F69" s="491"/>
      <c r="G69" s="491"/>
      <c r="H69" s="491"/>
      <c r="I69" s="656"/>
      <c r="J69" s="657"/>
      <c r="K69" s="657"/>
      <c r="L69" s="904"/>
      <c r="M69" s="488"/>
      <c r="N69" s="489"/>
      <c r="O69" s="613"/>
      <c r="P69" s="422"/>
      <c r="Q69" s="908"/>
      <c r="R69" s="909"/>
      <c r="S69" s="909"/>
      <c r="T69" s="910"/>
      <c r="U69" s="514"/>
      <c r="V69" s="514"/>
      <c r="W69" s="514"/>
      <c r="X69" s="514"/>
      <c r="Y69" s="514"/>
      <c r="AA69" s="99"/>
      <c r="AB69" s="146"/>
      <c r="AC69" s="6" t="s">
        <v>45</v>
      </c>
      <c r="AD69" s="8">
        <f>AE68-AE67</f>
        <v>0</v>
      </c>
      <c r="BN69" s="107"/>
    </row>
    <row r="70" spans="1:66" customFormat="1" ht="17.25" customHeight="1" thickTop="1" thickBot="1" x14ac:dyDescent="0.3">
      <c r="A70" s="99"/>
      <c r="B70" s="99"/>
      <c r="C70" s="144"/>
      <c r="D70" s="144"/>
      <c r="E70" s="144"/>
      <c r="F70" s="491"/>
      <c r="G70" s="491"/>
      <c r="H70" s="491"/>
      <c r="I70" s="656"/>
      <c r="J70" s="657"/>
      <c r="K70" s="657"/>
      <c r="L70" s="904"/>
      <c r="M70" s="573">
        <v>11</v>
      </c>
      <c r="N70" s="574"/>
      <c r="O70" s="911"/>
      <c r="P70" s="912" t="s">
        <v>5</v>
      </c>
      <c r="Q70" s="638">
        <v>305.14</v>
      </c>
      <c r="R70" s="913"/>
      <c r="S70" s="913"/>
      <c r="T70" s="914"/>
      <c r="U70" s="344" t="str" cm="1">
        <f t="array" ref="U70">angleDecimal2Txt((AE68))</f>
        <v>+305°08.40 (+305.1399) [+305°08'24.00]</v>
      </c>
      <c r="V70" s="514"/>
      <c r="W70" s="514"/>
      <c r="X70" s="514"/>
      <c r="Y70" s="514"/>
      <c r="AA70" s="99"/>
      <c r="AB70" s="146"/>
      <c r="AC70" s="6" t="s">
        <v>341</v>
      </c>
      <c r="AD70" s="8">
        <f>M70-M68</f>
        <v>1</v>
      </c>
      <c r="AE70" s="99"/>
      <c r="BN70" s="107"/>
    </row>
    <row r="71" spans="1:66" customFormat="1" ht="17.25" customHeight="1" thickTop="1" thickBot="1" x14ac:dyDescent="0.3">
      <c r="A71" s="99"/>
      <c r="B71" s="99"/>
      <c r="C71" s="144"/>
      <c r="D71" s="144"/>
      <c r="E71" s="144"/>
      <c r="F71" s="491"/>
      <c r="G71" s="491"/>
      <c r="H71" s="491"/>
      <c r="I71" s="656"/>
      <c r="J71" s="657"/>
      <c r="K71" s="657"/>
      <c r="L71" s="904"/>
      <c r="M71" s="488"/>
      <c r="N71" s="489"/>
      <c r="O71" s="613"/>
      <c r="P71" s="422"/>
      <c r="Q71" s="908"/>
      <c r="R71" s="909"/>
      <c r="S71" s="909"/>
      <c r="T71" s="910"/>
      <c r="U71" s="514"/>
      <c r="V71" s="514"/>
      <c r="W71" s="514"/>
      <c r="X71" s="514"/>
      <c r="Y71" s="514"/>
      <c r="AA71" s="99"/>
      <c r="AB71" s="146"/>
      <c r="AC71" s="6" t="s">
        <v>46</v>
      </c>
      <c r="AD71" s="8">
        <f>I68-M68</f>
        <v>8.8141666666666687</v>
      </c>
      <c r="BN71" s="107"/>
    </row>
    <row r="72" spans="1:66" customFormat="1" ht="17.25" customHeight="1" thickTop="1" thickBot="1" x14ac:dyDescent="0.3">
      <c r="A72" s="99"/>
      <c r="B72" s="99"/>
      <c r="C72" s="144"/>
      <c r="D72" s="144"/>
      <c r="E72" s="144"/>
      <c r="F72" s="358">
        <f>AC73</f>
        <v>0</v>
      </c>
      <c r="G72" s="359"/>
      <c r="H72" s="359"/>
      <c r="I72" s="359"/>
      <c r="J72" s="359"/>
      <c r="K72" s="360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AA72" s="97"/>
      <c r="AB72" s="146"/>
      <c r="AC72" s="6" t="s">
        <v>44</v>
      </c>
      <c r="AD72" s="6">
        <f>AE67+(AD69/AD70)*AD71</f>
        <v>305.14</v>
      </c>
      <c r="BN72" s="107"/>
    </row>
    <row r="73" spans="1:66" customFormat="1" ht="17.25" customHeight="1" thickTop="1" x14ac:dyDescent="0.25">
      <c r="A73" s="99"/>
      <c r="B73" s="99"/>
      <c r="C73" s="117" t="s">
        <v>16</v>
      </c>
      <c r="D73" s="117"/>
      <c r="E73" s="118"/>
      <c r="F73" s="118"/>
      <c r="G73" s="97"/>
      <c r="H73" s="97"/>
      <c r="I73" s="97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AA73" s="97"/>
      <c r="AB73" s="146"/>
      <c r="BN73" s="107"/>
    </row>
    <row r="74" spans="1:66" customFormat="1" ht="17.25" customHeight="1" x14ac:dyDescent="0.25">
      <c r="A74" s="99"/>
      <c r="B74" s="99"/>
      <c r="C74" s="97"/>
      <c r="D74" s="97"/>
      <c r="E74" s="97"/>
      <c r="F74" s="380" t="s">
        <v>9</v>
      </c>
      <c r="G74" s="381"/>
      <c r="H74" s="382"/>
      <c r="I74" s="380" t="s">
        <v>12</v>
      </c>
      <c r="J74" s="381"/>
      <c r="K74" s="381"/>
      <c r="L74" s="382"/>
      <c r="M74" s="386" t="s">
        <v>13</v>
      </c>
      <c r="N74" s="387"/>
      <c r="O74" s="388"/>
      <c r="P74" s="372" t="s">
        <v>18</v>
      </c>
      <c r="Q74" s="373"/>
      <c r="R74" s="373"/>
      <c r="S74" s="373"/>
      <c r="T74" s="374"/>
      <c r="U74" s="372" t="s">
        <v>126</v>
      </c>
      <c r="V74" s="373"/>
      <c r="W74" s="373"/>
      <c r="X74" s="373"/>
      <c r="Y74" s="374"/>
      <c r="Z74" s="99"/>
      <c r="AA74" s="97"/>
      <c r="AB74" s="146"/>
      <c r="AC74" s="6" t="s">
        <v>342</v>
      </c>
      <c r="AD74" s="6">
        <f>VLOOKUP(P76,$B$38:$C$39,2)</f>
        <v>1</v>
      </c>
      <c r="BN74" s="107"/>
    </row>
    <row r="75" spans="1:66" customFormat="1" ht="17.25" customHeight="1" collapsed="1" x14ac:dyDescent="0.25">
      <c r="A75" s="99"/>
      <c r="B75" s="99"/>
      <c r="C75" s="144"/>
      <c r="D75" s="144"/>
      <c r="E75" s="144"/>
      <c r="F75" s="383"/>
      <c r="G75" s="384"/>
      <c r="H75" s="385"/>
      <c r="I75" s="383"/>
      <c r="J75" s="384"/>
      <c r="K75" s="384"/>
      <c r="L75" s="385"/>
      <c r="M75" s="389"/>
      <c r="N75" s="390"/>
      <c r="O75" s="391"/>
      <c r="P75" s="902"/>
      <c r="Q75" s="376"/>
      <c r="R75" s="376"/>
      <c r="S75" s="376"/>
      <c r="T75" s="377"/>
      <c r="U75" s="902"/>
      <c r="V75" s="376"/>
      <c r="W75" s="376"/>
      <c r="X75" s="376"/>
      <c r="Y75" s="377"/>
      <c r="Z75" s="97"/>
      <c r="AA75" s="97"/>
      <c r="AB75" s="146"/>
      <c r="AC75" s="6" t="s">
        <v>343</v>
      </c>
      <c r="AD75" s="6" cm="1">
        <f t="array" ref="AD75">angleConvert2Decimal(Q76)*AD74</f>
        <v>176.49</v>
      </c>
      <c r="BN75" s="107"/>
    </row>
    <row r="76" spans="1:66" customFormat="1" ht="17.25" customHeight="1" x14ac:dyDescent="0.25">
      <c r="A76" s="99"/>
      <c r="B76" s="99"/>
      <c r="C76" s="144"/>
      <c r="D76" s="144"/>
      <c r="E76" s="99"/>
      <c r="F76" s="490" t="str">
        <f>IF(G64=AD65,AD78,"---")</f>
        <v>---</v>
      </c>
      <c r="G76" s="490"/>
      <c r="H76" s="490"/>
      <c r="I76" s="486">
        <f>E11</f>
        <v>18.814166666666669</v>
      </c>
      <c r="J76" s="487"/>
      <c r="K76" s="487"/>
      <c r="L76" s="903"/>
      <c r="M76" s="486">
        <v>0</v>
      </c>
      <c r="N76" s="487"/>
      <c r="O76" s="903"/>
      <c r="P76" s="905" t="s">
        <v>5</v>
      </c>
      <c r="Q76" s="906" t="s">
        <v>228</v>
      </c>
      <c r="R76" s="635"/>
      <c r="S76" s="635"/>
      <c r="T76" s="915"/>
      <c r="U76" s="905" t="s">
        <v>5</v>
      </c>
      <c r="V76" s="906" t="s">
        <v>174</v>
      </c>
      <c r="W76" s="635"/>
      <c r="X76" s="635"/>
      <c r="Y76" s="915"/>
      <c r="Z76" s="97"/>
      <c r="AA76" s="99"/>
      <c r="AB76" s="146"/>
      <c r="AC76" s="6" t="s">
        <v>344</v>
      </c>
      <c r="AD76" s="6">
        <f>VLOOKUP(U76,$B$38:$C$39,2)</f>
        <v>1</v>
      </c>
      <c r="BN76" s="107"/>
    </row>
    <row r="77" spans="1:66" customFormat="1" ht="17.25" customHeight="1" thickBot="1" x14ac:dyDescent="0.3">
      <c r="A77" s="99"/>
      <c r="B77" s="99"/>
      <c r="C77" s="144"/>
      <c r="D77" s="144"/>
      <c r="E77" s="144"/>
      <c r="F77" s="491"/>
      <c r="G77" s="491"/>
      <c r="H77" s="491"/>
      <c r="I77" s="656"/>
      <c r="J77" s="657"/>
      <c r="K77" s="657"/>
      <c r="L77" s="904"/>
      <c r="M77" s="488"/>
      <c r="N77" s="489"/>
      <c r="O77" s="613"/>
      <c r="P77" s="918"/>
      <c r="Q77" s="916"/>
      <c r="R77" s="636"/>
      <c r="S77" s="636"/>
      <c r="T77" s="917"/>
      <c r="U77" s="918"/>
      <c r="V77" s="916"/>
      <c r="W77" s="636"/>
      <c r="X77" s="636"/>
      <c r="Y77" s="917"/>
      <c r="Z77" s="97"/>
      <c r="AA77" s="99"/>
      <c r="AB77" s="146"/>
      <c r="AC77" s="6" t="s">
        <v>345</v>
      </c>
      <c r="AD77" s="6" cm="1">
        <f t="array" ref="AD77">angleConvert2Decimal(V76)*AD76</f>
        <v>15.002000000000001</v>
      </c>
      <c r="BN77" s="107"/>
    </row>
    <row r="78" spans="1:66" customFormat="1" ht="17.25" customHeight="1" thickTop="1" thickBot="1" x14ac:dyDescent="0.3">
      <c r="A78" s="99"/>
      <c r="B78" s="99"/>
      <c r="C78" s="144"/>
      <c r="D78" s="144"/>
      <c r="E78" s="144"/>
      <c r="F78" s="346" t="e" cm="1">
        <f t="array" ref="F78">angleDecimal2Txt(F76)</f>
        <v>#VALUE!</v>
      </c>
      <c r="G78" s="346"/>
      <c r="H78" s="346"/>
      <c r="I78" s="346"/>
      <c r="J78" s="346"/>
      <c r="K78" s="346"/>
      <c r="L78" s="99"/>
      <c r="M78" s="99"/>
      <c r="N78" s="99"/>
      <c r="O78" s="99"/>
      <c r="P78" s="346" t="str" cm="1">
        <f t="array" ref="P78">angleDecimal2Txt(AD75)</f>
        <v>+176°29.39 (+176.4900) [+176°29'24.00]</v>
      </c>
      <c r="Q78" s="346"/>
      <c r="R78" s="346"/>
      <c r="S78" s="346"/>
      <c r="T78" s="346"/>
      <c r="U78" s="346" t="str" cm="1">
        <f t="array" ref="U78">angleDecimal2Txt(AD77)</f>
        <v>+15°00.12 (+15.0020) [+15°00'07.20]</v>
      </c>
      <c r="V78" s="566"/>
      <c r="W78" s="566"/>
      <c r="X78" s="566"/>
      <c r="Y78" s="566"/>
      <c r="Z78" s="99"/>
      <c r="AA78" s="99"/>
      <c r="AB78" s="146"/>
      <c r="AC78" s="6" t="s">
        <v>346</v>
      </c>
      <c r="AD78" s="6">
        <f>AD75+AD77*(I76-M76)</f>
        <v>458.74012833333336</v>
      </c>
      <c r="BN78" s="107"/>
    </row>
    <row r="79" spans="1:66" customFormat="1" ht="17.25" customHeight="1" thickTop="1" x14ac:dyDescent="0.25">
      <c r="A79" s="99"/>
      <c r="B79" s="99"/>
      <c r="C79" s="144"/>
      <c r="D79" s="144"/>
      <c r="E79" s="144"/>
      <c r="F79" s="144"/>
      <c r="G79" s="144"/>
      <c r="H79" s="99"/>
      <c r="I79" s="99"/>
      <c r="J79" s="99"/>
      <c r="K79" s="99"/>
      <c r="L79" s="99"/>
      <c r="M79" s="99"/>
      <c r="N79" s="99"/>
      <c r="O79" s="99"/>
      <c r="P79" s="99"/>
      <c r="Q79" s="99"/>
      <c r="R79" s="99"/>
      <c r="S79" s="97"/>
      <c r="T79" s="97"/>
      <c r="U79" s="97"/>
      <c r="V79" s="97"/>
      <c r="W79" s="97"/>
      <c r="X79" s="97"/>
      <c r="Y79" s="99"/>
      <c r="Z79" s="99"/>
      <c r="AA79" s="99"/>
      <c r="AB79" s="146"/>
      <c r="BN79" s="107"/>
    </row>
    <row r="80" spans="1:66" customFormat="1" ht="17.25" customHeight="1" x14ac:dyDescent="0.25">
      <c r="A80" s="99"/>
      <c r="B80" s="99"/>
      <c r="C80" s="144"/>
      <c r="D80" s="144"/>
      <c r="E80" s="144"/>
      <c r="F80" s="144"/>
      <c r="G80" s="144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7"/>
      <c r="T80" s="97"/>
      <c r="U80" s="97"/>
      <c r="V80" s="97"/>
      <c r="W80" s="97"/>
      <c r="X80" s="99"/>
      <c r="Y80" s="99"/>
      <c r="Z80" s="99"/>
      <c r="AA80" s="99"/>
      <c r="AB80" s="146"/>
      <c r="BN80" s="107"/>
    </row>
    <row r="81" spans="1:66" customFormat="1" ht="17.25" customHeight="1" thickBot="1" x14ac:dyDescent="0.3">
      <c r="A81" s="99"/>
      <c r="B81" s="99"/>
      <c r="C81" s="144"/>
      <c r="D81" s="144"/>
      <c r="E81" s="144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9"/>
      <c r="AB81" s="146"/>
      <c r="AI81" s="41"/>
      <c r="BN81" s="107"/>
    </row>
    <row r="82" spans="1:66" s="97" customFormat="1" ht="17.25" customHeight="1" thickBot="1" x14ac:dyDescent="0.3">
      <c r="A82" s="99"/>
      <c r="B82" s="108" t="s">
        <v>51</v>
      </c>
      <c r="C82" s="109"/>
      <c r="D82" s="109"/>
      <c r="E82" s="109"/>
      <c r="F82" s="416">
        <f>I83</f>
        <v>307.23449999999997</v>
      </c>
      <c r="G82" s="416"/>
      <c r="H82" s="416"/>
      <c r="I82" s="109"/>
      <c r="J82" s="584" t="s">
        <v>83</v>
      </c>
      <c r="K82" s="584"/>
      <c r="L82" s="584"/>
      <c r="M82" s="493" t="str">
        <f>J22</f>
        <v>Lune</v>
      </c>
      <c r="N82" s="493"/>
      <c r="O82" s="493"/>
      <c r="P82" s="109"/>
      <c r="Q82" s="109"/>
      <c r="R82" s="109"/>
      <c r="S82" s="109"/>
      <c r="T82" s="109"/>
      <c r="U82" s="109"/>
      <c r="V82" s="109"/>
      <c r="W82" s="109"/>
      <c r="X82" s="109"/>
      <c r="Y82" s="109"/>
      <c r="Z82" s="109"/>
      <c r="AA82" s="109"/>
      <c r="AB82" s="149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114"/>
    </row>
    <row r="83" spans="1:66" ht="17.25" customHeight="1" thickBot="1" x14ac:dyDescent="0.3">
      <c r="C83" s="617" t="s">
        <v>23</v>
      </c>
      <c r="D83" s="617"/>
      <c r="E83" s="617"/>
      <c r="F83" s="617"/>
      <c r="G83" s="617"/>
      <c r="H83" s="618"/>
      <c r="I83" s="632">
        <f>AD84</f>
        <v>307.23449999999997</v>
      </c>
      <c r="J83" s="633"/>
      <c r="K83" s="633"/>
      <c r="L83" s="634"/>
      <c r="M83" s="119" t="s">
        <v>53</v>
      </c>
      <c r="N83" s="470">
        <f>AD83</f>
        <v>307.23449999999997</v>
      </c>
      <c r="O83" s="470"/>
      <c r="P83" s="470"/>
      <c r="Q83" s="470"/>
      <c r="AC83" s="6" t="s">
        <v>348</v>
      </c>
      <c r="AD83" s="8">
        <f>F63+F41</f>
        <v>307.23449999999997</v>
      </c>
    </row>
    <row r="84" spans="1:66" ht="17.25" customHeight="1" thickTop="1" thickBot="1" x14ac:dyDescent="0.3">
      <c r="A84" s="97"/>
      <c r="C84" s="97"/>
      <c r="D84" s="97"/>
      <c r="E84" s="97"/>
      <c r="F84" s="97"/>
      <c r="G84" s="97"/>
      <c r="H84" s="97"/>
      <c r="I84" s="566">
        <f>AC85</f>
        <v>0</v>
      </c>
      <c r="J84" s="566"/>
      <c r="K84" s="566"/>
      <c r="L84" s="566"/>
      <c r="M84" s="566"/>
      <c r="N84" s="566"/>
      <c r="AB84" s="151"/>
      <c r="AC84" s="6" t="s">
        <v>349</v>
      </c>
      <c r="AD84" s="8">
        <f>MOD(AD83,360)</f>
        <v>307.23449999999997</v>
      </c>
    </row>
    <row r="85" spans="1:66" ht="17.25" customHeight="1" thickTop="1" thickBot="1" x14ac:dyDescent="0.3">
      <c r="B85" s="97"/>
      <c r="C85" s="99"/>
      <c r="D85" s="99"/>
      <c r="E85" s="99"/>
      <c r="F85" s="99"/>
      <c r="G85" s="99"/>
      <c r="AA85" s="97"/>
    </row>
    <row r="86" spans="1:66" ht="17.25" customHeight="1" thickBot="1" x14ac:dyDescent="0.3">
      <c r="B86" s="108" t="s">
        <v>25</v>
      </c>
      <c r="C86" s="109"/>
      <c r="D86" s="588" t="s">
        <v>100</v>
      </c>
      <c r="E86" s="592"/>
      <c r="F86" s="416">
        <f>IF(G87=AD87,O124,O116)</f>
        <v>21.769371872294943</v>
      </c>
      <c r="G86" s="416"/>
      <c r="H86" s="416"/>
      <c r="I86" s="109"/>
      <c r="J86" s="109"/>
      <c r="K86" s="109"/>
      <c r="L86" s="109" t="s">
        <v>88</v>
      </c>
      <c r="M86" s="588">
        <f>O89</f>
        <v>20.5</v>
      </c>
      <c r="N86" s="588"/>
      <c r="O86" s="109"/>
      <c r="P86" s="145"/>
      <c r="Q86" s="109" t="s">
        <v>127</v>
      </c>
      <c r="R86" s="109"/>
      <c r="S86" s="569">
        <f>-O103+O98+O107</f>
        <v>1.2693718722949456</v>
      </c>
      <c r="T86" s="570"/>
      <c r="U86" s="571"/>
      <c r="V86" s="572" t="str" cm="1">
        <f t="array" ref="V86">angleDecimal2Txt(S86)</f>
        <v>+01°16.16 (+01.2693) [+01°16'09.73]</v>
      </c>
      <c r="W86" s="572"/>
      <c r="X86" s="572"/>
      <c r="Y86" s="572"/>
      <c r="Z86" s="572"/>
      <c r="AA86" s="109"/>
      <c r="AB86" s="149"/>
    </row>
    <row r="87" spans="1:66" ht="17.25" customHeight="1" x14ac:dyDescent="0.25">
      <c r="C87" s="414" t="s">
        <v>42</v>
      </c>
      <c r="D87" s="414"/>
      <c r="E87" s="414"/>
      <c r="F87" s="414"/>
      <c r="G87" s="585" t="s">
        <v>59</v>
      </c>
      <c r="H87" s="585"/>
      <c r="I87" s="585"/>
      <c r="P87" s="99" t="s">
        <v>97</v>
      </c>
      <c r="V87" s="97"/>
      <c r="W87" s="97"/>
      <c r="X87" s="97"/>
      <c r="Y87" s="97"/>
      <c r="Z87" s="97"/>
      <c r="AC87" s="616" t="s">
        <v>43</v>
      </c>
      <c r="AD87" s="153" t="s">
        <v>58</v>
      </c>
    </row>
    <row r="88" spans="1:66" ht="17.25" customHeight="1" thickBot="1" x14ac:dyDescent="0.3">
      <c r="C88" s="116"/>
      <c r="D88" s="116"/>
      <c r="E88" s="116"/>
      <c r="F88" s="475" t="s">
        <v>90</v>
      </c>
      <c r="G88" s="475"/>
      <c r="H88" s="586"/>
      <c r="I88" s="586"/>
      <c r="J88" s="568">
        <f>IF(G87=AD87,"---",O116)</f>
        <v>21.769371872294943</v>
      </c>
      <c r="K88" s="568"/>
      <c r="L88" s="568"/>
      <c r="V88" s="97"/>
      <c r="W88" s="97"/>
      <c r="X88" s="97"/>
      <c r="Y88" s="97"/>
      <c r="Z88" s="97"/>
      <c r="AC88" s="616"/>
      <c r="AD88" s="153" t="s">
        <v>59</v>
      </c>
    </row>
    <row r="89" spans="1:66" ht="17.25" customHeight="1" thickTop="1" thickBot="1" x14ac:dyDescent="0.3">
      <c r="C89" s="99"/>
      <c r="D89" s="99"/>
      <c r="E89" s="99"/>
      <c r="F89" s="99"/>
      <c r="G89" s="99"/>
      <c r="H89" s="452" t="s">
        <v>55</v>
      </c>
      <c r="I89" s="452"/>
      <c r="J89" s="452"/>
      <c r="K89" s="452"/>
      <c r="L89" s="452"/>
      <c r="M89" s="452"/>
      <c r="N89" s="452"/>
      <c r="O89" s="333">
        <f>J21</f>
        <v>20.5</v>
      </c>
      <c r="P89" s="333"/>
      <c r="Q89" s="333"/>
      <c r="R89" s="333"/>
      <c r="S89" s="99" t="s">
        <v>71</v>
      </c>
      <c r="U89" s="346" t="str" cm="1">
        <f t="array" ref="U89">angleDecimal2Txt(O89)</f>
        <v>+20°30.00 (+20.5000) [+20°30'00.00]</v>
      </c>
      <c r="V89" s="346"/>
      <c r="W89" s="346"/>
      <c r="X89" s="346"/>
      <c r="Y89" s="346"/>
      <c r="Z89" s="346"/>
    </row>
    <row r="90" spans="1:66" ht="17.25" customHeight="1" thickTop="1" thickBot="1" x14ac:dyDescent="0.3">
      <c r="C90" s="99"/>
      <c r="D90" s="99"/>
      <c r="E90" s="99"/>
      <c r="F90" s="99"/>
      <c r="G90" s="99"/>
      <c r="H90" s="452" t="s">
        <v>26</v>
      </c>
      <c r="I90" s="452"/>
      <c r="J90" s="452"/>
      <c r="K90" s="452"/>
      <c r="L90" s="452"/>
      <c r="M90" s="452"/>
      <c r="N90" s="452"/>
      <c r="O90" s="333">
        <f>J20</f>
        <v>0</v>
      </c>
      <c r="P90" s="333"/>
      <c r="Q90" s="333"/>
      <c r="R90" s="333"/>
      <c r="S90" s="99" t="s">
        <v>71</v>
      </c>
      <c r="U90" s="346" t="str" cm="1">
        <f t="array" ref="U90">angleDecimal2Txt(O90)</f>
        <v>+00°00.00 (+00.0000) [+00°00'00.00]</v>
      </c>
      <c r="V90" s="346"/>
      <c r="W90" s="346"/>
      <c r="X90" s="346"/>
      <c r="Y90" s="346"/>
      <c r="Z90" s="346"/>
      <c r="AC90" s="6" t="s">
        <v>87</v>
      </c>
      <c r="AD90" s="8">
        <f>O90</f>
        <v>0</v>
      </c>
    </row>
    <row r="91" spans="1:66" ht="17.25" customHeight="1" thickTop="1" thickBot="1" x14ac:dyDescent="0.3">
      <c r="G91" s="99"/>
      <c r="H91" s="480" t="s">
        <v>96</v>
      </c>
      <c r="I91" s="480"/>
      <c r="J91" s="480"/>
      <c r="K91" s="480"/>
      <c r="L91" s="480"/>
      <c r="M91" s="480"/>
      <c r="N91" s="480"/>
      <c r="O91" s="342">
        <f>AD92</f>
        <v>0</v>
      </c>
      <c r="P91" s="342"/>
      <c r="Q91" s="342"/>
      <c r="R91" s="342"/>
      <c r="S91" s="99" t="s">
        <v>71</v>
      </c>
      <c r="U91" s="346" t="str" cm="1">
        <f t="array" ref="U91">angleDecimal2Txt(O91)</f>
        <v>+00°00.00 (+00.0000) [+00°00'00.00]</v>
      </c>
      <c r="V91" s="346"/>
      <c r="W91" s="346"/>
      <c r="X91" s="346"/>
      <c r="Y91" s="346"/>
      <c r="Z91" s="346"/>
      <c r="AC91" s="6" t="s">
        <v>54</v>
      </c>
      <c r="AD91" s="6">
        <f>J19</f>
        <v>0</v>
      </c>
    </row>
    <row r="92" spans="1:66" ht="17.25" customHeight="1" thickTop="1" thickBot="1" x14ac:dyDescent="0.3">
      <c r="K92" s="97"/>
      <c r="L92" s="97"/>
      <c r="M92" s="598" t="s">
        <v>178</v>
      </c>
      <c r="N92" s="598"/>
      <c r="O92" s="598"/>
      <c r="P92" s="598"/>
      <c r="Q92" s="97"/>
      <c r="R92" s="97"/>
      <c r="U92" s="97"/>
      <c r="V92" s="97"/>
      <c r="W92" s="97"/>
      <c r="X92" s="97"/>
      <c r="Y92" s="97"/>
      <c r="Z92" s="97"/>
      <c r="AC92" s="159" t="s">
        <v>95</v>
      </c>
      <c r="AD92" s="6">
        <f>0.0293 * SQRT(AD91)</f>
        <v>0</v>
      </c>
    </row>
    <row r="93" spans="1:66" ht="17.25" customHeight="1" thickTop="1" thickBot="1" x14ac:dyDescent="0.3">
      <c r="G93" s="99"/>
      <c r="H93" s="329" t="s">
        <v>56</v>
      </c>
      <c r="I93" s="329"/>
      <c r="J93" s="329"/>
      <c r="K93" s="329"/>
      <c r="L93" s="329"/>
      <c r="M93" s="329"/>
      <c r="N93" s="329"/>
      <c r="O93" s="492">
        <f>O89-O90-O91</f>
        <v>20.5</v>
      </c>
      <c r="P93" s="474"/>
      <c r="Q93" s="99" t="s">
        <v>71</v>
      </c>
      <c r="R93" s="498">
        <f>O93*D138</f>
        <v>0.35779249665883756</v>
      </c>
      <c r="S93" s="498"/>
      <c r="T93" s="120" t="s">
        <v>92</v>
      </c>
      <c r="U93" s="346" t="str" cm="1">
        <f t="array" ref="U93">angleDecimal2Txt(O93)</f>
        <v>+20°30.00 (+20.5000) [+20°30'00.00]</v>
      </c>
      <c r="V93" s="346"/>
      <c r="W93" s="346"/>
      <c r="X93" s="346"/>
      <c r="Y93" s="346"/>
      <c r="Z93" s="346"/>
    </row>
    <row r="94" spans="1:66" ht="17.25" customHeight="1" thickTop="1" x14ac:dyDescent="0.25">
      <c r="C94" s="99"/>
      <c r="D94" s="99"/>
      <c r="E94" s="99"/>
      <c r="F94" s="99"/>
      <c r="G94" s="99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U94" s="97"/>
      <c r="V94" s="97"/>
      <c r="W94" s="97"/>
      <c r="X94" s="97"/>
      <c r="Y94" s="97"/>
      <c r="Z94" s="97"/>
    </row>
    <row r="95" spans="1:66" ht="17.25" customHeight="1" x14ac:dyDescent="0.25">
      <c r="G95" s="99"/>
      <c r="H95" s="97"/>
      <c r="I95" s="97"/>
      <c r="J95" s="97"/>
      <c r="K95" s="97"/>
      <c r="L95" s="97"/>
      <c r="M95" s="494" t="s">
        <v>89</v>
      </c>
      <c r="N95" s="494"/>
      <c r="O95" s="494"/>
      <c r="P95" s="494"/>
      <c r="Q95" s="97"/>
      <c r="R95" s="97"/>
      <c r="U95" s="97"/>
      <c r="V95" s="97"/>
      <c r="W95" s="97"/>
      <c r="X95" s="97"/>
      <c r="Y95" s="97"/>
      <c r="Z95" s="97"/>
    </row>
    <row r="96" spans="1:66" ht="17.25" customHeight="1" thickBot="1" x14ac:dyDescent="0.3">
      <c r="C96" s="99"/>
      <c r="D96" s="99"/>
      <c r="E96" s="99"/>
      <c r="F96" s="99"/>
      <c r="G96" s="99"/>
      <c r="M96" s="495" t="s">
        <v>243</v>
      </c>
      <c r="N96" s="495"/>
      <c r="O96" s="494"/>
      <c r="P96" s="494"/>
    </row>
    <row r="97" spans="1:66" ht="17.25" customHeight="1" thickTop="1" thickBot="1" x14ac:dyDescent="0.3">
      <c r="A97" s="97"/>
      <c r="B97" s="97"/>
      <c r="C97" s="97"/>
      <c r="D97" s="97"/>
      <c r="E97" s="97"/>
      <c r="F97" s="99"/>
      <c r="G97" s="99"/>
      <c r="H97" s="342" t="s">
        <v>60</v>
      </c>
      <c r="I97" s="342"/>
      <c r="J97" s="342"/>
      <c r="K97" s="342"/>
      <c r="L97" s="342"/>
      <c r="M97" s="342"/>
      <c r="N97" s="342"/>
      <c r="O97" s="496">
        <f>J24</f>
        <v>0.90380000000000005</v>
      </c>
      <c r="P97" s="497"/>
      <c r="Q97" s="497"/>
      <c r="R97" s="497"/>
      <c r="S97" s="99" t="s">
        <v>71</v>
      </c>
      <c r="U97" s="346" t="str" cm="1">
        <f t="array" ref="U97">angleDecimal2Txt(O97)</f>
        <v>+00°54.22 (+00.9038) [+00°54'13.68]</v>
      </c>
      <c r="V97" s="346"/>
      <c r="W97" s="346"/>
      <c r="X97" s="346"/>
      <c r="Y97" s="346"/>
      <c r="Z97" s="346"/>
      <c r="AC97" s="6" t="s">
        <v>350</v>
      </c>
      <c r="AD97" s="6">
        <f>O97*COS(R93)</f>
        <v>0.84656432464270182</v>
      </c>
    </row>
    <row r="98" spans="1:66" customFormat="1" ht="17.25" customHeight="1" thickTop="1" thickBot="1" x14ac:dyDescent="0.3">
      <c r="A98" s="97"/>
      <c r="B98" s="97"/>
      <c r="C98" s="97"/>
      <c r="D98" s="97"/>
      <c r="E98" s="97"/>
      <c r="F98" s="99"/>
      <c r="G98" s="99"/>
      <c r="H98" s="462" t="s">
        <v>244</v>
      </c>
      <c r="I98" s="463"/>
      <c r="J98" s="463"/>
      <c r="K98" s="463"/>
      <c r="L98" s="463"/>
      <c r="M98" s="463"/>
      <c r="N98" s="464"/>
      <c r="O98" s="334">
        <f>AD97</f>
        <v>0.84656432464270182</v>
      </c>
      <c r="P98" s="334"/>
      <c r="Q98" s="334"/>
      <c r="R98" s="334"/>
      <c r="S98" s="99" t="s">
        <v>71</v>
      </c>
      <c r="T98" s="99"/>
      <c r="U98" s="346" t="str" cm="1">
        <f t="array" ref="U98">angleDecimal2Txt(O98)</f>
        <v>+00°50.79 (+00.8465) [+00°50'47.63]</v>
      </c>
      <c r="V98" s="346"/>
      <c r="W98" s="346"/>
      <c r="X98" s="346"/>
      <c r="Y98" s="346"/>
      <c r="Z98" s="346"/>
      <c r="AA98" s="99"/>
      <c r="AB98" s="146"/>
      <c r="BN98" s="107"/>
    </row>
    <row r="99" spans="1:66" customFormat="1" ht="17.25" customHeight="1" thickTop="1" x14ac:dyDescent="0.25">
      <c r="A99" s="97"/>
      <c r="B99" s="97"/>
      <c r="C99" s="97"/>
      <c r="D99" s="97"/>
      <c r="E99" s="97"/>
      <c r="F99" s="99"/>
      <c r="G99" s="99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9"/>
      <c r="AB99" s="146"/>
      <c r="BN99" s="107"/>
    </row>
    <row r="100" spans="1:66" customFormat="1" ht="17.25" customHeight="1" x14ac:dyDescent="0.25">
      <c r="A100" s="97"/>
      <c r="B100" s="97"/>
      <c r="C100" s="97"/>
      <c r="D100" s="97"/>
      <c r="E100" s="144"/>
      <c r="F100" s="99"/>
      <c r="G100" s="99"/>
      <c r="H100" s="97"/>
      <c r="I100" s="97"/>
      <c r="J100" s="97"/>
      <c r="K100" s="97"/>
      <c r="L100" s="97"/>
      <c r="M100" s="97"/>
      <c r="N100" s="97"/>
      <c r="O100" s="97"/>
      <c r="P100" s="99"/>
      <c r="Q100" s="99"/>
      <c r="R100" s="99"/>
      <c r="S100" s="505" t="s">
        <v>195</v>
      </c>
      <c r="T100" s="506"/>
      <c r="U100" s="507"/>
      <c r="V100" s="99"/>
      <c r="W100" s="99"/>
      <c r="X100" s="99"/>
      <c r="Y100" s="97"/>
      <c r="Z100" s="97"/>
      <c r="AA100" s="99"/>
      <c r="AB100" s="146"/>
      <c r="AC100" s="6" t="s">
        <v>57</v>
      </c>
      <c r="AD100" s="6" t="s">
        <v>352</v>
      </c>
      <c r="BN100" s="107"/>
    </row>
    <row r="101" spans="1:66" customFormat="1" ht="17.25" customHeight="1" x14ac:dyDescent="0.25">
      <c r="A101" s="97"/>
      <c r="B101" s="97"/>
      <c r="C101" s="97"/>
      <c r="D101" s="97"/>
      <c r="E101" s="144"/>
      <c r="F101" s="99"/>
      <c r="G101" s="99"/>
      <c r="H101" s="342" t="s">
        <v>93</v>
      </c>
      <c r="I101" s="342"/>
      <c r="J101" s="342"/>
      <c r="K101" s="342"/>
      <c r="L101" s="342"/>
      <c r="M101" s="342"/>
      <c r="N101" s="342"/>
      <c r="O101" s="465">
        <f>S101</f>
        <v>10</v>
      </c>
      <c r="P101" s="466"/>
      <c r="Q101" s="466"/>
      <c r="R101" s="466"/>
      <c r="S101" s="595">
        <v>10</v>
      </c>
      <c r="T101" s="596"/>
      <c r="U101" s="597"/>
      <c r="V101" s="99"/>
      <c r="W101" s="99"/>
      <c r="X101" s="99"/>
      <c r="Y101" s="97"/>
      <c r="Z101" s="97"/>
      <c r="AA101" s="99"/>
      <c r="AB101" s="146"/>
      <c r="AC101" s="6" t="s">
        <v>353</v>
      </c>
      <c r="AD101" s="6">
        <f>1/TAN((O93 + 7.31 / (O93 + 4.4)) * D138)</f>
        <v>2.6334082067358655</v>
      </c>
      <c r="BN101" s="107"/>
    </row>
    <row r="102" spans="1:66" customFormat="1" ht="17.25" customHeight="1" thickBot="1" x14ac:dyDescent="0.3">
      <c r="A102" s="97"/>
      <c r="B102" s="97"/>
      <c r="C102" s="97"/>
      <c r="D102" s="97"/>
      <c r="E102" s="97"/>
      <c r="F102" s="99"/>
      <c r="G102" s="99"/>
      <c r="H102" s="342" t="s">
        <v>94</v>
      </c>
      <c r="I102" s="342"/>
      <c r="J102" s="342"/>
      <c r="K102" s="342"/>
      <c r="L102" s="342"/>
      <c r="M102" s="342"/>
      <c r="N102" s="342"/>
      <c r="O102" s="465">
        <f>S102</f>
        <v>1010</v>
      </c>
      <c r="P102" s="466"/>
      <c r="Q102" s="466"/>
      <c r="R102" s="466"/>
      <c r="S102" s="595">
        <v>1010</v>
      </c>
      <c r="T102" s="596"/>
      <c r="U102" s="597"/>
      <c r="V102" s="99"/>
      <c r="W102" s="99"/>
      <c r="X102" s="99"/>
      <c r="Y102" s="97"/>
      <c r="Z102" s="97"/>
      <c r="AA102" s="99"/>
      <c r="AB102" s="146"/>
      <c r="AC102" s="6" t="s">
        <v>354</v>
      </c>
      <c r="AD102" s="6">
        <f>AD101/60</f>
        <v>4.389013677893109E-2</v>
      </c>
      <c r="BN102" s="107"/>
    </row>
    <row r="103" spans="1:66" customFormat="1" ht="17.25" customHeight="1" thickTop="1" thickBot="1" x14ac:dyDescent="0.3">
      <c r="A103" s="97"/>
      <c r="B103" s="97"/>
      <c r="C103" s="97"/>
      <c r="D103" s="97"/>
      <c r="E103" s="97"/>
      <c r="F103" s="99"/>
      <c r="G103" s="99"/>
      <c r="H103" s="462" t="s">
        <v>245</v>
      </c>
      <c r="I103" s="463"/>
      <c r="J103" s="463"/>
      <c r="K103" s="463"/>
      <c r="L103" s="463"/>
      <c r="M103" s="463"/>
      <c r="N103" s="464"/>
      <c r="O103" s="334">
        <f>AD104</f>
        <v>4.3859119014423013E-2</v>
      </c>
      <c r="P103" s="334"/>
      <c r="Q103" s="334"/>
      <c r="R103" s="334"/>
      <c r="S103" s="99" t="s">
        <v>71</v>
      </c>
      <c r="T103" s="99"/>
      <c r="U103" s="346" t="str" cm="1">
        <f t="array" ref="U103">angleDecimal2Txt(O103)</f>
        <v>+00°02.63 (+00.0438) [+00°02'37.89]</v>
      </c>
      <c r="V103" s="346"/>
      <c r="W103" s="346"/>
      <c r="X103" s="346"/>
      <c r="Y103" s="346"/>
      <c r="Z103" s="346"/>
      <c r="AA103" s="99"/>
      <c r="AB103" s="146"/>
      <c r="AC103" s="6" t="s">
        <v>128</v>
      </c>
      <c r="AD103" s="6">
        <f xml:space="preserve"> 0.28 * O102 / (273 + O101)</f>
        <v>0.99929328621908131</v>
      </c>
      <c r="BN103" s="107"/>
    </row>
    <row r="104" spans="1:66" customFormat="1" ht="17.25" customHeight="1" thickTop="1" x14ac:dyDescent="0.25">
      <c r="A104" s="97"/>
      <c r="B104" s="97"/>
      <c r="C104" s="97"/>
      <c r="D104" s="97"/>
      <c r="E104" s="97"/>
      <c r="F104" s="99"/>
      <c r="G104" s="99"/>
      <c r="H104" s="97"/>
      <c r="I104" s="97"/>
      <c r="J104" s="97"/>
      <c r="K104" s="97"/>
      <c r="L104" s="97"/>
      <c r="M104" s="97"/>
      <c r="N104" s="97"/>
      <c r="O104" s="97"/>
      <c r="P104" s="99"/>
      <c r="Q104" s="99"/>
      <c r="R104" s="99"/>
      <c r="S104" s="99"/>
      <c r="T104" s="99"/>
      <c r="U104" s="99"/>
      <c r="V104" s="99"/>
      <c r="W104" s="99"/>
      <c r="X104" s="99"/>
      <c r="Y104" s="97"/>
      <c r="Z104" s="97"/>
      <c r="AA104" s="99"/>
      <c r="AB104" s="146"/>
      <c r="AC104" s="6" t="s">
        <v>351</v>
      </c>
      <c r="AD104" s="6">
        <f>AD103*AD102</f>
        <v>4.3859119014423013E-2</v>
      </c>
      <c r="BN104" s="107"/>
    </row>
    <row r="105" spans="1:66" customFormat="1" ht="17.25" customHeight="1" x14ac:dyDescent="0.25">
      <c r="A105" s="97"/>
      <c r="B105" s="97"/>
      <c r="C105" s="97"/>
      <c r="D105" s="97"/>
      <c r="E105" s="97"/>
      <c r="F105" s="99"/>
      <c r="G105" s="99"/>
      <c r="H105" s="342" t="s">
        <v>134</v>
      </c>
      <c r="I105" s="342"/>
      <c r="J105" s="342"/>
      <c r="K105" s="342"/>
      <c r="L105" s="342"/>
      <c r="M105" s="342"/>
      <c r="N105" s="342"/>
      <c r="O105" s="587">
        <f>J28</f>
        <v>0.4924</v>
      </c>
      <c r="P105" s="587"/>
      <c r="Q105" s="587"/>
      <c r="R105" s="587"/>
      <c r="S105" s="99"/>
      <c r="T105" s="99"/>
      <c r="U105" s="99"/>
      <c r="V105" s="99"/>
      <c r="W105" s="99"/>
      <c r="X105" s="99"/>
      <c r="Y105" s="99"/>
      <c r="Z105" s="99"/>
      <c r="AA105" s="99"/>
      <c r="AB105" s="146"/>
      <c r="BN105" s="107"/>
    </row>
    <row r="106" spans="1:66" customFormat="1" ht="17.25" customHeight="1" thickBot="1" x14ac:dyDescent="0.3">
      <c r="A106" s="99"/>
      <c r="B106" s="97"/>
      <c r="C106" s="97"/>
      <c r="D106" s="97"/>
      <c r="E106" s="144"/>
      <c r="F106" s="144"/>
      <c r="G106" s="144"/>
      <c r="H106" s="342" t="s">
        <v>98</v>
      </c>
      <c r="I106" s="342"/>
      <c r="J106" s="342"/>
      <c r="K106" s="342"/>
      <c r="L106" s="342"/>
      <c r="M106" s="342"/>
      <c r="N106" s="342"/>
      <c r="O106" s="587" t="str">
        <f>J23</f>
        <v>BordInf</v>
      </c>
      <c r="P106" s="587"/>
      <c r="Q106" s="587"/>
      <c r="R106" s="587"/>
      <c r="S106" s="99"/>
      <c r="T106" s="99"/>
      <c r="U106" s="99"/>
      <c r="V106" s="99"/>
      <c r="W106" s="99"/>
      <c r="X106" s="99"/>
      <c r="Y106" s="99"/>
      <c r="Z106" s="99"/>
      <c r="AA106" s="99"/>
      <c r="AB106" s="146"/>
      <c r="AC106" s="6" t="s">
        <v>37</v>
      </c>
      <c r="AD106" s="319" t="str">
        <f>J22</f>
        <v>Lune</v>
      </c>
      <c r="AE106" s="319"/>
      <c r="BN106" s="107"/>
    </row>
    <row r="107" spans="1:66" customFormat="1" ht="17.25" customHeight="1" thickTop="1" thickBot="1" x14ac:dyDescent="0.3">
      <c r="A107" s="99"/>
      <c r="B107" s="99"/>
      <c r="C107" s="144"/>
      <c r="D107" s="144"/>
      <c r="E107" s="144"/>
      <c r="F107" s="144"/>
      <c r="G107" s="144"/>
      <c r="H107" s="467" t="s">
        <v>99</v>
      </c>
      <c r="I107" s="468"/>
      <c r="J107" s="468"/>
      <c r="K107" s="468"/>
      <c r="L107" s="468"/>
      <c r="M107" s="468"/>
      <c r="N107" s="469"/>
      <c r="O107" s="470">
        <f>AD110</f>
        <v>0.46666666666666667</v>
      </c>
      <c r="P107" s="470"/>
      <c r="Q107" s="470"/>
      <c r="R107" s="470"/>
      <c r="S107" s="99" t="s">
        <v>71</v>
      </c>
      <c r="T107" s="99"/>
      <c r="U107" s="346" t="str" cm="1">
        <f t="array" ref="U107">angleDecimal2Txt(O107)</f>
        <v>+00°28.00 (+00.4666) [+00°28'00.00]</v>
      </c>
      <c r="V107" s="346"/>
      <c r="W107" s="346"/>
      <c r="X107" s="346"/>
      <c r="Y107" s="346"/>
      <c r="Z107" s="346"/>
      <c r="AA107" s="99"/>
      <c r="AB107" s="146"/>
      <c r="AC107" s="6" t="s">
        <v>358</v>
      </c>
      <c r="AD107" s="319" t="str">
        <f>O106</f>
        <v>BordInf</v>
      </c>
      <c r="AE107" s="319"/>
      <c r="BN107" s="107"/>
    </row>
    <row r="108" spans="1:66" customFormat="1" ht="17.25" customHeight="1" thickTop="1" x14ac:dyDescent="0.25">
      <c r="A108" s="99"/>
      <c r="B108" s="99"/>
      <c r="C108" s="144"/>
      <c r="D108" s="144"/>
      <c r="E108" s="144"/>
      <c r="F108" s="144"/>
      <c r="G108" s="144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9"/>
      <c r="AB108" s="146"/>
      <c r="AC108" s="6" t="s">
        <v>359</v>
      </c>
      <c r="AD108" s="591">
        <f>HLOOKUP(AD107,AD27:AF28,2)</f>
        <v>1</v>
      </c>
      <c r="AE108" s="591"/>
      <c r="BN108" s="107"/>
    </row>
    <row r="109" spans="1:66" customFormat="1" ht="17.25" customHeight="1" x14ac:dyDescent="0.25">
      <c r="A109" s="99"/>
      <c r="B109" s="99"/>
      <c r="C109" s="144"/>
      <c r="D109" s="144"/>
      <c r="E109" s="144"/>
      <c r="F109" s="144"/>
      <c r="G109" s="477" t="s">
        <v>170</v>
      </c>
      <c r="H109" s="478"/>
      <c r="I109" s="478"/>
      <c r="J109" s="478"/>
      <c r="K109" s="478"/>
      <c r="L109" s="478"/>
      <c r="M109" s="478"/>
      <c r="N109" s="478"/>
      <c r="O109" s="478"/>
      <c r="P109" s="478"/>
      <c r="Q109" s="478"/>
      <c r="R109" s="478"/>
      <c r="S109" s="479"/>
      <c r="T109" s="97"/>
      <c r="U109" s="97"/>
      <c r="V109" s="97"/>
      <c r="W109" s="97"/>
      <c r="X109" s="97"/>
      <c r="Y109" s="97"/>
      <c r="Z109" s="97"/>
      <c r="AA109" s="99"/>
      <c r="AB109" s="146"/>
      <c r="AC109" s="6" t="s">
        <v>134</v>
      </c>
      <c r="AD109" s="6" t="str">
        <f>HLOOKUP(AD106,AD23:AF25,3)</f>
        <v>28.0'</v>
      </c>
      <c r="AE109" s="6" cm="1">
        <f t="array" ref="AE109">angleConvert2Decimal(AD109)</f>
        <v>0.46666666666666667</v>
      </c>
      <c r="BN109" s="107"/>
    </row>
    <row r="110" spans="1:66" customFormat="1" ht="17.25" customHeight="1" x14ac:dyDescent="0.25">
      <c r="A110" s="99"/>
      <c r="B110" s="99"/>
      <c r="C110" s="144"/>
      <c r="D110" s="144"/>
      <c r="E110" s="144"/>
      <c r="F110" s="144"/>
      <c r="G110" s="481" t="s">
        <v>183</v>
      </c>
      <c r="H110" s="483"/>
      <c r="I110" s="499" t="s">
        <v>175</v>
      </c>
      <c r="J110" s="500"/>
      <c r="K110" s="500"/>
      <c r="L110" s="500"/>
      <c r="M110" s="500"/>
      <c r="N110" s="501"/>
      <c r="O110" s="453">
        <f>(O98-O103-O91+O105/2) * 60</f>
        <v>62.934312337696731</v>
      </c>
      <c r="P110" s="454"/>
      <c r="Q110" s="454"/>
      <c r="R110" s="454"/>
      <c r="S110" s="457" t="s">
        <v>171</v>
      </c>
      <c r="T110" s="97"/>
      <c r="U110" s="97"/>
      <c r="V110" s="97"/>
      <c r="W110" s="97"/>
      <c r="X110" s="97"/>
      <c r="Y110" s="97"/>
      <c r="Z110" s="97"/>
      <c r="AA110" s="99"/>
      <c r="AB110" s="146"/>
      <c r="AC110" s="6" t="s">
        <v>359</v>
      </c>
      <c r="AD110" s="591">
        <f>AE109*AD108</f>
        <v>0.46666666666666667</v>
      </c>
      <c r="AE110" s="591"/>
      <c r="BN110" s="107"/>
    </row>
    <row r="111" spans="1:66" customFormat="1" ht="17.25" customHeight="1" x14ac:dyDescent="0.25">
      <c r="A111" s="99"/>
      <c r="B111" s="99"/>
      <c r="C111" s="144"/>
      <c r="D111" s="144"/>
      <c r="E111" s="144"/>
      <c r="F111" s="144"/>
      <c r="G111" s="599"/>
      <c r="H111" s="600"/>
      <c r="I111" s="502" t="s">
        <v>179</v>
      </c>
      <c r="J111" s="503"/>
      <c r="K111" s="503"/>
      <c r="L111" s="503"/>
      <c r="M111" s="503"/>
      <c r="N111" s="504"/>
      <c r="O111" s="455"/>
      <c r="P111" s="456"/>
      <c r="Q111" s="456"/>
      <c r="R111" s="456"/>
      <c r="S111" s="458"/>
      <c r="T111" s="97"/>
      <c r="U111" s="97"/>
      <c r="V111" s="97"/>
      <c r="W111" s="97"/>
      <c r="X111" s="97"/>
      <c r="Y111" s="97"/>
      <c r="Z111" s="97"/>
      <c r="AA111" s="99"/>
      <c r="AB111" s="146"/>
      <c r="BN111" s="107"/>
    </row>
    <row r="112" spans="1:66" customFormat="1" ht="17.25" customHeight="1" x14ac:dyDescent="0.25">
      <c r="A112" s="99"/>
      <c r="B112" s="99"/>
      <c r="C112" s="144"/>
      <c r="D112" s="144"/>
      <c r="E112" s="144"/>
      <c r="F112" s="144"/>
      <c r="G112" s="144"/>
      <c r="H112" s="97"/>
      <c r="I112" s="499" t="s">
        <v>176</v>
      </c>
      <c r="J112" s="500"/>
      <c r="K112" s="500"/>
      <c r="L112" s="500"/>
      <c r="M112" s="500"/>
      <c r="N112" s="501"/>
      <c r="O112" s="454">
        <f>(O98-O103+O105/2)*60</f>
        <v>62.934312337696731</v>
      </c>
      <c r="P112" s="454"/>
      <c r="Q112" s="454"/>
      <c r="R112" s="454"/>
      <c r="S112" s="457" t="s">
        <v>171</v>
      </c>
      <c r="T112" s="97"/>
      <c r="U112" s="97"/>
      <c r="V112" s="97"/>
      <c r="W112" s="97"/>
      <c r="X112" s="97"/>
      <c r="Y112" s="97"/>
      <c r="Z112" s="97"/>
      <c r="AA112" s="99"/>
      <c r="AB112" s="146"/>
      <c r="BN112" s="107"/>
    </row>
    <row r="113" spans="1:66" customFormat="1" ht="17.25" customHeight="1" x14ac:dyDescent="0.25">
      <c r="A113" s="99"/>
      <c r="B113" s="99"/>
      <c r="C113" s="144"/>
      <c r="D113" s="144"/>
      <c r="E113" s="144"/>
      <c r="F113" s="144"/>
      <c r="G113" s="144"/>
      <c r="H113" s="97"/>
      <c r="I113" s="459" t="s">
        <v>177</v>
      </c>
      <c r="J113" s="460"/>
      <c r="K113" s="460"/>
      <c r="L113" s="460"/>
      <c r="M113" s="460"/>
      <c r="N113" s="461"/>
      <c r="O113" s="456"/>
      <c r="P113" s="456"/>
      <c r="Q113" s="456"/>
      <c r="R113" s="456"/>
      <c r="S113" s="458"/>
      <c r="T113" s="97"/>
      <c r="U113" s="97"/>
      <c r="V113" s="97"/>
      <c r="W113" s="97"/>
      <c r="X113" s="97"/>
      <c r="Y113" s="97"/>
      <c r="Z113" s="97"/>
      <c r="AA113" s="99"/>
      <c r="AB113" s="146"/>
      <c r="BN113" s="107"/>
    </row>
    <row r="114" spans="1:66" customFormat="1" ht="17.25" customHeight="1" x14ac:dyDescent="0.25">
      <c r="A114" s="99"/>
      <c r="B114" s="99"/>
      <c r="C114" s="144"/>
      <c r="D114" s="144"/>
      <c r="E114" s="144"/>
      <c r="F114" s="144"/>
      <c r="G114" s="144"/>
      <c r="H114" s="97"/>
      <c r="I114" s="434" t="s">
        <v>99</v>
      </c>
      <c r="J114" s="434"/>
      <c r="K114" s="434"/>
      <c r="L114" s="434"/>
      <c r="M114" s="434"/>
      <c r="N114" s="434"/>
      <c r="O114" s="435">
        <f>O107*60</f>
        <v>28</v>
      </c>
      <c r="P114" s="436"/>
      <c r="Q114" s="436"/>
      <c r="R114" s="436"/>
      <c r="S114" s="160" t="s">
        <v>171</v>
      </c>
      <c r="T114" s="97"/>
      <c r="U114" s="97"/>
      <c r="V114" s="97"/>
      <c r="W114" s="97"/>
      <c r="X114" s="97"/>
      <c r="Y114" s="97"/>
      <c r="Z114" s="97"/>
      <c r="AA114" s="99"/>
      <c r="AB114" s="146"/>
      <c r="BN114" s="107"/>
    </row>
    <row r="115" spans="1:66" customFormat="1" ht="17.25" customHeight="1" thickBot="1" x14ac:dyDescent="0.3">
      <c r="A115" s="99"/>
      <c r="B115" s="99"/>
      <c r="C115" s="144"/>
      <c r="D115" s="144"/>
      <c r="E115" s="144"/>
      <c r="F115" s="144"/>
      <c r="G115" s="144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9"/>
      <c r="T115" s="99"/>
      <c r="U115" s="99"/>
      <c r="V115" s="99"/>
      <c r="W115" s="99"/>
      <c r="X115" s="99"/>
      <c r="Y115" s="99"/>
      <c r="Z115" s="99"/>
      <c r="AA115" s="99"/>
      <c r="AB115" s="146"/>
      <c r="BN115" s="107"/>
    </row>
    <row r="116" spans="1:66" customFormat="1" ht="17.25" customHeight="1" thickTop="1" thickBot="1" x14ac:dyDescent="0.3">
      <c r="A116" s="99"/>
      <c r="B116" s="99"/>
      <c r="C116" s="144"/>
      <c r="D116" s="144"/>
      <c r="E116" s="144"/>
      <c r="F116" s="144"/>
      <c r="G116" s="144"/>
      <c r="H116" s="471" t="s">
        <v>246</v>
      </c>
      <c r="I116" s="472"/>
      <c r="J116" s="472"/>
      <c r="K116" s="472"/>
      <c r="L116" s="472"/>
      <c r="M116" s="472"/>
      <c r="N116" s="473"/>
      <c r="O116" s="474">
        <f>O93-O103+O98+O107</f>
        <v>21.769371872294943</v>
      </c>
      <c r="P116" s="334"/>
      <c r="Q116" s="334"/>
      <c r="R116" s="334"/>
      <c r="S116" s="99" t="s">
        <v>71</v>
      </c>
      <c r="T116" s="99"/>
      <c r="U116" s="346" t="str" cm="1">
        <f t="array" ref="U116">angleDecimal2Txt(O116)</f>
        <v>+21°46.16 (+21.7693) [+21°46'09.73]</v>
      </c>
      <c r="V116" s="346"/>
      <c r="W116" s="346"/>
      <c r="X116" s="346"/>
      <c r="Y116" s="346"/>
      <c r="Z116" s="346"/>
      <c r="AA116" s="99"/>
      <c r="AB116" s="146"/>
      <c r="BN116" s="107"/>
    </row>
    <row r="117" spans="1:66" customFormat="1" ht="17.25" customHeight="1" thickTop="1" x14ac:dyDescent="0.25">
      <c r="A117" s="99"/>
      <c r="B117" s="99"/>
      <c r="C117" s="144"/>
      <c r="D117" s="144"/>
      <c r="E117" s="144"/>
      <c r="F117" s="144"/>
      <c r="G117" s="144"/>
      <c r="H117" s="99"/>
      <c r="I117" s="99"/>
      <c r="J117" s="99"/>
      <c r="K117" s="99"/>
      <c r="L117" s="99"/>
      <c r="M117" s="99"/>
      <c r="N117" s="99"/>
      <c r="O117" s="99"/>
      <c r="P117" s="99"/>
      <c r="Q117" s="99"/>
      <c r="R117" s="99"/>
      <c r="S117" s="99"/>
      <c r="T117" s="99"/>
      <c r="U117" s="99"/>
      <c r="V117" s="99"/>
      <c r="W117" s="99"/>
      <c r="X117" s="99"/>
      <c r="Y117" s="99"/>
      <c r="Z117" s="99"/>
      <c r="AA117" s="99"/>
      <c r="AB117" s="146"/>
      <c r="BN117" s="107"/>
    </row>
    <row r="118" spans="1:66" customFormat="1" ht="17.25" customHeight="1" x14ac:dyDescent="0.25">
      <c r="A118" s="99"/>
      <c r="B118" s="99"/>
      <c r="C118" s="144"/>
      <c r="D118" s="144"/>
      <c r="E118" s="144"/>
      <c r="F118" s="475" t="s">
        <v>91</v>
      </c>
      <c r="G118" s="475"/>
      <c r="H118" s="475"/>
      <c r="I118" s="475"/>
      <c r="J118" s="334" t="str">
        <f>IF(G87=AD87,O124,"---")</f>
        <v>---</v>
      </c>
      <c r="K118" s="334"/>
      <c r="L118" s="334"/>
      <c r="M118" s="99"/>
      <c r="N118" s="99"/>
      <c r="O118" s="99"/>
      <c r="P118" s="99"/>
      <c r="Q118" s="99"/>
      <c r="R118" s="121" t="s">
        <v>112</v>
      </c>
      <c r="S118" s="99" t="s">
        <v>40</v>
      </c>
      <c r="T118" s="99"/>
      <c r="U118" s="99"/>
      <c r="V118" s="99"/>
      <c r="W118" s="99"/>
      <c r="X118" s="99"/>
      <c r="Y118" s="99"/>
      <c r="Z118" s="99"/>
      <c r="AA118" s="99"/>
      <c r="AB118" s="146"/>
      <c r="BN118" s="107"/>
    </row>
    <row r="119" spans="1:66" customFormat="1" ht="17.25" customHeight="1" x14ac:dyDescent="0.25">
      <c r="A119" s="99"/>
      <c r="B119" s="99"/>
      <c r="C119" s="144"/>
      <c r="D119" s="144"/>
      <c r="E119" s="144"/>
      <c r="F119" s="144"/>
      <c r="G119" s="144"/>
      <c r="H119" s="99"/>
      <c r="I119" s="99"/>
      <c r="J119" s="99"/>
      <c r="K119" s="99"/>
      <c r="L119" s="99"/>
      <c r="M119" s="99"/>
      <c r="N119" s="99"/>
      <c r="O119" s="99"/>
      <c r="P119" s="99"/>
      <c r="Q119" s="99"/>
      <c r="R119" s="122" t="s">
        <v>108</v>
      </c>
      <c r="S119" s="99" t="s">
        <v>110</v>
      </c>
      <c r="T119" s="99"/>
      <c r="U119" s="99"/>
      <c r="V119" s="99"/>
      <c r="W119" s="99"/>
      <c r="X119" s="99"/>
      <c r="Y119" s="99"/>
      <c r="Z119" s="99"/>
      <c r="AA119" s="99"/>
      <c r="AB119" s="146"/>
      <c r="BN119" s="107"/>
    </row>
    <row r="120" spans="1:66" customFormat="1" ht="17.25" customHeight="1" x14ac:dyDescent="0.25">
      <c r="A120" s="99"/>
      <c r="B120" s="99"/>
      <c r="C120" s="144"/>
      <c r="D120" s="144"/>
      <c r="E120" s="144"/>
      <c r="F120" s="144"/>
      <c r="G120" s="144"/>
      <c r="H120" s="99" t="s">
        <v>100</v>
      </c>
      <c r="I120" s="123" t="s">
        <v>102</v>
      </c>
      <c r="J120" s="99" t="s">
        <v>88</v>
      </c>
      <c r="K120" s="123" t="s">
        <v>105</v>
      </c>
      <c r="L120" s="99" t="s">
        <v>87</v>
      </c>
      <c r="M120" s="99"/>
      <c r="N120" s="123" t="s">
        <v>106</v>
      </c>
      <c r="O120" s="99"/>
      <c r="P120" s="99"/>
      <c r="Q120" s="123" t="s">
        <v>107</v>
      </c>
      <c r="R120" s="124" t="s">
        <v>109</v>
      </c>
      <c r="S120" s="99" t="s">
        <v>111</v>
      </c>
      <c r="T120" s="99"/>
      <c r="U120" s="99"/>
      <c r="AB120" s="146"/>
      <c r="BN120" s="107"/>
    </row>
    <row r="121" spans="1:66" customFormat="1" ht="17.25" customHeight="1" thickBot="1" x14ac:dyDescent="0.3">
      <c r="A121" s="99"/>
      <c r="B121" s="99"/>
      <c r="C121" s="144"/>
      <c r="D121" s="144"/>
      <c r="E121" s="144"/>
      <c r="F121" s="144"/>
      <c r="G121" s="144"/>
      <c r="H121" s="99"/>
      <c r="I121" s="123"/>
      <c r="J121" s="125">
        <f>O89</f>
        <v>20.5</v>
      </c>
      <c r="K121" s="123" t="s">
        <v>105</v>
      </c>
      <c r="L121" s="126">
        <f>O90</f>
        <v>0</v>
      </c>
      <c r="M121" s="99"/>
      <c r="N121" s="920" t="s">
        <v>250</v>
      </c>
      <c r="O121" s="920"/>
      <c r="P121" s="920"/>
      <c r="Q121" s="123" t="s">
        <v>107</v>
      </c>
      <c r="R121" s="127">
        <v>0</v>
      </c>
      <c r="S121" s="99"/>
      <c r="T121" s="99"/>
      <c r="U121" s="99"/>
      <c r="AB121" s="146"/>
      <c r="BN121" s="107"/>
    </row>
    <row r="122" spans="1:66" customFormat="1" ht="17.25" customHeight="1" thickTop="1" thickBot="1" x14ac:dyDescent="0.3">
      <c r="A122" s="99"/>
      <c r="B122" s="99"/>
      <c r="C122" s="144"/>
      <c r="D122" s="144"/>
      <c r="E122" s="144"/>
      <c r="F122" s="144"/>
      <c r="G122" s="144"/>
      <c r="H122" s="99"/>
      <c r="I122" s="123"/>
      <c r="K122" s="123"/>
      <c r="L122" s="161" cm="1">
        <f t="array" ref="L122">angleConvert2Decimal(L121)</f>
        <v>0</v>
      </c>
      <c r="N122" s="919" cm="1">
        <f t="array" ref="N122">angleConvert2Decimal(N121)</f>
        <v>0.17166666666666669</v>
      </c>
      <c r="O122" s="919"/>
      <c r="P122" s="919"/>
      <c r="Q122" s="41"/>
      <c r="R122" s="161" cm="1">
        <f t="array" ref="R122">angleConvert2Decimal(R121)</f>
        <v>0</v>
      </c>
      <c r="T122" s="13" t="s">
        <v>139</v>
      </c>
      <c r="U122" s="13"/>
      <c r="V122" s="13">
        <f>R122+N122</f>
        <v>0.17166666666666669</v>
      </c>
      <c r="W122" s="358" t="str" cm="1">
        <f t="array" ref="W122">angleDecimal2Txt(V122)</f>
        <v>+00°10.30 (+00.1716) [+00°10'18.00]</v>
      </c>
      <c r="X122" s="359"/>
      <c r="Y122" s="359"/>
      <c r="Z122" s="359"/>
      <c r="AA122" s="360"/>
      <c r="AB122" s="146"/>
      <c r="BN122" s="107"/>
    </row>
    <row r="123" spans="1:66" customFormat="1" ht="17.25" customHeight="1" thickTop="1" thickBot="1" x14ac:dyDescent="0.3">
      <c r="A123" s="99"/>
      <c r="B123" s="99"/>
      <c r="C123" s="144"/>
      <c r="D123" s="144"/>
      <c r="E123" s="144"/>
      <c r="F123" s="144"/>
      <c r="G123" s="144"/>
      <c r="H123" s="99"/>
      <c r="I123" s="123"/>
      <c r="J123" s="99"/>
      <c r="K123" s="123"/>
      <c r="L123" s="99"/>
      <c r="M123" s="99"/>
      <c r="N123" s="123"/>
      <c r="O123" s="99"/>
      <c r="P123" s="99"/>
      <c r="Q123" s="123"/>
      <c r="R123" s="128"/>
      <c r="S123" s="99"/>
      <c r="T123" s="99"/>
      <c r="U123" s="99"/>
      <c r="V123" s="99"/>
      <c r="W123" s="99"/>
      <c r="X123" s="99"/>
      <c r="Y123" s="99"/>
      <c r="Z123" s="99"/>
      <c r="AA123" s="99"/>
      <c r="AB123" s="146"/>
      <c r="BN123" s="107"/>
    </row>
    <row r="124" spans="1:66" customFormat="1" ht="17.25" customHeight="1" thickTop="1" thickBot="1" x14ac:dyDescent="0.3">
      <c r="A124" s="99"/>
      <c r="B124" s="99"/>
      <c r="C124" s="144"/>
      <c r="D124" s="144"/>
      <c r="E124" s="144"/>
      <c r="F124" s="144"/>
      <c r="G124" s="144"/>
      <c r="H124" s="471" t="s">
        <v>249</v>
      </c>
      <c r="I124" s="472"/>
      <c r="J124" s="472"/>
      <c r="K124" s="472"/>
      <c r="L124" s="472"/>
      <c r="M124" s="472"/>
      <c r="N124" s="473"/>
      <c r="O124" s="474">
        <f>J121-L122+N122+R122</f>
        <v>20.671666666666667</v>
      </c>
      <c r="P124" s="334"/>
      <c r="Q124" s="334"/>
      <c r="R124" s="334"/>
      <c r="S124" s="99" t="s">
        <v>71</v>
      </c>
      <c r="T124" s="99"/>
      <c r="U124" s="346" t="str" cm="1">
        <f t="array" ref="U124">angleDecimal2Txt(O124)</f>
        <v>+20°40.29 (+20.6716) [+20°40'18.00]</v>
      </c>
      <c r="V124" s="346"/>
      <c r="W124" s="346"/>
      <c r="X124" s="346"/>
      <c r="Y124" s="346"/>
      <c r="Z124" s="346"/>
      <c r="AA124" s="99"/>
      <c r="AB124" s="146"/>
      <c r="BN124" s="107"/>
    </row>
    <row r="125" spans="1:66" customFormat="1" ht="17.25" customHeight="1" thickTop="1" thickBot="1" x14ac:dyDescent="0.3">
      <c r="A125" s="99"/>
      <c r="B125" s="99"/>
      <c r="C125" s="144"/>
      <c r="D125" s="129"/>
      <c r="E125" s="144"/>
      <c r="F125" s="144"/>
      <c r="G125" s="144"/>
      <c r="H125" s="99"/>
      <c r="I125" s="99"/>
      <c r="J125" s="99"/>
      <c r="K125" s="99"/>
      <c r="L125" s="99"/>
      <c r="M125" s="99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146"/>
      <c r="BN125" s="107"/>
    </row>
    <row r="126" spans="1:66" customFormat="1" ht="17.25" customHeight="1" thickBot="1" x14ac:dyDescent="0.3">
      <c r="A126" s="99"/>
      <c r="B126" s="108" t="s">
        <v>52</v>
      </c>
      <c r="C126" s="109"/>
      <c r="D126" s="130"/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  <c r="X126" s="109"/>
      <c r="Y126" s="109"/>
      <c r="Z126" s="109"/>
      <c r="AA126" s="109"/>
      <c r="AB126" s="147"/>
      <c r="BN126" s="107"/>
    </row>
    <row r="127" spans="1:66" customFormat="1" ht="17.25" customHeight="1" x14ac:dyDescent="0.25">
      <c r="A127" s="99"/>
      <c r="B127" s="99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476" t="s">
        <v>113</v>
      </c>
      <c r="P127" s="476"/>
      <c r="Q127" s="476"/>
      <c r="R127" s="476"/>
      <c r="S127" s="476"/>
      <c r="T127" s="476"/>
      <c r="U127" s="476"/>
      <c r="V127" s="476"/>
      <c r="W127" s="476"/>
      <c r="X127" s="476"/>
      <c r="Y127" s="476"/>
      <c r="Z127" s="476"/>
      <c r="AA127" s="476"/>
      <c r="AB127" s="146"/>
      <c r="BN127" s="107"/>
    </row>
    <row r="128" spans="1:66" customFormat="1" ht="17.25" customHeight="1" x14ac:dyDescent="0.25">
      <c r="A128" s="99"/>
      <c r="B128" s="99"/>
      <c r="C128" s="97"/>
      <c r="D128" s="97"/>
      <c r="E128" s="443" t="s">
        <v>24</v>
      </c>
      <c r="F128" s="444"/>
      <c r="G128" s="444"/>
      <c r="H128" s="444"/>
      <c r="I128" s="345">
        <f>AD130</f>
        <v>21.473163016779424</v>
      </c>
      <c r="J128" s="345"/>
      <c r="K128" s="345"/>
      <c r="L128" s="345"/>
      <c r="M128" s="345"/>
      <c r="N128" s="99"/>
      <c r="O128" s="333" t="s">
        <v>114</v>
      </c>
      <c r="P128" s="333"/>
      <c r="Q128" s="333">
        <f>F45</f>
        <v>-2.4</v>
      </c>
      <c r="R128" s="333"/>
      <c r="S128" s="333"/>
      <c r="T128" s="432" t="s">
        <v>71</v>
      </c>
      <c r="U128" s="347">
        <f>Q128*$D$138</f>
        <v>-4.1887902047863905E-2</v>
      </c>
      <c r="V128" s="348"/>
      <c r="W128" s="430"/>
      <c r="X128" s="432" t="s">
        <v>92</v>
      </c>
      <c r="Y128" s="99"/>
      <c r="Z128" s="99"/>
      <c r="AA128" s="99"/>
      <c r="AB128" s="146"/>
      <c r="AC128" s="6" t="s">
        <v>360</v>
      </c>
      <c r="AD128" s="6">
        <f>SIN(U128)*SIN(U129)+COS(U128)*COS(U129)*COS(U130)</f>
        <v>0.36606538479196471</v>
      </c>
      <c r="AE128" s="6"/>
      <c r="BN128" s="107"/>
    </row>
    <row r="129" spans="1:66" customFormat="1" ht="17.25" customHeight="1" thickBot="1" x14ac:dyDescent="0.3">
      <c r="A129" s="99"/>
      <c r="B129" s="99"/>
      <c r="C129" s="97"/>
      <c r="D129" s="97"/>
      <c r="E129" s="446"/>
      <c r="F129" s="447"/>
      <c r="G129" s="447"/>
      <c r="H129" s="447"/>
      <c r="I129" s="345"/>
      <c r="J129" s="345"/>
      <c r="K129" s="345"/>
      <c r="L129" s="345"/>
      <c r="M129" s="345"/>
      <c r="N129" s="131" t="s">
        <v>184</v>
      </c>
      <c r="O129" s="333" t="s">
        <v>115</v>
      </c>
      <c r="P129" s="333"/>
      <c r="Q129" s="333">
        <f>F36</f>
        <v>48.875500000000002</v>
      </c>
      <c r="R129" s="333"/>
      <c r="S129" s="333"/>
      <c r="T129" s="432"/>
      <c r="U129" s="347">
        <f>Q129*$D$138</f>
        <v>0.85303839855848862</v>
      </c>
      <c r="V129" s="348"/>
      <c r="W129" s="430"/>
      <c r="X129" s="432"/>
      <c r="Y129" s="99"/>
      <c r="Z129" s="99"/>
      <c r="AA129" s="99"/>
      <c r="AB129" s="146"/>
      <c r="AC129" s="6" t="s">
        <v>361</v>
      </c>
      <c r="AD129" s="6">
        <f>ASIN(AD128)</f>
        <v>0.37477739546027933</v>
      </c>
      <c r="AE129" s="6" t="s">
        <v>92</v>
      </c>
      <c r="BN129" s="107"/>
    </row>
    <row r="130" spans="1:66" customFormat="1" ht="17.25" customHeight="1" thickTop="1" thickBot="1" x14ac:dyDescent="0.3">
      <c r="A130" s="99"/>
      <c r="B130" s="99"/>
      <c r="C130" s="97"/>
      <c r="D130" s="97"/>
      <c r="E130" s="449"/>
      <c r="F130" s="450"/>
      <c r="G130" s="450"/>
      <c r="H130" s="450"/>
      <c r="I130" s="346" t="str" cm="1">
        <f t="array" ref="I130">angleDecimal2Txt(I128)</f>
        <v>+21°28.38 (+21.4731) [+21°28'23.38]</v>
      </c>
      <c r="J130" s="346"/>
      <c r="K130" s="346"/>
      <c r="L130" s="346"/>
      <c r="M130" s="346"/>
      <c r="N130" s="99"/>
      <c r="O130" s="333" t="s">
        <v>51</v>
      </c>
      <c r="P130" s="333"/>
      <c r="Q130" s="333">
        <f>F82</f>
        <v>307.23449999999997</v>
      </c>
      <c r="R130" s="333"/>
      <c r="S130" s="333"/>
      <c r="T130" s="432"/>
      <c r="U130" s="347">
        <f>Q130*$D$138</f>
        <v>5.3622536007185175</v>
      </c>
      <c r="V130" s="348"/>
      <c r="W130" s="430"/>
      <c r="X130" s="432"/>
      <c r="Y130" s="99"/>
      <c r="Z130" s="99"/>
      <c r="AA130" s="99"/>
      <c r="AB130" s="146"/>
      <c r="AC130" s="6"/>
      <c r="AD130" s="6">
        <f>AD129*D139</f>
        <v>21.473163016779424</v>
      </c>
      <c r="AE130" s="6" t="s">
        <v>71</v>
      </c>
      <c r="BN130" s="107"/>
    </row>
    <row r="131" spans="1:66" customFormat="1" ht="17.25" customHeight="1" thickTop="1" x14ac:dyDescent="0.25">
      <c r="A131" s="99"/>
      <c r="B131" s="99"/>
      <c r="C131" s="97"/>
      <c r="D131" s="97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99"/>
      <c r="P131" s="99"/>
      <c r="Q131" s="99"/>
      <c r="R131" s="99"/>
      <c r="S131" s="99"/>
      <c r="T131" s="99"/>
      <c r="U131" s="99"/>
      <c r="V131" s="99"/>
      <c r="W131" s="99"/>
      <c r="X131" s="99"/>
      <c r="Y131" s="99"/>
      <c r="Z131" s="99"/>
      <c r="AA131" s="99"/>
      <c r="AB131" s="146"/>
      <c r="BN131" s="107"/>
    </row>
    <row r="132" spans="1:66" customFormat="1" ht="17.25" customHeight="1" x14ac:dyDescent="0.25">
      <c r="A132" s="99"/>
      <c r="B132" s="99"/>
      <c r="C132" s="97"/>
      <c r="D132" s="97"/>
      <c r="E132" s="443" t="s">
        <v>31</v>
      </c>
      <c r="F132" s="444"/>
      <c r="G132" s="444"/>
      <c r="H132" s="444"/>
      <c r="I132" s="345">
        <f>F86</f>
        <v>21.769371872294943</v>
      </c>
      <c r="J132" s="345"/>
      <c r="K132" s="345"/>
      <c r="L132" s="345"/>
      <c r="M132" s="345"/>
      <c r="N132" s="99"/>
      <c r="O132" s="99"/>
      <c r="P132" s="99"/>
      <c r="Q132" s="99"/>
      <c r="R132" s="99"/>
      <c r="S132" s="99"/>
      <c r="T132" s="99"/>
      <c r="U132" s="99"/>
      <c r="V132" s="99"/>
      <c r="W132" s="99"/>
      <c r="X132" s="99"/>
      <c r="Y132" s="99"/>
      <c r="Z132" s="99"/>
      <c r="AA132" s="99"/>
      <c r="AB132" s="146"/>
      <c r="BN132" s="107"/>
    </row>
    <row r="133" spans="1:66" customFormat="1" ht="17.25" customHeight="1" thickBot="1" x14ac:dyDescent="0.3">
      <c r="A133" s="99"/>
      <c r="B133" s="99"/>
      <c r="C133" s="97"/>
      <c r="D133" s="97"/>
      <c r="E133" s="446"/>
      <c r="F133" s="447"/>
      <c r="G133" s="447"/>
      <c r="H133" s="447"/>
      <c r="I133" s="345"/>
      <c r="J133" s="345"/>
      <c r="K133" s="345"/>
      <c r="L133" s="345"/>
      <c r="M133" s="345"/>
      <c r="N133" s="99"/>
      <c r="O133" s="427" t="s">
        <v>33</v>
      </c>
      <c r="P133" s="428"/>
      <c r="Q133" s="428"/>
      <c r="R133" s="428"/>
      <c r="S133" s="431"/>
      <c r="T133" s="132">
        <f>I132-I128</f>
        <v>0.29620885551551979</v>
      </c>
      <c r="U133" s="133" t="s">
        <v>34</v>
      </c>
      <c r="V133" s="134">
        <f>T133*60</f>
        <v>17.772531330931187</v>
      </c>
      <c r="W133" s="133" t="s">
        <v>149</v>
      </c>
      <c r="X133" s="97"/>
      <c r="Y133" s="433" t="str">
        <f>IF(T133&gt;0,"Vers Pg", "Oppose de Pg")</f>
        <v>Vers Pg</v>
      </c>
      <c r="Z133" s="433"/>
      <c r="AA133" s="99"/>
      <c r="AB133" s="146"/>
      <c r="BN133" s="107"/>
    </row>
    <row r="134" spans="1:66" customFormat="1" ht="17.25" customHeight="1" thickTop="1" thickBot="1" x14ac:dyDescent="0.3">
      <c r="A134" s="99"/>
      <c r="B134" s="99"/>
      <c r="C134" s="97"/>
      <c r="D134" s="97"/>
      <c r="E134" s="449"/>
      <c r="F134" s="450"/>
      <c r="G134" s="450"/>
      <c r="H134" s="450"/>
      <c r="I134" s="346" t="str" cm="1">
        <f t="array" ref="I134">angleDecimal2Txt(I132)</f>
        <v>+21°46.16 (+21.7693) [+21°46'09.73]</v>
      </c>
      <c r="J134" s="346"/>
      <c r="K134" s="346"/>
      <c r="L134" s="346"/>
      <c r="M134" s="346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146"/>
      <c r="BN134" s="107"/>
    </row>
    <row r="135" spans="1:66" customFormat="1" ht="17.25" customHeight="1" thickTop="1" x14ac:dyDescent="0.25">
      <c r="A135" s="99"/>
      <c r="B135" s="99"/>
      <c r="C135" s="97"/>
      <c r="D135" s="97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99"/>
      <c r="P135" s="99"/>
      <c r="Q135" s="99"/>
      <c r="R135" s="99"/>
      <c r="S135" s="99"/>
      <c r="T135" s="97"/>
      <c r="U135" s="97"/>
      <c r="V135" s="97"/>
      <c r="W135" s="97"/>
      <c r="X135" s="97"/>
      <c r="Y135" s="97"/>
      <c r="Z135" s="99"/>
      <c r="AA135" s="99"/>
      <c r="AB135" s="146"/>
      <c r="BN135" s="107"/>
    </row>
    <row r="136" spans="1:66" customFormat="1" ht="17.25" customHeight="1" thickBot="1" x14ac:dyDescent="0.3">
      <c r="A136" s="99"/>
      <c r="B136" s="99"/>
      <c r="C136" s="99"/>
      <c r="D136" s="99"/>
      <c r="E136" s="99"/>
      <c r="F136" s="99"/>
      <c r="G136" s="144"/>
      <c r="H136" s="99"/>
      <c r="I136" s="99"/>
      <c r="J136" s="99"/>
      <c r="K136" s="99"/>
      <c r="L136" s="99"/>
      <c r="M136" s="99"/>
      <c r="N136" s="99"/>
      <c r="O136" s="99"/>
      <c r="P136" s="99"/>
      <c r="Q136" s="99"/>
      <c r="R136" s="99"/>
      <c r="S136" s="99"/>
      <c r="T136" s="97"/>
      <c r="U136" s="97"/>
      <c r="V136" s="97"/>
      <c r="W136" s="97"/>
      <c r="X136" s="97"/>
      <c r="Y136" s="97"/>
      <c r="Z136" s="99"/>
      <c r="AA136" s="99"/>
      <c r="AB136" s="146"/>
      <c r="BN136" s="107"/>
    </row>
    <row r="137" spans="1:66" customFormat="1" ht="17.25" customHeight="1" x14ac:dyDescent="0.25">
      <c r="A137" s="316" t="s">
        <v>138</v>
      </c>
      <c r="B137" s="317"/>
      <c r="C137" s="317"/>
      <c r="D137" s="318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99"/>
      <c r="P137" s="99"/>
      <c r="Q137" s="99"/>
      <c r="R137" s="99"/>
      <c r="S137" s="99"/>
      <c r="T137" s="97"/>
      <c r="U137" s="97"/>
      <c r="V137" s="97"/>
      <c r="W137" s="97"/>
      <c r="X137" s="97"/>
      <c r="Y137" s="97"/>
      <c r="Z137" s="99"/>
      <c r="AA137" s="99"/>
      <c r="AB137" s="146"/>
      <c r="BN137" s="107"/>
    </row>
    <row r="138" spans="1:66" customFormat="1" ht="17.25" customHeight="1" x14ac:dyDescent="0.25">
      <c r="A138" s="135" t="s">
        <v>62</v>
      </c>
      <c r="B138" s="136" t="s">
        <v>121</v>
      </c>
      <c r="C138" s="137" t="s">
        <v>310</v>
      </c>
      <c r="D138" s="138">
        <f>PI()/180</f>
        <v>1.7453292519943295E-2</v>
      </c>
      <c r="E138" s="99"/>
      <c r="F138" s="144"/>
      <c r="G138" s="144"/>
      <c r="H138" s="99"/>
      <c r="I138" s="99"/>
      <c r="J138" s="99"/>
      <c r="K138" s="99"/>
      <c r="L138" s="99"/>
      <c r="M138" s="99"/>
      <c r="N138" s="99"/>
      <c r="O138" s="99"/>
      <c r="P138" s="99"/>
      <c r="Q138" s="99"/>
      <c r="R138" s="99"/>
      <c r="S138" s="99"/>
      <c r="T138" s="99"/>
      <c r="U138" s="99"/>
      <c r="V138" s="99"/>
      <c r="W138" s="99"/>
      <c r="X138" s="99"/>
      <c r="Y138" s="99"/>
      <c r="Z138" s="99"/>
      <c r="AA138" s="99"/>
      <c r="AB138" s="146"/>
      <c r="BN138" s="107"/>
    </row>
    <row r="139" spans="1:66" customFormat="1" ht="17.25" customHeight="1" thickBot="1" x14ac:dyDescent="0.3">
      <c r="A139" s="102" t="s">
        <v>123</v>
      </c>
      <c r="B139" s="139" t="s">
        <v>121</v>
      </c>
      <c r="C139" s="140" t="s">
        <v>311</v>
      </c>
      <c r="D139" s="141">
        <f>180/PI()</f>
        <v>57.295779513082323</v>
      </c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564" t="s">
        <v>116</v>
      </c>
      <c r="P139" s="565"/>
      <c r="Q139" s="565"/>
      <c r="R139" s="565"/>
      <c r="S139" s="565"/>
      <c r="T139" s="565"/>
      <c r="U139" s="565"/>
      <c r="V139" s="565"/>
      <c r="W139" s="565"/>
      <c r="X139" s="565"/>
      <c r="Y139" s="565"/>
      <c r="Z139" s="565"/>
      <c r="AA139" s="565"/>
      <c r="AB139" s="146"/>
      <c r="AC139" s="6" t="s">
        <v>117</v>
      </c>
      <c r="AD139" s="6">
        <f>(SIN(U140)-SIN(U141)*SIN(AD129))/(COS(U141)*COS(AD129))</f>
        <v>-0.51895799908089357</v>
      </c>
      <c r="AE139" s="6"/>
      <c r="BN139" s="107"/>
    </row>
    <row r="140" spans="1:66" customFormat="1" ht="17.25" customHeight="1" x14ac:dyDescent="0.25">
      <c r="A140" s="97"/>
      <c r="B140" s="97"/>
      <c r="C140" s="97"/>
      <c r="D140" s="97"/>
      <c r="E140" s="443" t="s">
        <v>124</v>
      </c>
      <c r="F140" s="444"/>
      <c r="G140" s="444"/>
      <c r="H140" s="445"/>
      <c r="I140" s="338">
        <f>AD141</f>
        <v>121.26238205897948</v>
      </c>
      <c r="J140" s="338"/>
      <c r="K140" s="338"/>
      <c r="L140" s="338"/>
      <c r="M140" s="339"/>
      <c r="N140" s="99"/>
      <c r="O140" s="333" t="s">
        <v>114</v>
      </c>
      <c r="P140" s="333"/>
      <c r="Q140" s="333">
        <f>F45</f>
        <v>-2.4</v>
      </c>
      <c r="R140" s="333"/>
      <c r="S140" s="333"/>
      <c r="T140" s="432" t="s">
        <v>71</v>
      </c>
      <c r="U140" s="333">
        <f>Q140*$D$138</f>
        <v>-4.1887902047863905E-2</v>
      </c>
      <c r="V140" s="333"/>
      <c r="W140" s="333"/>
      <c r="X140" s="432" t="s">
        <v>92</v>
      </c>
      <c r="Y140" s="99"/>
      <c r="Z140" s="99"/>
      <c r="AA140" s="99"/>
      <c r="AB140" s="146"/>
      <c r="AC140" s="6" t="s">
        <v>362</v>
      </c>
      <c r="AD140" s="6">
        <f>ACOS(AD139)</f>
        <v>2.1164278257404927</v>
      </c>
      <c r="AE140" s="6" t="s">
        <v>92</v>
      </c>
      <c r="BN140" s="107"/>
    </row>
    <row r="141" spans="1:66" customFormat="1" ht="17.25" customHeight="1" thickBot="1" x14ac:dyDescent="0.3">
      <c r="A141" s="99"/>
      <c r="B141" s="99"/>
      <c r="C141" s="97"/>
      <c r="D141" s="97"/>
      <c r="E141" s="446"/>
      <c r="F141" s="447"/>
      <c r="G141" s="447"/>
      <c r="H141" s="448"/>
      <c r="I141" s="340"/>
      <c r="J141" s="340"/>
      <c r="K141" s="340"/>
      <c r="L141" s="340"/>
      <c r="M141" s="341"/>
      <c r="N141" s="131" t="s">
        <v>184</v>
      </c>
      <c r="O141" s="333" t="s">
        <v>115</v>
      </c>
      <c r="P141" s="333"/>
      <c r="Q141" s="333">
        <f>F36</f>
        <v>48.875500000000002</v>
      </c>
      <c r="R141" s="333"/>
      <c r="S141" s="333"/>
      <c r="T141" s="432"/>
      <c r="U141" s="333">
        <f>Q141*$D$138</f>
        <v>0.85303839855848862</v>
      </c>
      <c r="V141" s="333"/>
      <c r="W141" s="333"/>
      <c r="X141" s="432"/>
      <c r="Y141" s="99"/>
      <c r="Z141" s="99"/>
      <c r="AA141" s="99"/>
      <c r="AB141" s="146"/>
      <c r="AC141" s="6"/>
      <c r="AD141" s="6">
        <f>AD140*$D$139</f>
        <v>121.26238205897948</v>
      </c>
      <c r="AE141" s="6" t="s">
        <v>71</v>
      </c>
      <c r="BN141" s="107"/>
    </row>
    <row r="142" spans="1:66" customFormat="1" ht="17.25" customHeight="1" thickTop="1" thickBot="1" x14ac:dyDescent="0.3">
      <c r="A142" s="99"/>
      <c r="B142" s="99"/>
      <c r="C142" s="97"/>
      <c r="D142" s="97"/>
      <c r="E142" s="449"/>
      <c r="F142" s="450"/>
      <c r="G142" s="450"/>
      <c r="H142" s="451"/>
      <c r="I142" s="343" t="str" cm="1">
        <f t="array" ref="I142">angleDecimal2Txt(I140)</f>
        <v>+121°15.74 (+121.2623) [+121°15'44.57]</v>
      </c>
      <c r="J142" s="344"/>
      <c r="K142" s="344"/>
      <c r="L142" s="344"/>
      <c r="M142" s="344"/>
      <c r="N142" s="99"/>
      <c r="O142" s="333" t="s">
        <v>51</v>
      </c>
      <c r="P142" s="333"/>
      <c r="Q142" s="333">
        <f>F82</f>
        <v>307.23449999999997</v>
      </c>
      <c r="R142" s="333"/>
      <c r="S142" s="333"/>
      <c r="T142" s="432"/>
      <c r="U142" s="333">
        <f>Q142*$D$138</f>
        <v>5.3622536007185175</v>
      </c>
      <c r="V142" s="333"/>
      <c r="W142" s="333"/>
      <c r="X142" s="432"/>
      <c r="Y142" s="99"/>
      <c r="Z142" s="99"/>
      <c r="AA142" s="99"/>
      <c r="AB142" s="146"/>
      <c r="BN142" s="107"/>
    </row>
    <row r="143" spans="1:66" customFormat="1" ht="17.25" customHeight="1" thickTop="1" x14ac:dyDescent="0.25">
      <c r="A143" s="99"/>
      <c r="B143" s="99"/>
      <c r="C143" s="97"/>
      <c r="D143" s="97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99"/>
      <c r="P143" s="99"/>
      <c r="Q143" s="99"/>
      <c r="R143" s="99"/>
      <c r="S143" s="99"/>
      <c r="T143" s="99"/>
      <c r="U143" s="99"/>
      <c r="V143" s="99"/>
      <c r="W143" s="99"/>
      <c r="X143" s="99"/>
      <c r="Y143" s="99"/>
      <c r="Z143" s="99"/>
      <c r="AA143" s="99"/>
      <c r="AB143" s="146"/>
      <c r="BN143" s="107"/>
    </row>
    <row r="144" spans="1:66" customFormat="1" ht="17.25" customHeight="1" x14ac:dyDescent="0.25">
      <c r="A144" s="99"/>
      <c r="B144" s="99"/>
      <c r="C144" s="99"/>
      <c r="D144" s="99"/>
      <c r="E144" s="144"/>
      <c r="F144" s="99"/>
      <c r="G144" s="99"/>
      <c r="H144" s="99"/>
      <c r="I144" s="335" t="s">
        <v>247</v>
      </c>
      <c r="J144" s="336"/>
      <c r="K144" s="336"/>
      <c r="L144" s="336"/>
      <c r="M144" s="336"/>
      <c r="N144" s="337"/>
      <c r="O144" s="335" t="s">
        <v>248</v>
      </c>
      <c r="P144" s="336"/>
      <c r="Q144" s="336"/>
      <c r="R144" s="336"/>
      <c r="S144" s="336"/>
      <c r="T144" s="337"/>
      <c r="U144" s="99"/>
      <c r="V144" s="99"/>
      <c r="W144" s="99"/>
      <c r="X144" s="99"/>
      <c r="Y144" s="99"/>
      <c r="Z144" s="99"/>
      <c r="AA144" s="99"/>
      <c r="AB144" s="146"/>
      <c r="BN144" s="107"/>
    </row>
    <row r="145" spans="1:66" customFormat="1" ht="17.25" customHeight="1" x14ac:dyDescent="0.25">
      <c r="A145" s="99"/>
      <c r="B145" s="99"/>
      <c r="C145" s="144"/>
      <c r="D145" s="144"/>
      <c r="E145" s="144"/>
      <c r="F145" s="99"/>
      <c r="G145" s="99"/>
      <c r="H145" s="99"/>
      <c r="I145" s="593"/>
      <c r="J145" s="392" t="s">
        <v>185</v>
      </c>
      <c r="K145" s="393"/>
      <c r="L145" s="394"/>
      <c r="M145" s="398" t="s">
        <v>186</v>
      </c>
      <c r="N145" s="399"/>
      <c r="O145" s="593"/>
      <c r="P145" s="392" t="s">
        <v>185</v>
      </c>
      <c r="Q145" s="393"/>
      <c r="R145" s="394"/>
      <c r="S145" s="398" t="s">
        <v>187</v>
      </c>
      <c r="T145" s="399"/>
      <c r="U145" s="99"/>
      <c r="V145" s="99"/>
      <c r="W145" s="99"/>
      <c r="X145" s="99"/>
      <c r="Y145" s="99"/>
      <c r="Z145" s="99"/>
      <c r="AA145" s="99"/>
      <c r="AB145" s="146"/>
      <c r="BN145" s="107"/>
    </row>
    <row r="146" spans="1:66" ht="17.25" customHeight="1" x14ac:dyDescent="0.25">
      <c r="F146" s="99"/>
      <c r="G146" s="99"/>
      <c r="I146" s="594"/>
      <c r="J146" s="395" t="s">
        <v>118</v>
      </c>
      <c r="K146" s="396"/>
      <c r="L146" s="397"/>
      <c r="M146" s="400" t="s">
        <v>119</v>
      </c>
      <c r="N146" s="401"/>
      <c r="O146" s="594"/>
      <c r="P146" s="395" t="s">
        <v>118</v>
      </c>
      <c r="Q146" s="396"/>
      <c r="R146" s="397"/>
      <c r="S146" s="400" t="s">
        <v>120</v>
      </c>
      <c r="T146" s="401"/>
    </row>
    <row r="147" spans="1:66" ht="17.25" customHeight="1" x14ac:dyDescent="0.25">
      <c r="F147" s="97"/>
      <c r="G147" s="97"/>
      <c r="H147" s="97"/>
      <c r="I147" s="97"/>
      <c r="J147" s="97"/>
      <c r="K147" s="97"/>
      <c r="Q147" s="97"/>
      <c r="R147" s="97"/>
      <c r="S147" s="97"/>
      <c r="T147" s="402"/>
      <c r="U147" s="402"/>
      <c r="V147" s="402"/>
      <c r="W147" s="97"/>
      <c r="X147" s="402"/>
      <c r="Y147" s="402"/>
      <c r="Z147" s="402"/>
    </row>
    <row r="148" spans="1:66" ht="17.25" customHeight="1" x14ac:dyDescent="0.25">
      <c r="F148" s="97"/>
      <c r="N148" s="429"/>
      <c r="O148" s="429"/>
      <c r="Q148" s="402"/>
      <c r="R148" s="402"/>
      <c r="S148" s="402"/>
      <c r="T148" s="402"/>
      <c r="U148" s="402"/>
      <c r="V148" s="402"/>
      <c r="W148" s="97"/>
      <c r="X148" s="402"/>
      <c r="Y148" s="402"/>
      <c r="Z148" s="402"/>
    </row>
    <row r="149" spans="1:66" ht="17.25" customHeight="1" x14ac:dyDescent="0.25">
      <c r="I149" s="333" t="s">
        <v>115</v>
      </c>
      <c r="J149" s="333"/>
      <c r="K149" s="142">
        <f>F36</f>
        <v>48.875500000000002</v>
      </c>
      <c r="L149" s="334" t="str">
        <f>CONCATENATE("Sens: ",IF(Q141&gt;0,"Nord","Sud"))</f>
        <v>Sens: Nord</v>
      </c>
      <c r="M149" s="334"/>
    </row>
    <row r="150" spans="1:66" ht="17.25" customHeight="1" thickBot="1" x14ac:dyDescent="0.3">
      <c r="I150" s="333" t="s">
        <v>51</v>
      </c>
      <c r="J150" s="333"/>
      <c r="K150" s="142">
        <f>Q142</f>
        <v>307.23449999999997</v>
      </c>
      <c r="L150" s="334" t="str">
        <f>CONCATENATE("Is &gt; 180? ", IF(Q142&gt;180,"Y", "N"))</f>
        <v>Is &gt; 180? Y</v>
      </c>
      <c r="M150" s="334"/>
      <c r="O150" s="427" t="s">
        <v>125</v>
      </c>
      <c r="P150" s="428"/>
      <c r="Q150" s="428"/>
      <c r="R150" s="428"/>
      <c r="S150" s="428"/>
      <c r="T150" s="324">
        <f>ABS(IF(Q129&gt;0,IF(Q130&gt;180,I140,360-I140),IF(Q130&gt;180,180-I140,180+I140)))</f>
        <v>121.26238205897948</v>
      </c>
      <c r="U150" s="325"/>
      <c r="V150" s="133" t="s">
        <v>34</v>
      </c>
      <c r="W150" s="97"/>
    </row>
    <row r="151" spans="1:66" ht="17.25" customHeight="1" thickTop="1" thickBot="1" x14ac:dyDescent="0.3">
      <c r="I151" s="347" t="s">
        <v>188</v>
      </c>
      <c r="J151" s="348"/>
      <c r="K151" s="349"/>
      <c r="L151" s="334" t="str">
        <f>IF(K149&gt;0,IF(K150&gt;180,M145,M146),IF(K150&gt;180,S145,S146))</f>
        <v>Zn = Z</v>
      </c>
      <c r="M151" s="334"/>
      <c r="T151" s="346">
        <f>AC144</f>
        <v>0</v>
      </c>
      <c r="U151" s="346"/>
      <c r="V151" s="346"/>
      <c r="W151" s="346"/>
      <c r="X151" s="346"/>
      <c r="Y151" s="346"/>
    </row>
    <row r="152" spans="1:66" ht="17.25" customHeight="1" thickTop="1" x14ac:dyDescent="0.25"/>
  </sheetData>
  <dataConsolidate link="1"/>
  <mergeCells count="290">
    <mergeCell ref="I151:K151"/>
    <mergeCell ref="L151:M151"/>
    <mergeCell ref="T151:Y151"/>
    <mergeCell ref="E12:H12"/>
    <mergeCell ref="I149:J149"/>
    <mergeCell ref="L149:M149"/>
    <mergeCell ref="I150:J150"/>
    <mergeCell ref="L150:M150"/>
    <mergeCell ref="O150:S150"/>
    <mergeCell ref="T150:U150"/>
    <mergeCell ref="T147:V147"/>
    <mergeCell ref="X147:Z147"/>
    <mergeCell ref="N148:O148"/>
    <mergeCell ref="Q148:S148"/>
    <mergeCell ref="T148:V148"/>
    <mergeCell ref="X148:Z148"/>
    <mergeCell ref="I145:I146"/>
    <mergeCell ref="J145:L145"/>
    <mergeCell ref="M145:N145"/>
    <mergeCell ref="O145:O146"/>
    <mergeCell ref="P145:R145"/>
    <mergeCell ref="S145:T145"/>
    <mergeCell ref="J146:L146"/>
    <mergeCell ref="M146:N146"/>
    <mergeCell ref="P146:R146"/>
    <mergeCell ref="S146:T146"/>
    <mergeCell ref="U141:W141"/>
    <mergeCell ref="I142:M142"/>
    <mergeCell ref="O142:P142"/>
    <mergeCell ref="Q142:S142"/>
    <mergeCell ref="U142:W142"/>
    <mergeCell ref="I144:N144"/>
    <mergeCell ref="O144:T144"/>
    <mergeCell ref="O139:AA139"/>
    <mergeCell ref="E140:H142"/>
    <mergeCell ref="I140:M141"/>
    <mergeCell ref="O140:P140"/>
    <mergeCell ref="Q140:S140"/>
    <mergeCell ref="T140:T142"/>
    <mergeCell ref="U140:W140"/>
    <mergeCell ref="X140:X142"/>
    <mergeCell ref="O141:P141"/>
    <mergeCell ref="Q141:S141"/>
    <mergeCell ref="E132:H134"/>
    <mergeCell ref="I132:M133"/>
    <mergeCell ref="O133:S133"/>
    <mergeCell ref="Y133:Z133"/>
    <mergeCell ref="I134:M134"/>
    <mergeCell ref="A137:D137"/>
    <mergeCell ref="X128:X130"/>
    <mergeCell ref="O129:P129"/>
    <mergeCell ref="Q129:S129"/>
    <mergeCell ref="U129:W129"/>
    <mergeCell ref="I130:M130"/>
    <mergeCell ref="O130:P130"/>
    <mergeCell ref="Q130:S130"/>
    <mergeCell ref="U130:W130"/>
    <mergeCell ref="E128:H130"/>
    <mergeCell ref="I128:M129"/>
    <mergeCell ref="O128:P128"/>
    <mergeCell ref="Q128:S128"/>
    <mergeCell ref="T128:T130"/>
    <mergeCell ref="U128:W128"/>
    <mergeCell ref="N122:P122"/>
    <mergeCell ref="W122:AA122"/>
    <mergeCell ref="H124:N124"/>
    <mergeCell ref="O124:R124"/>
    <mergeCell ref="U124:Z124"/>
    <mergeCell ref="O127:AA127"/>
    <mergeCell ref="H116:N116"/>
    <mergeCell ref="O116:R116"/>
    <mergeCell ref="U116:Z116"/>
    <mergeCell ref="F118:I118"/>
    <mergeCell ref="J118:L118"/>
    <mergeCell ref="N121:P121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8">
    <dataValidation type="list" allowBlank="1" showInputMessage="1" showErrorMessage="1" sqref="M23:O23" xr:uid="{0CC618F8-2C6C-46E7-87F5-E4DB4372F8CA}">
      <formula1>$AD$27:$AF$27</formula1>
    </dataValidation>
    <dataValidation type="list" allowBlank="1" showInputMessage="1" showErrorMessage="1" sqref="M22:O22" xr:uid="{AAA562EF-2EE6-4D5A-B17A-5C16BDD43D65}">
      <formula1>$AD$23:$AF$23</formula1>
    </dataValidation>
    <dataValidation type="list" allowBlank="1" showInputMessage="1" showErrorMessage="1" sqref="G87:I87" xr:uid="{7326584E-B023-43DF-A960-9BD5419BC26C}">
      <formula1>$AD$87:$AD$88</formula1>
    </dataValidation>
    <dataValidation type="list" allowBlank="1" showInputMessage="1" showErrorMessage="1" sqref="G64:I64" xr:uid="{54419A28-9A51-4794-A7EF-CB5DDEA9C49D}">
      <formula1>$AD$64:$AD$65</formula1>
    </dataValidation>
    <dataValidation type="list" allowBlank="1" showInputMessage="1" showErrorMessage="1" sqref="G46:I46" xr:uid="{FC920198-A0AE-4630-A0F9-07E59DDBA256}">
      <formula1>$AD$46:$AD$47</formula1>
    </dataValidation>
    <dataValidation type="list" allowBlank="1" showInputMessage="1" showErrorMessage="1" sqref="J15:O15" xr:uid="{3AEA6387-DC23-46EC-85E5-5349B874348B}">
      <formula1>$AC$15:$AD$15</formula1>
    </dataValidation>
    <dataValidation type="list" allowBlank="1" showInputMessage="1" showErrorMessage="1" sqref="M43 U76:U77 P76:P77 P68:P71 R43 I41 I43" xr:uid="{BEB0243E-DEDD-49A3-A045-1CF788DC7491}">
      <formula1>$B$38:$B$39</formula1>
    </dataValidation>
    <dataValidation type="list" allowBlank="1" showInputMessage="1" showErrorMessage="1" sqref="I36:I37 P81 P50:P53 U58:U59 P58:P59 U81" xr:uid="{B06AA204-EADB-4D2E-948D-88B5DB71ACE4}">
      <formula1>$A$38:$A$39</formula1>
    </dataValidation>
  </dataValidations>
  <printOptions horizontalCentered="1" verticalCentered="1"/>
  <pageMargins left="0.25" right="0.25" top="0.1" bottom="0.1" header="0.3" footer="0.3"/>
  <pageSetup paperSize="9" scale="3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1D46D-7511-40C9-A459-54C539C621C8}">
  <sheetPr codeName="Sheet2">
    <pageSetUpPr fitToPage="1"/>
  </sheetPr>
  <dimension ref="A1:BO143"/>
  <sheetViews>
    <sheetView topLeftCell="A136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99" customWidth="1"/>
    <col min="3" max="7" width="7" style="144" customWidth="1"/>
    <col min="8" max="9" width="7" style="99" customWidth="1"/>
    <col min="10" max="10" width="6.42578125" style="99" customWidth="1"/>
    <col min="11" max="11" width="8" style="99" customWidth="1"/>
    <col min="12" max="19" width="6.42578125" style="99" customWidth="1"/>
    <col min="20" max="20" width="7.28515625" style="99" customWidth="1"/>
    <col min="21" max="21" width="6.42578125" style="99" customWidth="1"/>
    <col min="22" max="22" width="7.28515625" style="99" customWidth="1"/>
    <col min="23" max="27" width="6.42578125" style="99" customWidth="1"/>
    <col min="28" max="28" width="1.28515625" style="146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107" customWidth="1" outlineLevel="1"/>
    <col min="67" max="16384" width="5.140625" style="99"/>
  </cols>
  <sheetData>
    <row r="1" spans="2:66" customFormat="1" ht="17.25" customHeight="1" x14ac:dyDescent="0.25">
      <c r="B1" s="99"/>
      <c r="C1" s="412" t="s">
        <v>236</v>
      </c>
      <c r="D1" s="412"/>
      <c r="E1" s="412"/>
      <c r="F1" s="412"/>
      <c r="G1" s="403" t="s">
        <v>237</v>
      </c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99"/>
      <c r="AA1" s="99"/>
      <c r="AB1" s="146"/>
      <c r="BN1" s="107"/>
    </row>
    <row r="2" spans="2:66" customFormat="1" ht="17.25" customHeight="1" x14ac:dyDescent="0.25">
      <c r="B2" s="99"/>
      <c r="C2" s="412"/>
      <c r="D2" s="412"/>
      <c r="E2" s="412"/>
      <c r="F2" s="412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99"/>
      <c r="AA2" s="99"/>
      <c r="AB2" s="146"/>
      <c r="BN2" s="107"/>
    </row>
    <row r="3" spans="2:66" customFormat="1" ht="17.25" customHeight="1" x14ac:dyDescent="0.25">
      <c r="B3" s="99"/>
      <c r="C3" s="412"/>
      <c r="D3" s="412"/>
      <c r="E3" s="412"/>
      <c r="F3" s="412"/>
      <c r="G3" s="408" t="s">
        <v>241</v>
      </c>
      <c r="H3" s="408"/>
      <c r="I3" s="408"/>
      <c r="J3" s="410" t="s">
        <v>240</v>
      </c>
      <c r="K3" s="410"/>
      <c r="L3" s="410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146"/>
      <c r="BN3" s="107"/>
    </row>
    <row r="4" spans="2:66" customFormat="1" ht="17.25" customHeight="1" x14ac:dyDescent="0.25">
      <c r="B4" s="99"/>
      <c r="C4" s="412"/>
      <c r="D4" s="412"/>
      <c r="E4" s="412"/>
      <c r="F4" s="412"/>
      <c r="G4" s="409"/>
      <c r="H4" s="409"/>
      <c r="I4" s="409"/>
      <c r="J4" s="411"/>
      <c r="K4" s="411"/>
      <c r="L4" s="411"/>
      <c r="M4" s="99"/>
      <c r="N4" s="99"/>
      <c r="O4" s="99" t="s">
        <v>47</v>
      </c>
      <c r="P4" s="99" t="s">
        <v>363</v>
      </c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146"/>
      <c r="BN4" s="107"/>
    </row>
    <row r="6" spans="2:66" customFormat="1" ht="17.25" customHeight="1" thickBot="1" x14ac:dyDescent="0.3">
      <c r="B6" s="99"/>
      <c r="C6" s="144"/>
      <c r="D6" s="144"/>
      <c r="E6" s="144"/>
      <c r="F6" s="144"/>
      <c r="G6" s="144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146"/>
      <c r="BN6" s="107"/>
    </row>
    <row r="7" spans="2:66" customFormat="1" ht="17.25" customHeight="1" thickBot="1" x14ac:dyDescent="0.3">
      <c r="B7" s="108" t="s">
        <v>0</v>
      </c>
      <c r="C7" s="109"/>
      <c r="D7" s="109"/>
      <c r="E7" s="143" t="str">
        <f>E8</f>
        <v>4/03/1998</v>
      </c>
      <c r="F7" s="143"/>
      <c r="G7" s="143" t="str" cm="1">
        <f t="array" ref="G7">heureDecimal2Txt(E11)</f>
        <v>09:50:01.00(09.8336)</v>
      </c>
      <c r="H7" s="143"/>
      <c r="I7" s="143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47"/>
      <c r="BN7" s="107"/>
    </row>
    <row r="8" spans="2:66" customFormat="1" ht="17.25" customHeight="1" x14ac:dyDescent="0.25">
      <c r="B8" s="99"/>
      <c r="C8" s="404" t="s">
        <v>1</v>
      </c>
      <c r="D8" s="405"/>
      <c r="E8" s="892" t="s">
        <v>189</v>
      </c>
      <c r="F8" s="893"/>
      <c r="G8" s="893"/>
      <c r="H8" s="144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146"/>
      <c r="AC8" s="6" t="s">
        <v>328</v>
      </c>
      <c r="AD8" s="6" cm="1">
        <f t="array" ref="AD8">heureConvert2Decimal(I11)</f>
        <v>11.833333333333334</v>
      </c>
      <c r="BN8" s="107"/>
    </row>
    <row r="9" spans="2:66" customFormat="1" ht="17.25" customHeight="1" thickBot="1" x14ac:dyDescent="0.3">
      <c r="B9" s="99"/>
      <c r="C9" s="380" t="s">
        <v>11</v>
      </c>
      <c r="D9" s="382"/>
      <c r="E9" s="380" t="s">
        <v>2</v>
      </c>
      <c r="F9" s="381"/>
      <c r="G9" s="381"/>
      <c r="H9" s="382"/>
      <c r="I9" s="523" t="s">
        <v>192</v>
      </c>
      <c r="J9" s="523"/>
      <c r="K9" s="523"/>
      <c r="L9" s="523" t="s">
        <v>193</v>
      </c>
      <c r="M9" s="523"/>
      <c r="N9" s="523"/>
      <c r="O9" s="523"/>
      <c r="P9" s="523"/>
      <c r="Q9" s="523" t="s">
        <v>194</v>
      </c>
      <c r="R9" s="523"/>
      <c r="S9" s="523"/>
      <c r="T9" s="523"/>
      <c r="U9" s="523"/>
      <c r="V9" s="508" t="s">
        <v>191</v>
      </c>
      <c r="W9" s="509"/>
      <c r="X9" s="509"/>
      <c r="Y9" s="510"/>
      <c r="Z9" s="99"/>
      <c r="AA9" s="99"/>
      <c r="AB9" s="148"/>
      <c r="AC9" s="6" t="s">
        <v>329</v>
      </c>
      <c r="AD9" s="152">
        <f>L11</f>
        <v>-2</v>
      </c>
      <c r="BN9" s="107"/>
    </row>
    <row r="10" spans="2:66" customFormat="1" ht="17.25" customHeight="1" x14ac:dyDescent="0.25">
      <c r="B10" s="99"/>
      <c r="C10" s="406"/>
      <c r="D10" s="407"/>
      <c r="E10" s="383"/>
      <c r="F10" s="384"/>
      <c r="G10" s="384"/>
      <c r="H10" s="385"/>
      <c r="I10" s="523"/>
      <c r="J10" s="523"/>
      <c r="K10" s="523"/>
      <c r="L10" s="523"/>
      <c r="M10" s="523"/>
      <c r="N10" s="523"/>
      <c r="O10" s="523"/>
      <c r="P10" s="523"/>
      <c r="Q10" s="523"/>
      <c r="R10" s="523"/>
      <c r="S10" s="523"/>
      <c r="T10" s="523"/>
      <c r="U10" s="523"/>
      <c r="V10" s="511"/>
      <c r="W10" s="512"/>
      <c r="X10" s="512"/>
      <c r="Y10" s="513"/>
      <c r="Z10" s="99"/>
      <c r="AA10" s="99"/>
      <c r="AB10" s="146"/>
      <c r="AC10" s="6" t="s">
        <v>330</v>
      </c>
      <c r="AD10" s="6">
        <f>Q11/3600</f>
        <v>2.7777777777777778E-4</v>
      </c>
      <c r="BN10" s="107"/>
    </row>
    <row r="11" spans="2:66" customFormat="1" ht="17.25" customHeight="1" thickBot="1" x14ac:dyDescent="0.3">
      <c r="B11" s="99"/>
      <c r="C11" s="383"/>
      <c r="D11" s="385"/>
      <c r="E11" s="355">
        <f>AD8+AD9+AD10+AD11</f>
        <v>9.8336111111111109</v>
      </c>
      <c r="F11" s="356"/>
      <c r="G11" s="356"/>
      <c r="H11" s="357"/>
      <c r="I11" s="522" t="s">
        <v>340</v>
      </c>
      <c r="J11" s="522"/>
      <c r="K11" s="522"/>
      <c r="L11" s="558">
        <v>-2</v>
      </c>
      <c r="M11" s="558"/>
      <c r="N11" s="558"/>
      <c r="O11" s="558"/>
      <c r="P11" s="558"/>
      <c r="Q11" s="558">
        <v>1</v>
      </c>
      <c r="R11" s="558"/>
      <c r="S11" s="558"/>
      <c r="T11" s="558"/>
      <c r="U11" s="559"/>
      <c r="V11" s="557" t="s">
        <v>190</v>
      </c>
      <c r="W11" s="557"/>
      <c r="X11" s="557"/>
      <c r="Y11" s="557"/>
      <c r="Z11" s="99"/>
      <c r="AA11" s="99"/>
      <c r="AB11" s="146"/>
      <c r="AC11" s="6" t="s">
        <v>36</v>
      </c>
      <c r="AD11" s="6" cm="1">
        <f t="array" ref="AD11">heureConvert2Decimal(V11) / 60</f>
        <v>0</v>
      </c>
      <c r="BN11" s="107"/>
    </row>
    <row r="12" spans="2:66" customFormat="1" ht="17.25" customHeight="1" thickTop="1" thickBot="1" x14ac:dyDescent="0.3">
      <c r="B12" s="99"/>
      <c r="E12" s="601" t="str" cm="1">
        <f t="array" ref="E12">heureDecimal2Txt(E11)</f>
        <v>09:50:01.00(09.8336)</v>
      </c>
      <c r="F12" s="602"/>
      <c r="G12" s="602"/>
      <c r="H12" s="603"/>
      <c r="I12" s="41"/>
      <c r="J12" s="41"/>
      <c r="K12" s="41"/>
      <c r="V12" s="41"/>
      <c r="W12" s="41"/>
      <c r="X12" s="41"/>
      <c r="Y12" s="41"/>
      <c r="Z12" s="99"/>
      <c r="AA12" s="99"/>
      <c r="AB12" s="146"/>
      <c r="BN12" s="107"/>
    </row>
    <row r="13" spans="2:66" customFormat="1" ht="17.25" customHeight="1" thickTop="1" thickBot="1" x14ac:dyDescent="0.3">
      <c r="B13" s="99"/>
      <c r="C13" s="98"/>
      <c r="D13" s="98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9"/>
      <c r="AA13" s="99"/>
      <c r="AB13" s="146"/>
      <c r="BN13" s="107"/>
    </row>
    <row r="14" spans="2:66" customFormat="1" ht="17.25" customHeight="1" thickBot="1" x14ac:dyDescent="0.3">
      <c r="B14" s="108" t="s">
        <v>20</v>
      </c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47"/>
      <c r="BN14" s="107"/>
    </row>
    <row r="15" spans="2:66" customFormat="1" ht="18" customHeight="1" thickBot="1" x14ac:dyDescent="0.3">
      <c r="C15" s="367" t="s">
        <v>331</v>
      </c>
      <c r="D15" s="368"/>
      <c r="E15" s="368"/>
      <c r="F15" s="368"/>
      <c r="G15" s="368"/>
      <c r="H15" s="368"/>
      <c r="I15" s="369"/>
      <c r="J15" s="370" t="s">
        <v>332</v>
      </c>
      <c r="K15" s="370"/>
      <c r="L15" s="370"/>
      <c r="M15" s="370"/>
      <c r="N15" s="370"/>
      <c r="O15" s="370"/>
      <c r="AB15" s="146"/>
      <c r="AC15" s="153" t="s">
        <v>332</v>
      </c>
      <c r="AD15" s="153" t="s">
        <v>333</v>
      </c>
      <c r="BN15" s="107"/>
    </row>
    <row r="16" spans="2:66" customFormat="1" ht="18" customHeight="1" thickTop="1" thickBot="1" x14ac:dyDescent="0.3">
      <c r="B16" s="97"/>
      <c r="C16" s="367" t="s">
        <v>230</v>
      </c>
      <c r="D16" s="368"/>
      <c r="E16" s="368"/>
      <c r="F16" s="368"/>
      <c r="G16" s="368"/>
      <c r="H16" s="368"/>
      <c r="I16" s="369"/>
      <c r="J16" s="364" cm="1">
        <f t="array" ref="J16">angleConvert2Decimal(M16)</f>
        <v>0.83333333333333337</v>
      </c>
      <c r="K16" s="365"/>
      <c r="L16" s="366"/>
      <c r="M16" s="361" t="s">
        <v>231</v>
      </c>
      <c r="N16" s="362"/>
      <c r="O16" s="363"/>
      <c r="P16" s="358" t="str" cm="1">
        <f t="array" ref="P16">angleDecimal2Txt(J16)</f>
        <v>+00°50.00 (+00.8333) [+00°50'00.00]</v>
      </c>
      <c r="Q16" s="359"/>
      <c r="R16" s="359"/>
      <c r="S16" s="359"/>
      <c r="T16" s="359"/>
      <c r="U16" s="359"/>
      <c r="V16" s="359"/>
      <c r="W16" s="359"/>
      <c r="X16" s="360"/>
      <c r="Y16" s="97"/>
      <c r="Z16" s="99"/>
      <c r="AA16" s="99"/>
      <c r="AB16" s="146"/>
      <c r="BN16" s="107"/>
    </row>
    <row r="17" spans="2:66" customFormat="1" ht="18" customHeight="1" thickTop="1" thickBot="1" x14ac:dyDescent="0.3">
      <c r="B17" s="99"/>
      <c r="C17" s="525" t="s">
        <v>229</v>
      </c>
      <c r="D17" s="525"/>
      <c r="E17" s="525"/>
      <c r="F17" s="525"/>
      <c r="G17" s="525"/>
      <c r="H17" s="525"/>
      <c r="I17" s="525"/>
      <c r="J17" s="492" cm="1">
        <f t="array" ref="J17">angleConvert2Decimal(M17)</f>
        <v>18.766666666666666</v>
      </c>
      <c r="K17" s="563"/>
      <c r="L17" s="474"/>
      <c r="M17" s="419" t="s">
        <v>232</v>
      </c>
      <c r="N17" s="420"/>
      <c r="O17" s="421"/>
      <c r="P17" s="346" t="str" cm="1">
        <f t="array" ref="P17">angleDecimal2Txt(J17)</f>
        <v>+18°46.00 (+18.7666) [+18°46'00.00]</v>
      </c>
      <c r="Q17" s="346"/>
      <c r="R17" s="346"/>
      <c r="S17" s="346"/>
      <c r="T17" s="346"/>
      <c r="U17" s="346"/>
      <c r="V17" s="346"/>
      <c r="W17" s="346"/>
      <c r="X17" s="346"/>
      <c r="Y17" s="97"/>
      <c r="Z17" s="99"/>
      <c r="AA17" s="99"/>
      <c r="AB17" s="146"/>
      <c r="BN17" s="107"/>
    </row>
    <row r="18" spans="2:66" customFormat="1" ht="18" customHeight="1" thickTop="1" thickBot="1" x14ac:dyDescent="0.3">
      <c r="B18" s="99"/>
      <c r="C18" s="525" t="s">
        <v>239</v>
      </c>
      <c r="D18" s="525"/>
      <c r="E18" s="525"/>
      <c r="F18" s="525"/>
      <c r="G18" s="525"/>
      <c r="H18" s="525"/>
      <c r="I18" s="525"/>
      <c r="J18" s="492" cm="1">
        <f t="array" ref="J18">angleConvert2Decimal(M18)</f>
        <v>8.9666666666666703</v>
      </c>
      <c r="K18" s="563"/>
      <c r="L18" s="474"/>
      <c r="M18" s="419">
        <f>(J17-J16)/2</f>
        <v>8.9666666666666668</v>
      </c>
      <c r="N18" s="420"/>
      <c r="O18" s="421"/>
      <c r="P18" s="346" t="str" cm="1">
        <f t="array" ref="P18">angleDecimal2Txt(J18)</f>
        <v>+08°58.00 (+08.9666) [+08°58'00.00]</v>
      </c>
      <c r="Q18" s="346"/>
      <c r="R18" s="346"/>
      <c r="S18" s="346"/>
      <c r="T18" s="346"/>
      <c r="U18" s="346"/>
      <c r="V18" s="346"/>
      <c r="W18" s="346"/>
      <c r="X18" s="346"/>
      <c r="Y18" s="97"/>
      <c r="Z18" s="99"/>
      <c r="AA18" s="99"/>
      <c r="AB18" s="146"/>
      <c r="BN18" s="107"/>
    </row>
    <row r="19" spans="2:66" customFormat="1" ht="18" customHeight="1" thickTop="1" thickBot="1" x14ac:dyDescent="0.3">
      <c r="B19" s="99"/>
      <c r="C19" s="622" t="s">
        <v>21</v>
      </c>
      <c r="D19" s="622"/>
      <c r="E19" s="622"/>
      <c r="F19" s="622"/>
      <c r="G19" s="622"/>
      <c r="H19" s="622"/>
      <c r="I19" s="622"/>
      <c r="J19" s="560">
        <f>M19</f>
        <v>0</v>
      </c>
      <c r="K19" s="561"/>
      <c r="L19" s="562"/>
      <c r="M19" s="520">
        <v>0</v>
      </c>
      <c r="N19" s="520"/>
      <c r="O19" s="520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9"/>
      <c r="AA19" s="99"/>
      <c r="AB19" s="146"/>
      <c r="BN19" s="107"/>
    </row>
    <row r="20" spans="2:66" customFormat="1" ht="18" customHeight="1" thickTop="1" thickBot="1" x14ac:dyDescent="0.3">
      <c r="B20" s="97"/>
      <c r="C20" s="783" t="s">
        <v>22</v>
      </c>
      <c r="D20" s="784"/>
      <c r="E20" s="784"/>
      <c r="F20" s="784"/>
      <c r="G20" s="784"/>
      <c r="H20" s="784"/>
      <c r="I20" s="785"/>
      <c r="J20" s="334" cm="1">
        <f t="array" ref="J20">angleConvert2Decimal(M20)</f>
        <v>0</v>
      </c>
      <c r="K20" s="433"/>
      <c r="L20" s="433"/>
      <c r="M20" s="519">
        <v>0</v>
      </c>
      <c r="N20" s="520"/>
      <c r="O20" s="520"/>
      <c r="P20" s="346" t="str" cm="1">
        <f t="array" ref="P20">angleDecimal2Txt(J20)</f>
        <v>+00°00.00 (+00.0000) [+00°00'00.00]</v>
      </c>
      <c r="Q20" s="346"/>
      <c r="R20" s="346"/>
      <c r="S20" s="346"/>
      <c r="T20" s="346"/>
      <c r="U20" s="346"/>
      <c r="V20" s="346"/>
      <c r="W20" s="346"/>
      <c r="X20" s="346"/>
      <c r="Y20" s="97"/>
      <c r="Z20" s="99"/>
      <c r="AA20" s="99"/>
      <c r="AB20" s="146"/>
      <c r="BN20" s="107"/>
    </row>
    <row r="21" spans="2:66" customFormat="1" ht="18" customHeight="1" thickTop="1" thickBot="1" x14ac:dyDescent="0.3">
      <c r="B21" s="99"/>
      <c r="C21" s="629" t="s">
        <v>32</v>
      </c>
      <c r="D21" s="629"/>
      <c r="E21" s="629"/>
      <c r="F21" s="629"/>
      <c r="G21" s="629"/>
      <c r="H21" s="629"/>
      <c r="I21" s="629"/>
      <c r="J21" s="894" cm="1">
        <f t="array" ref="J21">IF(J15=AC15,J18,angleConvert2Decimal(M21))</f>
        <v>8.9666666666666703</v>
      </c>
      <c r="K21" s="895"/>
      <c r="L21" s="895"/>
      <c r="M21" s="896" t="s">
        <v>232</v>
      </c>
      <c r="N21" s="897"/>
      <c r="O21" s="898"/>
      <c r="P21" s="346" t="str" cm="1">
        <f t="array" ref="P21">angleDecimal2Txt(J21)</f>
        <v>+08°58.00 (+08.9666) [+08°58'00.00]</v>
      </c>
      <c r="Q21" s="346"/>
      <c r="R21" s="346"/>
      <c r="S21" s="346"/>
      <c r="T21" s="346"/>
      <c r="U21" s="346"/>
      <c r="V21" s="346"/>
      <c r="W21" s="346"/>
      <c r="X21" s="346"/>
      <c r="Y21" s="97"/>
      <c r="Z21" s="99"/>
      <c r="AA21" s="99"/>
      <c r="AB21" s="146"/>
      <c r="BN21" s="107"/>
    </row>
    <row r="22" spans="2:66" customFormat="1" ht="18" customHeight="1" thickTop="1" x14ac:dyDescent="0.25">
      <c r="B22" s="99"/>
      <c r="C22" s="622" t="s">
        <v>37</v>
      </c>
      <c r="D22" s="622"/>
      <c r="E22" s="622"/>
      <c r="F22" s="622"/>
      <c r="G22" s="622"/>
      <c r="H22" s="622"/>
      <c r="I22" s="622"/>
      <c r="J22" s="623" t="str">
        <f>M22</f>
        <v>Etoile</v>
      </c>
      <c r="K22" s="624"/>
      <c r="L22" s="625"/>
      <c r="M22" s="899" t="s">
        <v>39</v>
      </c>
      <c r="N22" s="900"/>
      <c r="O22" s="901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9"/>
      <c r="AA22" s="99"/>
      <c r="AB22" s="146"/>
      <c r="AG22" s="99"/>
      <c r="AH22" s="99"/>
      <c r="BN22" s="107"/>
    </row>
    <row r="23" spans="2:66" customFormat="1" ht="18" customHeight="1" x14ac:dyDescent="0.25">
      <c r="B23" s="99"/>
      <c r="C23" s="622" t="s">
        <v>84</v>
      </c>
      <c r="D23" s="622"/>
      <c r="E23" s="622"/>
      <c r="F23" s="622"/>
      <c r="G23" s="622"/>
      <c r="H23" s="622"/>
      <c r="I23" s="622"/>
      <c r="J23" s="342" t="str">
        <f>M23</f>
        <v>Milieu</v>
      </c>
      <c r="K23" s="342"/>
      <c r="L23" s="342"/>
      <c r="M23" s="515" t="s">
        <v>86</v>
      </c>
      <c r="N23" s="515"/>
      <c r="O23" s="515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9"/>
      <c r="AA23" s="99"/>
      <c r="AB23" s="146"/>
      <c r="AC23" s="154" t="s">
        <v>357</v>
      </c>
      <c r="AD23" s="155" t="s">
        <v>39</v>
      </c>
      <c r="AE23" s="155" t="s">
        <v>40</v>
      </c>
      <c r="AF23" s="155" t="s">
        <v>38</v>
      </c>
      <c r="AG23" s="99"/>
      <c r="AH23" s="99"/>
      <c r="BN23" s="107"/>
    </row>
    <row r="24" spans="2:66" customFormat="1" ht="17.25" customHeight="1" x14ac:dyDescent="0.25">
      <c r="B24" s="99"/>
      <c r="C24" s="630" t="s">
        <v>314</v>
      </c>
      <c r="D24" s="631"/>
      <c r="E24" s="110"/>
      <c r="F24" s="110"/>
      <c r="G24" s="110"/>
      <c r="H24" s="110"/>
      <c r="I24" s="111"/>
      <c r="J24" s="539" cm="1">
        <f t="array" ref="J24">angleConvert2Decimal(M24)</f>
        <v>0</v>
      </c>
      <c r="K24" s="338"/>
      <c r="L24" s="339"/>
      <c r="M24" s="545" t="str">
        <f>P26</f>
        <v>0.0'</v>
      </c>
      <c r="N24" s="546"/>
      <c r="O24" s="546"/>
      <c r="P24" s="551" t="s">
        <v>129</v>
      </c>
      <c r="Q24" s="551"/>
      <c r="R24" s="551"/>
      <c r="S24" s="97"/>
      <c r="T24" s="97"/>
      <c r="U24" s="97"/>
      <c r="V24" s="97"/>
      <c r="W24" s="97"/>
      <c r="X24" s="97"/>
      <c r="Y24" s="97"/>
      <c r="Z24" s="99"/>
      <c r="AA24" s="99"/>
      <c r="AB24" s="146"/>
      <c r="AC24" s="154" t="s">
        <v>131</v>
      </c>
      <c r="AD24" s="156" t="s">
        <v>132</v>
      </c>
      <c r="AE24" s="156" t="s">
        <v>133</v>
      </c>
      <c r="AF24" s="156" t="s">
        <v>104</v>
      </c>
      <c r="AG24" s="99"/>
      <c r="AH24" s="99"/>
      <c r="BN24" s="107"/>
    </row>
    <row r="25" spans="2:66" customFormat="1" ht="17.25" customHeight="1" thickBot="1" x14ac:dyDescent="0.3">
      <c r="B25" s="99"/>
      <c r="C25" s="112"/>
      <c r="D25" s="607" t="s">
        <v>315</v>
      </c>
      <c r="E25" s="607"/>
      <c r="F25" s="607"/>
      <c r="G25" s="607"/>
      <c r="H25" s="607"/>
      <c r="I25" s="608"/>
      <c r="J25" s="540"/>
      <c r="K25" s="409"/>
      <c r="L25" s="541"/>
      <c r="M25" s="547"/>
      <c r="N25" s="548"/>
      <c r="O25" s="548"/>
      <c r="P25" s="551"/>
      <c r="Q25" s="551"/>
      <c r="R25" s="551"/>
      <c r="S25" s="97"/>
      <c r="T25" s="97"/>
      <c r="U25" s="97"/>
      <c r="V25" s="97"/>
      <c r="W25" s="97"/>
      <c r="X25" s="97"/>
      <c r="Y25" s="97"/>
      <c r="Z25" s="99"/>
      <c r="AA25" s="99"/>
      <c r="AB25" s="146"/>
      <c r="AC25" s="154" t="s">
        <v>135</v>
      </c>
      <c r="AD25" s="156" t="s">
        <v>132</v>
      </c>
      <c r="AE25" s="156" t="s">
        <v>136</v>
      </c>
      <c r="AF25" s="156" t="s">
        <v>103</v>
      </c>
      <c r="AG25" s="99"/>
      <c r="AH25" s="99"/>
      <c r="BN25" s="107"/>
    </row>
    <row r="26" spans="2:66" customFormat="1" ht="17.25" customHeight="1" thickTop="1" thickBot="1" x14ac:dyDescent="0.3">
      <c r="B26" s="99"/>
      <c r="C26" s="112"/>
      <c r="D26" s="607"/>
      <c r="E26" s="607"/>
      <c r="F26" s="607"/>
      <c r="G26" s="607"/>
      <c r="H26" s="607"/>
      <c r="I26" s="608"/>
      <c r="J26" s="540"/>
      <c r="K26" s="409"/>
      <c r="L26" s="541"/>
      <c r="M26" s="547"/>
      <c r="N26" s="548"/>
      <c r="O26" s="548"/>
      <c r="P26" s="521" t="str">
        <f>HLOOKUP(M22,AD23:AF25,2,FALSE)</f>
        <v>0.0'</v>
      </c>
      <c r="Q26" s="521"/>
      <c r="R26" s="521"/>
      <c r="S26" s="350" t="str" cm="1">
        <f t="array" ref="S26">angleDecimal2Txt(angleConvert2Decimal(P26))</f>
        <v>+00°00.00 (+00.0000) [+00°00'00.00]</v>
      </c>
      <c r="T26" s="350"/>
      <c r="U26" s="350"/>
      <c r="V26" s="350"/>
      <c r="W26" s="350"/>
      <c r="X26" s="351"/>
      <c r="Y26" s="97"/>
      <c r="Z26" s="99"/>
      <c r="AA26" s="99"/>
      <c r="AB26" s="146"/>
      <c r="BN26" s="107"/>
    </row>
    <row r="27" spans="2:66" customFormat="1" ht="17.25" customHeight="1" thickTop="1" thickBot="1" x14ac:dyDescent="0.3">
      <c r="B27" s="99"/>
      <c r="C27" s="113"/>
      <c r="D27" s="609"/>
      <c r="E27" s="609"/>
      <c r="F27" s="609"/>
      <c r="G27" s="609"/>
      <c r="H27" s="609"/>
      <c r="I27" s="610"/>
      <c r="J27" s="542"/>
      <c r="K27" s="543"/>
      <c r="L27" s="544"/>
      <c r="M27" s="549"/>
      <c r="N27" s="550"/>
      <c r="O27" s="550"/>
      <c r="P27" s="518" t="str" cm="1">
        <f t="array" ref="P27">angleDecimal2Txt(J24)</f>
        <v>+00°00.00 (+00.0000) [+00°00'00.00]</v>
      </c>
      <c r="Q27" s="518"/>
      <c r="R27" s="518"/>
      <c r="S27" s="346"/>
      <c r="T27" s="346"/>
      <c r="U27" s="346"/>
      <c r="V27" s="346"/>
      <c r="W27" s="346"/>
      <c r="X27" s="346"/>
      <c r="Y27" s="97"/>
      <c r="Z27" s="99"/>
      <c r="AA27" s="99"/>
      <c r="AB27" s="146"/>
      <c r="AC27" s="154" t="s">
        <v>130</v>
      </c>
      <c r="AD27" s="155" t="s">
        <v>85</v>
      </c>
      <c r="AE27" s="155" t="s">
        <v>355</v>
      </c>
      <c r="AF27" s="155" t="s">
        <v>86</v>
      </c>
      <c r="BN27" s="107"/>
    </row>
    <row r="28" spans="2:66" customFormat="1" ht="17.25" customHeight="1" thickTop="1" x14ac:dyDescent="0.25">
      <c r="B28" s="99"/>
      <c r="C28" s="531" t="s">
        <v>134</v>
      </c>
      <c r="D28" s="532"/>
      <c r="E28" s="532"/>
      <c r="F28" s="532"/>
      <c r="G28" s="532"/>
      <c r="H28" s="532"/>
      <c r="I28" s="533"/>
      <c r="J28" s="539" cm="1">
        <f t="array" ref="J28">angleConvert2Decimal(M28)</f>
        <v>0</v>
      </c>
      <c r="K28" s="338"/>
      <c r="L28" s="339"/>
      <c r="M28" s="545" t="str">
        <f>P30</f>
        <v>0.0'</v>
      </c>
      <c r="N28" s="546"/>
      <c r="O28" s="546"/>
      <c r="P28" s="551" t="s">
        <v>129</v>
      </c>
      <c r="Q28" s="551"/>
      <c r="R28" s="551"/>
      <c r="S28" s="97"/>
      <c r="T28" s="97"/>
      <c r="U28" s="97"/>
      <c r="V28" s="97"/>
      <c r="W28" s="97"/>
      <c r="X28" s="97"/>
      <c r="Y28" s="97"/>
      <c r="Z28" s="99"/>
      <c r="AA28" s="99"/>
      <c r="AB28" s="146"/>
      <c r="AC28" s="154" t="s">
        <v>356</v>
      </c>
      <c r="AD28" s="157">
        <v>0</v>
      </c>
      <c r="AE28" s="157">
        <v>-1</v>
      </c>
      <c r="AF28" s="157">
        <v>-0.5</v>
      </c>
      <c r="BN28" s="107"/>
    </row>
    <row r="29" spans="2:66" customFormat="1" ht="17.25" customHeight="1" thickBot="1" x14ac:dyDescent="0.3">
      <c r="B29" s="99"/>
      <c r="C29" s="534"/>
      <c r="D29" s="414"/>
      <c r="E29" s="414"/>
      <c r="F29" s="414"/>
      <c r="G29" s="414"/>
      <c r="H29" s="414"/>
      <c r="I29" s="535"/>
      <c r="J29" s="540"/>
      <c r="K29" s="409"/>
      <c r="L29" s="541"/>
      <c r="M29" s="547"/>
      <c r="N29" s="548"/>
      <c r="O29" s="548"/>
      <c r="P29" s="551"/>
      <c r="Q29" s="551"/>
      <c r="R29" s="551"/>
      <c r="S29" s="97"/>
      <c r="T29" s="97"/>
      <c r="U29" s="97"/>
      <c r="V29" s="97"/>
      <c r="W29" s="97"/>
      <c r="X29" s="97"/>
      <c r="Y29" s="97"/>
      <c r="Z29" s="99"/>
      <c r="AA29" s="99"/>
      <c r="AB29" s="146"/>
      <c r="BN29" s="107"/>
    </row>
    <row r="30" spans="2:66" customFormat="1" ht="17.25" customHeight="1" thickTop="1" thickBot="1" x14ac:dyDescent="0.3">
      <c r="B30" s="99"/>
      <c r="C30" s="534"/>
      <c r="D30" s="414"/>
      <c r="E30" s="414"/>
      <c r="F30" s="414"/>
      <c r="G30" s="414"/>
      <c r="H30" s="414"/>
      <c r="I30" s="535"/>
      <c r="J30" s="540"/>
      <c r="K30" s="409"/>
      <c r="L30" s="541"/>
      <c r="M30" s="547"/>
      <c r="N30" s="548"/>
      <c r="O30" s="548"/>
      <c r="P30" s="521" t="str">
        <f>HLOOKUP(M22,AD23:AF25,3,FALSE)</f>
        <v>0.0'</v>
      </c>
      <c r="Q30" s="521"/>
      <c r="R30" s="521"/>
      <c r="S30" s="350" t="str" cm="1">
        <f t="array" ref="S30">angleDecimal2Txt(angleConvert2Decimal(P30))</f>
        <v>+00°00.00 (+00.0000) [+00°00'00.00]</v>
      </c>
      <c r="T30" s="350"/>
      <c r="U30" s="350"/>
      <c r="V30" s="350"/>
      <c r="W30" s="350"/>
      <c r="X30" s="351"/>
      <c r="Y30" s="97"/>
      <c r="Z30" s="99"/>
      <c r="AA30" s="99"/>
      <c r="AB30" s="146"/>
      <c r="BN30" s="107"/>
    </row>
    <row r="31" spans="2:66" customFormat="1" ht="17.25" customHeight="1" thickTop="1" thickBot="1" x14ac:dyDescent="0.3">
      <c r="B31" s="99"/>
      <c r="C31" s="536"/>
      <c r="D31" s="537"/>
      <c r="E31" s="537"/>
      <c r="F31" s="537"/>
      <c r="G31" s="537"/>
      <c r="H31" s="537"/>
      <c r="I31" s="538"/>
      <c r="J31" s="542"/>
      <c r="K31" s="543"/>
      <c r="L31" s="544"/>
      <c r="M31" s="549"/>
      <c r="N31" s="550"/>
      <c r="O31" s="550"/>
      <c r="P31" s="518" t="str" cm="1">
        <f t="array" ref="P31">angleDecimal2Txt(J28)</f>
        <v>+00°00.00 (+00.0000) [+00°00'00.00]</v>
      </c>
      <c r="Q31" s="518"/>
      <c r="R31" s="518"/>
      <c r="S31" s="346"/>
      <c r="T31" s="346"/>
      <c r="U31" s="346"/>
      <c r="V31" s="346"/>
      <c r="W31" s="346"/>
      <c r="X31" s="346"/>
      <c r="Y31" s="97"/>
      <c r="Z31" s="99"/>
      <c r="AA31" s="99"/>
      <c r="AB31" s="146"/>
      <c r="BN31" s="107"/>
    </row>
    <row r="32" spans="2:66" customFormat="1" ht="17.25" customHeight="1" thickTop="1" thickBot="1" x14ac:dyDescent="0.3"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9"/>
      <c r="AA32" s="99"/>
      <c r="AB32" s="146"/>
      <c r="BN32" s="107"/>
    </row>
    <row r="33" spans="1:67" customFormat="1" ht="17.25" customHeight="1" thickBot="1" x14ac:dyDescent="0.3">
      <c r="B33" s="108" t="s">
        <v>19</v>
      </c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47"/>
      <c r="BN33" s="107"/>
    </row>
    <row r="34" spans="1:67" ht="17.25" customHeight="1" x14ac:dyDescent="0.25">
      <c r="C34" s="97"/>
      <c r="D34" s="97"/>
      <c r="E34" s="524" t="s">
        <v>7</v>
      </c>
      <c r="F34" s="524"/>
      <c r="G34" s="524"/>
      <c r="H34" s="524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</row>
    <row r="35" spans="1:67" ht="17.25" customHeight="1" thickBot="1" x14ac:dyDescent="0.3">
      <c r="C35" s="97"/>
      <c r="D35" s="97"/>
      <c r="E35" s="524"/>
      <c r="F35" s="524"/>
      <c r="G35" s="524"/>
      <c r="H35" s="524"/>
      <c r="I35" s="97"/>
      <c r="J35" s="97" t="s">
        <v>233</v>
      </c>
      <c r="K35" s="97"/>
      <c r="L35" s="97" t="s">
        <v>234</v>
      </c>
      <c r="M35" s="97"/>
      <c r="N35" s="97"/>
      <c r="O35" s="97"/>
      <c r="P35" s="97"/>
      <c r="Q35" s="97"/>
      <c r="R35" s="97"/>
      <c r="S35" s="97"/>
      <c r="T35" s="97"/>
      <c r="U35" s="97"/>
      <c r="V35" s="97"/>
    </row>
    <row r="36" spans="1:67" ht="17.25" customHeight="1" thickTop="1" thickBot="1" x14ac:dyDescent="0.3">
      <c r="A36" s="626" t="s">
        <v>41</v>
      </c>
      <c r="B36" s="627"/>
      <c r="C36" s="628"/>
      <c r="D36" s="97"/>
      <c r="E36" s="97"/>
      <c r="F36" s="491">
        <f>AD37</f>
        <v>48.866666666666667</v>
      </c>
      <c r="G36" s="516"/>
      <c r="H36" s="516"/>
      <c r="I36" s="423" t="s">
        <v>3</v>
      </c>
      <c r="J36" s="425" t="s">
        <v>225</v>
      </c>
      <c r="K36" s="423"/>
      <c r="L36" s="423"/>
      <c r="M36" s="423"/>
      <c r="N36" s="423"/>
      <c r="O36" s="344" t="e" cm="1">
        <f t="array" ref="O36">angleDecimal2Txt(L)</f>
        <v>#VALUE!</v>
      </c>
      <c r="P36" s="344"/>
      <c r="Q36" s="344"/>
      <c r="R36" s="344"/>
      <c r="S36" s="344"/>
      <c r="T36" s="344"/>
      <c r="U36" s="344"/>
      <c r="V36" s="344"/>
      <c r="W36" s="344"/>
      <c r="X36" s="344"/>
      <c r="Y36" s="97"/>
      <c r="Z36" s="97"/>
      <c r="AC36" s="6" t="s">
        <v>334</v>
      </c>
      <c r="AD36" s="6">
        <f>VLOOKUP(I36,$A$38:$C$39,3)</f>
        <v>1</v>
      </c>
      <c r="BN36" s="114"/>
    </row>
    <row r="37" spans="1:67" ht="17.25" customHeight="1" thickTop="1" thickBot="1" x14ac:dyDescent="0.3">
      <c r="A37" s="100" t="s">
        <v>49</v>
      </c>
      <c r="B37" s="115" t="s">
        <v>50</v>
      </c>
      <c r="C37" s="101"/>
      <c r="D37" s="97"/>
      <c r="E37" s="97"/>
      <c r="F37" s="516"/>
      <c r="G37" s="516"/>
      <c r="H37" s="516"/>
      <c r="I37" s="423"/>
      <c r="J37" s="423"/>
      <c r="K37" s="423"/>
      <c r="L37" s="423"/>
      <c r="M37" s="423"/>
      <c r="N37" s="423"/>
      <c r="O37" s="344"/>
      <c r="P37" s="344"/>
      <c r="Q37" s="344"/>
      <c r="R37" s="344"/>
      <c r="S37" s="344"/>
      <c r="T37" s="344"/>
      <c r="U37" s="344"/>
      <c r="V37" s="344"/>
      <c r="W37" s="344"/>
      <c r="X37" s="344"/>
      <c r="Y37" s="97"/>
      <c r="Z37" s="97"/>
      <c r="AC37" s="6" t="s">
        <v>335</v>
      </c>
      <c r="AD37" s="6" cm="1">
        <f t="array" ref="AD37">angleConvert2Decimal(J36)*AD36</f>
        <v>48.866666666666667</v>
      </c>
      <c r="BN37" s="114"/>
    </row>
    <row r="38" spans="1:67" ht="17.25" customHeight="1" thickTop="1" x14ac:dyDescent="0.25">
      <c r="A38" s="100" t="s">
        <v>3</v>
      </c>
      <c r="B38" s="115" t="s">
        <v>5</v>
      </c>
      <c r="C38" s="101">
        <v>1</v>
      </c>
      <c r="D38" s="97"/>
      <c r="E38" s="97"/>
      <c r="F38" s="97"/>
      <c r="G38" s="97"/>
      <c r="H38" s="97"/>
      <c r="BN38" s="114"/>
    </row>
    <row r="39" spans="1:67" ht="17.25" customHeight="1" thickBot="1" x14ac:dyDescent="0.3">
      <c r="A39" s="102" t="s">
        <v>4</v>
      </c>
      <c r="B39" s="103" t="s">
        <v>6</v>
      </c>
      <c r="C39" s="104">
        <v>-1</v>
      </c>
      <c r="D39" s="97"/>
      <c r="E39" s="517" t="s">
        <v>8</v>
      </c>
      <c r="F39" s="517"/>
      <c r="G39" s="517"/>
      <c r="H39" s="51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BN39" s="114"/>
    </row>
    <row r="40" spans="1:67" ht="17.25" customHeight="1" thickBot="1" x14ac:dyDescent="0.3">
      <c r="C40" s="97"/>
      <c r="D40" s="97"/>
      <c r="E40" s="517"/>
      <c r="F40" s="517"/>
      <c r="G40" s="517"/>
      <c r="H40" s="517"/>
      <c r="I40" s="97"/>
      <c r="J40" s="97" t="s">
        <v>233</v>
      </c>
      <c r="K40" s="97"/>
      <c r="L40" s="97" t="s">
        <v>242</v>
      </c>
      <c r="M40" s="97"/>
      <c r="N40" s="97"/>
      <c r="O40" s="97"/>
      <c r="P40" s="97"/>
      <c r="Q40" s="97"/>
      <c r="R40" s="97"/>
      <c r="S40" s="97"/>
      <c r="T40" s="97"/>
      <c r="U40" s="97"/>
      <c r="V40" s="97"/>
      <c r="BN40" s="114"/>
    </row>
    <row r="41" spans="1:67" ht="17.25" customHeight="1" thickTop="1" thickBot="1" x14ac:dyDescent="0.3">
      <c r="B41" s="97"/>
      <c r="C41" s="97"/>
      <c r="D41" s="97"/>
      <c r="E41" s="97"/>
      <c r="F41" s="491">
        <f>AD42</f>
        <v>2.0833333333333335</v>
      </c>
      <c r="G41" s="516"/>
      <c r="H41" s="516"/>
      <c r="I41" s="423" t="s">
        <v>5</v>
      </c>
      <c r="J41" s="425" t="s">
        <v>226</v>
      </c>
      <c r="K41" s="423"/>
      <c r="L41" s="423"/>
      <c r="M41" s="423"/>
      <c r="N41" s="423"/>
      <c r="O41" s="344" t="e" cm="1">
        <f t="array" ref="O41">angleDecimal2Txt(L)</f>
        <v>#VALUE!</v>
      </c>
      <c r="P41" s="344"/>
      <c r="Q41" s="344"/>
      <c r="R41" s="344"/>
      <c r="S41" s="344"/>
      <c r="T41" s="344"/>
      <c r="U41" s="344"/>
      <c r="V41" s="344"/>
      <c r="W41" s="344"/>
      <c r="X41" s="344"/>
      <c r="Y41" s="97"/>
      <c r="Z41" s="97"/>
      <c r="AC41" s="6" t="s">
        <v>336</v>
      </c>
      <c r="AD41" s="6">
        <f>VLOOKUP(I41,B38:C39,2)</f>
        <v>1</v>
      </c>
    </row>
    <row r="42" spans="1:67" ht="17.25" customHeight="1" thickTop="1" thickBot="1" x14ac:dyDescent="0.3">
      <c r="C42" s="97"/>
      <c r="D42" s="97"/>
      <c r="E42" s="97"/>
      <c r="F42" s="516"/>
      <c r="G42" s="516"/>
      <c r="H42" s="516"/>
      <c r="I42" s="423"/>
      <c r="J42" s="423"/>
      <c r="K42" s="423"/>
      <c r="L42" s="423"/>
      <c r="M42" s="423"/>
      <c r="N42" s="423"/>
      <c r="O42" s="344"/>
      <c r="P42" s="344"/>
      <c r="Q42" s="344"/>
      <c r="R42" s="344"/>
      <c r="S42" s="344"/>
      <c r="T42" s="344"/>
      <c r="U42" s="344"/>
      <c r="V42" s="344"/>
      <c r="W42" s="344"/>
      <c r="X42" s="344"/>
      <c r="Y42" s="97"/>
      <c r="Z42" s="97"/>
      <c r="AC42" s="6" t="s">
        <v>337</v>
      </c>
      <c r="AD42" s="6" cm="1">
        <f t="array" ref="AD42">angleConvert2Decimal(J41)*AD41</f>
        <v>2.0833333333333335</v>
      </c>
    </row>
    <row r="43" spans="1:67" ht="17.25" customHeight="1" thickTop="1" x14ac:dyDescent="0.25"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</row>
    <row r="44" spans="1:67" ht="17.25" customHeight="1" thickBot="1" x14ac:dyDescent="0.3"/>
    <row r="45" spans="1:67" ht="17.25" customHeight="1" thickBot="1" x14ac:dyDescent="0.3">
      <c r="B45" s="108" t="s">
        <v>364</v>
      </c>
      <c r="C45" s="109"/>
      <c r="D45" s="109"/>
      <c r="E45" s="109"/>
      <c r="F45" s="416">
        <f>N46</f>
        <v>23.141666666666666</v>
      </c>
      <c r="G45" s="416"/>
      <c r="H45" s="416"/>
      <c r="I45" s="162"/>
      <c r="J45" s="162"/>
      <c r="K45" s="162" t="e" cm="1">
        <f t="array" ref="K45">angleDecimal2Txt(D)</f>
        <v>#VALUE!</v>
      </c>
      <c r="L45" s="162"/>
      <c r="M45" s="162"/>
      <c r="N45" s="162"/>
      <c r="O45" s="162"/>
      <c r="P45" s="162"/>
      <c r="Q45" s="109"/>
      <c r="R45" s="109"/>
      <c r="S45" s="109"/>
      <c r="T45" s="109"/>
      <c r="U45" s="109"/>
      <c r="V45" s="109"/>
      <c r="W45" s="109"/>
      <c r="X45" s="109"/>
      <c r="Y45" s="109"/>
      <c r="Z45" s="109"/>
      <c r="AA45" s="109"/>
      <c r="AB45" s="149"/>
    </row>
    <row r="46" spans="1:67" s="116" customFormat="1" ht="17.25" customHeight="1" thickTop="1" x14ac:dyDescent="0.25">
      <c r="C46" s="617" t="s">
        <v>114</v>
      </c>
      <c r="D46" s="617"/>
      <c r="E46" s="617"/>
      <c r="F46" s="617"/>
      <c r="G46" s="617"/>
      <c r="H46" s="923"/>
      <c r="I46" s="925" t="s">
        <v>3</v>
      </c>
      <c r="J46" s="924" t="s">
        <v>140</v>
      </c>
      <c r="K46" s="924"/>
      <c r="L46" s="924"/>
      <c r="M46" s="924"/>
      <c r="N46" s="921">
        <f>AD47</f>
        <v>23.141666666666666</v>
      </c>
      <c r="O46" s="921"/>
      <c r="P46" s="921"/>
      <c r="Q46" s="926" t="str" cm="1">
        <f t="array" ref="Q46">angleDecimal2Txt(N46)</f>
        <v>+23°08.50 (+23.1416) [+23°08'30.00]</v>
      </c>
      <c r="R46" s="926"/>
      <c r="S46" s="926"/>
      <c r="T46" s="926"/>
      <c r="U46" s="927"/>
      <c r="AB46" s="150"/>
      <c r="AC46" s="6" t="s">
        <v>367</v>
      </c>
      <c r="AD46" s="6">
        <f>VLOOKUP(I46,$A$38:$C$39,3)</f>
        <v>1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7" ht="17.25" customHeight="1" thickBot="1" x14ac:dyDescent="0.3">
      <c r="C47" s="97"/>
      <c r="D47" s="97"/>
      <c r="E47" s="97"/>
      <c r="F47" s="97"/>
      <c r="G47" s="97"/>
      <c r="H47" s="97"/>
      <c r="I47" s="925"/>
      <c r="J47" s="924"/>
      <c r="K47" s="924"/>
      <c r="L47" s="924"/>
      <c r="M47" s="924"/>
      <c r="N47" s="921"/>
      <c r="O47" s="921"/>
      <c r="P47" s="921"/>
      <c r="Q47" s="928"/>
      <c r="R47" s="928"/>
      <c r="S47" s="928"/>
      <c r="T47" s="928"/>
      <c r="U47" s="929"/>
      <c r="AC47" s="6" t="s">
        <v>335</v>
      </c>
      <c r="AD47" s="6" cm="1">
        <f t="array" ref="AD47">angleConvert2Decimal(J46)*AD46</f>
        <v>23.141666666666666</v>
      </c>
      <c r="AF47" s="99"/>
      <c r="AG47" s="99"/>
    </row>
    <row r="48" spans="1:67" customFormat="1" ht="17.25" customHeight="1" thickTop="1" x14ac:dyDescent="0.25">
      <c r="A48" s="99"/>
      <c r="B48" s="99"/>
      <c r="C48" s="144"/>
      <c r="D48" s="144"/>
      <c r="E48" s="144"/>
      <c r="F48" s="144"/>
      <c r="G48" s="144"/>
      <c r="H48" s="99"/>
      <c r="I48" s="99"/>
      <c r="J48" s="99"/>
      <c r="K48" s="99"/>
      <c r="L48" s="99"/>
      <c r="M48" s="99"/>
      <c r="N48" s="99"/>
      <c r="O48" s="99"/>
      <c r="P48" s="99"/>
      <c r="Q48" s="99"/>
      <c r="R48" s="99"/>
      <c r="S48" s="97"/>
      <c r="T48" s="97"/>
      <c r="U48" s="97"/>
      <c r="V48" s="97"/>
      <c r="W48" s="97"/>
      <c r="X48" s="97"/>
      <c r="Y48" s="99"/>
      <c r="Z48" s="99"/>
      <c r="AA48" s="99"/>
      <c r="AB48" s="146"/>
      <c r="BN48" s="107"/>
      <c r="BO48" s="99"/>
    </row>
    <row r="49" spans="1:67" customFormat="1" ht="17.25" customHeight="1" thickBot="1" x14ac:dyDescent="0.3">
      <c r="A49" s="99"/>
      <c r="B49" s="99"/>
      <c r="C49" s="144"/>
      <c r="D49" s="144"/>
      <c r="E49" s="144"/>
      <c r="F49" s="144"/>
      <c r="G49" s="144"/>
      <c r="H49" s="99"/>
      <c r="I49" s="99"/>
      <c r="J49" s="99"/>
      <c r="K49" s="99"/>
      <c r="L49" s="99"/>
      <c r="M49" s="99"/>
      <c r="N49" s="99"/>
      <c r="O49" s="99"/>
      <c r="P49" s="99"/>
      <c r="Q49" s="99"/>
      <c r="R49" s="99"/>
      <c r="S49" s="97"/>
      <c r="T49" s="97"/>
      <c r="U49" s="97"/>
      <c r="V49" s="97"/>
      <c r="W49" s="97"/>
      <c r="X49" s="97"/>
      <c r="Y49" s="99"/>
      <c r="Z49" s="99"/>
      <c r="AA49" s="99"/>
      <c r="AB49" s="146"/>
      <c r="BN49" s="107"/>
      <c r="BO49" s="99"/>
    </row>
    <row r="50" spans="1:67" s="97" customFormat="1" ht="17.25" customHeight="1" thickBot="1" x14ac:dyDescent="0.3">
      <c r="A50" s="99"/>
      <c r="B50" s="108" t="s">
        <v>365</v>
      </c>
      <c r="C50" s="109"/>
      <c r="D50" s="109"/>
      <c r="E50" s="109"/>
      <c r="F50" s="416">
        <f>N51</f>
        <v>23.141666666666666</v>
      </c>
      <c r="G50" s="416"/>
      <c r="H50" s="416"/>
      <c r="I50" s="162"/>
      <c r="J50" s="930" t="s">
        <v>83</v>
      </c>
      <c r="K50" s="930"/>
      <c r="L50" s="930"/>
      <c r="M50" s="931" t="str">
        <f>J22</f>
        <v>Etoile</v>
      </c>
      <c r="N50" s="931"/>
      <c r="O50" s="931"/>
      <c r="P50" s="162"/>
      <c r="Q50" s="109"/>
      <c r="R50" s="109"/>
      <c r="S50" s="109"/>
      <c r="T50" s="109"/>
      <c r="U50" s="109"/>
      <c r="V50" s="109"/>
      <c r="W50" s="109"/>
      <c r="X50" s="109"/>
      <c r="Y50" s="109"/>
      <c r="Z50" s="109"/>
      <c r="AA50" s="109"/>
      <c r="AB50" s="149"/>
      <c r="AC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114"/>
    </row>
    <row r="51" spans="1:67" ht="17.25" customHeight="1" thickTop="1" thickBot="1" x14ac:dyDescent="0.3">
      <c r="C51" s="617" t="s">
        <v>366</v>
      </c>
      <c r="D51" s="617"/>
      <c r="E51" s="617"/>
      <c r="F51" s="617"/>
      <c r="G51" s="617"/>
      <c r="H51" s="923"/>
      <c r="I51" s="924" t="s">
        <v>140</v>
      </c>
      <c r="J51" s="924"/>
      <c r="K51" s="924"/>
      <c r="L51" s="924"/>
      <c r="M51" s="924"/>
      <c r="N51" s="921" cm="1">
        <f t="array" ref="N51">angleConvert2Decimal(I51)</f>
        <v>23.141666666666666</v>
      </c>
      <c r="O51" s="921"/>
      <c r="P51" s="921"/>
      <c r="Q51" s="343" t="str" cm="1">
        <f t="array" ref="Q51">angleDecimal2Txt(N51)</f>
        <v>+23°08.50 (+23.1416) [+23°08'30.00]</v>
      </c>
      <c r="R51" s="514"/>
      <c r="S51" s="514"/>
      <c r="T51" s="514"/>
      <c r="U51" s="514"/>
      <c r="AD51" s="99"/>
      <c r="AE51" s="99"/>
      <c r="AF51" s="99"/>
      <c r="AG51" s="99"/>
      <c r="AH51" s="99"/>
      <c r="AI51" s="99"/>
      <c r="AJ51" s="99"/>
      <c r="AK51" s="99"/>
    </row>
    <row r="52" spans="1:67" ht="17.25" customHeight="1" thickTop="1" thickBot="1" x14ac:dyDescent="0.3">
      <c r="A52" s="97"/>
      <c r="C52" s="97"/>
      <c r="D52" s="97"/>
      <c r="E52" s="97"/>
      <c r="F52" s="97"/>
      <c r="G52" s="97"/>
      <c r="H52" s="97"/>
      <c r="I52" s="924"/>
      <c r="J52" s="924"/>
      <c r="K52" s="924"/>
      <c r="L52" s="924"/>
      <c r="M52" s="924"/>
      <c r="N52" s="921"/>
      <c r="O52" s="921"/>
      <c r="P52" s="921"/>
      <c r="Q52" s="922"/>
      <c r="R52" s="514"/>
      <c r="S52" s="514"/>
      <c r="T52" s="514"/>
      <c r="U52" s="514"/>
      <c r="AB52" s="151"/>
    </row>
    <row r="53" spans="1:67" ht="17.25" customHeight="1" thickTop="1" thickBot="1" x14ac:dyDescent="0.3">
      <c r="A53" s="97"/>
      <c r="C53" s="97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AB53" s="151"/>
    </row>
    <row r="54" spans="1:67" customFormat="1" ht="17.25" customHeight="1" thickBot="1" x14ac:dyDescent="0.3">
      <c r="A54" s="116"/>
      <c r="B54" s="108" t="s">
        <v>317</v>
      </c>
      <c r="C54" s="109"/>
      <c r="D54" s="109"/>
      <c r="E54" s="109"/>
      <c r="F54" s="416">
        <f>IF(G55=AD55,F59,F67)</f>
        <v>324.01383388888894</v>
      </c>
      <c r="G54" s="416"/>
      <c r="H54" s="416"/>
      <c r="I54" s="109"/>
      <c r="J54" s="109"/>
      <c r="K54" s="109"/>
      <c r="L54" s="413">
        <f>F54-360</f>
        <v>-35.986166111111061</v>
      </c>
      <c r="M54" s="413"/>
      <c r="N54" s="109" t="s">
        <v>34</v>
      </c>
      <c r="O54" s="109"/>
      <c r="P54" s="109"/>
      <c r="Q54" s="109"/>
      <c r="R54" s="109"/>
      <c r="S54" s="109"/>
      <c r="T54" s="109"/>
      <c r="U54" s="109"/>
      <c r="V54" s="109"/>
      <c r="W54" s="109"/>
      <c r="X54" s="109"/>
      <c r="Y54" s="109"/>
      <c r="Z54" s="109"/>
      <c r="AA54" s="109"/>
      <c r="AB54" s="149"/>
      <c r="BN54" s="107"/>
      <c r="BO54" s="99"/>
    </row>
    <row r="55" spans="1:67" customFormat="1" ht="17.25" customHeight="1" x14ac:dyDescent="0.25">
      <c r="A55" s="99"/>
      <c r="B55" s="116"/>
      <c r="C55" s="414" t="s">
        <v>42</v>
      </c>
      <c r="D55" s="414"/>
      <c r="E55" s="414"/>
      <c r="F55" s="415"/>
      <c r="G55" s="575" t="s">
        <v>16</v>
      </c>
      <c r="H55" s="576"/>
      <c r="I55" s="577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50"/>
      <c r="AC55" s="616" t="s">
        <v>43</v>
      </c>
      <c r="AD55" s="153" t="s">
        <v>10</v>
      </c>
      <c r="BN55" s="107"/>
      <c r="BO55" s="99"/>
    </row>
    <row r="56" spans="1:67" customFormat="1" ht="17.25" customHeight="1" x14ac:dyDescent="0.25">
      <c r="A56" s="99"/>
      <c r="B56" s="99"/>
      <c r="C56" s="117" t="s">
        <v>10</v>
      </c>
      <c r="D56" s="117"/>
      <c r="E56" s="118"/>
      <c r="F56" s="118"/>
      <c r="G56" s="97"/>
      <c r="H56" s="97"/>
      <c r="I56" s="97"/>
      <c r="J56" s="99"/>
      <c r="K56" s="99"/>
      <c r="L56" s="99"/>
      <c r="M56" s="99"/>
      <c r="N56" s="99"/>
      <c r="O56" s="99"/>
      <c r="P56" s="99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146"/>
      <c r="AC56" s="616"/>
      <c r="AD56" s="153" t="s">
        <v>16</v>
      </c>
      <c r="BN56" s="107"/>
      <c r="BO56" s="99"/>
    </row>
    <row r="57" spans="1:67" customFormat="1" ht="17.25" customHeight="1" x14ac:dyDescent="0.25">
      <c r="A57" s="99"/>
      <c r="B57" s="99"/>
      <c r="C57" s="144"/>
      <c r="D57" s="144"/>
      <c r="E57" s="144"/>
      <c r="F57" s="380" t="s">
        <v>9</v>
      </c>
      <c r="G57" s="381"/>
      <c r="H57" s="382"/>
      <c r="I57" s="380" t="s">
        <v>12</v>
      </c>
      <c r="J57" s="381"/>
      <c r="K57" s="381"/>
      <c r="L57" s="382"/>
      <c r="M57" s="386" t="s">
        <v>13</v>
      </c>
      <c r="N57" s="387"/>
      <c r="O57" s="388"/>
      <c r="P57" s="372" t="s">
        <v>17</v>
      </c>
      <c r="Q57" s="373"/>
      <c r="R57" s="373"/>
      <c r="S57" s="373"/>
      <c r="T57" s="374"/>
      <c r="U57" s="97"/>
      <c r="V57" s="99"/>
      <c r="W57" s="99"/>
      <c r="X57" s="99"/>
      <c r="Y57" s="99"/>
      <c r="Z57" s="99"/>
      <c r="AA57" s="99"/>
      <c r="AB57" s="146"/>
      <c r="AD57" s="158" t="s">
        <v>101</v>
      </c>
      <c r="AE57" s="6" t="s">
        <v>347</v>
      </c>
      <c r="BN57" s="107"/>
      <c r="BO57" s="99"/>
    </row>
    <row r="58" spans="1:67" customFormat="1" ht="17.25" customHeight="1" thickBot="1" x14ac:dyDescent="0.3">
      <c r="A58" s="99"/>
      <c r="B58" s="99"/>
      <c r="C58" s="144"/>
      <c r="D58" s="144"/>
      <c r="E58" s="144"/>
      <c r="F58" s="383"/>
      <c r="G58" s="384"/>
      <c r="H58" s="385"/>
      <c r="I58" s="383"/>
      <c r="J58" s="384"/>
      <c r="K58" s="384"/>
      <c r="L58" s="385"/>
      <c r="M58" s="389"/>
      <c r="N58" s="390"/>
      <c r="O58" s="391"/>
      <c r="P58" s="902"/>
      <c r="Q58" s="376"/>
      <c r="R58" s="376"/>
      <c r="S58" s="376"/>
      <c r="T58" s="377"/>
      <c r="U58" s="97"/>
      <c r="V58" s="99"/>
      <c r="W58" s="99"/>
      <c r="X58" s="99"/>
      <c r="Y58" s="99"/>
      <c r="AA58" s="99"/>
      <c r="AB58" s="146"/>
      <c r="AC58" s="6" t="s">
        <v>338</v>
      </c>
      <c r="AD58" s="6">
        <f>VLOOKUP(P59,$B$38:$C$39,2)</f>
        <v>1</v>
      </c>
      <c r="AE58" s="6" cm="1">
        <f t="array" ref="AE58">AD58*angleConvert2Decimal(Q59)</f>
        <v>329.065</v>
      </c>
      <c r="BN58" s="107"/>
      <c r="BO58" s="99"/>
    </row>
    <row r="59" spans="1:67" customFormat="1" ht="17.25" customHeight="1" thickTop="1" thickBot="1" x14ac:dyDescent="0.3">
      <c r="A59" s="99"/>
      <c r="B59" s="99"/>
      <c r="C59" s="144"/>
      <c r="D59" s="144"/>
      <c r="E59" s="99"/>
      <c r="F59" s="490" t="str">
        <f>IF(G55=AD56,"---",AD63)</f>
        <v>---</v>
      </c>
      <c r="G59" s="490"/>
      <c r="H59" s="490"/>
      <c r="I59" s="486">
        <f>E11</f>
        <v>9.8336111111111109</v>
      </c>
      <c r="J59" s="487"/>
      <c r="K59" s="487"/>
      <c r="L59" s="903"/>
      <c r="M59" s="486">
        <v>10</v>
      </c>
      <c r="N59" s="487"/>
      <c r="O59" s="903"/>
      <c r="P59" s="905" t="s">
        <v>5</v>
      </c>
      <c r="Q59" s="906" t="s">
        <v>141</v>
      </c>
      <c r="R59" s="635"/>
      <c r="S59" s="635"/>
      <c r="T59" s="907"/>
      <c r="U59" s="344" t="str" cm="1">
        <f t="array" ref="U59">angleDecimal2Txt(AE58)</f>
        <v>+329°03.89 (+329.0649) [+329°03'54.00]</v>
      </c>
      <c r="V59" s="514"/>
      <c r="W59" s="514"/>
      <c r="X59" s="514"/>
      <c r="Y59" s="514"/>
      <c r="AA59" s="99"/>
      <c r="AB59" s="146"/>
      <c r="AC59" s="6" t="s">
        <v>339</v>
      </c>
      <c r="AD59" s="6">
        <f>VLOOKUP(P61,$B$38:$C$39,2)</f>
        <v>1</v>
      </c>
      <c r="AE59" s="6" cm="1">
        <f t="array" ref="AE59">AD59*angleConvert2Decimal(Q61)</f>
        <v>344.06333333333333</v>
      </c>
      <c r="BN59" s="107"/>
      <c r="BO59" s="99"/>
    </row>
    <row r="60" spans="1:67" customFormat="1" ht="17.25" customHeight="1" thickTop="1" thickBot="1" x14ac:dyDescent="0.3">
      <c r="A60" s="99"/>
      <c r="B60" s="99"/>
      <c r="C60" s="144"/>
      <c r="D60" s="144"/>
      <c r="E60" s="144"/>
      <c r="F60" s="491"/>
      <c r="G60" s="491"/>
      <c r="H60" s="491"/>
      <c r="I60" s="656"/>
      <c r="J60" s="657"/>
      <c r="K60" s="657"/>
      <c r="L60" s="904"/>
      <c r="M60" s="488"/>
      <c r="N60" s="489"/>
      <c r="O60" s="613"/>
      <c r="P60" s="422"/>
      <c r="Q60" s="908"/>
      <c r="R60" s="909"/>
      <c r="S60" s="909"/>
      <c r="T60" s="910"/>
      <c r="U60" s="514"/>
      <c r="V60" s="514"/>
      <c r="W60" s="514"/>
      <c r="X60" s="514"/>
      <c r="Y60" s="514"/>
      <c r="AA60" s="99"/>
      <c r="AB60" s="146"/>
      <c r="AC60" s="6" t="s">
        <v>45</v>
      </c>
      <c r="AD60" s="8">
        <f>AE59-AE58</f>
        <v>14.998333333333335</v>
      </c>
      <c r="BN60" s="107"/>
      <c r="BO60" s="99"/>
    </row>
    <row r="61" spans="1:67" customFormat="1" ht="17.25" customHeight="1" thickTop="1" thickBot="1" x14ac:dyDescent="0.3">
      <c r="A61" s="99"/>
      <c r="B61" s="99"/>
      <c r="C61" s="144"/>
      <c r="D61" s="144"/>
      <c r="E61" s="144"/>
      <c r="F61" s="491"/>
      <c r="G61" s="491"/>
      <c r="H61" s="491"/>
      <c r="I61" s="656"/>
      <c r="J61" s="657"/>
      <c r="K61" s="657"/>
      <c r="L61" s="904"/>
      <c r="M61" s="573">
        <v>11</v>
      </c>
      <c r="N61" s="574"/>
      <c r="O61" s="911"/>
      <c r="P61" s="912" t="s">
        <v>5</v>
      </c>
      <c r="Q61" s="638" t="s">
        <v>142</v>
      </c>
      <c r="R61" s="913"/>
      <c r="S61" s="913"/>
      <c r="T61" s="914"/>
      <c r="U61" s="344" t="str" cm="1">
        <f t="array" ref="U61">angleDecimal2Txt((AE59))</f>
        <v>+344°03.79 (+344.0633) [+344°03'48.00]</v>
      </c>
      <c r="V61" s="514"/>
      <c r="W61" s="514"/>
      <c r="X61" s="514"/>
      <c r="Y61" s="514"/>
      <c r="AA61" s="99"/>
      <c r="AB61" s="146"/>
      <c r="AC61" s="6" t="s">
        <v>341</v>
      </c>
      <c r="AD61" s="8">
        <f>M61-M59</f>
        <v>1</v>
      </c>
      <c r="AE61" s="99"/>
      <c r="BN61" s="107"/>
      <c r="BO61" s="99"/>
    </row>
    <row r="62" spans="1:67" customFormat="1" ht="17.25" customHeight="1" thickTop="1" thickBot="1" x14ac:dyDescent="0.3">
      <c r="A62" s="99"/>
      <c r="B62" s="99"/>
      <c r="C62" s="144"/>
      <c r="D62" s="144"/>
      <c r="E62" s="144"/>
      <c r="F62" s="491"/>
      <c r="G62" s="491"/>
      <c r="H62" s="491"/>
      <c r="I62" s="656"/>
      <c r="J62" s="657"/>
      <c r="K62" s="657"/>
      <c r="L62" s="904"/>
      <c r="M62" s="488"/>
      <c r="N62" s="489"/>
      <c r="O62" s="613"/>
      <c r="P62" s="422"/>
      <c r="Q62" s="908"/>
      <c r="R62" s="909"/>
      <c r="S62" s="909"/>
      <c r="T62" s="910"/>
      <c r="U62" s="514"/>
      <c r="V62" s="514"/>
      <c r="W62" s="514"/>
      <c r="X62" s="514"/>
      <c r="Y62" s="514"/>
      <c r="AA62" s="99"/>
      <c r="AB62" s="146"/>
      <c r="AC62" s="6" t="s">
        <v>46</v>
      </c>
      <c r="AD62" s="8">
        <f>I59-M59</f>
        <v>-0.16638888888888914</v>
      </c>
      <c r="BN62" s="107"/>
      <c r="BO62" s="99"/>
    </row>
    <row r="63" spans="1:67" customFormat="1" ht="17.25" customHeight="1" thickTop="1" thickBot="1" x14ac:dyDescent="0.3">
      <c r="A63" s="99"/>
      <c r="B63" s="99"/>
      <c r="C63" s="144"/>
      <c r="D63" s="144"/>
      <c r="E63" s="144"/>
      <c r="F63" s="358">
        <f>AC64</f>
        <v>0</v>
      </c>
      <c r="G63" s="359"/>
      <c r="H63" s="359"/>
      <c r="I63" s="359"/>
      <c r="J63" s="359"/>
      <c r="K63" s="360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AA63" s="97"/>
      <c r="AB63" s="146"/>
      <c r="AC63" s="6" t="s">
        <v>44</v>
      </c>
      <c r="AD63" s="6">
        <f>AE58+(AD60/AD61)*AD62</f>
        <v>326.56944398148147</v>
      </c>
      <c r="BN63" s="107"/>
      <c r="BO63" s="99"/>
    </row>
    <row r="64" spans="1:67" customFormat="1" ht="17.25" customHeight="1" thickTop="1" x14ac:dyDescent="0.25">
      <c r="A64" s="99"/>
      <c r="B64" s="99"/>
      <c r="C64" s="117" t="s">
        <v>16</v>
      </c>
      <c r="D64" s="117"/>
      <c r="E64" s="118"/>
      <c r="F64" s="118"/>
      <c r="G64" s="97"/>
      <c r="H64" s="97"/>
      <c r="I64" s="97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AA64" s="97"/>
      <c r="AB64" s="146"/>
      <c r="BN64" s="107"/>
      <c r="BO64" s="99"/>
    </row>
    <row r="65" spans="1:67" customFormat="1" ht="17.25" customHeight="1" x14ac:dyDescent="0.25">
      <c r="A65" s="99"/>
      <c r="B65" s="99"/>
      <c r="C65" s="97"/>
      <c r="D65" s="97"/>
      <c r="E65" s="97"/>
      <c r="F65" s="380" t="s">
        <v>9</v>
      </c>
      <c r="G65" s="381"/>
      <c r="H65" s="382"/>
      <c r="I65" s="380" t="s">
        <v>12</v>
      </c>
      <c r="J65" s="381"/>
      <c r="K65" s="381"/>
      <c r="L65" s="382"/>
      <c r="M65" s="386" t="s">
        <v>13</v>
      </c>
      <c r="N65" s="387"/>
      <c r="O65" s="388"/>
      <c r="P65" s="372" t="s">
        <v>18</v>
      </c>
      <c r="Q65" s="373"/>
      <c r="R65" s="373"/>
      <c r="S65" s="373"/>
      <c r="T65" s="374"/>
      <c r="U65" s="372" t="s">
        <v>126</v>
      </c>
      <c r="V65" s="373"/>
      <c r="W65" s="373"/>
      <c r="X65" s="373"/>
      <c r="Y65" s="374"/>
      <c r="Z65" s="99"/>
      <c r="AA65" s="97"/>
      <c r="AB65" s="146"/>
      <c r="AC65" s="6" t="s">
        <v>342</v>
      </c>
      <c r="AD65" s="6">
        <f>VLOOKUP(P67,$B$38:$C$39,2)</f>
        <v>1</v>
      </c>
      <c r="BN65" s="107"/>
      <c r="BO65" s="99"/>
    </row>
    <row r="66" spans="1:67" customFormat="1" ht="17.25" customHeight="1" collapsed="1" x14ac:dyDescent="0.25">
      <c r="A66" s="99"/>
      <c r="B66" s="99"/>
      <c r="C66" s="144"/>
      <c r="D66" s="144"/>
      <c r="E66" s="144"/>
      <c r="F66" s="383"/>
      <c r="G66" s="384"/>
      <c r="H66" s="385"/>
      <c r="I66" s="383"/>
      <c r="J66" s="384"/>
      <c r="K66" s="384"/>
      <c r="L66" s="385"/>
      <c r="M66" s="389"/>
      <c r="N66" s="390"/>
      <c r="O66" s="391"/>
      <c r="P66" s="902"/>
      <c r="Q66" s="376"/>
      <c r="R66" s="376"/>
      <c r="S66" s="376"/>
      <c r="T66" s="377"/>
      <c r="U66" s="902"/>
      <c r="V66" s="376"/>
      <c r="W66" s="376"/>
      <c r="X66" s="376"/>
      <c r="Y66" s="377"/>
      <c r="Z66" s="97"/>
      <c r="AA66" s="97"/>
      <c r="AB66" s="146"/>
      <c r="AC66" s="6" t="s">
        <v>343</v>
      </c>
      <c r="AD66" s="6" cm="1">
        <f t="array" ref="AD66">angleConvert2Decimal(Q67)*AD65</f>
        <v>176.49</v>
      </c>
      <c r="BN66" s="107"/>
      <c r="BO66" s="99"/>
    </row>
    <row r="67" spans="1:67" customFormat="1" ht="17.25" customHeight="1" x14ac:dyDescent="0.25">
      <c r="A67" s="99"/>
      <c r="B67" s="99"/>
      <c r="C67" s="144"/>
      <c r="D67" s="144"/>
      <c r="E67" s="99"/>
      <c r="F67" s="490">
        <f>IF(G55=AD56,AD69,"---")</f>
        <v>324.01383388888894</v>
      </c>
      <c r="G67" s="490"/>
      <c r="H67" s="490"/>
      <c r="I67" s="486">
        <f>E11</f>
        <v>9.8336111111111109</v>
      </c>
      <c r="J67" s="487"/>
      <c r="K67" s="487"/>
      <c r="L67" s="903"/>
      <c r="M67" s="486">
        <v>0</v>
      </c>
      <c r="N67" s="487"/>
      <c r="O67" s="903"/>
      <c r="P67" s="905" t="s">
        <v>5</v>
      </c>
      <c r="Q67" s="906" t="s">
        <v>228</v>
      </c>
      <c r="R67" s="635"/>
      <c r="S67" s="635"/>
      <c r="T67" s="915"/>
      <c r="U67" s="905" t="s">
        <v>5</v>
      </c>
      <c r="V67" s="906" t="s">
        <v>174</v>
      </c>
      <c r="W67" s="635"/>
      <c r="X67" s="635"/>
      <c r="Y67" s="915"/>
      <c r="Z67" s="97"/>
      <c r="AA67" s="99"/>
      <c r="AB67" s="146"/>
      <c r="AC67" s="6" t="s">
        <v>344</v>
      </c>
      <c r="AD67" s="6">
        <f>VLOOKUP(U67,$B$38:$C$39,2)</f>
        <v>1</v>
      </c>
      <c r="BN67" s="107"/>
      <c r="BO67" s="99"/>
    </row>
    <row r="68" spans="1:67" customFormat="1" ht="17.25" customHeight="1" thickBot="1" x14ac:dyDescent="0.3">
      <c r="A68" s="99"/>
      <c r="B68" s="99"/>
      <c r="C68" s="144"/>
      <c r="D68" s="144"/>
      <c r="E68" s="144"/>
      <c r="F68" s="491"/>
      <c r="G68" s="491"/>
      <c r="H68" s="491"/>
      <c r="I68" s="656"/>
      <c r="J68" s="657"/>
      <c r="K68" s="657"/>
      <c r="L68" s="904"/>
      <c r="M68" s="488"/>
      <c r="N68" s="489"/>
      <c r="O68" s="613"/>
      <c r="P68" s="918"/>
      <c r="Q68" s="916"/>
      <c r="R68" s="636"/>
      <c r="S68" s="636"/>
      <c r="T68" s="917"/>
      <c r="U68" s="918"/>
      <c r="V68" s="916"/>
      <c r="W68" s="636"/>
      <c r="X68" s="636"/>
      <c r="Y68" s="917"/>
      <c r="Z68" s="97"/>
      <c r="AA68" s="99"/>
      <c r="AB68" s="146"/>
      <c r="AC68" s="6" t="s">
        <v>345</v>
      </c>
      <c r="AD68" s="6" cm="1">
        <f t="array" ref="AD68">angleConvert2Decimal(V67)*AD67</f>
        <v>15.002000000000001</v>
      </c>
      <c r="BN68" s="107"/>
      <c r="BO68" s="99"/>
    </row>
    <row r="69" spans="1:67" customFormat="1" ht="17.25" customHeight="1" thickTop="1" thickBot="1" x14ac:dyDescent="0.3">
      <c r="A69" s="99"/>
      <c r="B69" s="99"/>
      <c r="C69" s="144"/>
      <c r="D69" s="144"/>
      <c r="E69" s="144"/>
      <c r="F69" s="346" t="str" cm="1">
        <f t="array" ref="F69">angleDecimal2Txt(F67)</f>
        <v>+324°00.83 (+324.0138) [+324°00'49.80]</v>
      </c>
      <c r="G69" s="346"/>
      <c r="H69" s="346"/>
      <c r="I69" s="346"/>
      <c r="J69" s="346"/>
      <c r="K69" s="346"/>
      <c r="L69" s="99"/>
      <c r="M69" s="99"/>
      <c r="N69" s="99"/>
      <c r="O69" s="99"/>
      <c r="P69" s="346" t="str" cm="1">
        <f t="array" ref="P69">angleDecimal2Txt(AD66)</f>
        <v>+176°29.39 (+176.4900) [+176°29'24.00]</v>
      </c>
      <c r="Q69" s="346"/>
      <c r="R69" s="346"/>
      <c r="S69" s="346"/>
      <c r="T69" s="346"/>
      <c r="U69" s="346" t="str" cm="1">
        <f t="array" ref="U69">angleDecimal2Txt(AD68)</f>
        <v>+15°00.12 (+15.0020) [+15°00'07.20]</v>
      </c>
      <c r="V69" s="566"/>
      <c r="W69" s="566"/>
      <c r="X69" s="566"/>
      <c r="Y69" s="566"/>
      <c r="Z69" s="99"/>
      <c r="AA69" s="99"/>
      <c r="AB69" s="146"/>
      <c r="AC69" s="6" t="s">
        <v>346</v>
      </c>
      <c r="AD69" s="6">
        <f>AD66+AD68*(I67-M67)</f>
        <v>324.01383388888894</v>
      </c>
      <c r="BN69" s="107"/>
      <c r="BO69" s="99"/>
    </row>
    <row r="70" spans="1:67" customFormat="1" ht="17.25" customHeight="1" thickTop="1" x14ac:dyDescent="0.25">
      <c r="A70" s="99"/>
      <c r="B70" s="99"/>
      <c r="C70" s="144"/>
      <c r="D70" s="144"/>
      <c r="E70" s="144"/>
      <c r="F70" s="144"/>
      <c r="G70" s="144"/>
      <c r="H70" s="99"/>
      <c r="I70" s="99"/>
      <c r="J70" s="99"/>
      <c r="K70" s="99"/>
      <c r="L70" s="99"/>
      <c r="M70" s="99"/>
      <c r="N70" s="99"/>
      <c r="O70" s="99"/>
      <c r="P70" s="99"/>
      <c r="Q70" s="99"/>
      <c r="R70" s="99"/>
      <c r="S70" s="97"/>
      <c r="T70" s="97"/>
      <c r="U70" s="97"/>
      <c r="V70" s="97"/>
      <c r="W70" s="97"/>
      <c r="X70" s="97"/>
      <c r="Y70" s="99"/>
      <c r="Z70" s="99"/>
      <c r="AA70" s="99"/>
      <c r="AB70" s="146"/>
      <c r="BN70" s="107"/>
      <c r="BO70" s="99"/>
    </row>
    <row r="71" spans="1:67" customFormat="1" ht="17.25" customHeight="1" x14ac:dyDescent="0.25">
      <c r="A71" s="99"/>
      <c r="B71" s="99"/>
      <c r="C71" s="144"/>
      <c r="D71" s="144"/>
      <c r="E71" s="144"/>
      <c r="F71" s="144"/>
      <c r="G71" s="144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7"/>
      <c r="T71" s="97"/>
      <c r="U71" s="97"/>
      <c r="V71" s="97"/>
      <c r="W71" s="97"/>
      <c r="X71" s="99"/>
      <c r="Y71" s="99"/>
      <c r="Z71" s="99"/>
      <c r="AA71" s="99"/>
      <c r="AB71" s="146"/>
      <c r="BN71" s="107"/>
      <c r="BO71" s="99"/>
    </row>
    <row r="72" spans="1:67" customFormat="1" ht="17.25" customHeight="1" thickBot="1" x14ac:dyDescent="0.3">
      <c r="A72" s="99"/>
      <c r="B72" s="99"/>
      <c r="C72" s="144"/>
      <c r="D72" s="144"/>
      <c r="E72" s="144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9"/>
      <c r="AB72" s="146"/>
      <c r="AI72" s="41"/>
      <c r="BN72" s="107"/>
      <c r="BO72" s="99"/>
    </row>
    <row r="73" spans="1:67" s="97" customFormat="1" ht="17.25" customHeight="1" thickBot="1" x14ac:dyDescent="0.3">
      <c r="A73" s="99"/>
      <c r="B73" s="108" t="s">
        <v>51</v>
      </c>
      <c r="C73" s="109"/>
      <c r="D73" s="109"/>
      <c r="E73" s="109"/>
      <c r="F73" s="416">
        <f>I74</f>
        <v>349.23883388888891</v>
      </c>
      <c r="G73" s="416"/>
      <c r="H73" s="416"/>
      <c r="I73" s="109"/>
      <c r="J73" s="584" t="s">
        <v>83</v>
      </c>
      <c r="K73" s="584"/>
      <c r="L73" s="584"/>
      <c r="M73" s="493" t="str">
        <f>J22</f>
        <v>Etoile</v>
      </c>
      <c r="N73" s="493"/>
      <c r="O73" s="493"/>
      <c r="P73" s="109"/>
      <c r="Q73" s="109"/>
      <c r="R73" s="109"/>
      <c r="S73" s="109"/>
      <c r="T73" s="109"/>
      <c r="U73" s="109"/>
      <c r="V73" s="109"/>
      <c r="W73" s="109"/>
      <c r="X73" s="109"/>
      <c r="Y73" s="109"/>
      <c r="Z73" s="109"/>
      <c r="AA73" s="109"/>
      <c r="AB73" s="149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14"/>
    </row>
    <row r="74" spans="1:67" ht="17.25" customHeight="1" thickBot="1" x14ac:dyDescent="0.3">
      <c r="C74" s="617" t="s">
        <v>23</v>
      </c>
      <c r="D74" s="617"/>
      <c r="E74" s="617"/>
      <c r="F74" s="617"/>
      <c r="G74" s="617"/>
      <c r="H74" s="618"/>
      <c r="I74" s="632">
        <f>AD75</f>
        <v>349.23883388888891</v>
      </c>
      <c r="J74" s="633"/>
      <c r="K74" s="633"/>
      <c r="L74" s="634"/>
      <c r="M74" s="119" t="s">
        <v>53</v>
      </c>
      <c r="N74" s="470">
        <f>AD74</f>
        <v>349.23883388888891</v>
      </c>
      <c r="O74" s="470"/>
      <c r="P74" s="470"/>
      <c r="Q74" s="470"/>
      <c r="AC74" s="6" t="s">
        <v>348</v>
      </c>
      <c r="AD74" s="8">
        <f>F54+F41+F50</f>
        <v>349.23883388888891</v>
      </c>
    </row>
    <row r="75" spans="1:67" ht="17.25" customHeight="1" thickTop="1" thickBot="1" x14ac:dyDescent="0.3">
      <c r="A75" s="97"/>
      <c r="C75" s="97"/>
      <c r="D75" s="97"/>
      <c r="E75" s="97"/>
      <c r="F75" s="97"/>
      <c r="G75" s="97"/>
      <c r="H75" s="97"/>
      <c r="I75" s="566">
        <f>AC76</f>
        <v>0</v>
      </c>
      <c r="J75" s="566"/>
      <c r="K75" s="566"/>
      <c r="L75" s="566"/>
      <c r="M75" s="566"/>
      <c r="N75" s="566"/>
      <c r="AB75" s="151"/>
      <c r="AC75" s="6" t="s">
        <v>349</v>
      </c>
      <c r="AD75" s="8">
        <f>MOD(AD74,360)</f>
        <v>349.23883388888891</v>
      </c>
    </row>
    <row r="76" spans="1:67" ht="17.25" customHeight="1" thickTop="1" thickBot="1" x14ac:dyDescent="0.3">
      <c r="B76" s="97"/>
      <c r="C76" s="99"/>
      <c r="D76" s="99"/>
      <c r="E76" s="99"/>
      <c r="F76" s="99"/>
      <c r="G76" s="99"/>
      <c r="AA76" s="97"/>
    </row>
    <row r="77" spans="1:67" ht="17.25" customHeight="1" thickBot="1" x14ac:dyDescent="0.3">
      <c r="B77" s="108" t="s">
        <v>25</v>
      </c>
      <c r="C77" s="109"/>
      <c r="D77" s="588" t="s">
        <v>100</v>
      </c>
      <c r="E77" s="592"/>
      <c r="F77" s="416">
        <f>IF(G78=AD78,O115,O107)</f>
        <v>9.1383333333333372</v>
      </c>
      <c r="G77" s="416"/>
      <c r="H77" s="416"/>
      <c r="I77" s="109"/>
      <c r="J77" s="109"/>
      <c r="K77" s="109"/>
      <c r="L77" s="109" t="s">
        <v>88</v>
      </c>
      <c r="M77" s="588">
        <f>O80</f>
        <v>8.9666666666666703</v>
      </c>
      <c r="N77" s="588"/>
      <c r="O77" s="109"/>
      <c r="P77" s="145"/>
      <c r="Q77" s="109" t="s">
        <v>127</v>
      </c>
      <c r="R77" s="109"/>
      <c r="S77" s="569">
        <f>-O94+O89+O98</f>
        <v>-9.9381306065384825E-2</v>
      </c>
      <c r="T77" s="570"/>
      <c r="U77" s="571"/>
      <c r="V77" s="572" t="str" cm="1">
        <f t="array" ref="V77">angleDecimal2Txt(S77)</f>
        <v>-00°05.96 (-00.0993) [-00°05'57.77]</v>
      </c>
      <c r="W77" s="572"/>
      <c r="X77" s="572"/>
      <c r="Y77" s="572"/>
      <c r="Z77" s="572"/>
      <c r="AA77" s="109"/>
      <c r="AB77" s="149"/>
    </row>
    <row r="78" spans="1:67" ht="17.25" customHeight="1" x14ac:dyDescent="0.25">
      <c r="C78" s="414" t="s">
        <v>42</v>
      </c>
      <c r="D78" s="414"/>
      <c r="E78" s="414"/>
      <c r="F78" s="414"/>
      <c r="G78" s="585" t="s">
        <v>58</v>
      </c>
      <c r="H78" s="585"/>
      <c r="I78" s="585"/>
      <c r="P78" s="99" t="s">
        <v>97</v>
      </c>
      <c r="V78" s="97"/>
      <c r="W78" s="97"/>
      <c r="X78" s="97"/>
      <c r="Y78" s="97"/>
      <c r="Z78" s="97"/>
      <c r="AC78" s="616" t="s">
        <v>43</v>
      </c>
      <c r="AD78" s="153" t="s">
        <v>58</v>
      </c>
    </row>
    <row r="79" spans="1:67" ht="17.25" customHeight="1" thickBot="1" x14ac:dyDescent="0.3">
      <c r="C79" s="116"/>
      <c r="D79" s="116"/>
      <c r="E79" s="116"/>
      <c r="F79" s="475" t="s">
        <v>90</v>
      </c>
      <c r="G79" s="475"/>
      <c r="H79" s="586"/>
      <c r="I79" s="586"/>
      <c r="J79" s="568" t="str">
        <f>IF(G78=AD78,"---",O107)</f>
        <v>---</v>
      </c>
      <c r="K79" s="568"/>
      <c r="L79" s="568"/>
      <c r="V79" s="97"/>
      <c r="W79" s="97"/>
      <c r="X79" s="97"/>
      <c r="Y79" s="97"/>
      <c r="Z79" s="97"/>
      <c r="AC79" s="616"/>
      <c r="AD79" s="153" t="s">
        <v>59</v>
      </c>
    </row>
    <row r="80" spans="1:67" ht="17.25" customHeight="1" thickTop="1" thickBot="1" x14ac:dyDescent="0.3">
      <c r="C80" s="99"/>
      <c r="D80" s="99"/>
      <c r="E80" s="99"/>
      <c r="F80" s="99"/>
      <c r="G80" s="99"/>
      <c r="H80" s="452" t="s">
        <v>55</v>
      </c>
      <c r="I80" s="452"/>
      <c r="J80" s="452"/>
      <c r="K80" s="452"/>
      <c r="L80" s="452"/>
      <c r="M80" s="452"/>
      <c r="N80" s="452"/>
      <c r="O80" s="333">
        <f>J21</f>
        <v>8.9666666666666703</v>
      </c>
      <c r="P80" s="333"/>
      <c r="Q80" s="333"/>
      <c r="R80" s="333"/>
      <c r="S80" s="99" t="s">
        <v>71</v>
      </c>
      <c r="U80" s="346" t="str" cm="1">
        <f t="array" ref="U80">angleDecimal2Txt(O80)</f>
        <v>+08°58.00 (+08.9666) [+08°58'00.00]</v>
      </c>
      <c r="V80" s="346"/>
      <c r="W80" s="346"/>
      <c r="X80" s="346"/>
      <c r="Y80" s="346"/>
      <c r="Z80" s="346"/>
    </row>
    <row r="81" spans="1:67" ht="17.25" customHeight="1" thickTop="1" thickBot="1" x14ac:dyDescent="0.3">
      <c r="C81" s="99"/>
      <c r="D81" s="99"/>
      <c r="E81" s="99"/>
      <c r="F81" s="99"/>
      <c r="G81" s="99"/>
      <c r="H81" s="452" t="s">
        <v>26</v>
      </c>
      <c r="I81" s="452"/>
      <c r="J81" s="452"/>
      <c r="K81" s="452"/>
      <c r="L81" s="452"/>
      <c r="M81" s="452"/>
      <c r="N81" s="452"/>
      <c r="O81" s="333">
        <f>J20</f>
        <v>0</v>
      </c>
      <c r="P81" s="333"/>
      <c r="Q81" s="333"/>
      <c r="R81" s="333"/>
      <c r="S81" s="99" t="s">
        <v>71</v>
      </c>
      <c r="U81" s="346" t="str" cm="1">
        <f t="array" ref="U81">angleDecimal2Txt(O81)</f>
        <v>+00°00.00 (+00.0000) [+00°00'00.00]</v>
      </c>
      <c r="V81" s="346"/>
      <c r="W81" s="346"/>
      <c r="X81" s="346"/>
      <c r="Y81" s="346"/>
      <c r="Z81" s="346"/>
      <c r="AC81" s="6" t="s">
        <v>87</v>
      </c>
      <c r="AD81" s="8">
        <f>O81</f>
        <v>0</v>
      </c>
    </row>
    <row r="82" spans="1:67" ht="17.25" customHeight="1" thickTop="1" thickBot="1" x14ac:dyDescent="0.3">
      <c r="G82" s="99"/>
      <c r="H82" s="480" t="s">
        <v>96</v>
      </c>
      <c r="I82" s="480"/>
      <c r="J82" s="480"/>
      <c r="K82" s="480"/>
      <c r="L82" s="480"/>
      <c r="M82" s="480"/>
      <c r="N82" s="480"/>
      <c r="O82" s="342">
        <f>AD83</f>
        <v>0</v>
      </c>
      <c r="P82" s="342"/>
      <c r="Q82" s="342"/>
      <c r="R82" s="342"/>
      <c r="S82" s="99" t="s">
        <v>71</v>
      </c>
      <c r="U82" s="346" t="str" cm="1">
        <f t="array" ref="U82">angleDecimal2Txt(O82)</f>
        <v>+00°00.00 (+00.0000) [+00°00'00.00]</v>
      </c>
      <c r="V82" s="346"/>
      <c r="W82" s="346"/>
      <c r="X82" s="346"/>
      <c r="Y82" s="346"/>
      <c r="Z82" s="346"/>
      <c r="AC82" s="6" t="s">
        <v>54</v>
      </c>
      <c r="AD82" s="6">
        <f>J19</f>
        <v>0</v>
      </c>
    </row>
    <row r="83" spans="1:67" ht="17.25" customHeight="1" thickTop="1" thickBot="1" x14ac:dyDescent="0.3">
      <c r="K83" s="97"/>
      <c r="L83" s="97"/>
      <c r="M83" s="598" t="s">
        <v>178</v>
      </c>
      <c r="N83" s="598"/>
      <c r="O83" s="598"/>
      <c r="P83" s="598"/>
      <c r="Q83" s="97"/>
      <c r="R83" s="97"/>
      <c r="U83" s="97"/>
      <c r="V83" s="97"/>
      <c r="W83" s="97"/>
      <c r="X83" s="97"/>
      <c r="Y83" s="97"/>
      <c r="Z83" s="97"/>
      <c r="AC83" s="159" t="s">
        <v>95</v>
      </c>
      <c r="AD83" s="6">
        <f>0.0293 * SQRT(AD82)</f>
        <v>0</v>
      </c>
    </row>
    <row r="84" spans="1:67" ht="17.25" customHeight="1" thickTop="1" thickBot="1" x14ac:dyDescent="0.3">
      <c r="G84" s="99"/>
      <c r="H84" s="329" t="s">
        <v>56</v>
      </c>
      <c r="I84" s="329"/>
      <c r="J84" s="329"/>
      <c r="K84" s="329"/>
      <c r="L84" s="329"/>
      <c r="M84" s="329"/>
      <c r="N84" s="329"/>
      <c r="O84" s="492">
        <f>O80-O81-O82</f>
        <v>8.9666666666666703</v>
      </c>
      <c r="P84" s="474"/>
      <c r="Q84" s="99" t="s">
        <v>71</v>
      </c>
      <c r="R84" s="498">
        <f>O84*D129</f>
        <v>0.15649785626215829</v>
      </c>
      <c r="S84" s="498"/>
      <c r="T84" s="120" t="s">
        <v>92</v>
      </c>
      <c r="U84" s="346" t="str" cm="1">
        <f t="array" ref="U84">angleDecimal2Txt(O84)</f>
        <v>+08°58.00 (+08.9666) [+08°58'00.00]</v>
      </c>
      <c r="V84" s="346"/>
      <c r="W84" s="346"/>
      <c r="X84" s="346"/>
      <c r="Y84" s="346"/>
      <c r="Z84" s="346"/>
    </row>
    <row r="85" spans="1:67" ht="17.25" customHeight="1" thickTop="1" x14ac:dyDescent="0.25">
      <c r="C85" s="99"/>
      <c r="D85" s="99"/>
      <c r="E85" s="99"/>
      <c r="F85" s="99"/>
      <c r="G85" s="99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U85" s="97"/>
      <c r="V85" s="97"/>
      <c r="W85" s="97"/>
      <c r="X85" s="97"/>
      <c r="Y85" s="97"/>
      <c r="Z85" s="97"/>
    </row>
    <row r="86" spans="1:67" ht="17.25" customHeight="1" x14ac:dyDescent="0.25">
      <c r="G86" s="99"/>
      <c r="H86" s="97"/>
      <c r="I86" s="97"/>
      <c r="J86" s="97"/>
      <c r="K86" s="97"/>
      <c r="L86" s="97"/>
      <c r="M86" s="494" t="s">
        <v>89</v>
      </c>
      <c r="N86" s="494"/>
      <c r="O86" s="494"/>
      <c r="P86" s="494"/>
      <c r="Q86" s="97"/>
      <c r="R86" s="97"/>
      <c r="U86" s="97"/>
      <c r="V86" s="97"/>
      <c r="W86" s="97"/>
      <c r="X86" s="97"/>
      <c r="Y86" s="97"/>
      <c r="Z86" s="97"/>
    </row>
    <row r="87" spans="1:67" ht="17.25" customHeight="1" thickBot="1" x14ac:dyDescent="0.3">
      <c r="C87" s="99"/>
      <c r="D87" s="99"/>
      <c r="E87" s="99"/>
      <c r="F87" s="99"/>
      <c r="G87" s="99"/>
      <c r="M87" s="495" t="s">
        <v>243</v>
      </c>
      <c r="N87" s="495"/>
      <c r="O87" s="494"/>
      <c r="P87" s="494"/>
    </row>
    <row r="88" spans="1:67" ht="17.25" customHeight="1" thickTop="1" thickBot="1" x14ac:dyDescent="0.3">
      <c r="A88" s="97"/>
      <c r="B88" s="97"/>
      <c r="C88" s="97"/>
      <c r="D88" s="97"/>
      <c r="E88" s="97"/>
      <c r="F88" s="99"/>
      <c r="G88" s="99"/>
      <c r="H88" s="342" t="s">
        <v>60</v>
      </c>
      <c r="I88" s="342"/>
      <c r="J88" s="342"/>
      <c r="K88" s="342"/>
      <c r="L88" s="342"/>
      <c r="M88" s="342"/>
      <c r="N88" s="342"/>
      <c r="O88" s="496">
        <f>J24</f>
        <v>0</v>
      </c>
      <c r="P88" s="497"/>
      <c r="Q88" s="497"/>
      <c r="R88" s="497"/>
      <c r="S88" s="99" t="s">
        <v>71</v>
      </c>
      <c r="U88" s="346" t="str" cm="1">
        <f t="array" ref="U88">angleDecimal2Txt(O88)</f>
        <v>+00°00.00 (+00.0000) [+00°00'00.00]</v>
      </c>
      <c r="V88" s="346"/>
      <c r="W88" s="346"/>
      <c r="X88" s="346"/>
      <c r="Y88" s="346"/>
      <c r="Z88" s="346"/>
      <c r="AC88" s="6" t="s">
        <v>350</v>
      </c>
      <c r="AD88" s="6">
        <f>O88*COS(R84)</f>
        <v>0</v>
      </c>
    </row>
    <row r="89" spans="1:67" customFormat="1" ht="17.25" customHeight="1" thickTop="1" thickBot="1" x14ac:dyDescent="0.3">
      <c r="A89" s="97"/>
      <c r="B89" s="97"/>
      <c r="C89" s="97"/>
      <c r="D89" s="97"/>
      <c r="E89" s="97"/>
      <c r="F89" s="99"/>
      <c r="G89" s="99"/>
      <c r="H89" s="462" t="s">
        <v>244</v>
      </c>
      <c r="I89" s="463"/>
      <c r="J89" s="463"/>
      <c r="K89" s="463"/>
      <c r="L89" s="463"/>
      <c r="M89" s="463"/>
      <c r="N89" s="464"/>
      <c r="O89" s="334">
        <f>AD88</f>
        <v>0</v>
      </c>
      <c r="P89" s="334"/>
      <c r="Q89" s="334"/>
      <c r="R89" s="334"/>
      <c r="S89" s="99" t="s">
        <v>71</v>
      </c>
      <c r="T89" s="99"/>
      <c r="U89" s="346" t="str" cm="1">
        <f t="array" ref="U89">angleDecimal2Txt(O89)</f>
        <v>+00°00.00 (+00.0000) [+00°00'00.00]</v>
      </c>
      <c r="V89" s="346"/>
      <c r="W89" s="346"/>
      <c r="X89" s="346"/>
      <c r="Y89" s="346"/>
      <c r="Z89" s="346"/>
      <c r="AA89" s="99"/>
      <c r="AB89" s="146"/>
      <c r="BN89" s="107"/>
      <c r="BO89" s="99"/>
    </row>
    <row r="90" spans="1:67" customFormat="1" ht="17.25" customHeight="1" thickTop="1" x14ac:dyDescent="0.25">
      <c r="A90" s="97"/>
      <c r="B90" s="97"/>
      <c r="C90" s="97"/>
      <c r="D90" s="97"/>
      <c r="E90" s="97"/>
      <c r="F90" s="99"/>
      <c r="G90" s="99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9"/>
      <c r="AB90" s="146"/>
      <c r="BN90" s="107"/>
      <c r="BO90" s="99"/>
    </row>
    <row r="91" spans="1:67" customFormat="1" ht="17.25" customHeight="1" x14ac:dyDescent="0.25">
      <c r="A91" s="97"/>
      <c r="B91" s="97"/>
      <c r="C91" s="97"/>
      <c r="D91" s="97"/>
      <c r="E91" s="144"/>
      <c r="F91" s="99"/>
      <c r="G91" s="99"/>
      <c r="H91" s="97"/>
      <c r="I91" s="97"/>
      <c r="J91" s="97"/>
      <c r="K91" s="97"/>
      <c r="L91" s="97"/>
      <c r="M91" s="97"/>
      <c r="N91" s="97"/>
      <c r="O91" s="97"/>
      <c r="P91" s="99"/>
      <c r="Q91" s="99"/>
      <c r="R91" s="99"/>
      <c r="S91" s="505" t="s">
        <v>195</v>
      </c>
      <c r="T91" s="506"/>
      <c r="U91" s="507"/>
      <c r="V91" s="99"/>
      <c r="W91" s="99"/>
      <c r="X91" s="99"/>
      <c r="Y91" s="97"/>
      <c r="Z91" s="97"/>
      <c r="AA91" s="99"/>
      <c r="AB91" s="146"/>
      <c r="AC91" s="6" t="s">
        <v>57</v>
      </c>
      <c r="AD91" s="6" t="s">
        <v>352</v>
      </c>
      <c r="BN91" s="107"/>
      <c r="BO91" s="99"/>
    </row>
    <row r="92" spans="1:67" customFormat="1" ht="17.25" customHeight="1" x14ac:dyDescent="0.25">
      <c r="A92" s="97"/>
      <c r="B92" s="97"/>
      <c r="C92" s="97"/>
      <c r="D92" s="97"/>
      <c r="E92" s="144"/>
      <c r="F92" s="99"/>
      <c r="G92" s="99"/>
      <c r="H92" s="342" t="s">
        <v>93</v>
      </c>
      <c r="I92" s="342"/>
      <c r="J92" s="342"/>
      <c r="K92" s="342"/>
      <c r="L92" s="342"/>
      <c r="M92" s="342"/>
      <c r="N92" s="342"/>
      <c r="O92" s="465">
        <f>S92</f>
        <v>10</v>
      </c>
      <c r="P92" s="466"/>
      <c r="Q92" s="466"/>
      <c r="R92" s="466"/>
      <c r="S92" s="595">
        <v>10</v>
      </c>
      <c r="T92" s="596"/>
      <c r="U92" s="597"/>
      <c r="V92" s="99"/>
      <c r="W92" s="99"/>
      <c r="X92" s="99"/>
      <c r="Y92" s="97"/>
      <c r="Z92" s="97"/>
      <c r="AA92" s="99"/>
      <c r="AB92" s="146"/>
      <c r="AC92" s="6" t="s">
        <v>353</v>
      </c>
      <c r="AD92" s="6">
        <f>1/TAN((O84 + 7.31 / (O84 + 4.4)) * D129)</f>
        <v>5.9670953924690036</v>
      </c>
      <c r="BN92" s="107"/>
      <c r="BO92" s="99"/>
    </row>
    <row r="93" spans="1:67" customFormat="1" ht="17.25" customHeight="1" thickBot="1" x14ac:dyDescent="0.3">
      <c r="A93" s="97"/>
      <c r="B93" s="97"/>
      <c r="C93" s="97"/>
      <c r="D93" s="97"/>
      <c r="E93" s="97"/>
      <c r="F93" s="99"/>
      <c r="G93" s="99"/>
      <c r="H93" s="342" t="s">
        <v>94</v>
      </c>
      <c r="I93" s="342"/>
      <c r="J93" s="342"/>
      <c r="K93" s="342"/>
      <c r="L93" s="342"/>
      <c r="M93" s="342"/>
      <c r="N93" s="342"/>
      <c r="O93" s="465">
        <f>S93</f>
        <v>1010</v>
      </c>
      <c r="P93" s="466"/>
      <c r="Q93" s="466"/>
      <c r="R93" s="466"/>
      <c r="S93" s="595">
        <v>1010</v>
      </c>
      <c r="T93" s="596"/>
      <c r="U93" s="597"/>
      <c r="V93" s="99"/>
      <c r="W93" s="99"/>
      <c r="X93" s="99"/>
      <c r="Y93" s="97"/>
      <c r="Z93" s="97"/>
      <c r="AA93" s="99"/>
      <c r="AB93" s="146"/>
      <c r="AC93" s="6" t="s">
        <v>354</v>
      </c>
      <c r="AD93" s="6">
        <f>AD92/60</f>
        <v>9.9451589874483395E-2</v>
      </c>
      <c r="BN93" s="107"/>
      <c r="BO93" s="99"/>
    </row>
    <row r="94" spans="1:67" customFormat="1" ht="17.25" customHeight="1" thickTop="1" thickBot="1" x14ac:dyDescent="0.3">
      <c r="A94" s="97"/>
      <c r="B94" s="97"/>
      <c r="C94" s="97"/>
      <c r="D94" s="97"/>
      <c r="E94" s="97"/>
      <c r="F94" s="99"/>
      <c r="G94" s="99"/>
      <c r="H94" s="462" t="s">
        <v>245</v>
      </c>
      <c r="I94" s="463"/>
      <c r="J94" s="463"/>
      <c r="K94" s="463"/>
      <c r="L94" s="463"/>
      <c r="M94" s="463"/>
      <c r="N94" s="464"/>
      <c r="O94" s="334">
        <f>AD95</f>
        <v>9.9381306065384825E-2</v>
      </c>
      <c r="P94" s="334"/>
      <c r="Q94" s="334"/>
      <c r="R94" s="334"/>
      <c r="S94" s="99" t="s">
        <v>71</v>
      </c>
      <c r="T94" s="99"/>
      <c r="U94" s="346" t="str" cm="1">
        <f t="array" ref="U94">angleDecimal2Txt(O94)</f>
        <v>+00°05.96 (+00.0993) [+00°05'57.77]</v>
      </c>
      <c r="V94" s="346"/>
      <c r="W94" s="346"/>
      <c r="X94" s="346"/>
      <c r="Y94" s="346"/>
      <c r="Z94" s="346"/>
      <c r="AA94" s="99"/>
      <c r="AB94" s="146"/>
      <c r="AC94" s="6" t="s">
        <v>128</v>
      </c>
      <c r="AD94" s="6">
        <f xml:space="preserve"> 0.28 * O93 / (273 + O92)</f>
        <v>0.99929328621908131</v>
      </c>
      <c r="BN94" s="107"/>
      <c r="BO94" s="99"/>
    </row>
    <row r="95" spans="1:67" customFormat="1" ht="17.25" customHeight="1" thickTop="1" x14ac:dyDescent="0.25">
      <c r="A95" s="97"/>
      <c r="B95" s="97"/>
      <c r="C95" s="97"/>
      <c r="D95" s="97"/>
      <c r="E95" s="97"/>
      <c r="F95" s="99"/>
      <c r="G95" s="99"/>
      <c r="H95" s="97"/>
      <c r="I95" s="97"/>
      <c r="J95" s="97"/>
      <c r="K95" s="97"/>
      <c r="L95" s="97"/>
      <c r="M95" s="97"/>
      <c r="N95" s="97"/>
      <c r="O95" s="97"/>
      <c r="P95" s="99"/>
      <c r="Q95" s="99"/>
      <c r="R95" s="99"/>
      <c r="S95" s="99"/>
      <c r="T95" s="99"/>
      <c r="U95" s="99"/>
      <c r="V95" s="99"/>
      <c r="W95" s="99"/>
      <c r="X95" s="99"/>
      <c r="Y95" s="97"/>
      <c r="Z95" s="97"/>
      <c r="AA95" s="99"/>
      <c r="AB95" s="146"/>
      <c r="AC95" s="6" t="s">
        <v>351</v>
      </c>
      <c r="AD95" s="6">
        <f>AD94*AD93</f>
        <v>9.9381306065384825E-2</v>
      </c>
      <c r="BN95" s="107"/>
      <c r="BO95" s="99"/>
    </row>
    <row r="96" spans="1:67" customFormat="1" ht="17.25" customHeight="1" x14ac:dyDescent="0.25">
      <c r="A96" s="97"/>
      <c r="B96" s="97"/>
      <c r="C96" s="97"/>
      <c r="D96" s="97"/>
      <c r="E96" s="97"/>
      <c r="F96" s="99"/>
      <c r="G96" s="99"/>
      <c r="H96" s="342" t="s">
        <v>134</v>
      </c>
      <c r="I96" s="342"/>
      <c r="J96" s="342"/>
      <c r="K96" s="342"/>
      <c r="L96" s="342"/>
      <c r="M96" s="342"/>
      <c r="N96" s="342"/>
      <c r="O96" s="587">
        <f>J28</f>
        <v>0</v>
      </c>
      <c r="P96" s="587"/>
      <c r="Q96" s="587"/>
      <c r="R96" s="587"/>
      <c r="S96" s="99"/>
      <c r="T96" s="99"/>
      <c r="U96" s="99"/>
      <c r="V96" s="99"/>
      <c r="W96" s="99"/>
      <c r="X96" s="99"/>
      <c r="Y96" s="99"/>
      <c r="Z96" s="99"/>
      <c r="AA96" s="99"/>
      <c r="AB96" s="146"/>
      <c r="BN96" s="107"/>
      <c r="BO96" s="99"/>
    </row>
    <row r="97" spans="1:67" customFormat="1" ht="17.25" customHeight="1" thickBot="1" x14ac:dyDescent="0.3">
      <c r="A97" s="99"/>
      <c r="B97" s="97"/>
      <c r="C97" s="97"/>
      <c r="D97" s="97"/>
      <c r="E97" s="144"/>
      <c r="F97" s="144"/>
      <c r="G97" s="144"/>
      <c r="H97" s="342" t="s">
        <v>98</v>
      </c>
      <c r="I97" s="342"/>
      <c r="J97" s="342"/>
      <c r="K97" s="342"/>
      <c r="L97" s="342"/>
      <c r="M97" s="342"/>
      <c r="N97" s="342"/>
      <c r="O97" s="587" t="str">
        <f>J23</f>
        <v>Milieu</v>
      </c>
      <c r="P97" s="587"/>
      <c r="Q97" s="587"/>
      <c r="R97" s="587"/>
      <c r="S97" s="99"/>
      <c r="T97" s="99"/>
      <c r="U97" s="99"/>
      <c r="V97" s="99"/>
      <c r="W97" s="99"/>
      <c r="X97" s="99"/>
      <c r="Y97" s="99"/>
      <c r="Z97" s="99"/>
      <c r="AA97" s="99"/>
      <c r="AB97" s="146"/>
      <c r="AC97" s="6" t="s">
        <v>37</v>
      </c>
      <c r="AD97" s="319" t="str">
        <f>J22</f>
        <v>Etoile</v>
      </c>
      <c r="AE97" s="319"/>
      <c r="BN97" s="107"/>
      <c r="BO97" s="99"/>
    </row>
    <row r="98" spans="1:67" customFormat="1" ht="17.25" customHeight="1" thickTop="1" thickBot="1" x14ac:dyDescent="0.3">
      <c r="A98" s="99"/>
      <c r="B98" s="99"/>
      <c r="C98" s="144"/>
      <c r="D98" s="144"/>
      <c r="E98" s="144"/>
      <c r="F98" s="144"/>
      <c r="G98" s="144"/>
      <c r="H98" s="467" t="s">
        <v>99</v>
      </c>
      <c r="I98" s="468"/>
      <c r="J98" s="468"/>
      <c r="K98" s="468"/>
      <c r="L98" s="468"/>
      <c r="M98" s="468"/>
      <c r="N98" s="469"/>
      <c r="O98" s="470">
        <f>AD101</f>
        <v>0</v>
      </c>
      <c r="P98" s="470"/>
      <c r="Q98" s="470"/>
      <c r="R98" s="470"/>
      <c r="S98" s="99" t="s">
        <v>71</v>
      </c>
      <c r="T98" s="99"/>
      <c r="U98" s="346" t="str" cm="1">
        <f t="array" ref="U98">angleDecimal2Txt(O98)</f>
        <v>+00°00.00 (+00.0000) [+00°00'00.00]</v>
      </c>
      <c r="V98" s="346"/>
      <c r="W98" s="346"/>
      <c r="X98" s="346"/>
      <c r="Y98" s="346"/>
      <c r="Z98" s="346"/>
      <c r="AA98" s="99"/>
      <c r="AB98" s="146"/>
      <c r="AC98" s="6" t="s">
        <v>358</v>
      </c>
      <c r="AD98" s="319" t="str">
        <f>O97</f>
        <v>Milieu</v>
      </c>
      <c r="AE98" s="319"/>
      <c r="BN98" s="107"/>
      <c r="BO98" s="99"/>
    </row>
    <row r="99" spans="1:67" customFormat="1" ht="17.25" customHeight="1" thickTop="1" x14ac:dyDescent="0.25">
      <c r="A99" s="99"/>
      <c r="B99" s="99"/>
      <c r="C99" s="144"/>
      <c r="D99" s="144"/>
      <c r="E99" s="144"/>
      <c r="F99" s="144"/>
      <c r="G99" s="144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9"/>
      <c r="AB99" s="146"/>
      <c r="AC99" s="6" t="s">
        <v>359</v>
      </c>
      <c r="AD99" s="591">
        <f>HLOOKUP(AD98,AD27:AF28,2)</f>
        <v>-0.5</v>
      </c>
      <c r="AE99" s="591"/>
      <c r="BN99" s="107"/>
      <c r="BO99" s="99"/>
    </row>
    <row r="100" spans="1:67" customFormat="1" ht="17.25" customHeight="1" x14ac:dyDescent="0.25">
      <c r="A100" s="99"/>
      <c r="B100" s="99"/>
      <c r="C100" s="144"/>
      <c r="D100" s="144"/>
      <c r="E100" s="144"/>
      <c r="F100" s="144"/>
      <c r="G100" s="477" t="s">
        <v>170</v>
      </c>
      <c r="H100" s="478"/>
      <c r="I100" s="478"/>
      <c r="J100" s="478"/>
      <c r="K100" s="478"/>
      <c r="L100" s="478"/>
      <c r="M100" s="478"/>
      <c r="N100" s="478"/>
      <c r="O100" s="478"/>
      <c r="P100" s="478"/>
      <c r="Q100" s="478"/>
      <c r="R100" s="478"/>
      <c r="S100" s="479"/>
      <c r="T100" s="97"/>
      <c r="U100" s="97"/>
      <c r="V100" s="97"/>
      <c r="W100" s="97"/>
      <c r="X100" s="97"/>
      <c r="Y100" s="97"/>
      <c r="Z100" s="97"/>
      <c r="AA100" s="99"/>
      <c r="AB100" s="146"/>
      <c r="AC100" s="6" t="s">
        <v>134</v>
      </c>
      <c r="AD100" s="6" t="str">
        <f>HLOOKUP(AD97,AD23:AF25,3)</f>
        <v>0.0'</v>
      </c>
      <c r="AE100" s="6" cm="1">
        <f t="array" ref="AE100">angleConvert2Decimal(AD100)</f>
        <v>0</v>
      </c>
      <c r="BN100" s="107"/>
      <c r="BO100" s="99"/>
    </row>
    <row r="101" spans="1:67" customFormat="1" ht="17.25" customHeight="1" x14ac:dyDescent="0.25">
      <c r="A101" s="99"/>
      <c r="B101" s="99"/>
      <c r="C101" s="144"/>
      <c r="D101" s="144"/>
      <c r="E101" s="144"/>
      <c r="F101" s="144"/>
      <c r="G101" s="481" t="s">
        <v>183</v>
      </c>
      <c r="H101" s="483"/>
      <c r="I101" s="499" t="s">
        <v>175</v>
      </c>
      <c r="J101" s="500"/>
      <c r="K101" s="500"/>
      <c r="L101" s="500"/>
      <c r="M101" s="500"/>
      <c r="N101" s="501"/>
      <c r="O101" s="453">
        <f>(O89-O94-O82+O96/2) * 60</f>
        <v>-5.9628783639230898</v>
      </c>
      <c r="P101" s="454"/>
      <c r="Q101" s="454"/>
      <c r="R101" s="454"/>
      <c r="S101" s="457" t="s">
        <v>171</v>
      </c>
      <c r="T101" s="97"/>
      <c r="U101" s="97"/>
      <c r="V101" s="97"/>
      <c r="W101" s="97"/>
      <c r="X101" s="97"/>
      <c r="Y101" s="97"/>
      <c r="Z101" s="97"/>
      <c r="AA101" s="99"/>
      <c r="AB101" s="146"/>
      <c r="AC101" s="6" t="s">
        <v>359</v>
      </c>
      <c r="AD101" s="591">
        <f>AE100*AD99</f>
        <v>0</v>
      </c>
      <c r="AE101" s="591"/>
      <c r="BN101" s="107"/>
      <c r="BO101" s="99"/>
    </row>
    <row r="102" spans="1:67" customFormat="1" ht="17.25" customHeight="1" x14ac:dyDescent="0.25">
      <c r="A102" s="99"/>
      <c r="B102" s="99"/>
      <c r="C102" s="144"/>
      <c r="D102" s="144"/>
      <c r="E102" s="144"/>
      <c r="F102" s="144"/>
      <c r="G102" s="599"/>
      <c r="H102" s="600"/>
      <c r="I102" s="502" t="s">
        <v>179</v>
      </c>
      <c r="J102" s="503"/>
      <c r="K102" s="503"/>
      <c r="L102" s="503"/>
      <c r="M102" s="503"/>
      <c r="N102" s="504"/>
      <c r="O102" s="455"/>
      <c r="P102" s="456"/>
      <c r="Q102" s="456"/>
      <c r="R102" s="456"/>
      <c r="S102" s="458"/>
      <c r="T102" s="97"/>
      <c r="U102" s="97"/>
      <c r="V102" s="97"/>
      <c r="W102" s="97"/>
      <c r="X102" s="97"/>
      <c r="Y102" s="97"/>
      <c r="Z102" s="97"/>
      <c r="AA102" s="99"/>
      <c r="AB102" s="146"/>
      <c r="BN102" s="107"/>
      <c r="BO102" s="99"/>
    </row>
    <row r="103" spans="1:67" customFormat="1" ht="17.25" customHeight="1" x14ac:dyDescent="0.25">
      <c r="A103" s="99"/>
      <c r="B103" s="99"/>
      <c r="C103" s="144"/>
      <c r="D103" s="144"/>
      <c r="E103" s="144"/>
      <c r="F103" s="144"/>
      <c r="G103" s="144"/>
      <c r="H103" s="97"/>
      <c r="I103" s="499" t="s">
        <v>176</v>
      </c>
      <c r="J103" s="500"/>
      <c r="K103" s="500"/>
      <c r="L103" s="500"/>
      <c r="M103" s="500"/>
      <c r="N103" s="501"/>
      <c r="O103" s="454">
        <f>(O89-O94+O96/2)*60</f>
        <v>-5.9628783639230898</v>
      </c>
      <c r="P103" s="454"/>
      <c r="Q103" s="454"/>
      <c r="R103" s="454"/>
      <c r="S103" s="457" t="s">
        <v>171</v>
      </c>
      <c r="T103" s="97"/>
      <c r="U103" s="97"/>
      <c r="V103" s="97"/>
      <c r="W103" s="97"/>
      <c r="X103" s="97"/>
      <c r="Y103" s="97"/>
      <c r="Z103" s="97"/>
      <c r="AA103" s="99"/>
      <c r="AB103" s="146"/>
      <c r="BN103" s="107"/>
      <c r="BO103" s="99"/>
    </row>
    <row r="104" spans="1:67" customFormat="1" ht="17.25" customHeight="1" x14ac:dyDescent="0.25">
      <c r="A104" s="99"/>
      <c r="B104" s="99"/>
      <c r="C104" s="144"/>
      <c r="D104" s="144"/>
      <c r="E104" s="144"/>
      <c r="F104" s="144"/>
      <c r="G104" s="144"/>
      <c r="H104" s="97"/>
      <c r="I104" s="459" t="s">
        <v>177</v>
      </c>
      <c r="J104" s="460"/>
      <c r="K104" s="460"/>
      <c r="L104" s="460"/>
      <c r="M104" s="460"/>
      <c r="N104" s="461"/>
      <c r="O104" s="456"/>
      <c r="P104" s="456"/>
      <c r="Q104" s="456"/>
      <c r="R104" s="456"/>
      <c r="S104" s="458"/>
      <c r="T104" s="97"/>
      <c r="U104" s="97"/>
      <c r="V104" s="97"/>
      <c r="W104" s="97"/>
      <c r="X104" s="97"/>
      <c r="Y104" s="97"/>
      <c r="Z104" s="97"/>
      <c r="AA104" s="99"/>
      <c r="AB104" s="146"/>
      <c r="BN104" s="107"/>
      <c r="BO104" s="99"/>
    </row>
    <row r="105" spans="1:67" customFormat="1" ht="17.25" customHeight="1" x14ac:dyDescent="0.25">
      <c r="A105" s="99"/>
      <c r="B105" s="99"/>
      <c r="C105" s="144"/>
      <c r="D105" s="144"/>
      <c r="E105" s="144"/>
      <c r="F105" s="144"/>
      <c r="G105" s="144"/>
      <c r="H105" s="97"/>
      <c r="I105" s="434" t="s">
        <v>99</v>
      </c>
      <c r="J105" s="434"/>
      <c r="K105" s="434"/>
      <c r="L105" s="434"/>
      <c r="M105" s="434"/>
      <c r="N105" s="434"/>
      <c r="O105" s="435">
        <f>O98*60</f>
        <v>0</v>
      </c>
      <c r="P105" s="436"/>
      <c r="Q105" s="436"/>
      <c r="R105" s="436"/>
      <c r="S105" s="160" t="s">
        <v>171</v>
      </c>
      <c r="T105" s="97"/>
      <c r="U105" s="97"/>
      <c r="V105" s="97"/>
      <c r="W105" s="97"/>
      <c r="X105" s="97"/>
      <c r="Y105" s="97"/>
      <c r="Z105" s="97"/>
      <c r="AA105" s="99"/>
      <c r="AB105" s="146"/>
      <c r="BN105" s="107"/>
      <c r="BO105" s="99"/>
    </row>
    <row r="106" spans="1:67" customFormat="1" ht="17.25" customHeight="1" thickBot="1" x14ac:dyDescent="0.3">
      <c r="A106" s="99"/>
      <c r="B106" s="99"/>
      <c r="C106" s="144"/>
      <c r="D106" s="144"/>
      <c r="E106" s="144"/>
      <c r="F106" s="144"/>
      <c r="G106" s="144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9"/>
      <c r="T106" s="99"/>
      <c r="U106" s="99"/>
      <c r="V106" s="99"/>
      <c r="W106" s="99"/>
      <c r="X106" s="99"/>
      <c r="Y106" s="99"/>
      <c r="Z106" s="99"/>
      <c r="AA106" s="99"/>
      <c r="AB106" s="146"/>
      <c r="BN106" s="107"/>
      <c r="BO106" s="99"/>
    </row>
    <row r="107" spans="1:67" customFormat="1" ht="17.25" customHeight="1" thickTop="1" thickBot="1" x14ac:dyDescent="0.3">
      <c r="A107" s="99"/>
      <c r="B107" s="99"/>
      <c r="C107" s="144"/>
      <c r="D107" s="144"/>
      <c r="E107" s="144"/>
      <c r="F107" s="144"/>
      <c r="G107" s="144"/>
      <c r="H107" s="471" t="s">
        <v>246</v>
      </c>
      <c r="I107" s="472"/>
      <c r="J107" s="472"/>
      <c r="K107" s="472"/>
      <c r="L107" s="472"/>
      <c r="M107" s="472"/>
      <c r="N107" s="473"/>
      <c r="O107" s="474">
        <f>O84-O94+O89+O98</f>
        <v>8.8672853606012847</v>
      </c>
      <c r="P107" s="334"/>
      <c r="Q107" s="334"/>
      <c r="R107" s="334"/>
      <c r="S107" s="99" t="s">
        <v>71</v>
      </c>
      <c r="T107" s="99"/>
      <c r="U107" s="346" t="str" cm="1">
        <f t="array" ref="U107">angleDecimal2Txt(O107)</f>
        <v>+08°52.03 (+08.8672) [+08°52'02.22]</v>
      </c>
      <c r="V107" s="346"/>
      <c r="W107" s="346"/>
      <c r="X107" s="346"/>
      <c r="Y107" s="346"/>
      <c r="Z107" s="346"/>
      <c r="AA107" s="99"/>
      <c r="AB107" s="146"/>
      <c r="BN107" s="107"/>
      <c r="BO107" s="99"/>
    </row>
    <row r="108" spans="1:67" customFormat="1" ht="17.25" customHeight="1" thickTop="1" x14ac:dyDescent="0.25">
      <c r="A108" s="99"/>
      <c r="B108" s="99"/>
      <c r="C108" s="144"/>
      <c r="D108" s="144"/>
      <c r="E108" s="144"/>
      <c r="F108" s="144"/>
      <c r="G108" s="144"/>
      <c r="H108" s="99"/>
      <c r="I108" s="99"/>
      <c r="J108" s="99"/>
      <c r="K108" s="99"/>
      <c r="L108" s="99"/>
      <c r="M108" s="99"/>
      <c r="N108" s="99"/>
      <c r="O108" s="99"/>
      <c r="P108" s="99"/>
      <c r="Q108" s="99"/>
      <c r="R108" s="99"/>
      <c r="S108" s="99"/>
      <c r="T108" s="99"/>
      <c r="U108" s="99"/>
      <c r="V108" s="99"/>
      <c r="W108" s="99"/>
      <c r="X108" s="99"/>
      <c r="Y108" s="99"/>
      <c r="Z108" s="99"/>
      <c r="AA108" s="99"/>
      <c r="AB108" s="146"/>
      <c r="BN108" s="107"/>
      <c r="BO108" s="99"/>
    </row>
    <row r="109" spans="1:67" customFormat="1" ht="17.25" customHeight="1" x14ac:dyDescent="0.25">
      <c r="A109" s="99"/>
      <c r="B109" s="99"/>
      <c r="C109" s="144"/>
      <c r="D109" s="144"/>
      <c r="E109" s="144"/>
      <c r="F109" s="475" t="s">
        <v>91</v>
      </c>
      <c r="G109" s="475"/>
      <c r="H109" s="475"/>
      <c r="I109" s="475"/>
      <c r="J109" s="334">
        <f>IF(G78=AD78,O115,"---")</f>
        <v>9.1383333333333372</v>
      </c>
      <c r="K109" s="334"/>
      <c r="L109" s="334"/>
      <c r="M109" s="99"/>
      <c r="N109" s="99"/>
      <c r="O109" s="99"/>
      <c r="P109" s="99"/>
      <c r="Q109" s="99"/>
      <c r="R109" s="121" t="s">
        <v>112</v>
      </c>
      <c r="S109" s="99" t="s">
        <v>40</v>
      </c>
      <c r="T109" s="99"/>
      <c r="U109" s="99"/>
      <c r="V109" s="99"/>
      <c r="W109" s="99"/>
      <c r="X109" s="99"/>
      <c r="Y109" s="99"/>
      <c r="Z109" s="99"/>
      <c r="AA109" s="99"/>
      <c r="AB109" s="146"/>
      <c r="BN109" s="107"/>
      <c r="BO109" s="99"/>
    </row>
    <row r="110" spans="1:67" customFormat="1" ht="17.25" customHeight="1" x14ac:dyDescent="0.25">
      <c r="A110" s="99"/>
      <c r="B110" s="99"/>
      <c r="C110" s="144"/>
      <c r="D110" s="144"/>
      <c r="E110" s="144"/>
      <c r="F110" s="144"/>
      <c r="G110" s="144"/>
      <c r="H110" s="99"/>
      <c r="I110" s="99"/>
      <c r="J110" s="99"/>
      <c r="K110" s="99"/>
      <c r="L110" s="99"/>
      <c r="M110" s="99"/>
      <c r="N110" s="99"/>
      <c r="O110" s="99"/>
      <c r="P110" s="99"/>
      <c r="Q110" s="99"/>
      <c r="R110" s="122" t="s">
        <v>108</v>
      </c>
      <c r="S110" s="99" t="s">
        <v>110</v>
      </c>
      <c r="T110" s="99"/>
      <c r="U110" s="99"/>
      <c r="V110" s="99"/>
      <c r="W110" s="99"/>
      <c r="X110" s="99"/>
      <c r="Y110" s="99"/>
      <c r="Z110" s="99"/>
      <c r="AA110" s="99"/>
      <c r="AB110" s="146"/>
      <c r="BN110" s="107"/>
      <c r="BO110" s="99"/>
    </row>
    <row r="111" spans="1:67" customFormat="1" ht="17.25" customHeight="1" x14ac:dyDescent="0.25">
      <c r="A111" s="99"/>
      <c r="B111" s="99"/>
      <c r="C111" s="144"/>
      <c r="D111" s="144"/>
      <c r="E111" s="144"/>
      <c r="F111" s="144"/>
      <c r="G111" s="144"/>
      <c r="H111" s="99" t="s">
        <v>100</v>
      </c>
      <c r="I111" s="123" t="s">
        <v>102</v>
      </c>
      <c r="J111" s="99" t="s">
        <v>88</v>
      </c>
      <c r="K111" s="123" t="s">
        <v>105</v>
      </c>
      <c r="L111" s="99" t="s">
        <v>87</v>
      </c>
      <c r="M111" s="99"/>
      <c r="N111" s="123" t="s">
        <v>106</v>
      </c>
      <c r="O111" s="99"/>
      <c r="P111" s="99"/>
      <c r="Q111" s="123" t="s">
        <v>107</v>
      </c>
      <c r="R111" s="124" t="s">
        <v>109</v>
      </c>
      <c r="S111" s="99" t="s">
        <v>111</v>
      </c>
      <c r="T111" s="99"/>
      <c r="U111" s="99"/>
      <c r="AB111" s="146"/>
      <c r="BN111" s="107"/>
      <c r="BO111" s="99"/>
    </row>
    <row r="112" spans="1:67" customFormat="1" ht="17.25" customHeight="1" thickBot="1" x14ac:dyDescent="0.3">
      <c r="A112" s="99"/>
      <c r="B112" s="99"/>
      <c r="C112" s="144"/>
      <c r="D112" s="144"/>
      <c r="E112" s="144"/>
      <c r="F112" s="144"/>
      <c r="G112" s="144"/>
      <c r="H112" s="99"/>
      <c r="I112" s="123"/>
      <c r="J112" s="125">
        <f>O80</f>
        <v>8.9666666666666703</v>
      </c>
      <c r="K112" s="123" t="s">
        <v>105</v>
      </c>
      <c r="L112" s="126">
        <f>O81</f>
        <v>0</v>
      </c>
      <c r="M112" s="99"/>
      <c r="N112" s="920" t="s">
        <v>250</v>
      </c>
      <c r="O112" s="920"/>
      <c r="P112" s="920"/>
      <c r="Q112" s="123" t="s">
        <v>107</v>
      </c>
      <c r="R112" s="127">
        <v>0</v>
      </c>
      <c r="S112" s="99"/>
      <c r="T112" s="99"/>
      <c r="U112" s="99"/>
      <c r="AB112" s="146"/>
      <c r="BN112" s="107"/>
      <c r="BO112" s="99"/>
    </row>
    <row r="113" spans="1:67" customFormat="1" ht="17.25" customHeight="1" thickTop="1" thickBot="1" x14ac:dyDescent="0.3">
      <c r="A113" s="99"/>
      <c r="B113" s="99"/>
      <c r="C113" s="144"/>
      <c r="D113" s="144"/>
      <c r="E113" s="144"/>
      <c r="F113" s="144"/>
      <c r="G113" s="144"/>
      <c r="H113" s="99"/>
      <c r="I113" s="123"/>
      <c r="K113" s="123"/>
      <c r="L113" s="161" cm="1">
        <f t="array" ref="L113">angleConvert2Decimal(L112)</f>
        <v>0</v>
      </c>
      <c r="N113" s="919" cm="1">
        <f t="array" ref="N113">angleConvert2Decimal(N112)</f>
        <v>0.17166666666666669</v>
      </c>
      <c r="O113" s="919"/>
      <c r="P113" s="919"/>
      <c r="Q113" s="41"/>
      <c r="R113" s="161" cm="1">
        <f t="array" ref="R113">angleConvert2Decimal(R112)</f>
        <v>0</v>
      </c>
      <c r="T113" s="13" t="s">
        <v>139</v>
      </c>
      <c r="U113" s="13"/>
      <c r="V113" s="13">
        <f>R113+N113</f>
        <v>0.17166666666666669</v>
      </c>
      <c r="W113" s="358" t="str" cm="1">
        <f t="array" ref="W113">angleDecimal2Txt(V113)</f>
        <v>+00°10.30 (+00.1716) [+00°10'18.00]</v>
      </c>
      <c r="X113" s="359"/>
      <c r="Y113" s="359"/>
      <c r="Z113" s="359"/>
      <c r="AA113" s="360"/>
      <c r="AB113" s="146"/>
      <c r="BN113" s="107"/>
      <c r="BO113" s="99"/>
    </row>
    <row r="114" spans="1:67" customFormat="1" ht="17.25" customHeight="1" thickTop="1" thickBot="1" x14ac:dyDescent="0.3">
      <c r="A114" s="99"/>
      <c r="B114" s="99"/>
      <c r="C114" s="144"/>
      <c r="D114" s="144"/>
      <c r="E114" s="144"/>
      <c r="F114" s="144"/>
      <c r="G114" s="144"/>
      <c r="H114" s="99"/>
      <c r="I114" s="123"/>
      <c r="J114" s="99"/>
      <c r="K114" s="123"/>
      <c r="L114" s="99"/>
      <c r="M114" s="99"/>
      <c r="N114" s="123"/>
      <c r="O114" s="99"/>
      <c r="P114" s="99"/>
      <c r="Q114" s="123"/>
      <c r="R114" s="128"/>
      <c r="S114" s="99"/>
      <c r="T114" s="99"/>
      <c r="U114" s="99"/>
      <c r="V114" s="99"/>
      <c r="W114" s="99"/>
      <c r="X114" s="99"/>
      <c r="Y114" s="99"/>
      <c r="Z114" s="99"/>
      <c r="AA114" s="99"/>
      <c r="AB114" s="146"/>
      <c r="BN114" s="107"/>
      <c r="BO114" s="99"/>
    </row>
    <row r="115" spans="1:67" customFormat="1" ht="17.25" customHeight="1" thickTop="1" thickBot="1" x14ac:dyDescent="0.3">
      <c r="A115" s="99"/>
      <c r="B115" s="99"/>
      <c r="C115" s="144"/>
      <c r="D115" s="144"/>
      <c r="E115" s="144"/>
      <c r="F115" s="144"/>
      <c r="G115" s="144"/>
      <c r="H115" s="471" t="s">
        <v>249</v>
      </c>
      <c r="I115" s="472"/>
      <c r="J115" s="472"/>
      <c r="K115" s="472"/>
      <c r="L115" s="472"/>
      <c r="M115" s="472"/>
      <c r="N115" s="473"/>
      <c r="O115" s="474">
        <f>J112-L113+N113+R113</f>
        <v>9.1383333333333372</v>
      </c>
      <c r="P115" s="334"/>
      <c r="Q115" s="334"/>
      <c r="R115" s="334"/>
      <c r="S115" s="99" t="s">
        <v>71</v>
      </c>
      <c r="T115" s="99"/>
      <c r="U115" s="346" t="str" cm="1">
        <f t="array" ref="U115">angleDecimal2Txt(O115)</f>
        <v>+09°08.30 (+09.1383) [+09°08'18.00]</v>
      </c>
      <c r="V115" s="346"/>
      <c r="W115" s="346"/>
      <c r="X115" s="346"/>
      <c r="Y115" s="346"/>
      <c r="Z115" s="346"/>
      <c r="AA115" s="99"/>
      <c r="AB115" s="146"/>
      <c r="BN115" s="107"/>
      <c r="BO115" s="99"/>
    </row>
    <row r="116" spans="1:67" customFormat="1" ht="17.25" customHeight="1" thickTop="1" thickBot="1" x14ac:dyDescent="0.3">
      <c r="A116" s="99"/>
      <c r="B116" s="99"/>
      <c r="C116" s="144"/>
      <c r="D116" s="129"/>
      <c r="E116" s="144"/>
      <c r="F116" s="144"/>
      <c r="G116" s="144"/>
      <c r="H116" s="99"/>
      <c r="I116" s="99"/>
      <c r="J116" s="99"/>
      <c r="K116" s="99"/>
      <c r="L116" s="99"/>
      <c r="M116" s="99"/>
      <c r="N116" s="99"/>
      <c r="O116" s="99"/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  <c r="AB116" s="146"/>
      <c r="BN116" s="107"/>
      <c r="BO116" s="99"/>
    </row>
    <row r="117" spans="1:67" customFormat="1" ht="17.25" customHeight="1" thickBot="1" x14ac:dyDescent="0.3">
      <c r="A117" s="99"/>
      <c r="B117" s="108" t="s">
        <v>52</v>
      </c>
      <c r="C117" s="109"/>
      <c r="D117" s="130"/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  <c r="X117" s="109"/>
      <c r="Y117" s="109"/>
      <c r="Z117" s="109"/>
      <c r="AA117" s="109"/>
      <c r="AB117" s="147"/>
      <c r="BN117" s="107"/>
      <c r="BO117" s="99"/>
    </row>
    <row r="118" spans="1:67" customFormat="1" ht="17.25" customHeight="1" x14ac:dyDescent="0.25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476" t="s">
        <v>113</v>
      </c>
      <c r="P118" s="476"/>
      <c r="Q118" s="476"/>
      <c r="R118" s="476"/>
      <c r="S118" s="476"/>
      <c r="T118" s="476"/>
      <c r="U118" s="476"/>
      <c r="V118" s="476"/>
      <c r="W118" s="476"/>
      <c r="X118" s="476"/>
      <c r="Y118" s="476"/>
      <c r="Z118" s="476"/>
      <c r="AA118" s="476"/>
      <c r="AB118" s="146"/>
      <c r="BN118" s="107"/>
      <c r="BO118" s="99"/>
    </row>
    <row r="119" spans="1:67" customFormat="1" ht="17.25" customHeight="1" x14ac:dyDescent="0.25">
      <c r="A119" s="99"/>
      <c r="B119" s="99"/>
      <c r="C119" s="97"/>
      <c r="D119" s="97"/>
      <c r="E119" s="443" t="s">
        <v>24</v>
      </c>
      <c r="F119" s="444"/>
      <c r="G119" s="444"/>
      <c r="H119" s="444"/>
      <c r="I119" s="345" t="e">
        <f>AD121</f>
        <v>#NAME?</v>
      </c>
      <c r="J119" s="345"/>
      <c r="K119" s="345"/>
      <c r="L119" s="345"/>
      <c r="M119" s="345"/>
      <c r="N119" s="99"/>
      <c r="O119" s="333" t="s">
        <v>114</v>
      </c>
      <c r="P119" s="333"/>
      <c r="Q119" s="333" t="e">
        <f>D</f>
        <v>#NAME?</v>
      </c>
      <c r="R119" s="333"/>
      <c r="S119" s="333"/>
      <c r="T119" s="432" t="s">
        <v>71</v>
      </c>
      <c r="U119" s="347" t="e">
        <f>Q119*$D$129</f>
        <v>#NAME?</v>
      </c>
      <c r="V119" s="348"/>
      <c r="W119" s="430"/>
      <c r="X119" s="432" t="s">
        <v>92</v>
      </c>
      <c r="Y119" s="99"/>
      <c r="Z119" s="99"/>
      <c r="AA119" s="99"/>
      <c r="AB119" s="146"/>
      <c r="AC119" s="6" t="s">
        <v>360</v>
      </c>
      <c r="AD119" s="6" t="e">
        <f>SIN(U119)*SIN(U120)+COS(U119)*COS(U120)*COS(U121)</f>
        <v>#NAME?</v>
      </c>
      <c r="AE119" s="6"/>
      <c r="BN119" s="107"/>
      <c r="BO119" s="99"/>
    </row>
    <row r="120" spans="1:67" customFormat="1" ht="17.25" customHeight="1" thickBot="1" x14ac:dyDescent="0.3">
      <c r="A120" s="99"/>
      <c r="B120" s="99"/>
      <c r="C120" s="97"/>
      <c r="D120" s="97"/>
      <c r="E120" s="446"/>
      <c r="F120" s="447"/>
      <c r="G120" s="447"/>
      <c r="H120" s="447"/>
      <c r="I120" s="345"/>
      <c r="J120" s="345"/>
      <c r="K120" s="345"/>
      <c r="L120" s="345"/>
      <c r="M120" s="345"/>
      <c r="N120" s="131" t="s">
        <v>184</v>
      </c>
      <c r="O120" s="333" t="s">
        <v>115</v>
      </c>
      <c r="P120" s="333"/>
      <c r="Q120" s="333" t="e">
        <f>L</f>
        <v>#NAME?</v>
      </c>
      <c r="R120" s="333"/>
      <c r="S120" s="333"/>
      <c r="T120" s="432"/>
      <c r="U120" s="347" t="e">
        <f>Q120*$D$129</f>
        <v>#NAME?</v>
      </c>
      <c r="V120" s="348"/>
      <c r="W120" s="430"/>
      <c r="X120" s="432"/>
      <c r="Y120" s="99"/>
      <c r="Z120" s="99"/>
      <c r="AA120" s="99"/>
      <c r="AB120" s="146"/>
      <c r="AC120" s="6" t="s">
        <v>361</v>
      </c>
      <c r="AD120" s="6" t="e">
        <f>ASIN(AD119)</f>
        <v>#NAME?</v>
      </c>
      <c r="AE120" s="6" t="s">
        <v>92</v>
      </c>
      <c r="BN120" s="107"/>
      <c r="BO120" s="99"/>
    </row>
    <row r="121" spans="1:67" customFormat="1" ht="17.25" customHeight="1" thickTop="1" thickBot="1" x14ac:dyDescent="0.3">
      <c r="A121" s="99"/>
      <c r="B121" s="99"/>
      <c r="C121" s="97"/>
      <c r="D121" s="97"/>
      <c r="E121" s="449"/>
      <c r="F121" s="450"/>
      <c r="G121" s="450"/>
      <c r="H121" s="450"/>
      <c r="I121" s="346" t="e" cm="1">
        <f t="array" ref="I121">angleDecimal2Txt(A)</f>
        <v>#VALUE!</v>
      </c>
      <c r="J121" s="346"/>
      <c r="K121" s="346"/>
      <c r="L121" s="346"/>
      <c r="M121" s="346"/>
      <c r="N121" s="99"/>
      <c r="O121" s="333" t="s">
        <v>51</v>
      </c>
      <c r="P121" s="333"/>
      <c r="Q121" s="333">
        <f>F73</f>
        <v>349.23883388888891</v>
      </c>
      <c r="R121" s="333"/>
      <c r="S121" s="333"/>
      <c r="T121" s="432"/>
      <c r="U121" s="347">
        <f>Q121*$D$129</f>
        <v>6.0953675271866636</v>
      </c>
      <c r="V121" s="348"/>
      <c r="W121" s="430"/>
      <c r="X121" s="432"/>
      <c r="Y121" s="99"/>
      <c r="Z121" s="99"/>
      <c r="AA121" s="99"/>
      <c r="AB121" s="146"/>
      <c r="AC121" s="6"/>
      <c r="AD121" s="6" t="e">
        <f>AD120*D130</f>
        <v>#NAME?</v>
      </c>
      <c r="AE121" s="6" t="s">
        <v>71</v>
      </c>
      <c r="BN121" s="107"/>
      <c r="BO121" s="99"/>
    </row>
    <row r="122" spans="1:67" customFormat="1" ht="17.25" customHeight="1" thickTop="1" x14ac:dyDescent="0.25">
      <c r="A122" s="99"/>
      <c r="B122" s="99"/>
      <c r="C122" s="97"/>
      <c r="D122" s="97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99"/>
      <c r="P122" s="99"/>
      <c r="Q122" s="99"/>
      <c r="R122" s="99"/>
      <c r="S122" s="99"/>
      <c r="T122" s="99"/>
      <c r="U122" s="99"/>
      <c r="V122" s="99"/>
      <c r="W122" s="99"/>
      <c r="X122" s="99"/>
      <c r="Y122" s="99"/>
      <c r="Z122" s="99"/>
      <c r="AA122" s="99"/>
      <c r="AB122" s="146"/>
      <c r="BN122" s="107"/>
      <c r="BO122" s="99"/>
    </row>
    <row r="123" spans="1:67" customFormat="1" ht="17.25" customHeight="1" x14ac:dyDescent="0.25">
      <c r="A123" s="99"/>
      <c r="B123" s="99"/>
      <c r="C123" s="97"/>
      <c r="D123" s="97"/>
      <c r="E123" s="443" t="s">
        <v>31</v>
      </c>
      <c r="F123" s="444"/>
      <c r="G123" s="444"/>
      <c r="H123" s="444"/>
      <c r="I123" s="345">
        <f>F77</f>
        <v>9.1383333333333372</v>
      </c>
      <c r="J123" s="345"/>
      <c r="K123" s="345"/>
      <c r="L123" s="345"/>
      <c r="M123" s="345"/>
      <c r="N123" s="99"/>
      <c r="O123" s="99"/>
      <c r="P123" s="99"/>
      <c r="Q123" s="99"/>
      <c r="R123" s="99"/>
      <c r="S123" s="99"/>
      <c r="T123" s="99"/>
      <c r="U123" s="99"/>
      <c r="V123" s="99"/>
      <c r="W123" s="99"/>
      <c r="X123" s="99"/>
      <c r="Y123" s="99"/>
      <c r="Z123" s="99"/>
      <c r="AA123" s="99"/>
      <c r="AB123" s="146"/>
      <c r="BN123" s="107"/>
      <c r="BO123" s="99"/>
    </row>
    <row r="124" spans="1:67" customFormat="1" ht="17.25" customHeight="1" thickBot="1" x14ac:dyDescent="0.3">
      <c r="A124" s="99"/>
      <c r="B124" s="99"/>
      <c r="C124" s="97"/>
      <c r="D124" s="97"/>
      <c r="E124" s="446"/>
      <c r="F124" s="447"/>
      <c r="G124" s="447"/>
      <c r="H124" s="447"/>
      <c r="I124" s="345"/>
      <c r="J124" s="345"/>
      <c r="K124" s="345"/>
      <c r="L124" s="345"/>
      <c r="M124" s="345"/>
      <c r="N124" s="99"/>
      <c r="O124" s="427" t="s">
        <v>33</v>
      </c>
      <c r="P124" s="428"/>
      <c r="Q124" s="428"/>
      <c r="R124" s="428"/>
      <c r="S124" s="431"/>
      <c r="T124" s="132" t="e">
        <f>I123-A</f>
        <v>#NAME?</v>
      </c>
      <c r="U124" s="133" t="s">
        <v>34</v>
      </c>
      <c r="V124" s="134" t="e">
        <f>T124*60</f>
        <v>#NAME?</v>
      </c>
      <c r="W124" s="133" t="s">
        <v>149</v>
      </c>
      <c r="X124" s="97"/>
      <c r="Y124" s="433" t="e">
        <f>IF(T124&gt;0,"Vers Pg", "Oppose de Pg")</f>
        <v>#NAME?</v>
      </c>
      <c r="Z124" s="433"/>
      <c r="AA124" s="99"/>
      <c r="AB124" s="146"/>
      <c r="BN124" s="107"/>
      <c r="BO124" s="99"/>
    </row>
    <row r="125" spans="1:67" customFormat="1" ht="17.25" customHeight="1" thickTop="1" thickBot="1" x14ac:dyDescent="0.3">
      <c r="A125" s="99"/>
      <c r="B125" s="99"/>
      <c r="C125" s="97"/>
      <c r="D125" s="97"/>
      <c r="E125" s="449"/>
      <c r="F125" s="450"/>
      <c r="G125" s="450"/>
      <c r="H125" s="450"/>
      <c r="I125" s="346" t="str" cm="1">
        <f t="array" ref="I125">angleDecimal2Txt(I123)</f>
        <v>+09°08.30 (+09.1383) [+09°08'18.00]</v>
      </c>
      <c r="J125" s="346"/>
      <c r="K125" s="346"/>
      <c r="L125" s="346"/>
      <c r="M125" s="346"/>
      <c r="N125" s="99"/>
      <c r="O125" s="99"/>
      <c r="P125" s="99"/>
      <c r="Q125" s="99"/>
      <c r="R125" s="99"/>
      <c r="S125" s="99"/>
      <c r="T125" s="99"/>
      <c r="U125" s="99"/>
      <c r="V125" s="99"/>
      <c r="W125" s="99"/>
      <c r="X125" s="99"/>
      <c r="Y125" s="99"/>
      <c r="Z125" s="99"/>
      <c r="AA125" s="99"/>
      <c r="AB125" s="146"/>
      <c r="BN125" s="107"/>
      <c r="BO125" s="99"/>
    </row>
    <row r="126" spans="1:67" customFormat="1" ht="17.25" customHeight="1" thickTop="1" x14ac:dyDescent="0.25">
      <c r="A126" s="99"/>
      <c r="B126" s="99"/>
      <c r="C126" s="97"/>
      <c r="D126" s="97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99"/>
      <c r="P126" s="99"/>
      <c r="Q126" s="99"/>
      <c r="R126" s="99"/>
      <c r="S126" s="99"/>
      <c r="T126" s="97"/>
      <c r="U126" s="97"/>
      <c r="V126" s="97"/>
      <c r="W126" s="97"/>
      <c r="X126" s="97"/>
      <c r="Y126" s="97"/>
      <c r="Z126" s="99"/>
      <c r="AA126" s="99"/>
      <c r="AB126" s="146"/>
      <c r="BN126" s="107"/>
      <c r="BO126" s="99"/>
    </row>
    <row r="127" spans="1:67" customFormat="1" ht="17.25" customHeight="1" thickBot="1" x14ac:dyDescent="0.3">
      <c r="A127" s="99"/>
      <c r="B127" s="99"/>
      <c r="C127" s="99"/>
      <c r="D127" s="99"/>
      <c r="E127" s="99"/>
      <c r="F127" s="99"/>
      <c r="G127" s="144"/>
      <c r="H127" s="99"/>
      <c r="I127" s="99"/>
      <c r="J127" s="99"/>
      <c r="K127" s="99"/>
      <c r="L127" s="99"/>
      <c r="M127" s="99"/>
      <c r="N127" s="99"/>
      <c r="O127" s="99"/>
      <c r="P127" s="99"/>
      <c r="Q127" s="99"/>
      <c r="R127" s="99"/>
      <c r="S127" s="99"/>
      <c r="T127" s="97"/>
      <c r="U127" s="97"/>
      <c r="V127" s="97"/>
      <c r="W127" s="97"/>
      <c r="X127" s="97"/>
      <c r="Y127" s="97"/>
      <c r="Z127" s="99"/>
      <c r="AA127" s="99"/>
      <c r="AB127" s="146"/>
      <c r="BN127" s="107"/>
      <c r="BO127" s="99"/>
    </row>
    <row r="128" spans="1:67" customFormat="1" ht="17.25" customHeight="1" x14ac:dyDescent="0.25">
      <c r="A128" s="316" t="s">
        <v>138</v>
      </c>
      <c r="B128" s="317"/>
      <c r="C128" s="317"/>
      <c r="D128" s="318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99"/>
      <c r="P128" s="99"/>
      <c r="Q128" s="99"/>
      <c r="R128" s="99"/>
      <c r="S128" s="99"/>
      <c r="T128" s="97"/>
      <c r="U128" s="97"/>
      <c r="V128" s="97"/>
      <c r="W128" s="97"/>
      <c r="X128" s="97"/>
      <c r="Y128" s="97"/>
      <c r="Z128" s="99"/>
      <c r="AA128" s="99"/>
      <c r="AB128" s="146"/>
      <c r="BN128" s="107"/>
      <c r="BO128" s="99"/>
    </row>
    <row r="129" spans="1:67" customFormat="1" ht="17.25" customHeight="1" x14ac:dyDescent="0.25">
      <c r="A129" s="135" t="s">
        <v>62</v>
      </c>
      <c r="B129" s="136" t="s">
        <v>121</v>
      </c>
      <c r="C129" s="137" t="s">
        <v>310</v>
      </c>
      <c r="D129" s="138">
        <f>PI()/180</f>
        <v>1.7453292519943295E-2</v>
      </c>
      <c r="E129" s="99"/>
      <c r="F129" s="144"/>
      <c r="G129" s="144"/>
      <c r="H129" s="99"/>
      <c r="I129" s="99"/>
      <c r="J129" s="99"/>
      <c r="K129" s="99"/>
      <c r="L129" s="99"/>
      <c r="M129" s="99"/>
      <c r="N129" s="99"/>
      <c r="O129" s="99"/>
      <c r="P129" s="99"/>
      <c r="Q129" s="99"/>
      <c r="R129" s="99"/>
      <c r="S129" s="99"/>
      <c r="T129" s="99"/>
      <c r="U129" s="99"/>
      <c r="V129" s="99"/>
      <c r="W129" s="99"/>
      <c r="X129" s="99"/>
      <c r="Y129" s="99"/>
      <c r="Z129" s="99"/>
      <c r="AA129" s="99"/>
      <c r="AB129" s="146"/>
      <c r="BN129" s="107"/>
      <c r="BO129" s="99"/>
    </row>
    <row r="130" spans="1:67" customFormat="1" ht="17.25" customHeight="1" thickBot="1" x14ac:dyDescent="0.3">
      <c r="A130" s="102" t="s">
        <v>123</v>
      </c>
      <c r="B130" s="139" t="s">
        <v>121</v>
      </c>
      <c r="C130" s="140" t="s">
        <v>311</v>
      </c>
      <c r="D130" s="141">
        <f>180/PI()</f>
        <v>57.295779513082323</v>
      </c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564" t="s">
        <v>116</v>
      </c>
      <c r="P130" s="565"/>
      <c r="Q130" s="565"/>
      <c r="R130" s="565"/>
      <c r="S130" s="565"/>
      <c r="T130" s="565"/>
      <c r="U130" s="565"/>
      <c r="V130" s="565"/>
      <c r="W130" s="565"/>
      <c r="X130" s="565"/>
      <c r="Y130" s="565"/>
      <c r="Z130" s="565"/>
      <c r="AA130" s="565"/>
      <c r="AB130" s="146"/>
      <c r="AC130" s="6" t="s">
        <v>117</v>
      </c>
      <c r="AD130" s="6" t="e">
        <f>(SIN(U131)-SIN(U132)*SIN(AD120))/(COS(U132)*COS(AD120))</f>
        <v>#NAME?</v>
      </c>
      <c r="AE130" s="6"/>
      <c r="BN130" s="107"/>
      <c r="BO130" s="99"/>
    </row>
    <row r="131" spans="1:67" customFormat="1" ht="17.25" customHeight="1" x14ac:dyDescent="0.25">
      <c r="A131" s="97"/>
      <c r="B131" s="97"/>
      <c r="C131" s="97"/>
      <c r="D131" s="97"/>
      <c r="E131" s="443" t="s">
        <v>124</v>
      </c>
      <c r="F131" s="444"/>
      <c r="G131" s="444"/>
      <c r="H131" s="445"/>
      <c r="I131" s="338" t="e">
        <f>AD132</f>
        <v>#NAME?</v>
      </c>
      <c r="J131" s="338"/>
      <c r="K131" s="338"/>
      <c r="L131" s="338"/>
      <c r="M131" s="339"/>
      <c r="N131" s="99"/>
      <c r="O131" s="333" t="s">
        <v>114</v>
      </c>
      <c r="P131" s="333"/>
      <c r="Q131" s="333" t="e">
        <f>D</f>
        <v>#NAME?</v>
      </c>
      <c r="R131" s="333"/>
      <c r="S131" s="333"/>
      <c r="T131" s="432" t="s">
        <v>71</v>
      </c>
      <c r="U131" s="333" t="e">
        <f>Q131*$D$129</f>
        <v>#NAME?</v>
      </c>
      <c r="V131" s="333"/>
      <c r="W131" s="333"/>
      <c r="X131" s="432" t="s">
        <v>92</v>
      </c>
      <c r="Y131" s="99"/>
      <c r="Z131" s="99"/>
      <c r="AA131" s="99"/>
      <c r="AB131" s="146"/>
      <c r="AC131" s="6" t="s">
        <v>362</v>
      </c>
      <c r="AD131" s="6" t="e">
        <f>ACOS(AD130)</f>
        <v>#NAME?</v>
      </c>
      <c r="AE131" s="6" t="s">
        <v>92</v>
      </c>
      <c r="BN131" s="107"/>
      <c r="BO131" s="99"/>
    </row>
    <row r="132" spans="1:67" customFormat="1" ht="17.25" customHeight="1" thickBot="1" x14ac:dyDescent="0.3">
      <c r="A132" s="99"/>
      <c r="B132" s="99"/>
      <c r="C132" s="97"/>
      <c r="D132" s="97"/>
      <c r="E132" s="446"/>
      <c r="F132" s="447"/>
      <c r="G132" s="447"/>
      <c r="H132" s="448"/>
      <c r="I132" s="340"/>
      <c r="J132" s="340"/>
      <c r="K132" s="340"/>
      <c r="L132" s="340"/>
      <c r="M132" s="341"/>
      <c r="N132" s="131" t="s">
        <v>184</v>
      </c>
      <c r="O132" s="333" t="s">
        <v>115</v>
      </c>
      <c r="P132" s="333"/>
      <c r="Q132" s="333" t="e">
        <f>L</f>
        <v>#NAME?</v>
      </c>
      <c r="R132" s="333"/>
      <c r="S132" s="333"/>
      <c r="T132" s="432"/>
      <c r="U132" s="333" t="e">
        <f>Q132*$D$129</f>
        <v>#NAME?</v>
      </c>
      <c r="V132" s="333"/>
      <c r="W132" s="333"/>
      <c r="X132" s="432"/>
      <c r="Y132" s="99"/>
      <c r="Z132" s="99"/>
      <c r="AA132" s="99"/>
      <c r="AB132" s="146"/>
      <c r="AC132" s="6"/>
      <c r="AD132" s="6" t="e">
        <f>AD131*$D$130</f>
        <v>#NAME?</v>
      </c>
      <c r="AE132" s="6" t="s">
        <v>71</v>
      </c>
      <c r="BN132" s="107"/>
      <c r="BO132" s="99"/>
    </row>
    <row r="133" spans="1:67" customFormat="1" ht="17.25" customHeight="1" thickTop="1" thickBot="1" x14ac:dyDescent="0.3">
      <c r="A133" s="99"/>
      <c r="B133" s="99"/>
      <c r="C133" s="97"/>
      <c r="D133" s="97"/>
      <c r="E133" s="449"/>
      <c r="F133" s="450"/>
      <c r="G133" s="450"/>
      <c r="H133" s="451"/>
      <c r="I133" s="343" t="e" cm="1">
        <f t="array" ref="I133">angleDecimal2Txt(I131)</f>
        <v>#VALUE!</v>
      </c>
      <c r="J133" s="344"/>
      <c r="K133" s="344"/>
      <c r="L133" s="344"/>
      <c r="M133" s="344"/>
      <c r="N133" s="99"/>
      <c r="O133" s="333" t="s">
        <v>51</v>
      </c>
      <c r="P133" s="333"/>
      <c r="Q133" s="333">
        <f>F73</f>
        <v>349.23883388888891</v>
      </c>
      <c r="R133" s="333"/>
      <c r="S133" s="333"/>
      <c r="T133" s="432"/>
      <c r="U133" s="333">
        <f>Q133*$D$129</f>
        <v>6.0953675271866636</v>
      </c>
      <c r="V133" s="333"/>
      <c r="W133" s="333"/>
      <c r="X133" s="432"/>
      <c r="Y133" s="99"/>
      <c r="Z133" s="99"/>
      <c r="AA133" s="99"/>
      <c r="AB133" s="146"/>
      <c r="BN133" s="107"/>
      <c r="BO133" s="99"/>
    </row>
    <row r="134" spans="1:67" customFormat="1" ht="17.25" customHeight="1" thickTop="1" x14ac:dyDescent="0.25">
      <c r="A134" s="99"/>
      <c r="B134" s="99"/>
      <c r="C134" s="97"/>
      <c r="D134" s="97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99"/>
      <c r="P134" s="99"/>
      <c r="Q134" s="99"/>
      <c r="R134" s="99"/>
      <c r="S134" s="99"/>
      <c r="T134" s="99"/>
      <c r="U134" s="99"/>
      <c r="V134" s="99"/>
      <c r="W134" s="99"/>
      <c r="X134" s="99"/>
      <c r="Y134" s="99"/>
      <c r="Z134" s="99"/>
      <c r="AA134" s="99"/>
      <c r="AB134" s="146"/>
      <c r="BN134" s="107"/>
      <c r="BO134" s="99"/>
    </row>
    <row r="135" spans="1:67" customFormat="1" ht="17.25" customHeight="1" x14ac:dyDescent="0.25">
      <c r="A135" s="99"/>
      <c r="B135" s="99"/>
      <c r="C135" s="99"/>
      <c r="D135" s="99"/>
      <c r="E135" s="144"/>
      <c r="F135" s="99"/>
      <c r="G135" s="99"/>
      <c r="H135" s="99"/>
      <c r="I135" s="335" t="s">
        <v>247</v>
      </c>
      <c r="J135" s="336"/>
      <c r="K135" s="336"/>
      <c r="L135" s="336"/>
      <c r="M135" s="336"/>
      <c r="N135" s="337"/>
      <c r="O135" s="335" t="s">
        <v>248</v>
      </c>
      <c r="P135" s="336"/>
      <c r="Q135" s="336"/>
      <c r="R135" s="336"/>
      <c r="S135" s="336"/>
      <c r="T135" s="337"/>
      <c r="U135" s="99"/>
      <c r="V135" s="99"/>
      <c r="W135" s="99"/>
      <c r="X135" s="99"/>
      <c r="Y135" s="99"/>
      <c r="Z135" s="99"/>
      <c r="AA135" s="99"/>
      <c r="AB135" s="146"/>
      <c r="BN135" s="107"/>
      <c r="BO135" s="99"/>
    </row>
    <row r="136" spans="1:67" customFormat="1" ht="17.25" customHeight="1" x14ac:dyDescent="0.25">
      <c r="A136" s="99"/>
      <c r="B136" s="99"/>
      <c r="C136" s="144"/>
      <c r="D136" s="144"/>
      <c r="E136" s="144"/>
      <c r="F136" s="99"/>
      <c r="G136" s="99"/>
      <c r="H136" s="99"/>
      <c r="I136" s="593"/>
      <c r="J136" s="392" t="s">
        <v>185</v>
      </c>
      <c r="K136" s="393"/>
      <c r="L136" s="394"/>
      <c r="M136" s="398" t="s">
        <v>186</v>
      </c>
      <c r="N136" s="399"/>
      <c r="O136" s="593"/>
      <c r="P136" s="392" t="s">
        <v>185</v>
      </c>
      <c r="Q136" s="393"/>
      <c r="R136" s="394"/>
      <c r="S136" s="398" t="s">
        <v>187</v>
      </c>
      <c r="T136" s="399"/>
      <c r="U136" s="99"/>
      <c r="V136" s="99"/>
      <c r="W136" s="99"/>
      <c r="X136" s="99"/>
      <c r="Y136" s="99"/>
      <c r="Z136" s="99"/>
      <c r="AA136" s="99"/>
      <c r="AB136" s="146"/>
      <c r="BN136" s="107"/>
      <c r="BO136" s="99"/>
    </row>
    <row r="137" spans="1:67" ht="17.25" customHeight="1" x14ac:dyDescent="0.25">
      <c r="F137" s="99"/>
      <c r="G137" s="99"/>
      <c r="I137" s="594"/>
      <c r="J137" s="395" t="s">
        <v>118</v>
      </c>
      <c r="K137" s="396"/>
      <c r="L137" s="397"/>
      <c r="M137" s="400" t="s">
        <v>119</v>
      </c>
      <c r="N137" s="401"/>
      <c r="O137" s="594"/>
      <c r="P137" s="395" t="s">
        <v>118</v>
      </c>
      <c r="Q137" s="396"/>
      <c r="R137" s="397"/>
      <c r="S137" s="400" t="s">
        <v>120</v>
      </c>
      <c r="T137" s="401"/>
    </row>
    <row r="138" spans="1:67" ht="17.25" customHeight="1" x14ac:dyDescent="0.25">
      <c r="F138" s="97"/>
      <c r="G138" s="97"/>
      <c r="H138" s="97"/>
      <c r="I138" s="97"/>
      <c r="J138" s="97"/>
      <c r="K138" s="97"/>
      <c r="Q138" s="97"/>
      <c r="R138" s="97"/>
      <c r="S138" s="97"/>
      <c r="T138" s="402"/>
      <c r="U138" s="402"/>
      <c r="V138" s="402"/>
      <c r="W138" s="97"/>
      <c r="X138" s="402"/>
      <c r="Y138" s="402"/>
      <c r="Z138" s="402"/>
    </row>
    <row r="139" spans="1:67" ht="17.25" customHeight="1" x14ac:dyDescent="0.25">
      <c r="F139" s="97"/>
      <c r="N139" s="429"/>
      <c r="O139" s="429"/>
      <c r="Q139" s="402"/>
      <c r="R139" s="402"/>
      <c r="S139" s="402"/>
      <c r="T139" s="402"/>
      <c r="U139" s="402"/>
      <c r="V139" s="402"/>
      <c r="W139" s="97"/>
      <c r="X139" s="402"/>
      <c r="Y139" s="402"/>
      <c r="Z139" s="402"/>
    </row>
    <row r="140" spans="1:67" ht="17.25" customHeight="1" x14ac:dyDescent="0.25">
      <c r="I140" s="333" t="s">
        <v>115</v>
      </c>
      <c r="J140" s="333"/>
      <c r="K140" s="142" t="e">
        <f>L</f>
        <v>#NAME?</v>
      </c>
      <c r="L140" s="334" t="e">
        <f>CONCATENATE("Sens: ",IF(Q132&gt;0,"Nord","Sud"))</f>
        <v>#NAME?</v>
      </c>
      <c r="M140" s="334"/>
    </row>
    <row r="141" spans="1:67" ht="17.25" customHeight="1" thickBot="1" x14ac:dyDescent="0.3">
      <c r="I141" s="333" t="s">
        <v>51</v>
      </c>
      <c r="J141" s="333"/>
      <c r="K141" s="142">
        <f>Q133</f>
        <v>349.23883388888891</v>
      </c>
      <c r="L141" s="334" t="str">
        <f>CONCATENATE("Is &gt; 180? ", IF(Q133&gt;180,"Y", "N"))</f>
        <v>Is &gt; 180? Y</v>
      </c>
      <c r="M141" s="334"/>
      <c r="O141" s="427" t="s">
        <v>125</v>
      </c>
      <c r="P141" s="428"/>
      <c r="Q141" s="428"/>
      <c r="R141" s="428"/>
      <c r="S141" s="428"/>
      <c r="T141" s="324" t="e">
        <f>ABS(IF(Q120&gt;0,IF(Q121&gt;180,I131,360-I131),IF(Q121&gt;180,180-I131,180+I131)))</f>
        <v>#NAME?</v>
      </c>
      <c r="U141" s="325"/>
      <c r="V141" s="133" t="s">
        <v>34</v>
      </c>
      <c r="W141" s="97"/>
    </row>
    <row r="142" spans="1:67" ht="17.25" customHeight="1" thickTop="1" thickBot="1" x14ac:dyDescent="0.3">
      <c r="I142" s="347" t="s">
        <v>188</v>
      </c>
      <c r="J142" s="348"/>
      <c r="K142" s="349"/>
      <c r="L142" s="334" t="e">
        <f>IF(K140&gt;0,IF(K141&gt;180,M136,M137),IF(K141&gt;180,S136,S137))</f>
        <v>#NAME?</v>
      </c>
      <c r="M142" s="334"/>
      <c r="T142" s="346">
        <f>AC135</f>
        <v>0</v>
      </c>
      <c r="U142" s="346"/>
      <c r="V142" s="346"/>
      <c r="W142" s="346"/>
      <c r="X142" s="346"/>
      <c r="Y142" s="346"/>
    </row>
    <row r="143" spans="1:67" ht="17.25" customHeight="1" thickTop="1" x14ac:dyDescent="0.25"/>
  </sheetData>
  <dataConsolidate link="1"/>
  <mergeCells count="269">
    <mergeCell ref="I142:K142"/>
    <mergeCell ref="L142:M142"/>
    <mergeCell ref="T142:Y142"/>
    <mergeCell ref="F50:H50"/>
    <mergeCell ref="J50:L50"/>
    <mergeCell ref="M50:O50"/>
    <mergeCell ref="C51:H51"/>
    <mergeCell ref="I140:J140"/>
    <mergeCell ref="L140:M140"/>
    <mergeCell ref="I141:J141"/>
    <mergeCell ref="L141:M141"/>
    <mergeCell ref="O141:S141"/>
    <mergeCell ref="T141:U141"/>
    <mergeCell ref="T138:V138"/>
    <mergeCell ref="X138:Z138"/>
    <mergeCell ref="N139:O139"/>
    <mergeCell ref="Q139:S139"/>
    <mergeCell ref="T139:V139"/>
    <mergeCell ref="X139:Z139"/>
    <mergeCell ref="I136:I137"/>
    <mergeCell ref="J136:L136"/>
    <mergeCell ref="M136:N136"/>
    <mergeCell ref="O136:O137"/>
    <mergeCell ref="P136:R136"/>
    <mergeCell ref="S136:T136"/>
    <mergeCell ref="J137:L137"/>
    <mergeCell ref="M137:N137"/>
    <mergeCell ref="P137:R137"/>
    <mergeCell ref="S137:T137"/>
    <mergeCell ref="U132:W132"/>
    <mergeCell ref="I133:M133"/>
    <mergeCell ref="O133:P133"/>
    <mergeCell ref="Q133:S133"/>
    <mergeCell ref="U133:W133"/>
    <mergeCell ref="I135:N135"/>
    <mergeCell ref="O135:T135"/>
    <mergeCell ref="O130:AA130"/>
    <mergeCell ref="E131:H133"/>
    <mergeCell ref="I131:M132"/>
    <mergeCell ref="O131:P131"/>
    <mergeCell ref="Q131:S131"/>
    <mergeCell ref="T131:T133"/>
    <mergeCell ref="U131:W131"/>
    <mergeCell ref="X131:X133"/>
    <mergeCell ref="O132:P132"/>
    <mergeCell ref="Q132:S132"/>
    <mergeCell ref="E123:H125"/>
    <mergeCell ref="I123:M124"/>
    <mergeCell ref="O124:S124"/>
    <mergeCell ref="Y124:Z124"/>
    <mergeCell ref="I125:M125"/>
    <mergeCell ref="A128:D128"/>
    <mergeCell ref="X119:X121"/>
    <mergeCell ref="O120:P120"/>
    <mergeCell ref="Q120:S120"/>
    <mergeCell ref="U120:W120"/>
    <mergeCell ref="I121:M121"/>
    <mergeCell ref="O121:P121"/>
    <mergeCell ref="Q121:S121"/>
    <mergeCell ref="U121:W121"/>
    <mergeCell ref="E119:H121"/>
    <mergeCell ref="I119:M120"/>
    <mergeCell ref="O119:P119"/>
    <mergeCell ref="Q119:S119"/>
    <mergeCell ref="T119:T121"/>
    <mergeCell ref="U119:W119"/>
    <mergeCell ref="N113:P113"/>
    <mergeCell ref="W113:AA113"/>
    <mergeCell ref="H115:N115"/>
    <mergeCell ref="O115:R115"/>
    <mergeCell ref="U115:Z115"/>
    <mergeCell ref="O118:AA118"/>
    <mergeCell ref="H107:N107"/>
    <mergeCell ref="O107:R107"/>
    <mergeCell ref="U107:Z107"/>
    <mergeCell ref="F109:I109"/>
    <mergeCell ref="J109:L109"/>
    <mergeCell ref="N112:P112"/>
    <mergeCell ref="I103:N103"/>
    <mergeCell ref="O103:R104"/>
    <mergeCell ref="S103:S104"/>
    <mergeCell ref="I104:N104"/>
    <mergeCell ref="I105:N105"/>
    <mergeCell ref="O105:R105"/>
    <mergeCell ref="G100:S100"/>
    <mergeCell ref="G101:H102"/>
    <mergeCell ref="I101:N101"/>
    <mergeCell ref="O101:R102"/>
    <mergeCell ref="S101:S102"/>
    <mergeCell ref="AD101:AE101"/>
    <mergeCell ref="I102:N102"/>
    <mergeCell ref="AD97:AE97"/>
    <mergeCell ref="H98:N98"/>
    <mergeCell ref="O98:R98"/>
    <mergeCell ref="U98:Z98"/>
    <mergeCell ref="AD98:AE98"/>
    <mergeCell ref="AD99:AE99"/>
    <mergeCell ref="H94:N94"/>
    <mergeCell ref="O94:R94"/>
    <mergeCell ref="U94:Z94"/>
    <mergeCell ref="H96:N96"/>
    <mergeCell ref="O96:R96"/>
    <mergeCell ref="H97:N97"/>
    <mergeCell ref="O97:R97"/>
    <mergeCell ref="S91:U91"/>
    <mergeCell ref="H92:N92"/>
    <mergeCell ref="O92:R92"/>
    <mergeCell ref="S92:U92"/>
    <mergeCell ref="H93:N93"/>
    <mergeCell ref="O93:R93"/>
    <mergeCell ref="S93:U93"/>
    <mergeCell ref="M86:P86"/>
    <mergeCell ref="M87:P87"/>
    <mergeCell ref="H88:N88"/>
    <mergeCell ref="O88:R88"/>
    <mergeCell ref="U88:Z88"/>
    <mergeCell ref="H89:N89"/>
    <mergeCell ref="O89:R89"/>
    <mergeCell ref="U89:Z89"/>
    <mergeCell ref="H82:N82"/>
    <mergeCell ref="O82:R82"/>
    <mergeCell ref="U82:Z82"/>
    <mergeCell ref="M83:P83"/>
    <mergeCell ref="H84:N84"/>
    <mergeCell ref="O84:P84"/>
    <mergeCell ref="R84:S84"/>
    <mergeCell ref="U84:Z84"/>
    <mergeCell ref="H80:N80"/>
    <mergeCell ref="O80:R80"/>
    <mergeCell ref="U80:Z80"/>
    <mergeCell ref="H81:N81"/>
    <mergeCell ref="O81:R81"/>
    <mergeCell ref="U81:Z81"/>
    <mergeCell ref="S77:U77"/>
    <mergeCell ref="V77:Z77"/>
    <mergeCell ref="C78:F78"/>
    <mergeCell ref="G78:I78"/>
    <mergeCell ref="AC78:AC79"/>
    <mergeCell ref="F79:I79"/>
    <mergeCell ref="J79:L79"/>
    <mergeCell ref="C74:H74"/>
    <mergeCell ref="I74:L74"/>
    <mergeCell ref="N74:Q74"/>
    <mergeCell ref="I75:N75"/>
    <mergeCell ref="D77:E77"/>
    <mergeCell ref="F77:H77"/>
    <mergeCell ref="M77:N77"/>
    <mergeCell ref="V67:Y68"/>
    <mergeCell ref="F69:K69"/>
    <mergeCell ref="P69:T69"/>
    <mergeCell ref="U69:Y69"/>
    <mergeCell ref="F73:H73"/>
    <mergeCell ref="J73:L73"/>
    <mergeCell ref="M73:O73"/>
    <mergeCell ref="F67:H68"/>
    <mergeCell ref="I67:L68"/>
    <mergeCell ref="M67:O68"/>
    <mergeCell ref="P67:P68"/>
    <mergeCell ref="Q67:T68"/>
    <mergeCell ref="U67:U68"/>
    <mergeCell ref="F63:K63"/>
    <mergeCell ref="F65:H66"/>
    <mergeCell ref="I65:L66"/>
    <mergeCell ref="M65:O66"/>
    <mergeCell ref="P65:T66"/>
    <mergeCell ref="U65:Y66"/>
    <mergeCell ref="F59:H62"/>
    <mergeCell ref="I59:L62"/>
    <mergeCell ref="M59:O60"/>
    <mergeCell ref="P59:P60"/>
    <mergeCell ref="Q59:T60"/>
    <mergeCell ref="U59:Y60"/>
    <mergeCell ref="M61:O62"/>
    <mergeCell ref="P61:P62"/>
    <mergeCell ref="Q61:T62"/>
    <mergeCell ref="U61:Y62"/>
    <mergeCell ref="C55:F55"/>
    <mergeCell ref="G55:I55"/>
    <mergeCell ref="AC55:AC56"/>
    <mergeCell ref="F57:H58"/>
    <mergeCell ref="I57:L58"/>
    <mergeCell ref="M57:O58"/>
    <mergeCell ref="P57:T58"/>
    <mergeCell ref="F54:H54"/>
    <mergeCell ref="L54:M54"/>
    <mergeCell ref="N51:P52"/>
    <mergeCell ref="Q51:U52"/>
    <mergeCell ref="C46:H46"/>
    <mergeCell ref="E39:H40"/>
    <mergeCell ref="F41:H42"/>
    <mergeCell ref="I41:I42"/>
    <mergeCell ref="J41:N42"/>
    <mergeCell ref="O41:X42"/>
    <mergeCell ref="F45:H45"/>
    <mergeCell ref="I51:M52"/>
    <mergeCell ref="I46:I47"/>
    <mergeCell ref="J46:M47"/>
    <mergeCell ref="N46:P47"/>
    <mergeCell ref="Q46:U47"/>
    <mergeCell ref="S30:X30"/>
    <mergeCell ref="P31:X31"/>
    <mergeCell ref="E34:H35"/>
    <mergeCell ref="A36:C36"/>
    <mergeCell ref="F36:H37"/>
    <mergeCell ref="I36:I37"/>
    <mergeCell ref="J36:N37"/>
    <mergeCell ref="O36:X37"/>
    <mergeCell ref="P24:R25"/>
    <mergeCell ref="D25:I27"/>
    <mergeCell ref="P26:R26"/>
    <mergeCell ref="S26:X26"/>
    <mergeCell ref="P27:X27"/>
    <mergeCell ref="C28:I31"/>
    <mergeCell ref="J28:L31"/>
    <mergeCell ref="M28:O31"/>
    <mergeCell ref="P28:R29"/>
    <mergeCell ref="P30:R30"/>
    <mergeCell ref="C23:I23"/>
    <mergeCell ref="J23:L23"/>
    <mergeCell ref="M23:O23"/>
    <mergeCell ref="C24:D24"/>
    <mergeCell ref="J24:L27"/>
    <mergeCell ref="M24:O27"/>
    <mergeCell ref="P20:X20"/>
    <mergeCell ref="C21:I21"/>
    <mergeCell ref="J21:L21"/>
    <mergeCell ref="M21:O21"/>
    <mergeCell ref="P21:X21"/>
    <mergeCell ref="C22:I22"/>
    <mergeCell ref="J22:L22"/>
    <mergeCell ref="M22:O22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E12:H1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</mergeCells>
  <dataValidations count="7">
    <dataValidation type="list" allowBlank="1" showInputMessage="1" showErrorMessage="1" sqref="M23:O23" xr:uid="{E5603795-ABFF-411E-824E-F9868E19E94D}">
      <formula1>$AD$27:$AF$27</formula1>
    </dataValidation>
    <dataValidation type="list" allowBlank="1" showInputMessage="1" showErrorMessage="1" sqref="M22:O22" xr:uid="{BCBADB20-C049-4D2B-A8EA-192C4E75BD34}">
      <formula1>$AD$23:$AF$23</formula1>
    </dataValidation>
    <dataValidation type="list" allowBlank="1" showInputMessage="1" showErrorMessage="1" sqref="G78:I78" xr:uid="{5221E6AF-F512-42CB-B107-E52FDE21D53F}">
      <formula1>$AD$78:$AD$79</formula1>
    </dataValidation>
    <dataValidation type="list" allowBlank="1" showInputMessage="1" showErrorMessage="1" sqref="G55:I55" xr:uid="{35537C03-FE68-4389-B9EC-B19F6CEE004E}">
      <formula1>$AD$55:$AD$56</formula1>
    </dataValidation>
    <dataValidation type="list" allowBlank="1" showInputMessage="1" showErrorMessage="1" sqref="J15:O15" xr:uid="{7BCA2EE5-C669-4531-851E-EDED8E16EAB5}">
      <formula1>$AC$15:$AD$15</formula1>
    </dataValidation>
    <dataValidation type="list" allowBlank="1" showInputMessage="1" showErrorMessage="1" sqref="M43 U67:U68 P67:P68 P59:P62 R43 I41 I43" xr:uid="{903FF05B-95BF-48DB-BA31-5EBFDA5095C6}">
      <formula1>$B$38:$B$39</formula1>
    </dataValidation>
    <dataValidation type="list" allowBlank="1" showInputMessage="1" showErrorMessage="1" sqref="I36:I37 I46:I47 P72 U72" xr:uid="{E271B5A8-78A0-4AE5-9DBA-092ED01BD975}">
      <formula1>$A$38:$A$39</formula1>
    </dataValidation>
  </dataValidations>
  <printOptions horizontalCentered="1" verticalCentered="1"/>
  <pageMargins left="0.25" right="0.25" top="0.1" bottom="0.1" header="0.3" footer="0.3"/>
  <pageSetup paperSize="9" scale="3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4"/>
  <sheetViews>
    <sheetView topLeftCell="A99" zoomScaleNormal="100" workbookViewId="0">
      <selection activeCell="A12" sqref="A12:XFD12"/>
    </sheetView>
  </sheetViews>
  <sheetFormatPr baseColWidth="10" defaultColWidth="5.140625" defaultRowHeight="17.25" customHeight="1" outlineLevelCol="1" x14ac:dyDescent="0.25"/>
  <cols>
    <col min="1" max="2" width="6.42578125" style="1" customWidth="1"/>
    <col min="3" max="6" width="7" style="37" customWidth="1"/>
    <col min="7" max="7" width="7" style="1" customWidth="1"/>
    <col min="8" max="12" width="8.140625" style="1" customWidth="1"/>
    <col min="13" max="26" width="6.42578125" style="1" customWidth="1"/>
    <col min="27" max="27" width="19" style="5" customWidth="1" outlineLevel="1"/>
    <col min="28" max="28" width="1.85546875" style="179" customWidth="1" outlineLevel="1"/>
    <col min="29" max="29" width="23.7109375" style="8" customWidth="1" outlineLevel="1"/>
    <col min="30" max="37" width="19" style="7" customWidth="1" outlineLevel="1"/>
    <col min="38" max="38" width="19" style="9" customWidth="1" outlineLevel="1"/>
    <col min="39" max="45" width="19" style="7" customWidth="1" outlineLevel="1"/>
    <col min="46" max="65" width="15.85546875" style="7" customWidth="1" outlineLevel="1"/>
    <col min="66" max="16384" width="5.140625" style="1"/>
  </cols>
  <sheetData>
    <row r="1" spans="2:66" customFormat="1" ht="17.25" customHeight="1" x14ac:dyDescent="0.25">
      <c r="B1" s="99"/>
      <c r="C1" s="412" t="s">
        <v>236</v>
      </c>
      <c r="D1" s="412"/>
      <c r="E1" s="412"/>
      <c r="F1" s="412"/>
      <c r="G1" s="403" t="s">
        <v>237</v>
      </c>
      <c r="H1" s="403"/>
      <c r="I1" s="403"/>
      <c r="J1" s="403"/>
      <c r="K1" s="403"/>
      <c r="L1" s="403"/>
      <c r="M1" s="403"/>
      <c r="N1" s="403"/>
      <c r="O1" s="403"/>
      <c r="P1" s="403"/>
      <c r="Q1" s="403"/>
      <c r="R1" s="403"/>
      <c r="S1" s="403"/>
      <c r="T1" s="403"/>
      <c r="U1" s="403"/>
      <c r="V1" s="403"/>
      <c r="W1" s="403"/>
      <c r="X1" s="403"/>
      <c r="Y1" s="403"/>
      <c r="Z1" s="99"/>
      <c r="AA1" s="99"/>
      <c r="AB1" s="146"/>
      <c r="BN1" s="107"/>
    </row>
    <row r="2" spans="2:66" customFormat="1" ht="17.25" customHeight="1" x14ac:dyDescent="0.25">
      <c r="B2" s="99"/>
      <c r="C2" s="412"/>
      <c r="D2" s="412"/>
      <c r="E2" s="412"/>
      <c r="F2" s="412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99"/>
      <c r="AA2" s="99"/>
      <c r="AB2" s="146"/>
      <c r="BN2" s="107"/>
    </row>
    <row r="3" spans="2:66" customFormat="1" ht="17.25" customHeight="1" x14ac:dyDescent="0.25">
      <c r="B3" s="99"/>
      <c r="C3" s="412"/>
      <c r="D3" s="412"/>
      <c r="E3" s="412"/>
      <c r="F3" s="412"/>
      <c r="G3" s="408" t="s">
        <v>241</v>
      </c>
      <c r="H3" s="408"/>
      <c r="I3" s="408"/>
      <c r="J3" s="950" t="s">
        <v>240</v>
      </c>
      <c r="K3" s="950"/>
      <c r="L3" s="950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146"/>
      <c r="BN3" s="107"/>
    </row>
    <row r="4" spans="2:66" customFormat="1" ht="17.25" customHeight="1" x14ac:dyDescent="0.25">
      <c r="B4" s="99"/>
      <c r="C4" s="412"/>
      <c r="D4" s="412"/>
      <c r="E4" s="412"/>
      <c r="F4" s="412"/>
      <c r="G4" s="409"/>
      <c r="H4" s="409"/>
      <c r="I4" s="409"/>
      <c r="J4" s="548"/>
      <c r="K4" s="548"/>
      <c r="L4" s="548"/>
      <c r="M4" s="99"/>
      <c r="N4" s="99"/>
      <c r="O4" s="99" t="s">
        <v>47</v>
      </c>
      <c r="P4" s="99" t="s">
        <v>363</v>
      </c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146"/>
      <c r="BN4" s="107"/>
    </row>
    <row r="5" spans="2:66" s="99" customFormat="1" ht="17.25" customHeight="1" x14ac:dyDescent="0.25">
      <c r="C5" s="144"/>
      <c r="D5" s="144"/>
      <c r="E5" s="144"/>
      <c r="F5" s="144"/>
      <c r="G5" s="144"/>
      <c r="AB5" s="146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107"/>
    </row>
    <row r="6" spans="2:66" customFormat="1" ht="17.25" customHeight="1" thickBot="1" x14ac:dyDescent="0.3">
      <c r="B6" s="99"/>
      <c r="C6" s="144"/>
      <c r="D6" s="144"/>
      <c r="E6" s="144"/>
      <c r="F6" s="144"/>
      <c r="G6" s="144"/>
      <c r="H6" s="99"/>
      <c r="I6" s="99"/>
      <c r="J6" s="99"/>
      <c r="K6" s="99"/>
      <c r="L6" s="99"/>
      <c r="M6" s="99"/>
      <c r="N6" s="99"/>
      <c r="O6" s="99"/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146"/>
      <c r="BN6" s="107"/>
    </row>
    <row r="7" spans="2:66" customFormat="1" ht="17.25" customHeight="1" thickBot="1" x14ac:dyDescent="0.3">
      <c r="B7" s="108" t="s">
        <v>0</v>
      </c>
      <c r="C7" s="109"/>
      <c r="D7" s="109"/>
      <c r="E7" s="143" t="str">
        <f>E8</f>
        <v>15/4/2008</v>
      </c>
      <c r="F7" s="143"/>
      <c r="G7" s="143" t="str" cm="1">
        <f t="array" ref="G7">heureDecimal2Txt(E11)</f>
        <v>18:48:30.00(18.8083)</v>
      </c>
      <c r="H7" s="143"/>
      <c r="I7" s="143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47"/>
      <c r="BN7" s="107"/>
    </row>
    <row r="8" spans="2:66" customFormat="1" ht="17.25" customHeight="1" x14ac:dyDescent="0.25">
      <c r="B8" s="99"/>
      <c r="C8" s="404" t="s">
        <v>1</v>
      </c>
      <c r="D8" s="405"/>
      <c r="E8" s="526" t="s">
        <v>371</v>
      </c>
      <c r="F8" s="527"/>
      <c r="G8" s="527"/>
      <c r="H8" s="144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146"/>
      <c r="AC8" s="6" t="s">
        <v>328</v>
      </c>
      <c r="AD8" s="6" cm="1">
        <f t="array" ref="AD8">heureConvert2Decimal(I11)</f>
        <v>18.808333333333334</v>
      </c>
      <c r="BN8" s="107"/>
    </row>
    <row r="9" spans="2:66" customFormat="1" ht="17.25" customHeight="1" thickBot="1" x14ac:dyDescent="0.3">
      <c r="B9" s="99"/>
      <c r="C9" s="380" t="s">
        <v>11</v>
      </c>
      <c r="D9" s="382"/>
      <c r="E9" s="380" t="s">
        <v>2</v>
      </c>
      <c r="F9" s="381"/>
      <c r="G9" s="381"/>
      <c r="H9" s="382"/>
      <c r="I9" s="523" t="s">
        <v>192</v>
      </c>
      <c r="J9" s="523"/>
      <c r="K9" s="523"/>
      <c r="L9" s="523" t="s">
        <v>193</v>
      </c>
      <c r="M9" s="523"/>
      <c r="N9" s="523"/>
      <c r="O9" s="523"/>
      <c r="P9" s="523"/>
      <c r="Q9" s="523" t="s">
        <v>194</v>
      </c>
      <c r="R9" s="523"/>
      <c r="S9" s="523"/>
      <c r="T9" s="523"/>
      <c r="U9" s="523"/>
      <c r="V9" s="508" t="s">
        <v>191</v>
      </c>
      <c r="W9" s="509"/>
      <c r="X9" s="509"/>
      <c r="Y9" s="510"/>
      <c r="Z9" s="99"/>
      <c r="AA9" s="99"/>
      <c r="AB9" s="148"/>
      <c r="AC9" s="6" t="s">
        <v>329</v>
      </c>
      <c r="AD9" s="152">
        <f>L11</f>
        <v>0</v>
      </c>
      <c r="BN9" s="107"/>
    </row>
    <row r="10" spans="2:66" customFormat="1" ht="17.25" customHeight="1" x14ac:dyDescent="0.25">
      <c r="B10" s="99"/>
      <c r="C10" s="406"/>
      <c r="D10" s="407"/>
      <c r="E10" s="383"/>
      <c r="F10" s="384"/>
      <c r="G10" s="384"/>
      <c r="H10" s="385"/>
      <c r="I10" s="523"/>
      <c r="J10" s="523"/>
      <c r="K10" s="523"/>
      <c r="L10" s="523"/>
      <c r="M10" s="523"/>
      <c r="N10" s="523"/>
      <c r="O10" s="523"/>
      <c r="P10" s="523"/>
      <c r="Q10" s="523"/>
      <c r="R10" s="523"/>
      <c r="S10" s="523"/>
      <c r="T10" s="523"/>
      <c r="U10" s="523"/>
      <c r="V10" s="511"/>
      <c r="W10" s="512"/>
      <c r="X10" s="512"/>
      <c r="Y10" s="513"/>
      <c r="Z10" s="99"/>
      <c r="AA10" s="99"/>
      <c r="AB10" s="146"/>
      <c r="AC10" s="6" t="s">
        <v>330</v>
      </c>
      <c r="AD10" s="6">
        <f>Q11/3600</f>
        <v>0</v>
      </c>
      <c r="BN10" s="107"/>
    </row>
    <row r="11" spans="2:66" customFormat="1" ht="17.25" customHeight="1" thickBot="1" x14ac:dyDescent="0.3">
      <c r="B11" s="99"/>
      <c r="C11" s="383"/>
      <c r="D11" s="385"/>
      <c r="E11" s="355">
        <f>AD8+AD9+AD10+AD11</f>
        <v>18.808333333333334</v>
      </c>
      <c r="F11" s="356"/>
      <c r="G11" s="356"/>
      <c r="H11" s="357"/>
      <c r="I11" s="522" t="s">
        <v>375</v>
      </c>
      <c r="J11" s="522"/>
      <c r="K11" s="522"/>
      <c r="L11" s="558">
        <v>0</v>
      </c>
      <c r="M11" s="558"/>
      <c r="N11" s="558"/>
      <c r="O11" s="558"/>
      <c r="P11" s="558"/>
      <c r="Q11" s="558">
        <v>0</v>
      </c>
      <c r="R11" s="558"/>
      <c r="S11" s="558"/>
      <c r="T11" s="558"/>
      <c r="U11" s="559"/>
      <c r="V11" s="557" t="s">
        <v>190</v>
      </c>
      <c r="W11" s="557"/>
      <c r="X11" s="557"/>
      <c r="Y11" s="557"/>
      <c r="Z11" s="99"/>
      <c r="AA11" s="99"/>
      <c r="AB11" s="146"/>
      <c r="AC11" s="6" t="s">
        <v>36</v>
      </c>
      <c r="AD11" s="6" cm="1">
        <f t="array" ref="AD11">heureConvert2Decimal(V11) / 60</f>
        <v>0</v>
      </c>
      <c r="BN11" s="107"/>
    </row>
    <row r="12" spans="2:66" customFormat="1" ht="17.25" customHeight="1" thickTop="1" thickBot="1" x14ac:dyDescent="0.3">
      <c r="B12" s="99"/>
      <c r="E12" s="601" t="str" cm="1">
        <f t="array" ref="E12">heureDecimal2Txt(E11)</f>
        <v>18:48:30.00(18.8083)</v>
      </c>
      <c r="F12" s="602"/>
      <c r="G12" s="602"/>
      <c r="H12" s="603"/>
      <c r="I12" s="41"/>
      <c r="J12" s="41"/>
      <c r="K12" s="41"/>
      <c r="V12" s="41"/>
      <c r="W12" s="41"/>
      <c r="X12" s="41"/>
      <c r="Y12" s="41"/>
      <c r="Z12" s="99"/>
      <c r="AA12" s="99"/>
      <c r="AB12" s="146"/>
      <c r="BN12" s="107"/>
    </row>
    <row r="13" spans="2:66" customFormat="1" ht="17.25" customHeight="1" thickTop="1" thickBot="1" x14ac:dyDescent="0.3">
      <c r="B13" s="99"/>
      <c r="C13" s="98"/>
      <c r="D13" s="98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9"/>
      <c r="AA13" s="99"/>
      <c r="AB13" s="146"/>
      <c r="BN13" s="107"/>
    </row>
    <row r="14" spans="2:66" customFormat="1" ht="17.25" customHeight="1" thickBot="1" x14ac:dyDescent="0.3">
      <c r="B14" s="108" t="s">
        <v>20</v>
      </c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9"/>
      <c r="AA14" s="109"/>
      <c r="AB14" s="147"/>
      <c r="BN14" s="107"/>
    </row>
    <row r="15" spans="2:66" customFormat="1" ht="18" customHeight="1" thickBot="1" x14ac:dyDescent="0.3">
      <c r="B15" s="99"/>
      <c r="C15" s="622" t="s">
        <v>21</v>
      </c>
      <c r="D15" s="622"/>
      <c r="E15" s="622"/>
      <c r="F15" s="622"/>
      <c r="G15" s="622"/>
      <c r="H15" s="622"/>
      <c r="I15" s="622"/>
      <c r="J15" s="560">
        <f>M15</f>
        <v>5.5</v>
      </c>
      <c r="K15" s="561"/>
      <c r="L15" s="562"/>
      <c r="M15" s="520">
        <v>5.5</v>
      </c>
      <c r="N15" s="520"/>
      <c r="O15" s="520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9"/>
      <c r="AA15" s="99"/>
      <c r="AB15" s="146"/>
      <c r="BN15" s="107"/>
    </row>
    <row r="16" spans="2:66" customFormat="1" ht="18" customHeight="1" thickTop="1" thickBot="1" x14ac:dyDescent="0.3">
      <c r="B16" s="97"/>
      <c r="C16" s="783" t="s">
        <v>22</v>
      </c>
      <c r="D16" s="784"/>
      <c r="E16" s="784"/>
      <c r="F16" s="784"/>
      <c r="G16" s="784"/>
      <c r="H16" s="784"/>
      <c r="I16" s="785"/>
      <c r="J16" s="334" cm="1">
        <f t="array" ref="J16">angleConvert2Decimal(M16)</f>
        <v>0</v>
      </c>
      <c r="K16" s="433"/>
      <c r="L16" s="433"/>
      <c r="M16" s="519">
        <v>0</v>
      </c>
      <c r="N16" s="520"/>
      <c r="O16" s="520"/>
      <c r="P16" s="346" t="str" cm="1">
        <f t="array" ref="P16">angleDecimal2Txt(J16)</f>
        <v>+00°00.00 (+00.0000) [+00°00'00.00]</v>
      </c>
      <c r="Q16" s="346"/>
      <c r="R16" s="346"/>
      <c r="S16" s="346"/>
      <c r="T16" s="346"/>
      <c r="U16" s="346"/>
      <c r="V16" s="346"/>
      <c r="W16" s="346"/>
      <c r="X16" s="346"/>
      <c r="Y16" s="97"/>
      <c r="Z16" s="99"/>
      <c r="AA16" s="99"/>
      <c r="AB16" s="146"/>
      <c r="BN16" s="107"/>
    </row>
    <row r="17" spans="1:66" customFormat="1" ht="18" customHeight="1" thickTop="1" thickBot="1" x14ac:dyDescent="0.3">
      <c r="B17" s="99"/>
      <c r="C17" s="629" t="s">
        <v>32</v>
      </c>
      <c r="D17" s="629"/>
      <c r="E17" s="629"/>
      <c r="F17" s="629"/>
      <c r="G17" s="629"/>
      <c r="H17" s="629"/>
      <c r="I17" s="629"/>
      <c r="J17" s="894" cm="1">
        <f t="array" ref="J17">angleConvert2Decimal(M17)</f>
        <v>28.916666666666668</v>
      </c>
      <c r="K17" s="895"/>
      <c r="L17" s="895"/>
      <c r="M17" s="896" t="s">
        <v>376</v>
      </c>
      <c r="N17" s="897"/>
      <c r="O17" s="898"/>
      <c r="P17" s="346" t="str" cm="1">
        <f t="array" ref="P17">angleDecimal2Txt(J17)</f>
        <v>+28°55.00 (+28.9166) [+28°55'00.00]</v>
      </c>
      <c r="Q17" s="346"/>
      <c r="R17" s="346"/>
      <c r="S17" s="346"/>
      <c r="T17" s="346"/>
      <c r="U17" s="346"/>
      <c r="V17" s="346"/>
      <c r="W17" s="346"/>
      <c r="X17" s="346"/>
      <c r="Y17" s="97"/>
      <c r="Z17" s="99"/>
      <c r="AA17" s="99"/>
      <c r="AB17" s="146"/>
      <c r="BN17" s="107"/>
    </row>
    <row r="18" spans="1:66" customFormat="1" ht="18" customHeight="1" thickTop="1" x14ac:dyDescent="0.25">
      <c r="B18" s="99"/>
      <c r="C18" s="622" t="s">
        <v>37</v>
      </c>
      <c r="D18" s="622"/>
      <c r="E18" s="622"/>
      <c r="F18" s="622"/>
      <c r="G18" s="622"/>
      <c r="H18" s="622"/>
      <c r="I18" s="622"/>
      <c r="J18" s="623" t="str">
        <f>M18</f>
        <v>Polaire</v>
      </c>
      <c r="K18" s="624"/>
      <c r="L18" s="625"/>
      <c r="M18" s="528" t="s">
        <v>316</v>
      </c>
      <c r="N18" s="529"/>
      <c r="O18" s="530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9"/>
      <c r="AA18" s="99"/>
      <c r="AB18" s="146"/>
      <c r="AG18" s="99"/>
      <c r="AH18" s="99"/>
      <c r="BN18" s="107"/>
    </row>
    <row r="19" spans="1:66" customFormat="1" ht="18" customHeight="1" x14ac:dyDescent="0.25">
      <c r="B19" s="99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9"/>
      <c r="AA19" s="99"/>
      <c r="AB19" s="146"/>
      <c r="AG19" s="99"/>
      <c r="AH19" s="99"/>
      <c r="BN19" s="107"/>
    </row>
    <row r="20" spans="1:66" customFormat="1" ht="17.25" customHeight="1" thickBot="1" x14ac:dyDescent="0.3">
      <c r="B20" s="99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9"/>
      <c r="AA20" s="99"/>
      <c r="AB20" s="146"/>
      <c r="BN20" s="107"/>
    </row>
    <row r="21" spans="1:66" customFormat="1" ht="17.25" customHeight="1" thickBot="1" x14ac:dyDescent="0.3">
      <c r="B21" s="108" t="s">
        <v>19</v>
      </c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  <c r="X21" s="109"/>
      <c r="Y21" s="109"/>
      <c r="Z21" s="109"/>
      <c r="AA21" s="109"/>
      <c r="AB21" s="147"/>
      <c r="BN21" s="107"/>
    </row>
    <row r="22" spans="1:66" s="99" customFormat="1" ht="17.25" customHeight="1" x14ac:dyDescent="0.25">
      <c r="C22" s="97"/>
      <c r="D22" s="97"/>
      <c r="E22" s="524" t="s">
        <v>7</v>
      </c>
      <c r="F22" s="524"/>
      <c r="G22" s="524"/>
      <c r="H22" s="524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AB22" s="146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107"/>
    </row>
    <row r="23" spans="1:66" s="99" customFormat="1" ht="17.25" customHeight="1" thickBot="1" x14ac:dyDescent="0.3">
      <c r="C23" s="97"/>
      <c r="D23" s="97"/>
      <c r="E23" s="524"/>
      <c r="F23" s="524"/>
      <c r="G23" s="524"/>
      <c r="H23" s="524"/>
      <c r="I23" s="97"/>
      <c r="J23" s="97" t="s">
        <v>233</v>
      </c>
      <c r="K23" s="97"/>
      <c r="L23" s="97" t="s">
        <v>234</v>
      </c>
      <c r="M23" s="97"/>
      <c r="N23" s="97"/>
      <c r="O23" s="97"/>
      <c r="P23" s="97"/>
      <c r="Q23" s="97"/>
      <c r="R23" s="97"/>
      <c r="S23" s="97"/>
      <c r="T23" s="97"/>
      <c r="U23" s="97"/>
      <c r="V23" s="97"/>
      <c r="AB23" s="146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107"/>
    </row>
    <row r="24" spans="1:66" s="99" customFormat="1" ht="17.25" customHeight="1" thickTop="1" thickBot="1" x14ac:dyDescent="0.3">
      <c r="A24" s="626" t="s">
        <v>41</v>
      </c>
      <c r="B24" s="627"/>
      <c r="C24" s="628"/>
      <c r="D24" s="97"/>
      <c r="E24" s="97"/>
      <c r="F24" s="491">
        <f>AD25</f>
        <v>29.083333333333332</v>
      </c>
      <c r="G24" s="516"/>
      <c r="H24" s="516"/>
      <c r="I24" s="423" t="s">
        <v>3</v>
      </c>
      <c r="J24" s="425" t="s">
        <v>373</v>
      </c>
      <c r="K24" s="423"/>
      <c r="L24" s="423"/>
      <c r="M24" s="423"/>
      <c r="N24" s="423"/>
      <c r="O24" s="344" t="str" cm="1">
        <f t="array" ref="O24">angleDecimal2Txt(F24)</f>
        <v>+29°05.00 (+29.0833) [+29°05'00.00]</v>
      </c>
      <c r="P24" s="344"/>
      <c r="Q24" s="344"/>
      <c r="R24" s="344"/>
      <c r="S24" s="344"/>
      <c r="T24" s="344"/>
      <c r="U24" s="344"/>
      <c r="V24" s="344"/>
      <c r="W24" s="344"/>
      <c r="X24" s="344"/>
      <c r="Y24" s="97"/>
      <c r="Z24" s="97"/>
      <c r="AB24" s="146"/>
      <c r="AC24" s="6" t="s">
        <v>334</v>
      </c>
      <c r="AD24" s="6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114"/>
    </row>
    <row r="25" spans="1:66" s="99" customFormat="1" ht="17.25" customHeight="1" thickTop="1" thickBot="1" x14ac:dyDescent="0.3">
      <c r="A25" s="100" t="s">
        <v>49</v>
      </c>
      <c r="B25" s="115" t="s">
        <v>50</v>
      </c>
      <c r="C25" s="101"/>
      <c r="D25" s="97"/>
      <c r="E25" s="97"/>
      <c r="F25" s="516"/>
      <c r="G25" s="516"/>
      <c r="H25" s="516"/>
      <c r="I25" s="423"/>
      <c r="J25" s="423"/>
      <c r="K25" s="423"/>
      <c r="L25" s="423"/>
      <c r="M25" s="423"/>
      <c r="N25" s="423"/>
      <c r="O25" s="344"/>
      <c r="P25" s="344"/>
      <c r="Q25" s="344"/>
      <c r="R25" s="344"/>
      <c r="S25" s="344"/>
      <c r="T25" s="344"/>
      <c r="U25" s="344"/>
      <c r="V25" s="344"/>
      <c r="W25" s="344"/>
      <c r="X25" s="344"/>
      <c r="Y25" s="97"/>
      <c r="Z25" s="97"/>
      <c r="AB25" s="146"/>
      <c r="AC25" s="6" t="s">
        <v>335</v>
      </c>
      <c r="AD25" s="6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114"/>
    </row>
    <row r="26" spans="1:66" s="99" customFormat="1" ht="17.25" customHeight="1" thickTop="1" x14ac:dyDescent="0.25">
      <c r="A26" s="100" t="s">
        <v>3</v>
      </c>
      <c r="B26" s="115" t="s">
        <v>5</v>
      </c>
      <c r="C26" s="101">
        <v>1</v>
      </c>
      <c r="D26" s="97"/>
      <c r="E26" s="97"/>
      <c r="F26" s="97"/>
      <c r="G26" s="97"/>
      <c r="H26" s="97"/>
      <c r="AB26" s="14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114"/>
    </row>
    <row r="27" spans="1:66" s="99" customFormat="1" ht="17.25" customHeight="1" thickBot="1" x14ac:dyDescent="0.3">
      <c r="A27" s="102" t="s">
        <v>4</v>
      </c>
      <c r="B27" s="103" t="s">
        <v>6</v>
      </c>
      <c r="C27" s="104">
        <v>-1</v>
      </c>
      <c r="D27" s="97"/>
      <c r="E27" s="517" t="s">
        <v>8</v>
      </c>
      <c r="F27" s="517"/>
      <c r="G27" s="517"/>
      <c r="H27" s="51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AB27" s="146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114"/>
    </row>
    <row r="28" spans="1:66" s="99" customFormat="1" ht="17.25" customHeight="1" thickBot="1" x14ac:dyDescent="0.3">
      <c r="C28" s="97"/>
      <c r="D28" s="97"/>
      <c r="E28" s="517"/>
      <c r="F28" s="517"/>
      <c r="G28" s="517"/>
      <c r="H28" s="517"/>
      <c r="I28" s="97"/>
      <c r="J28" s="97" t="s">
        <v>233</v>
      </c>
      <c r="K28" s="97"/>
      <c r="L28" s="97" t="s">
        <v>242</v>
      </c>
      <c r="M28" s="97"/>
      <c r="N28" s="97"/>
      <c r="O28" s="97"/>
      <c r="P28" s="97"/>
      <c r="Q28" s="97"/>
      <c r="R28" s="97"/>
      <c r="S28" s="97"/>
      <c r="T28" s="97"/>
      <c r="U28" s="97"/>
      <c r="V28" s="97"/>
      <c r="AB28" s="146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114"/>
    </row>
    <row r="29" spans="1:66" s="99" customFormat="1" ht="17.25" customHeight="1" thickTop="1" thickBot="1" x14ac:dyDescent="0.3">
      <c r="B29" s="97"/>
      <c r="C29" s="97"/>
      <c r="D29" s="97"/>
      <c r="E29" s="97"/>
      <c r="F29" s="491">
        <f>AD30</f>
        <v>-12.5</v>
      </c>
      <c r="G29" s="516"/>
      <c r="H29" s="516"/>
      <c r="I29" s="423" t="s">
        <v>6</v>
      </c>
      <c r="J29" s="425" t="s">
        <v>374</v>
      </c>
      <c r="K29" s="423"/>
      <c r="L29" s="423"/>
      <c r="M29" s="423"/>
      <c r="N29" s="423"/>
      <c r="O29" s="344" t="str" cm="1">
        <f t="array" ref="O29">angleDecimal2Txt(F29)</f>
        <v>-12°30.00 (-12.5000) [-12°30'00.00]</v>
      </c>
      <c r="P29" s="344"/>
      <c r="Q29" s="344"/>
      <c r="R29" s="344"/>
      <c r="S29" s="344"/>
      <c r="T29" s="344"/>
      <c r="U29" s="344"/>
      <c r="V29" s="344"/>
      <c r="W29" s="344"/>
      <c r="X29" s="344"/>
      <c r="Y29" s="97"/>
      <c r="Z29" s="97"/>
      <c r="AB29" s="146"/>
      <c r="AC29" s="6" t="s">
        <v>336</v>
      </c>
      <c r="AD29" s="6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107"/>
    </row>
    <row r="30" spans="1:66" s="99" customFormat="1" ht="17.25" customHeight="1" thickTop="1" thickBot="1" x14ac:dyDescent="0.3">
      <c r="C30" s="97"/>
      <c r="D30" s="97"/>
      <c r="E30" s="97"/>
      <c r="F30" s="516"/>
      <c r="G30" s="516"/>
      <c r="H30" s="516"/>
      <c r="I30" s="423"/>
      <c r="J30" s="423"/>
      <c r="K30" s="423"/>
      <c r="L30" s="423"/>
      <c r="M30" s="423"/>
      <c r="N30" s="423"/>
      <c r="O30" s="344"/>
      <c r="P30" s="344"/>
      <c r="Q30" s="344"/>
      <c r="R30" s="344"/>
      <c r="S30" s="344"/>
      <c r="T30" s="344"/>
      <c r="U30" s="344"/>
      <c r="V30" s="344"/>
      <c r="W30" s="344"/>
      <c r="X30" s="344"/>
      <c r="Y30" s="97"/>
      <c r="Z30" s="97"/>
      <c r="AB30" s="146"/>
      <c r="AC30" s="6" t="s">
        <v>337</v>
      </c>
      <c r="AD30" s="6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107"/>
    </row>
    <row r="31" spans="1:66" s="99" customFormat="1" ht="17.25" customHeight="1" thickTop="1" x14ac:dyDescent="0.25"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B31" s="146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107"/>
    </row>
    <row r="32" spans="1:66" s="99" customFormat="1" ht="17.25" customHeight="1" thickBot="1" x14ac:dyDescent="0.3">
      <c r="C32" s="144"/>
      <c r="D32" s="144"/>
      <c r="E32" s="144"/>
      <c r="F32" s="144"/>
      <c r="G32" s="144"/>
      <c r="AB32" s="146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107"/>
    </row>
    <row r="33" spans="1:67" s="99" customFormat="1" ht="17.25" customHeight="1" thickBot="1" x14ac:dyDescent="0.3">
      <c r="B33" s="108" t="s">
        <v>368</v>
      </c>
      <c r="C33" s="109"/>
      <c r="D33" s="109"/>
      <c r="E33" s="109"/>
      <c r="F33" s="416">
        <f>N34</f>
        <v>89.38333333333334</v>
      </c>
      <c r="G33" s="416"/>
      <c r="H33" s="416"/>
      <c r="I33" s="162"/>
      <c r="J33" s="952" t="str" cm="1">
        <f t="array" ref="J33">angleDecimal2Txt(F33)</f>
        <v>+89°23.00 (+89.3833) [+89°23'00.00]</v>
      </c>
      <c r="K33" s="952"/>
      <c r="L33" s="952"/>
      <c r="M33" s="952"/>
      <c r="N33" s="952"/>
      <c r="O33" s="952"/>
      <c r="P33" s="952"/>
      <c r="Q33" s="109"/>
      <c r="R33" s="109"/>
      <c r="S33" s="109"/>
      <c r="T33" s="109"/>
      <c r="U33" s="109"/>
      <c r="V33" s="109"/>
      <c r="W33" s="109"/>
      <c r="X33" s="109"/>
      <c r="Y33" s="109"/>
      <c r="Z33" s="109"/>
      <c r="AA33" s="109"/>
      <c r="AB33" s="149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107"/>
    </row>
    <row r="34" spans="1:67" s="116" customFormat="1" ht="17.25" customHeight="1" thickTop="1" x14ac:dyDescent="0.25">
      <c r="C34" s="617" t="s">
        <v>114</v>
      </c>
      <c r="D34" s="617"/>
      <c r="E34" s="617"/>
      <c r="F34" s="617"/>
      <c r="G34" s="617"/>
      <c r="H34" s="923"/>
      <c r="I34" s="925" t="s">
        <v>3</v>
      </c>
      <c r="J34" s="924" t="s">
        <v>379</v>
      </c>
      <c r="K34" s="924"/>
      <c r="L34" s="924"/>
      <c r="M34" s="924"/>
      <c r="N34" s="949">
        <f>AD35</f>
        <v>89.38333333333334</v>
      </c>
      <c r="O34" s="949"/>
      <c r="P34" s="949"/>
      <c r="Q34" s="926" t="str" cm="1">
        <f t="array" ref="Q34">angleDecimal2Txt(N34)</f>
        <v>+89°23.00 (+89.3833) [+89°23'00.00]</v>
      </c>
      <c r="R34" s="926"/>
      <c r="S34" s="926"/>
      <c r="T34" s="926"/>
      <c r="U34" s="927"/>
      <c r="AB34" s="150"/>
      <c r="AC34" s="6" t="s">
        <v>367</v>
      </c>
      <c r="AD34" s="6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99" customFormat="1" ht="17.25" customHeight="1" thickBot="1" x14ac:dyDescent="0.3">
      <c r="C35" s="97"/>
      <c r="D35" s="97"/>
      <c r="E35" s="97"/>
      <c r="F35" s="97"/>
      <c r="G35" s="97"/>
      <c r="H35" s="97"/>
      <c r="I35" s="925"/>
      <c r="J35" s="924"/>
      <c r="K35" s="924"/>
      <c r="L35" s="924"/>
      <c r="M35" s="924"/>
      <c r="N35" s="949"/>
      <c r="O35" s="949"/>
      <c r="P35" s="949"/>
      <c r="Q35" s="928"/>
      <c r="R35" s="928"/>
      <c r="S35" s="928"/>
      <c r="T35" s="928"/>
      <c r="U35" s="929"/>
      <c r="AB35" s="146"/>
      <c r="AC35" s="6" t="s">
        <v>335</v>
      </c>
      <c r="AD35" s="6" cm="1">
        <f t="array" ref="AD35">angleConvert2Decimal(J34)*AD34</f>
        <v>89.38333333333334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107"/>
    </row>
    <row r="36" spans="1:67" customFormat="1" ht="17.25" customHeight="1" thickTop="1" x14ac:dyDescent="0.25">
      <c r="A36" s="99"/>
      <c r="B36" s="99"/>
      <c r="C36" s="144"/>
      <c r="D36" s="144"/>
      <c r="E36" s="144"/>
      <c r="F36" s="144"/>
      <c r="G36" s="144"/>
      <c r="H36" s="99"/>
      <c r="I36" s="99"/>
      <c r="J36" s="99"/>
      <c r="K36" s="99"/>
      <c r="L36" s="99"/>
      <c r="M36" s="99"/>
      <c r="N36" s="99"/>
      <c r="O36" s="99"/>
      <c r="P36" s="99"/>
      <c r="Q36" s="99"/>
      <c r="R36" s="99"/>
      <c r="S36" s="97"/>
      <c r="T36" s="97"/>
      <c r="U36" s="97"/>
      <c r="V36" s="97"/>
      <c r="W36" s="97"/>
      <c r="X36" s="97"/>
      <c r="Y36" s="99"/>
      <c r="Z36" s="99"/>
      <c r="AA36" s="99"/>
      <c r="AB36" s="146"/>
      <c r="BN36" s="107"/>
      <c r="BO36" s="99"/>
    </row>
    <row r="37" spans="1:67" customFormat="1" ht="17.25" customHeight="1" thickBot="1" x14ac:dyDescent="0.3">
      <c r="A37" s="99"/>
      <c r="B37" s="99"/>
      <c r="C37" s="144"/>
      <c r="D37" s="144"/>
      <c r="E37" s="144"/>
      <c r="F37" s="144"/>
      <c r="G37" s="144"/>
      <c r="H37" s="99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7"/>
      <c r="T37" s="97"/>
      <c r="U37" s="97"/>
      <c r="V37" s="97"/>
      <c r="W37" s="97"/>
      <c r="X37" s="97"/>
      <c r="Y37" s="99"/>
      <c r="Z37" s="99"/>
      <c r="AA37" s="99"/>
      <c r="AB37" s="146"/>
      <c r="BN37" s="107"/>
      <c r="BO37" s="99"/>
    </row>
    <row r="38" spans="1:67" s="97" customFormat="1" ht="17.25" customHeight="1" thickBot="1" x14ac:dyDescent="0.3">
      <c r="A38" s="99"/>
      <c r="B38" s="108" t="s">
        <v>369</v>
      </c>
      <c r="C38" s="109"/>
      <c r="D38" s="109"/>
      <c r="E38" s="109"/>
      <c r="F38" s="416">
        <f>N39</f>
        <v>312</v>
      </c>
      <c r="G38" s="416"/>
      <c r="H38" s="416"/>
      <c r="I38" s="162"/>
      <c r="J38" s="930" t="s">
        <v>83</v>
      </c>
      <c r="K38" s="930"/>
      <c r="L38" s="930"/>
      <c r="M38" s="931" t="str">
        <f>J18</f>
        <v>Polaire</v>
      </c>
      <c r="N38" s="931"/>
      <c r="O38" s="931"/>
      <c r="P38" s="162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49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114"/>
    </row>
    <row r="39" spans="1:67" s="99" customFormat="1" ht="17.25" customHeight="1" thickTop="1" thickBot="1" x14ac:dyDescent="0.3">
      <c r="C39" s="617" t="s">
        <v>366</v>
      </c>
      <c r="D39" s="617"/>
      <c r="E39" s="617"/>
      <c r="F39" s="617"/>
      <c r="G39" s="617"/>
      <c r="H39" s="923"/>
      <c r="I39" s="924" t="s">
        <v>378</v>
      </c>
      <c r="J39" s="924"/>
      <c r="K39" s="924"/>
      <c r="L39" s="924"/>
      <c r="M39" s="924"/>
      <c r="N39" s="949" cm="1">
        <f t="array" ref="N39">angleConvert2Decimal(I39)</f>
        <v>312</v>
      </c>
      <c r="O39" s="949"/>
      <c r="P39" s="949"/>
      <c r="Q39" s="343" t="str" cm="1">
        <f t="array" ref="Q39">angleDecimal2Txt(N39)</f>
        <v>+312°00.00 (+312.0000) [+312°00'00.00]</v>
      </c>
      <c r="R39" s="514"/>
      <c r="S39" s="514"/>
      <c r="T39" s="514"/>
      <c r="U39" s="514"/>
      <c r="AB39" s="146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107"/>
    </row>
    <row r="40" spans="1:67" s="99" customFormat="1" ht="17.25" customHeight="1" thickTop="1" thickBot="1" x14ac:dyDescent="0.3">
      <c r="A40" s="97"/>
      <c r="C40" s="97"/>
      <c r="D40" s="97"/>
      <c r="E40" s="97"/>
      <c r="F40" s="97"/>
      <c r="G40" s="97"/>
      <c r="H40" s="97"/>
      <c r="I40" s="924"/>
      <c r="J40" s="924"/>
      <c r="K40" s="924"/>
      <c r="L40" s="924"/>
      <c r="M40" s="924"/>
      <c r="N40" s="949"/>
      <c r="O40" s="949"/>
      <c r="P40" s="949"/>
      <c r="Q40" s="922"/>
      <c r="R40" s="514"/>
      <c r="S40" s="514"/>
      <c r="T40" s="514"/>
      <c r="U40" s="514"/>
      <c r="AB40" s="151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107"/>
    </row>
    <row r="41" spans="1:67" s="99" customFormat="1" ht="17.25" customHeight="1" thickTop="1" thickBot="1" x14ac:dyDescent="0.3">
      <c r="A41" s="97"/>
      <c r="C41" s="97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15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107"/>
    </row>
    <row r="42" spans="1:67" customFormat="1" ht="17.25" customHeight="1" thickBot="1" x14ac:dyDescent="0.3">
      <c r="A42" s="116"/>
      <c r="B42" s="108" t="s">
        <v>317</v>
      </c>
      <c r="C42" s="109"/>
      <c r="D42" s="109"/>
      <c r="E42" s="109"/>
      <c r="F42" s="416">
        <f>IF(G43=AD43,F47,F55)</f>
        <v>311.63383340000001</v>
      </c>
      <c r="G42" s="416"/>
      <c r="H42" s="416"/>
      <c r="I42" s="109"/>
      <c r="J42" s="109"/>
      <c r="K42" s="109"/>
      <c r="L42" s="413">
        <f>F42-360</f>
        <v>-48.366166599999985</v>
      </c>
      <c r="M42" s="413"/>
      <c r="N42" s="109" t="s">
        <v>34</v>
      </c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49"/>
      <c r="BN42" s="107"/>
      <c r="BO42" s="99"/>
    </row>
    <row r="43" spans="1:67" customFormat="1" ht="17.25" customHeight="1" x14ac:dyDescent="0.25">
      <c r="A43" s="99"/>
      <c r="B43" s="116"/>
      <c r="C43" s="414" t="s">
        <v>42</v>
      </c>
      <c r="D43" s="414"/>
      <c r="E43" s="414"/>
      <c r="F43" s="415"/>
      <c r="G43" s="575" t="s">
        <v>16</v>
      </c>
      <c r="H43" s="576"/>
      <c r="I43" s="577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50"/>
      <c r="AC43" s="616" t="s">
        <v>43</v>
      </c>
      <c r="AD43" s="153" t="s">
        <v>10</v>
      </c>
      <c r="BN43" s="107"/>
      <c r="BO43" s="99"/>
    </row>
    <row r="44" spans="1:67" customFormat="1" ht="17.25" customHeight="1" x14ac:dyDescent="0.25">
      <c r="A44" s="99"/>
      <c r="B44" s="99"/>
      <c r="C44" s="117" t="s">
        <v>10</v>
      </c>
      <c r="D44" s="117"/>
      <c r="E44" s="118"/>
      <c r="F44" s="118"/>
      <c r="G44" s="97"/>
      <c r="H44" s="97"/>
      <c r="I44" s="97"/>
      <c r="J44" s="99"/>
      <c r="K44" s="99"/>
      <c r="L44" s="99"/>
      <c r="M44" s="99"/>
      <c r="N44" s="99"/>
      <c r="O44" s="99"/>
      <c r="P44" s="99"/>
      <c r="Q44" s="99"/>
      <c r="R44" s="99"/>
      <c r="S44" s="99"/>
      <c r="T44" s="99"/>
      <c r="U44" s="99"/>
      <c r="V44" s="99"/>
      <c r="W44" s="99"/>
      <c r="X44" s="99"/>
      <c r="Y44" s="99"/>
      <c r="Z44" s="99"/>
      <c r="AA44" s="99"/>
      <c r="AB44" s="146"/>
      <c r="AC44" s="616"/>
      <c r="AD44" s="153" t="s">
        <v>16</v>
      </c>
      <c r="BN44" s="107"/>
      <c r="BO44" s="99"/>
    </row>
    <row r="45" spans="1:67" customFormat="1" ht="17.25" customHeight="1" x14ac:dyDescent="0.25">
      <c r="A45" s="99"/>
      <c r="B45" s="99"/>
      <c r="C45" s="144"/>
      <c r="D45" s="144"/>
      <c r="E45" s="144"/>
      <c r="F45" s="380" t="s">
        <v>9</v>
      </c>
      <c r="G45" s="381"/>
      <c r="H45" s="382"/>
      <c r="I45" s="380" t="s">
        <v>12</v>
      </c>
      <c r="J45" s="381"/>
      <c r="K45" s="381"/>
      <c r="L45" s="382"/>
      <c r="M45" s="386" t="s">
        <v>13</v>
      </c>
      <c r="N45" s="387"/>
      <c r="O45" s="388"/>
      <c r="P45" s="372" t="s">
        <v>17</v>
      </c>
      <c r="Q45" s="373"/>
      <c r="R45" s="373"/>
      <c r="S45" s="373"/>
      <c r="T45" s="374"/>
      <c r="U45" s="97"/>
      <c r="V45" s="99"/>
      <c r="W45" s="99"/>
      <c r="X45" s="99"/>
      <c r="Y45" s="99"/>
      <c r="Z45" s="99"/>
      <c r="AA45" s="99"/>
      <c r="AB45" s="146"/>
      <c r="AD45" s="158" t="s">
        <v>101</v>
      </c>
      <c r="AE45" s="6" t="s">
        <v>347</v>
      </c>
      <c r="BN45" s="107"/>
      <c r="BO45" s="99"/>
    </row>
    <row r="46" spans="1:67" customFormat="1" ht="17.25" customHeight="1" thickBot="1" x14ac:dyDescent="0.3">
      <c r="A46" s="99"/>
      <c r="B46" s="99"/>
      <c r="C46" s="144"/>
      <c r="D46" s="144"/>
      <c r="E46" s="144"/>
      <c r="F46" s="383"/>
      <c r="G46" s="384"/>
      <c r="H46" s="385"/>
      <c r="I46" s="383"/>
      <c r="J46" s="384"/>
      <c r="K46" s="384"/>
      <c r="L46" s="385"/>
      <c r="M46" s="389"/>
      <c r="N46" s="390"/>
      <c r="O46" s="391"/>
      <c r="P46" s="902"/>
      <c r="Q46" s="376"/>
      <c r="R46" s="376"/>
      <c r="S46" s="376"/>
      <c r="T46" s="377"/>
      <c r="U46" s="97"/>
      <c r="V46" s="99"/>
      <c r="W46" s="99"/>
      <c r="X46" s="99"/>
      <c r="Y46" s="99"/>
      <c r="AA46" s="99"/>
      <c r="AB46" s="146"/>
      <c r="AC46" s="6" t="s">
        <v>338</v>
      </c>
      <c r="AD46" s="6">
        <f>VLOOKUP(P47,$B$26:$C$27,2)</f>
        <v>1</v>
      </c>
      <c r="AE46" s="6" cm="1">
        <f t="array" ref="AE46">AD46*angleConvert2Decimal(Q47)</f>
        <v>323.85333333333335</v>
      </c>
      <c r="BN46" s="107"/>
      <c r="BO46" s="99"/>
    </row>
    <row r="47" spans="1:67" customFormat="1" ht="17.25" customHeight="1" thickTop="1" thickBot="1" x14ac:dyDescent="0.3">
      <c r="A47" s="99"/>
      <c r="B47" s="99"/>
      <c r="C47" s="144"/>
      <c r="D47" s="144"/>
      <c r="E47" s="99"/>
      <c r="F47" s="490" t="str">
        <f>IF(G43=AD44,"---",AD51)</f>
        <v>---</v>
      </c>
      <c r="G47" s="490"/>
      <c r="H47" s="490"/>
      <c r="I47" s="951">
        <f>E11</f>
        <v>18.808333333333334</v>
      </c>
      <c r="J47" s="951"/>
      <c r="K47" s="951"/>
      <c r="L47" s="951"/>
      <c r="M47" s="486">
        <v>8</v>
      </c>
      <c r="N47" s="487"/>
      <c r="O47" s="903"/>
      <c r="P47" s="905" t="s">
        <v>5</v>
      </c>
      <c r="Q47" s="906" t="s">
        <v>372</v>
      </c>
      <c r="R47" s="635"/>
      <c r="S47" s="635"/>
      <c r="T47" s="907"/>
      <c r="U47" s="344" t="str" cm="1">
        <f t="array" ref="U47">angleDecimal2Txt(AE46)</f>
        <v>+323°51.20 (+323.8533) [+323°51'12.00]</v>
      </c>
      <c r="V47" s="514"/>
      <c r="W47" s="514"/>
      <c r="X47" s="514"/>
      <c r="Y47" s="514"/>
      <c r="AA47" s="99"/>
      <c r="AB47" s="146"/>
      <c r="AC47" s="6" t="s">
        <v>339</v>
      </c>
      <c r="AD47" s="6">
        <f>VLOOKUP(P49,$B$26:$C$27,2)</f>
        <v>1</v>
      </c>
      <c r="AE47" s="6" cm="1">
        <f t="array" ref="AE47">AD47*angleConvert2Decimal(Q49)</f>
        <v>338.89499999999998</v>
      </c>
      <c r="BN47" s="107"/>
      <c r="BO47" s="99"/>
    </row>
    <row r="48" spans="1:67" customFormat="1" ht="17.25" customHeight="1" thickTop="1" thickBot="1" x14ac:dyDescent="0.3">
      <c r="A48" s="99"/>
      <c r="B48" s="99"/>
      <c r="C48" s="144"/>
      <c r="D48" s="144"/>
      <c r="E48" s="144"/>
      <c r="F48" s="491"/>
      <c r="G48" s="491"/>
      <c r="H48" s="491"/>
      <c r="I48" s="951"/>
      <c r="J48" s="951"/>
      <c r="K48" s="951"/>
      <c r="L48" s="951"/>
      <c r="M48" s="488"/>
      <c r="N48" s="489"/>
      <c r="O48" s="613"/>
      <c r="P48" s="422"/>
      <c r="Q48" s="908"/>
      <c r="R48" s="909"/>
      <c r="S48" s="909"/>
      <c r="T48" s="910"/>
      <c r="U48" s="514"/>
      <c r="V48" s="514"/>
      <c r="W48" s="514"/>
      <c r="X48" s="514"/>
      <c r="Y48" s="514"/>
      <c r="AA48" s="99"/>
      <c r="AB48" s="146"/>
      <c r="AC48" s="6" t="s">
        <v>45</v>
      </c>
      <c r="AD48" s="8">
        <f>AE47-AE46</f>
        <v>15.041666666666629</v>
      </c>
      <c r="BN48" s="107"/>
      <c r="BO48" s="99"/>
    </row>
    <row r="49" spans="1:67" customFormat="1" ht="17.25" customHeight="1" thickTop="1" thickBot="1" x14ac:dyDescent="0.3">
      <c r="A49" s="99"/>
      <c r="B49" s="99"/>
      <c r="C49" s="144"/>
      <c r="D49" s="144"/>
      <c r="E49" s="144"/>
      <c r="F49" s="491"/>
      <c r="G49" s="491"/>
      <c r="H49" s="491"/>
      <c r="I49" s="951"/>
      <c r="J49" s="951"/>
      <c r="K49" s="951"/>
      <c r="L49" s="951"/>
      <c r="M49" s="573">
        <v>9</v>
      </c>
      <c r="N49" s="574"/>
      <c r="O49" s="911"/>
      <c r="P49" s="912" t="s">
        <v>5</v>
      </c>
      <c r="Q49" s="638" t="s">
        <v>326</v>
      </c>
      <c r="R49" s="913"/>
      <c r="S49" s="913"/>
      <c r="T49" s="914"/>
      <c r="U49" s="344" t="str" cm="1">
        <f t="array" ref="U49">angleDecimal2Txt((AE47))</f>
        <v>+338°53.70 (+338.8949) [+338°53'42.00]</v>
      </c>
      <c r="V49" s="514"/>
      <c r="W49" s="514"/>
      <c r="X49" s="514"/>
      <c r="Y49" s="514"/>
      <c r="AA49" s="99"/>
      <c r="AB49" s="146"/>
      <c r="AC49" s="6" t="s">
        <v>341</v>
      </c>
      <c r="AD49" s="8">
        <f>M49-M47</f>
        <v>1</v>
      </c>
      <c r="AE49" s="99"/>
      <c r="BN49" s="107"/>
      <c r="BO49" s="99"/>
    </row>
    <row r="50" spans="1:67" customFormat="1" ht="17.25" customHeight="1" thickTop="1" thickBot="1" x14ac:dyDescent="0.3">
      <c r="A50" s="99"/>
      <c r="B50" s="99"/>
      <c r="C50" s="144"/>
      <c r="D50" s="144"/>
      <c r="E50" s="144"/>
      <c r="F50" s="491"/>
      <c r="G50" s="491"/>
      <c r="H50" s="491"/>
      <c r="I50" s="951"/>
      <c r="J50" s="951"/>
      <c r="K50" s="951"/>
      <c r="L50" s="951"/>
      <c r="M50" s="488"/>
      <c r="N50" s="489"/>
      <c r="O50" s="613"/>
      <c r="P50" s="422"/>
      <c r="Q50" s="908"/>
      <c r="R50" s="909"/>
      <c r="S50" s="909"/>
      <c r="T50" s="910"/>
      <c r="U50" s="514"/>
      <c r="V50" s="514"/>
      <c r="W50" s="514"/>
      <c r="X50" s="514"/>
      <c r="Y50" s="514"/>
      <c r="AA50" s="99"/>
      <c r="AB50" s="146"/>
      <c r="AC50" s="6" t="s">
        <v>46</v>
      </c>
      <c r="AD50" s="8">
        <f>I47-M47</f>
        <v>10.808333333333334</v>
      </c>
      <c r="BN50" s="107"/>
      <c r="BO50" s="99"/>
    </row>
    <row r="51" spans="1:67" customFormat="1" ht="17.25" customHeight="1" thickTop="1" thickBot="1" x14ac:dyDescent="0.3">
      <c r="A51" s="99"/>
      <c r="B51" s="99"/>
      <c r="C51" s="144"/>
      <c r="D51" s="144"/>
      <c r="E51" s="144"/>
      <c r="F51" s="358" t="e" cm="1">
        <f t="array" ref="F51">angleDecimal2Txt(F47)</f>
        <v>#VALUE!</v>
      </c>
      <c r="G51" s="359"/>
      <c r="H51" s="359"/>
      <c r="I51" s="359"/>
      <c r="J51" s="359"/>
      <c r="K51" s="360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AA51" s="97"/>
      <c r="AB51" s="146"/>
      <c r="AC51" s="6" t="s">
        <v>44</v>
      </c>
      <c r="AD51" s="6">
        <f>AE46+(AD48/AD49)*AD50</f>
        <v>486.42868055555516</v>
      </c>
      <c r="BN51" s="107"/>
      <c r="BO51" s="99"/>
    </row>
    <row r="52" spans="1:67" customFormat="1" ht="17.25" customHeight="1" thickTop="1" x14ac:dyDescent="0.25">
      <c r="A52" s="99"/>
      <c r="B52" s="99"/>
      <c r="C52" s="117" t="s">
        <v>16</v>
      </c>
      <c r="D52" s="117"/>
      <c r="E52" s="118"/>
      <c r="F52" s="118"/>
      <c r="G52" s="97"/>
      <c r="H52" s="97"/>
      <c r="I52" s="97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99"/>
      <c r="W52" s="99"/>
      <c r="X52" s="99"/>
      <c r="Y52" s="99"/>
      <c r="AA52" s="97"/>
      <c r="AB52" s="146"/>
      <c r="BN52" s="107"/>
      <c r="BO52" s="99"/>
    </row>
    <row r="53" spans="1:67" customFormat="1" ht="17.25" customHeight="1" x14ac:dyDescent="0.25">
      <c r="A53" s="99"/>
      <c r="B53" s="99"/>
      <c r="C53" s="97"/>
      <c r="D53" s="97"/>
      <c r="E53" s="97"/>
      <c r="F53" s="380" t="s">
        <v>9</v>
      </c>
      <c r="G53" s="381"/>
      <c r="H53" s="382"/>
      <c r="I53" s="380" t="s">
        <v>12</v>
      </c>
      <c r="J53" s="381"/>
      <c r="K53" s="381"/>
      <c r="L53" s="382"/>
      <c r="M53" s="386" t="s">
        <v>13</v>
      </c>
      <c r="N53" s="387"/>
      <c r="O53" s="388"/>
      <c r="P53" s="372" t="s">
        <v>18</v>
      </c>
      <c r="Q53" s="373"/>
      <c r="R53" s="373"/>
      <c r="S53" s="373"/>
      <c r="T53" s="374"/>
      <c r="U53" s="372" t="s">
        <v>126</v>
      </c>
      <c r="V53" s="373"/>
      <c r="W53" s="373"/>
      <c r="X53" s="373"/>
      <c r="Y53" s="374"/>
      <c r="Z53" s="99"/>
      <c r="AA53" s="97"/>
      <c r="AB53" s="146"/>
      <c r="AC53" s="6" t="s">
        <v>342</v>
      </c>
      <c r="AD53" s="6">
        <f>VLOOKUP(P55,$B$26:$C$27,2)</f>
        <v>1</v>
      </c>
      <c r="BN53" s="107"/>
      <c r="BO53" s="99"/>
    </row>
    <row r="54" spans="1:67" customFormat="1" ht="17.25" customHeight="1" collapsed="1" x14ac:dyDescent="0.25">
      <c r="A54" s="99"/>
      <c r="B54" s="99"/>
      <c r="C54" s="144"/>
      <c r="D54" s="144"/>
      <c r="E54" s="144"/>
      <c r="F54" s="383"/>
      <c r="G54" s="384"/>
      <c r="H54" s="385"/>
      <c r="I54" s="383"/>
      <c r="J54" s="384"/>
      <c r="K54" s="384"/>
      <c r="L54" s="385"/>
      <c r="M54" s="389"/>
      <c r="N54" s="390"/>
      <c r="O54" s="391"/>
      <c r="P54" s="902"/>
      <c r="Q54" s="376"/>
      <c r="R54" s="376"/>
      <c r="S54" s="376"/>
      <c r="T54" s="377"/>
      <c r="U54" s="902"/>
      <c r="V54" s="376"/>
      <c r="W54" s="376"/>
      <c r="X54" s="376"/>
      <c r="Y54" s="377"/>
      <c r="Z54" s="97"/>
      <c r="AA54" s="97"/>
      <c r="AB54" s="146"/>
      <c r="AC54" s="6" t="s">
        <v>343</v>
      </c>
      <c r="AD54" s="6" cm="1">
        <f t="array" ref="AD54">angleConvert2Decimal(Q55)*AD53</f>
        <v>311.63333333333333</v>
      </c>
      <c r="BN54" s="107"/>
      <c r="BO54" s="99"/>
    </row>
    <row r="55" spans="1:67" customFormat="1" ht="17.25" customHeight="1" x14ac:dyDescent="0.25">
      <c r="A55" s="99"/>
      <c r="B55" s="99"/>
      <c r="C55" s="144"/>
      <c r="D55" s="144"/>
      <c r="E55" s="99"/>
      <c r="F55" s="490">
        <f>IF(G43=AD44,AD57,"---")</f>
        <v>311.63383340000001</v>
      </c>
      <c r="G55" s="490"/>
      <c r="H55" s="490"/>
      <c r="I55" s="951">
        <f>E11</f>
        <v>18.808333333333334</v>
      </c>
      <c r="J55" s="951"/>
      <c r="K55" s="951"/>
      <c r="L55" s="951"/>
      <c r="M55" s="486">
        <v>18.808299999999999</v>
      </c>
      <c r="N55" s="487"/>
      <c r="O55" s="903"/>
      <c r="P55" s="905" t="s">
        <v>5</v>
      </c>
      <c r="Q55" s="906" t="s">
        <v>377</v>
      </c>
      <c r="R55" s="635"/>
      <c r="S55" s="635"/>
      <c r="T55" s="915"/>
      <c r="U55" s="905" t="s">
        <v>5</v>
      </c>
      <c r="V55" s="906" t="s">
        <v>174</v>
      </c>
      <c r="W55" s="635"/>
      <c r="X55" s="635"/>
      <c r="Y55" s="915"/>
      <c r="Z55" s="97"/>
      <c r="AA55" s="99"/>
      <c r="AB55" s="146"/>
      <c r="AC55" s="6" t="s">
        <v>344</v>
      </c>
      <c r="AD55" s="6">
        <f>VLOOKUP(U55,$B$26:$C$27,2)</f>
        <v>1</v>
      </c>
      <c r="BN55" s="107"/>
      <c r="BO55" s="99"/>
    </row>
    <row r="56" spans="1:67" customFormat="1" ht="17.25" customHeight="1" thickBot="1" x14ac:dyDescent="0.3">
      <c r="A56" s="99"/>
      <c r="B56" s="99"/>
      <c r="C56" s="144"/>
      <c r="D56" s="144"/>
      <c r="E56" s="144"/>
      <c r="F56" s="491"/>
      <c r="G56" s="491"/>
      <c r="H56" s="491"/>
      <c r="I56" s="951"/>
      <c r="J56" s="951"/>
      <c r="K56" s="951"/>
      <c r="L56" s="951"/>
      <c r="M56" s="488"/>
      <c r="N56" s="489"/>
      <c r="O56" s="613"/>
      <c r="P56" s="918"/>
      <c r="Q56" s="916"/>
      <c r="R56" s="636"/>
      <c r="S56" s="636"/>
      <c r="T56" s="917"/>
      <c r="U56" s="918"/>
      <c r="V56" s="916"/>
      <c r="W56" s="636"/>
      <c r="X56" s="636"/>
      <c r="Y56" s="917"/>
      <c r="Z56" s="97"/>
      <c r="AA56" s="99"/>
      <c r="AB56" s="146"/>
      <c r="AC56" s="6" t="s">
        <v>345</v>
      </c>
      <c r="AD56" s="6" cm="1">
        <f t="array" ref="AD56">angleConvert2Decimal(V55)*AD55</f>
        <v>15.002000000000001</v>
      </c>
      <c r="BN56" s="107"/>
      <c r="BO56" s="99"/>
    </row>
    <row r="57" spans="1:67" customFormat="1" ht="17.25" customHeight="1" thickTop="1" thickBot="1" x14ac:dyDescent="0.3">
      <c r="A57" s="99"/>
      <c r="B57" s="99"/>
      <c r="C57" s="144"/>
      <c r="D57" s="144"/>
      <c r="E57" s="144"/>
      <c r="F57" s="346" t="str" cm="1">
        <f t="array" ref="F57">angleDecimal2Txt(F55)</f>
        <v>+311°38.03 (+311.6338) [+311°38'01.80]</v>
      </c>
      <c r="G57" s="346"/>
      <c r="H57" s="346"/>
      <c r="I57" s="346"/>
      <c r="J57" s="346"/>
      <c r="K57" s="346"/>
      <c r="L57" s="99"/>
      <c r="M57" s="99"/>
      <c r="N57" s="99"/>
      <c r="O57" s="99"/>
      <c r="P57" s="346" t="str" cm="1">
        <f t="array" ref="P57">angleDecimal2Txt(AD54)</f>
        <v>+311°38.00 (+311.6333) [+311°38'00.00]</v>
      </c>
      <c r="Q57" s="346"/>
      <c r="R57" s="346"/>
      <c r="S57" s="346"/>
      <c r="T57" s="346"/>
      <c r="U57" s="346" t="str" cm="1">
        <f t="array" ref="U57">angleDecimal2Txt(AD56)</f>
        <v>+15°00.12 (+15.0020) [+15°00'07.20]</v>
      </c>
      <c r="V57" s="566"/>
      <c r="W57" s="566"/>
      <c r="X57" s="566"/>
      <c r="Y57" s="566"/>
      <c r="Z57" s="99"/>
      <c r="AA57" s="99"/>
      <c r="AB57" s="146"/>
      <c r="AC57" s="6" t="s">
        <v>346</v>
      </c>
      <c r="AD57" s="6">
        <f>AD54+AD56*(I55-M55)</f>
        <v>311.63383340000001</v>
      </c>
      <c r="BN57" s="107"/>
      <c r="BO57" s="99"/>
    </row>
    <row r="58" spans="1:67" customFormat="1" ht="17.25" customHeight="1" thickTop="1" x14ac:dyDescent="0.25">
      <c r="A58" s="99"/>
      <c r="B58" s="99"/>
      <c r="C58" s="144"/>
      <c r="D58" s="144"/>
      <c r="E58" s="144"/>
      <c r="F58" s="144"/>
      <c r="G58" s="144"/>
      <c r="H58" s="99"/>
      <c r="I58" s="99"/>
      <c r="J58" s="99"/>
      <c r="K58" s="99"/>
      <c r="L58" s="99"/>
      <c r="M58" s="99"/>
      <c r="N58" s="99"/>
      <c r="O58" s="99"/>
      <c r="P58" s="99"/>
      <c r="Q58" s="99"/>
      <c r="R58" s="99"/>
      <c r="S58" s="97"/>
      <c r="T58" s="97"/>
      <c r="U58" s="97"/>
      <c r="V58" s="97"/>
      <c r="W58" s="97"/>
      <c r="X58" s="97"/>
      <c r="Y58" s="99"/>
      <c r="Z58" s="99"/>
      <c r="AA58" s="99"/>
      <c r="AB58" s="146"/>
      <c r="BN58" s="107"/>
      <c r="BO58" s="99"/>
    </row>
    <row r="59" spans="1:67" customFormat="1" ht="17.25" customHeight="1" x14ac:dyDescent="0.25">
      <c r="A59" s="99"/>
      <c r="B59" s="99"/>
      <c r="C59" s="144"/>
      <c r="D59" s="144"/>
      <c r="E59" s="144"/>
      <c r="F59" s="144"/>
      <c r="G59" s="144"/>
      <c r="H59" s="99"/>
      <c r="I59" s="99"/>
      <c r="J59" s="99"/>
      <c r="K59" s="99"/>
      <c r="L59" s="99"/>
      <c r="M59" s="99"/>
      <c r="N59" s="99"/>
      <c r="O59" s="99"/>
      <c r="P59" s="99"/>
      <c r="Q59" s="99"/>
      <c r="R59" s="99"/>
      <c r="S59" s="97"/>
      <c r="T59" s="97"/>
      <c r="U59" s="97"/>
      <c r="V59" s="97"/>
      <c r="W59" s="97"/>
      <c r="X59" s="99"/>
      <c r="Y59" s="99"/>
      <c r="Z59" s="99"/>
      <c r="AA59" s="99"/>
      <c r="AB59" s="146"/>
      <c r="BN59" s="107"/>
      <c r="BO59" s="99"/>
    </row>
    <row r="60" spans="1:67" customFormat="1" ht="17.25" customHeight="1" thickBot="1" x14ac:dyDescent="0.3">
      <c r="A60" s="99"/>
      <c r="B60" s="99"/>
      <c r="C60" s="144"/>
      <c r="D60" s="144"/>
      <c r="E60" s="144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9"/>
      <c r="AB60" s="146"/>
      <c r="AI60" s="41"/>
      <c r="BN60" s="107"/>
      <c r="BO60" s="99"/>
    </row>
    <row r="61" spans="1:67" s="97" customFormat="1" ht="17.25" customHeight="1" thickBot="1" x14ac:dyDescent="0.3">
      <c r="A61" s="99"/>
      <c r="B61" s="108" t="s">
        <v>51</v>
      </c>
      <c r="C61" s="109"/>
      <c r="D61" s="109"/>
      <c r="E61" s="109"/>
      <c r="F61" s="416">
        <f>I62</f>
        <v>251.13383339999996</v>
      </c>
      <c r="G61" s="416"/>
      <c r="H61" s="416"/>
      <c r="I61" s="109"/>
      <c r="J61" s="584" t="s">
        <v>83</v>
      </c>
      <c r="K61" s="584"/>
      <c r="L61" s="584"/>
      <c r="M61" s="493" t="str">
        <f>J18</f>
        <v>Polaire</v>
      </c>
      <c r="N61" s="493"/>
      <c r="O61" s="493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49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114"/>
    </row>
    <row r="62" spans="1:67" s="99" customFormat="1" ht="17.25" customHeight="1" thickBot="1" x14ac:dyDescent="0.3">
      <c r="C62" s="617" t="s">
        <v>23</v>
      </c>
      <c r="D62" s="617"/>
      <c r="E62" s="617"/>
      <c r="F62" s="617"/>
      <c r="G62" s="617"/>
      <c r="H62" s="618"/>
      <c r="I62" s="632">
        <f>AD63</f>
        <v>251.13383339999996</v>
      </c>
      <c r="J62" s="633"/>
      <c r="K62" s="633"/>
      <c r="L62" s="634"/>
      <c r="M62" s="119" t="s">
        <v>53</v>
      </c>
      <c r="N62" s="470">
        <f>AD62</f>
        <v>611.13383339999996</v>
      </c>
      <c r="O62" s="470"/>
      <c r="P62" s="470"/>
      <c r="Q62" s="470"/>
      <c r="AB62" s="146"/>
      <c r="AC62" s="6" t="s">
        <v>348</v>
      </c>
      <c r="AD62" s="8">
        <f>F42+F29+F38</f>
        <v>611.13383339999996</v>
      </c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107"/>
    </row>
    <row r="63" spans="1:67" s="99" customFormat="1" ht="17.25" customHeight="1" thickTop="1" thickBot="1" x14ac:dyDescent="0.3">
      <c r="A63" s="97"/>
      <c r="C63" s="97"/>
      <c r="D63" s="97"/>
      <c r="E63" s="97"/>
      <c r="F63" s="97"/>
      <c r="G63" s="97"/>
      <c r="H63" s="97"/>
      <c r="I63" s="566" t="str" cm="1">
        <f t="array" ref="I63">angleDecimal2Txt(I62)</f>
        <v>+251°08.03 (+251.1338) [+251°08'01.80]</v>
      </c>
      <c r="J63" s="566"/>
      <c r="K63" s="566"/>
      <c r="L63" s="566"/>
      <c r="M63" s="566"/>
      <c r="N63" s="566"/>
      <c r="AB63" s="151"/>
      <c r="AC63" s="6" t="s">
        <v>349</v>
      </c>
      <c r="AD63" s="8">
        <f>MOD(AD62,360)</f>
        <v>251.13383339999996</v>
      </c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107"/>
    </row>
    <row r="64" spans="1:67" s="99" customFormat="1" ht="17.25" customHeight="1" thickTop="1" thickBot="1" x14ac:dyDescent="0.3">
      <c r="B64" s="97"/>
      <c r="AA64" s="97"/>
      <c r="AB64" s="146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107"/>
    </row>
    <row r="65" spans="1:67" s="99" customFormat="1" ht="17.25" customHeight="1" thickTop="1" thickBot="1" x14ac:dyDescent="0.3">
      <c r="B65" s="108" t="s">
        <v>25</v>
      </c>
      <c r="C65" s="109"/>
      <c r="D65" s="588" t="s">
        <v>100</v>
      </c>
      <c r="E65" s="592"/>
      <c r="F65" s="416">
        <f>IF(G66=AD66,O103,O95)</f>
        <v>28.81798955310256</v>
      </c>
      <c r="G65" s="416"/>
      <c r="H65" s="416"/>
      <c r="I65" s="109"/>
      <c r="J65" s="953" t="str" cm="1">
        <f t="array" ref="J65">angleDecimal2Txt(F65)</f>
        <v>+28°49.07 (+28.8179) [+28°49'04.76]</v>
      </c>
      <c r="K65" s="954"/>
      <c r="L65" s="954"/>
      <c r="M65" s="954"/>
      <c r="N65" s="955"/>
      <c r="O65" s="109"/>
      <c r="P65" s="588"/>
      <c r="Q65" s="588"/>
      <c r="R65" s="109"/>
      <c r="S65" s="145"/>
      <c r="T65" s="109" t="s">
        <v>127</v>
      </c>
      <c r="U65" s="109"/>
      <c r="V65" s="569">
        <f>-O82+O77+O86</f>
        <v>-2.9962522682694469E-2</v>
      </c>
      <c r="W65" s="570"/>
      <c r="X65" s="571"/>
      <c r="Y65" s="180" t="str" cm="1">
        <f t="array" ref="Y65">angleDecimal2Txt(V65)</f>
        <v>-00°01.79 (-00.0299) [-00°01'47.86]</v>
      </c>
      <c r="Z65" s="180"/>
      <c r="AA65" s="180"/>
      <c r="AB65" s="181"/>
      <c r="AC65"/>
      <c r="AD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107"/>
    </row>
    <row r="66" spans="1:67" s="99" customFormat="1" ht="17.25" customHeight="1" x14ac:dyDescent="0.25">
      <c r="C66" s="414" t="s">
        <v>42</v>
      </c>
      <c r="D66" s="414"/>
      <c r="E66" s="414"/>
      <c r="F66" s="414"/>
      <c r="G66" s="585" t="s">
        <v>59</v>
      </c>
      <c r="H66" s="585"/>
      <c r="I66" s="585"/>
      <c r="P66" s="99" t="s">
        <v>97</v>
      </c>
      <c r="V66" s="97"/>
      <c r="W66" s="97"/>
      <c r="X66" s="97"/>
      <c r="Y66" s="97"/>
      <c r="Z66" s="97"/>
      <c r="AB66" s="146"/>
      <c r="AC66" s="616" t="s">
        <v>43</v>
      </c>
      <c r="AD66" s="153" t="s">
        <v>58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107"/>
    </row>
    <row r="67" spans="1:67" s="99" customFormat="1" ht="17.25" customHeight="1" thickBot="1" x14ac:dyDescent="0.3">
      <c r="C67" s="116"/>
      <c r="D67" s="116"/>
      <c r="E67" s="116"/>
      <c r="F67" s="475" t="s">
        <v>90</v>
      </c>
      <c r="G67" s="475"/>
      <c r="H67" s="586"/>
      <c r="I67" s="586"/>
      <c r="J67" s="568">
        <f>IF(G66=AD66,"---",O95)</f>
        <v>28.81798955310256</v>
      </c>
      <c r="K67" s="568"/>
      <c r="L67" s="568"/>
      <c r="V67" s="97"/>
      <c r="W67" s="97"/>
      <c r="X67" s="97"/>
      <c r="Y67" s="97"/>
      <c r="Z67" s="97"/>
      <c r="AB67" s="146"/>
      <c r="AC67" s="616"/>
      <c r="AD67" s="153" t="s">
        <v>59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107"/>
    </row>
    <row r="68" spans="1:67" s="99" customFormat="1" ht="17.25" customHeight="1" thickTop="1" thickBot="1" x14ac:dyDescent="0.3">
      <c r="H68" s="452" t="s">
        <v>55</v>
      </c>
      <c r="I68" s="452"/>
      <c r="J68" s="452"/>
      <c r="K68" s="452"/>
      <c r="L68" s="452"/>
      <c r="M68" s="452"/>
      <c r="N68" s="452"/>
      <c r="O68" s="333">
        <f>J17</f>
        <v>28.916666666666668</v>
      </c>
      <c r="P68" s="333"/>
      <c r="Q68" s="333"/>
      <c r="R68" s="333"/>
      <c r="S68" s="99" t="s">
        <v>71</v>
      </c>
      <c r="U68" s="346" t="str" cm="1">
        <f t="array" ref="U68">angleDecimal2Txt(O68)</f>
        <v>+28°55.00 (+28.9166) [+28°55'00.00]</v>
      </c>
      <c r="V68" s="346"/>
      <c r="W68" s="346"/>
      <c r="X68" s="346"/>
      <c r="Y68" s="346"/>
      <c r="Z68" s="346"/>
      <c r="AB68" s="146"/>
      <c r="AC68" s="6" t="s">
        <v>87</v>
      </c>
      <c r="AD68" s="8">
        <f>O69</f>
        <v>0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107"/>
    </row>
    <row r="69" spans="1:67" s="99" customFormat="1" ht="17.25" customHeight="1" thickTop="1" thickBot="1" x14ac:dyDescent="0.3">
      <c r="H69" s="452" t="s">
        <v>26</v>
      </c>
      <c r="I69" s="452"/>
      <c r="J69" s="452"/>
      <c r="K69" s="452"/>
      <c r="L69" s="452"/>
      <c r="M69" s="452"/>
      <c r="N69" s="452"/>
      <c r="O69" s="333">
        <f>J16</f>
        <v>0</v>
      </c>
      <c r="P69" s="333"/>
      <c r="Q69" s="333"/>
      <c r="R69" s="333"/>
      <c r="S69" s="99" t="s">
        <v>71</v>
      </c>
      <c r="U69" s="346" t="str" cm="1">
        <f t="array" ref="U69">angleDecimal2Txt(O69)</f>
        <v>+00°00.00 (+00.0000) [+00°00'00.00]</v>
      </c>
      <c r="V69" s="346"/>
      <c r="W69" s="346"/>
      <c r="X69" s="346"/>
      <c r="Y69" s="346"/>
      <c r="Z69" s="346"/>
      <c r="AB69" s="146"/>
      <c r="AC69" s="6" t="s">
        <v>54</v>
      </c>
      <c r="AD69" s="6">
        <f>J15</f>
        <v>5.5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107"/>
    </row>
    <row r="70" spans="1:67" s="99" customFormat="1" ht="17.25" customHeight="1" thickTop="1" thickBot="1" x14ac:dyDescent="0.3">
      <c r="C70" s="144"/>
      <c r="D70" s="144"/>
      <c r="E70" s="144"/>
      <c r="F70" s="144"/>
      <c r="H70" s="480" t="s">
        <v>96</v>
      </c>
      <c r="I70" s="480"/>
      <c r="J70" s="480"/>
      <c r="K70" s="480"/>
      <c r="L70" s="480"/>
      <c r="M70" s="480"/>
      <c r="N70" s="480"/>
      <c r="O70" s="342">
        <f>AD70</f>
        <v>6.871459088141324E-2</v>
      </c>
      <c r="P70" s="342"/>
      <c r="Q70" s="342"/>
      <c r="R70" s="342"/>
      <c r="S70" s="99" t="s">
        <v>71</v>
      </c>
      <c r="U70" s="346" t="str" cm="1">
        <f t="array" ref="U70">angleDecimal2Txt(O70)</f>
        <v>+00°04.12 (+00.0687) [+00°04'07.37]</v>
      </c>
      <c r="V70" s="346"/>
      <c r="W70" s="346"/>
      <c r="X70" s="346"/>
      <c r="Y70" s="346"/>
      <c r="Z70" s="346"/>
      <c r="AB70" s="146"/>
      <c r="AC70" s="159" t="s">
        <v>95</v>
      </c>
      <c r="AD70" s="6">
        <f>0.0293 * SQRT(AD69)</f>
        <v>6.871459088141324E-2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107"/>
    </row>
    <row r="71" spans="1:67" s="99" customFormat="1" ht="17.25" customHeight="1" thickTop="1" thickBot="1" x14ac:dyDescent="0.3">
      <c r="C71" s="144"/>
      <c r="D71" s="144"/>
      <c r="E71" s="144"/>
      <c r="F71" s="144"/>
      <c r="G71" s="144"/>
      <c r="K71" s="97"/>
      <c r="L71" s="97"/>
      <c r="M71" s="598" t="s">
        <v>178</v>
      </c>
      <c r="N71" s="598"/>
      <c r="O71" s="598"/>
      <c r="P71" s="598"/>
      <c r="Q71" s="97"/>
      <c r="R71" s="97"/>
      <c r="U71" s="97"/>
      <c r="V71" s="97"/>
      <c r="W71" s="97"/>
      <c r="X71" s="97"/>
      <c r="Y71" s="97"/>
      <c r="Z71" s="97"/>
      <c r="AB71" s="146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107"/>
    </row>
    <row r="72" spans="1:67" s="99" customFormat="1" ht="17.25" customHeight="1" thickTop="1" thickBot="1" x14ac:dyDescent="0.3">
      <c r="C72" s="144"/>
      <c r="D72" s="144"/>
      <c r="E72" s="144"/>
      <c r="F72" s="144"/>
      <c r="H72" s="329" t="s">
        <v>56</v>
      </c>
      <c r="I72" s="329"/>
      <c r="J72" s="329"/>
      <c r="K72" s="329"/>
      <c r="L72" s="329"/>
      <c r="M72" s="329"/>
      <c r="N72" s="329"/>
      <c r="O72" s="492">
        <f>O68-O69-O70</f>
        <v>28.847952075785255</v>
      </c>
      <c r="P72" s="474"/>
      <c r="Q72" s="99" t="s">
        <v>71</v>
      </c>
      <c r="R72" s="498">
        <f>O72*D123</f>
        <v>0.50349174617998549</v>
      </c>
      <c r="S72" s="498"/>
      <c r="T72" s="120" t="s">
        <v>92</v>
      </c>
      <c r="U72" s="346" t="str" cm="1">
        <f t="array" ref="U72">angleDecimal2Txt(O72)</f>
        <v>+28°50.87 (+28.8479) [+28°50'52.62]</v>
      </c>
      <c r="V72" s="346"/>
      <c r="W72" s="346"/>
      <c r="X72" s="346"/>
      <c r="Y72" s="346"/>
      <c r="Z72" s="346"/>
      <c r="AB72" s="146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107"/>
    </row>
    <row r="73" spans="1:67" s="99" customFormat="1" ht="17.25" customHeight="1" thickTop="1" x14ac:dyDescent="0.25"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U73" s="97"/>
      <c r="V73" s="97"/>
      <c r="W73" s="97"/>
      <c r="X73" s="97"/>
      <c r="Y73" s="97"/>
      <c r="Z73" s="97"/>
      <c r="AB73" s="146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107"/>
    </row>
    <row r="74" spans="1:67" s="99" customFormat="1" ht="17.25" customHeight="1" x14ac:dyDescent="0.25">
      <c r="C74" s="144"/>
      <c r="D74" s="144"/>
      <c r="E74" s="144"/>
      <c r="F74" s="144"/>
      <c r="H74" s="97"/>
      <c r="I74" s="97"/>
      <c r="J74" s="97"/>
      <c r="K74" s="97"/>
      <c r="L74" s="97"/>
      <c r="M74" s="494" t="s">
        <v>89</v>
      </c>
      <c r="N74" s="494"/>
      <c r="O74" s="494"/>
      <c r="P74" s="494"/>
      <c r="Q74" s="97"/>
      <c r="R74" s="97"/>
      <c r="U74" s="97"/>
      <c r="V74" s="97"/>
      <c r="W74" s="97"/>
      <c r="X74" s="97"/>
      <c r="Y74" s="97"/>
      <c r="Z74" s="97"/>
      <c r="AB74" s="146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107"/>
    </row>
    <row r="75" spans="1:67" s="99" customFormat="1" ht="17.25" customHeight="1" thickBot="1" x14ac:dyDescent="0.3">
      <c r="M75" s="495" t="s">
        <v>243</v>
      </c>
      <c r="N75" s="495"/>
      <c r="O75" s="494"/>
      <c r="P75" s="494"/>
      <c r="AB75" s="146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107"/>
    </row>
    <row r="76" spans="1:67" s="99" customFormat="1" ht="17.25" customHeight="1" thickTop="1" thickBot="1" x14ac:dyDescent="0.3">
      <c r="A76" s="97"/>
      <c r="B76" s="97"/>
      <c r="C76" s="97"/>
      <c r="D76" s="97"/>
      <c r="E76" s="97"/>
      <c r="H76" s="342" t="s">
        <v>60</v>
      </c>
      <c r="I76" s="342"/>
      <c r="J76" s="342"/>
      <c r="K76" s="342"/>
      <c r="L76" s="342"/>
      <c r="M76" s="342"/>
      <c r="N76" s="342"/>
      <c r="O76" s="496">
        <v>0</v>
      </c>
      <c r="P76" s="497"/>
      <c r="Q76" s="497"/>
      <c r="R76" s="497"/>
      <c r="S76" s="99" t="s">
        <v>71</v>
      </c>
      <c r="U76" s="346" t="str" cm="1">
        <f t="array" ref="U76">angleDecimal2Txt(O76)</f>
        <v>+00°00.00 (+00.0000) [+00°00'00.00]</v>
      </c>
      <c r="V76" s="346"/>
      <c r="W76" s="346"/>
      <c r="X76" s="346"/>
      <c r="Y76" s="346"/>
      <c r="Z76" s="346"/>
      <c r="AB76" s="146"/>
      <c r="AC76" s="6" t="s">
        <v>350</v>
      </c>
      <c r="AD76" s="6">
        <f>O76*COS(R72)</f>
        <v>0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107"/>
    </row>
    <row r="77" spans="1:67" customFormat="1" ht="17.25" customHeight="1" thickTop="1" thickBot="1" x14ac:dyDescent="0.3">
      <c r="A77" s="97"/>
      <c r="B77" s="97"/>
      <c r="C77" s="97"/>
      <c r="D77" s="97"/>
      <c r="E77" s="97"/>
      <c r="F77" s="99"/>
      <c r="G77" s="99"/>
      <c r="H77" s="462" t="s">
        <v>244</v>
      </c>
      <c r="I77" s="463"/>
      <c r="J77" s="463"/>
      <c r="K77" s="463"/>
      <c r="L77" s="463"/>
      <c r="M77" s="463"/>
      <c r="N77" s="464"/>
      <c r="O77" s="334">
        <f>AD76</f>
        <v>0</v>
      </c>
      <c r="P77" s="334"/>
      <c r="Q77" s="334"/>
      <c r="R77" s="334"/>
      <c r="S77" s="99" t="s">
        <v>71</v>
      </c>
      <c r="T77" s="99"/>
      <c r="U77" s="346" t="str" cm="1">
        <f t="array" ref="U77">angleDecimal2Txt(O77)</f>
        <v>+00°00.00 (+00.0000) [+00°00'00.00]</v>
      </c>
      <c r="V77" s="346"/>
      <c r="W77" s="346"/>
      <c r="X77" s="346"/>
      <c r="Y77" s="346"/>
      <c r="Z77" s="346"/>
      <c r="AA77" s="99"/>
      <c r="AB77" s="146"/>
      <c r="BN77" s="107"/>
      <c r="BO77" s="99"/>
    </row>
    <row r="78" spans="1:67" customFormat="1" ht="17.25" customHeight="1" thickTop="1" x14ac:dyDescent="0.25">
      <c r="A78" s="97"/>
      <c r="B78" s="97"/>
      <c r="C78" s="97"/>
      <c r="D78" s="97"/>
      <c r="E78" s="97"/>
      <c r="F78" s="99"/>
      <c r="G78" s="99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9"/>
      <c r="AB78" s="146"/>
      <c r="BN78" s="107"/>
      <c r="BO78" s="99"/>
    </row>
    <row r="79" spans="1:67" customFormat="1" ht="17.25" customHeight="1" x14ac:dyDescent="0.25">
      <c r="A79" s="97"/>
      <c r="B79" s="97"/>
      <c r="C79" s="97"/>
      <c r="D79" s="97"/>
      <c r="E79" s="144"/>
      <c r="F79" s="99"/>
      <c r="G79" s="99"/>
      <c r="H79" s="97"/>
      <c r="I79" s="97"/>
      <c r="J79" s="97"/>
      <c r="K79" s="97"/>
      <c r="L79" s="97"/>
      <c r="M79" s="97"/>
      <c r="N79" s="97"/>
      <c r="O79" s="97"/>
      <c r="P79" s="99"/>
      <c r="Q79" s="99"/>
      <c r="R79" s="99"/>
      <c r="S79" s="505" t="s">
        <v>195</v>
      </c>
      <c r="T79" s="506"/>
      <c r="U79" s="507"/>
      <c r="V79" s="99"/>
      <c r="W79" s="99"/>
      <c r="X79" s="99"/>
      <c r="Y79" s="97"/>
      <c r="Z79" s="97"/>
      <c r="AA79" s="99"/>
      <c r="AB79" s="146"/>
      <c r="AC79" s="6" t="s">
        <v>57</v>
      </c>
      <c r="AD79" s="6" t="s">
        <v>352</v>
      </c>
      <c r="BN79" s="107"/>
      <c r="BO79" s="99"/>
    </row>
    <row r="80" spans="1:67" customFormat="1" ht="17.25" customHeight="1" x14ac:dyDescent="0.25">
      <c r="A80" s="97"/>
      <c r="B80" s="97"/>
      <c r="C80" s="97"/>
      <c r="D80" s="97"/>
      <c r="E80" s="144"/>
      <c r="F80" s="99"/>
      <c r="G80" s="99"/>
      <c r="H80" s="342" t="s">
        <v>93</v>
      </c>
      <c r="I80" s="342"/>
      <c r="J80" s="342"/>
      <c r="K80" s="342"/>
      <c r="L80" s="342"/>
      <c r="M80" s="342"/>
      <c r="N80" s="342"/>
      <c r="O80" s="465">
        <f>S80</f>
        <v>10</v>
      </c>
      <c r="P80" s="466"/>
      <c r="Q80" s="466"/>
      <c r="R80" s="466"/>
      <c r="S80" s="595">
        <v>10</v>
      </c>
      <c r="T80" s="596"/>
      <c r="U80" s="597"/>
      <c r="V80" s="99"/>
      <c r="W80" s="99"/>
      <c r="X80" s="99"/>
      <c r="Y80" s="97"/>
      <c r="Z80" s="97"/>
      <c r="AA80" s="99"/>
      <c r="AB80" s="146"/>
      <c r="AC80" s="6" t="s">
        <v>353</v>
      </c>
      <c r="AD80" s="6">
        <f>1/TAN((O72 + 7.31 / (O72 + 4.4)) *D123)</f>
        <v>1.7990227551349083</v>
      </c>
      <c r="BN80" s="107"/>
      <c r="BO80" s="99"/>
    </row>
    <row r="81" spans="1:67" customFormat="1" ht="17.25" customHeight="1" thickBot="1" x14ac:dyDescent="0.3">
      <c r="A81" s="97"/>
      <c r="B81" s="97"/>
      <c r="C81" s="97"/>
      <c r="D81" s="97"/>
      <c r="E81" s="97"/>
      <c r="F81" s="99"/>
      <c r="G81" s="99"/>
      <c r="H81" s="342" t="s">
        <v>94</v>
      </c>
      <c r="I81" s="342"/>
      <c r="J81" s="342"/>
      <c r="K81" s="342"/>
      <c r="L81" s="342"/>
      <c r="M81" s="342"/>
      <c r="N81" s="342"/>
      <c r="O81" s="465">
        <f>S81</f>
        <v>1010</v>
      </c>
      <c r="P81" s="466"/>
      <c r="Q81" s="466"/>
      <c r="R81" s="466"/>
      <c r="S81" s="595">
        <v>1010</v>
      </c>
      <c r="T81" s="596"/>
      <c r="U81" s="597"/>
      <c r="V81" s="99"/>
      <c r="W81" s="99"/>
      <c r="X81" s="99"/>
      <c r="Y81" s="97"/>
      <c r="Z81" s="97"/>
      <c r="AA81" s="99"/>
      <c r="AB81" s="146"/>
      <c r="AC81" s="6" t="s">
        <v>354</v>
      </c>
      <c r="AD81" s="6">
        <f>AD80/60</f>
        <v>2.9983712585581804E-2</v>
      </c>
      <c r="BN81" s="107"/>
      <c r="BO81" s="99"/>
    </row>
    <row r="82" spans="1:67" customFormat="1" ht="17.25" customHeight="1" thickTop="1" thickBot="1" x14ac:dyDescent="0.3">
      <c r="A82" s="97"/>
      <c r="B82" s="97"/>
      <c r="C82" s="97"/>
      <c r="D82" s="97"/>
      <c r="E82" s="97"/>
      <c r="F82" s="99"/>
      <c r="G82" s="99"/>
      <c r="H82" s="462" t="s">
        <v>245</v>
      </c>
      <c r="I82" s="463"/>
      <c r="J82" s="463"/>
      <c r="K82" s="463"/>
      <c r="L82" s="463"/>
      <c r="M82" s="463"/>
      <c r="N82" s="464"/>
      <c r="O82" s="334">
        <f>AD83</f>
        <v>2.9962522682694469E-2</v>
      </c>
      <c r="P82" s="334"/>
      <c r="Q82" s="334"/>
      <c r="R82" s="334"/>
      <c r="S82" s="99" t="s">
        <v>71</v>
      </c>
      <c r="T82" s="99"/>
      <c r="U82" s="346" t="str" cm="1">
        <f t="array" ref="U82">angleDecimal2Txt(O82)</f>
        <v>+00°01.79 (+00.0299) [+00°01'47.86]</v>
      </c>
      <c r="V82" s="346"/>
      <c r="W82" s="346"/>
      <c r="X82" s="346"/>
      <c r="Y82" s="346"/>
      <c r="Z82" s="346"/>
      <c r="AA82" s="99"/>
      <c r="AB82" s="146"/>
      <c r="AC82" s="6" t="s">
        <v>128</v>
      </c>
      <c r="AD82" s="6">
        <f xml:space="preserve"> 0.28 * O81 / (273 + O80)</f>
        <v>0.99929328621908131</v>
      </c>
      <c r="BN82" s="107"/>
      <c r="BO82" s="99"/>
    </row>
    <row r="83" spans="1:67" customFormat="1" ht="17.25" customHeight="1" thickTop="1" x14ac:dyDescent="0.25">
      <c r="A83" s="97"/>
      <c r="B83" s="97"/>
      <c r="C83" s="97"/>
      <c r="D83" s="97"/>
      <c r="E83" s="97"/>
      <c r="F83" s="99"/>
      <c r="G83" s="99"/>
      <c r="H83" s="97"/>
      <c r="I83" s="97"/>
      <c r="J83" s="97"/>
      <c r="K83" s="97"/>
      <c r="L83" s="97"/>
      <c r="M83" s="97"/>
      <c r="N83" s="97"/>
      <c r="O83" s="97"/>
      <c r="P83" s="99"/>
      <c r="Q83" s="99"/>
      <c r="R83" s="99"/>
      <c r="S83" s="99"/>
      <c r="T83" s="99"/>
      <c r="U83" s="99"/>
      <c r="V83" s="99"/>
      <c r="W83" s="99"/>
      <c r="X83" s="99"/>
      <c r="Y83" s="97"/>
      <c r="Z83" s="97"/>
      <c r="AA83" s="99"/>
      <c r="AB83" s="146"/>
      <c r="AC83" s="6" t="s">
        <v>351</v>
      </c>
      <c r="AD83" s="6">
        <f>AD82*AD81</f>
        <v>2.9962522682694469E-2</v>
      </c>
      <c r="BN83" s="107"/>
      <c r="BO83" s="99"/>
    </row>
    <row r="84" spans="1:67" customFormat="1" ht="17.25" customHeight="1" x14ac:dyDescent="0.25">
      <c r="A84" s="97"/>
      <c r="B84" s="97"/>
      <c r="C84" s="97"/>
      <c r="D84" s="97"/>
      <c r="E84" s="97"/>
      <c r="F84" s="99"/>
      <c r="G84" s="99"/>
      <c r="H84" s="342" t="s">
        <v>134</v>
      </c>
      <c r="I84" s="342"/>
      <c r="J84" s="342"/>
      <c r="K84" s="342"/>
      <c r="L84" s="342"/>
      <c r="M84" s="342"/>
      <c r="N84" s="342"/>
      <c r="O84" s="587">
        <v>0</v>
      </c>
      <c r="P84" s="587"/>
      <c r="Q84" s="587"/>
      <c r="R84" s="587"/>
      <c r="S84" s="99"/>
      <c r="T84" s="99"/>
      <c r="U84" s="99"/>
      <c r="V84" s="99"/>
      <c r="W84" s="99"/>
      <c r="X84" s="99"/>
      <c r="Y84" s="99"/>
      <c r="Z84" s="99"/>
      <c r="AA84" s="99"/>
      <c r="AB84" s="146"/>
      <c r="BN84" s="107"/>
      <c r="BO84" s="99"/>
    </row>
    <row r="85" spans="1:67" customFormat="1" ht="17.25" customHeight="1" thickBot="1" x14ac:dyDescent="0.3">
      <c r="A85" s="99"/>
      <c r="B85" s="97"/>
      <c r="C85" s="97"/>
      <c r="D85" s="97"/>
      <c r="E85" s="144"/>
      <c r="F85" s="144"/>
      <c r="G85" s="144"/>
      <c r="H85" s="342" t="s">
        <v>98</v>
      </c>
      <c r="I85" s="342"/>
      <c r="J85" s="342"/>
      <c r="K85" s="342"/>
      <c r="L85" s="342"/>
      <c r="M85" s="342"/>
      <c r="N85" s="342"/>
      <c r="O85" s="587">
        <f>J19</f>
        <v>0</v>
      </c>
      <c r="P85" s="587"/>
      <c r="Q85" s="587"/>
      <c r="R85" s="587"/>
      <c r="S85" s="99"/>
      <c r="T85" s="99"/>
      <c r="U85" s="99"/>
      <c r="V85" s="99"/>
      <c r="W85" s="99"/>
      <c r="X85" s="99"/>
      <c r="Y85" s="99"/>
      <c r="Z85" s="99"/>
      <c r="AA85" s="99"/>
      <c r="AB85" s="146"/>
      <c r="AC85" s="6" t="s">
        <v>37</v>
      </c>
      <c r="AD85" s="319" t="str">
        <f>J18</f>
        <v>Polaire</v>
      </c>
      <c r="AE85" s="319"/>
      <c r="BN85" s="107"/>
      <c r="BO85" s="99"/>
    </row>
    <row r="86" spans="1:67" customFormat="1" ht="17.25" customHeight="1" thickTop="1" thickBot="1" x14ac:dyDescent="0.3">
      <c r="A86" s="99"/>
      <c r="B86" s="99"/>
      <c r="C86" s="144"/>
      <c r="D86" s="144"/>
      <c r="E86" s="144"/>
      <c r="F86" s="144"/>
      <c r="G86" s="144"/>
      <c r="H86" s="467" t="s">
        <v>99</v>
      </c>
      <c r="I86" s="468"/>
      <c r="J86" s="468"/>
      <c r="K86" s="468"/>
      <c r="L86" s="468"/>
      <c r="M86" s="468"/>
      <c r="N86" s="469"/>
      <c r="O86" s="470">
        <f>AD89</f>
        <v>0</v>
      </c>
      <c r="P86" s="470"/>
      <c r="Q86" s="470"/>
      <c r="R86" s="470"/>
      <c r="S86" s="99" t="s">
        <v>71</v>
      </c>
      <c r="T86" s="99"/>
      <c r="U86" s="346" t="str" cm="1">
        <f t="array" ref="U86">angleDecimal2Txt(O86)</f>
        <v>+00°00.00 (+00.0000) [+00°00'00.00]</v>
      </c>
      <c r="V86" s="346"/>
      <c r="W86" s="346"/>
      <c r="X86" s="346"/>
      <c r="Y86" s="346"/>
      <c r="Z86" s="346"/>
      <c r="AA86" s="99"/>
      <c r="AB86" s="146"/>
      <c r="AC86" s="6" t="s">
        <v>358</v>
      </c>
      <c r="AD86" s="319">
        <f>O85</f>
        <v>0</v>
      </c>
      <c r="AE86" s="319"/>
      <c r="BN86" s="107"/>
      <c r="BO86" s="99"/>
    </row>
    <row r="87" spans="1:67" customFormat="1" ht="17.25" customHeight="1" thickTop="1" x14ac:dyDescent="0.25">
      <c r="A87" s="99"/>
      <c r="B87" s="99"/>
      <c r="C87" s="144"/>
      <c r="D87" s="144"/>
      <c r="E87" s="144"/>
      <c r="F87" s="144"/>
      <c r="G87" s="144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9"/>
      <c r="AB87" s="146"/>
      <c r="AC87" s="6" t="s">
        <v>359</v>
      </c>
      <c r="AD87" s="591">
        <v>0</v>
      </c>
      <c r="AE87" s="591"/>
      <c r="BN87" s="107"/>
      <c r="BO87" s="99"/>
    </row>
    <row r="88" spans="1:67" customFormat="1" ht="17.25" customHeight="1" x14ac:dyDescent="0.25">
      <c r="A88" s="99"/>
      <c r="B88" s="99"/>
      <c r="C88" s="144"/>
      <c r="D88" s="144"/>
      <c r="E88" s="144"/>
      <c r="F88" s="144"/>
      <c r="G88" s="477" t="s">
        <v>170</v>
      </c>
      <c r="H88" s="478"/>
      <c r="I88" s="478"/>
      <c r="J88" s="478"/>
      <c r="K88" s="478"/>
      <c r="L88" s="478"/>
      <c r="M88" s="478"/>
      <c r="N88" s="478"/>
      <c r="O88" s="478"/>
      <c r="P88" s="478"/>
      <c r="Q88" s="478"/>
      <c r="R88" s="478"/>
      <c r="S88" s="479"/>
      <c r="T88" s="97"/>
      <c r="U88" s="97"/>
      <c r="V88" s="97"/>
      <c r="W88" s="97"/>
      <c r="X88" s="97"/>
      <c r="Y88" s="97"/>
      <c r="Z88" s="97"/>
      <c r="AA88" s="99"/>
      <c r="AB88" s="146"/>
      <c r="AC88" s="6" t="s">
        <v>134</v>
      </c>
      <c r="AD88" s="6">
        <v>0</v>
      </c>
      <c r="AE88" s="6" cm="1">
        <f t="array" ref="AE88">angleConvert2Decimal(AD88)</f>
        <v>0</v>
      </c>
      <c r="BN88" s="107"/>
      <c r="BO88" s="99"/>
    </row>
    <row r="89" spans="1:67" customFormat="1" ht="17.25" customHeight="1" x14ac:dyDescent="0.25">
      <c r="A89" s="99"/>
      <c r="B89" s="99"/>
      <c r="C89" s="144"/>
      <c r="D89" s="144"/>
      <c r="E89" s="144"/>
      <c r="F89" s="144"/>
      <c r="G89" s="481" t="s">
        <v>183</v>
      </c>
      <c r="H89" s="483"/>
      <c r="I89" s="499" t="s">
        <v>175</v>
      </c>
      <c r="J89" s="500"/>
      <c r="K89" s="500"/>
      <c r="L89" s="500"/>
      <c r="M89" s="500"/>
      <c r="N89" s="501"/>
      <c r="O89" s="453">
        <f>(O77-O82-O70+O84/2) * 60</f>
        <v>-5.9206268138464626</v>
      </c>
      <c r="P89" s="454"/>
      <c r="Q89" s="454"/>
      <c r="R89" s="454"/>
      <c r="S89" s="457" t="s">
        <v>171</v>
      </c>
      <c r="T89" s="97"/>
      <c r="U89" s="97"/>
      <c r="V89" s="97"/>
      <c r="W89" s="97"/>
      <c r="X89" s="97"/>
      <c r="Y89" s="97"/>
      <c r="Z89" s="97"/>
      <c r="AA89" s="99"/>
      <c r="AB89" s="146"/>
      <c r="AC89" s="6" t="s">
        <v>359</v>
      </c>
      <c r="AD89" s="591">
        <f>AE88*AD87</f>
        <v>0</v>
      </c>
      <c r="AE89" s="591"/>
      <c r="BN89" s="107"/>
      <c r="BO89" s="99"/>
    </row>
    <row r="90" spans="1:67" customFormat="1" ht="17.25" customHeight="1" x14ac:dyDescent="0.25">
      <c r="A90" s="99"/>
      <c r="B90" s="99"/>
      <c r="C90" s="144"/>
      <c r="D90" s="144"/>
      <c r="E90" s="144"/>
      <c r="F90" s="144"/>
      <c r="G90" s="599"/>
      <c r="H90" s="600"/>
      <c r="I90" s="502" t="s">
        <v>179</v>
      </c>
      <c r="J90" s="503"/>
      <c r="K90" s="503"/>
      <c r="L90" s="503"/>
      <c r="M90" s="503"/>
      <c r="N90" s="504"/>
      <c r="O90" s="455"/>
      <c r="P90" s="456"/>
      <c r="Q90" s="456"/>
      <c r="R90" s="456"/>
      <c r="S90" s="458"/>
      <c r="T90" s="97"/>
      <c r="U90" s="97"/>
      <c r="V90" s="97"/>
      <c r="W90" s="97"/>
      <c r="X90" s="97"/>
      <c r="Y90" s="97"/>
      <c r="Z90" s="97"/>
      <c r="AA90" s="99"/>
      <c r="AB90" s="146"/>
      <c r="BN90" s="107"/>
      <c r="BO90" s="99"/>
    </row>
    <row r="91" spans="1:67" customFormat="1" ht="17.25" customHeight="1" x14ac:dyDescent="0.25">
      <c r="A91" s="99"/>
      <c r="B91" s="99"/>
      <c r="C91" s="144"/>
      <c r="D91" s="144"/>
      <c r="E91" s="144"/>
      <c r="F91" s="144"/>
      <c r="G91" s="144"/>
      <c r="H91" s="97"/>
      <c r="I91" s="499" t="s">
        <v>176</v>
      </c>
      <c r="J91" s="500"/>
      <c r="K91" s="500"/>
      <c r="L91" s="500"/>
      <c r="M91" s="500"/>
      <c r="N91" s="501"/>
      <c r="O91" s="454">
        <f>(O77-O82+O84/2)*60</f>
        <v>-1.7977513609616682</v>
      </c>
      <c r="P91" s="454"/>
      <c r="Q91" s="454"/>
      <c r="R91" s="454"/>
      <c r="S91" s="457" t="s">
        <v>171</v>
      </c>
      <c r="T91" s="97"/>
      <c r="U91" s="97"/>
      <c r="V91" s="97"/>
      <c r="W91" s="97"/>
      <c r="X91" s="97"/>
      <c r="Y91" s="97"/>
      <c r="Z91" s="97"/>
      <c r="AA91" s="99"/>
      <c r="AB91" s="146"/>
      <c r="BN91" s="107"/>
      <c r="BO91" s="99"/>
    </row>
    <row r="92" spans="1:67" customFormat="1" ht="17.25" customHeight="1" x14ac:dyDescent="0.25">
      <c r="A92" s="99"/>
      <c r="B92" s="99"/>
      <c r="C92" s="144"/>
      <c r="D92" s="144"/>
      <c r="E92" s="144"/>
      <c r="F92" s="144"/>
      <c r="G92" s="144"/>
      <c r="H92" s="97"/>
      <c r="I92" s="459" t="s">
        <v>177</v>
      </c>
      <c r="J92" s="460"/>
      <c r="K92" s="460"/>
      <c r="L92" s="460"/>
      <c r="M92" s="460"/>
      <c r="N92" s="461"/>
      <c r="O92" s="456"/>
      <c r="P92" s="456"/>
      <c r="Q92" s="456"/>
      <c r="R92" s="456"/>
      <c r="S92" s="458"/>
      <c r="T92" s="97"/>
      <c r="U92" s="97"/>
      <c r="V92" s="97"/>
      <c r="W92" s="97"/>
      <c r="X92" s="97"/>
      <c r="Y92" s="97"/>
      <c r="Z92" s="97"/>
      <c r="AA92" s="99"/>
      <c r="AB92" s="146"/>
      <c r="BN92" s="107"/>
      <c r="BO92" s="99"/>
    </row>
    <row r="93" spans="1:67" customFormat="1" ht="17.25" customHeight="1" x14ac:dyDescent="0.25">
      <c r="A93" s="99"/>
      <c r="B93" s="99"/>
      <c r="C93" s="144"/>
      <c r="D93" s="144"/>
      <c r="E93" s="144"/>
      <c r="F93" s="144"/>
      <c r="G93" s="144"/>
      <c r="H93" s="97"/>
      <c r="I93" s="434" t="s">
        <v>99</v>
      </c>
      <c r="J93" s="434"/>
      <c r="K93" s="434"/>
      <c r="L93" s="434"/>
      <c r="M93" s="434"/>
      <c r="N93" s="434"/>
      <c r="O93" s="435">
        <f>O86*60</f>
        <v>0</v>
      </c>
      <c r="P93" s="436"/>
      <c r="Q93" s="436"/>
      <c r="R93" s="436"/>
      <c r="S93" s="160" t="s">
        <v>171</v>
      </c>
      <c r="T93" s="97"/>
      <c r="U93" s="97"/>
      <c r="V93" s="97"/>
      <c r="W93" s="97"/>
      <c r="X93" s="97"/>
      <c r="Y93" s="97"/>
      <c r="Z93" s="97"/>
      <c r="AA93" s="99"/>
      <c r="AB93" s="146"/>
      <c r="BN93" s="107"/>
      <c r="BO93" s="99"/>
    </row>
    <row r="94" spans="1:67" customFormat="1" ht="17.25" customHeight="1" thickBot="1" x14ac:dyDescent="0.3">
      <c r="A94" s="99"/>
      <c r="B94" s="99"/>
      <c r="C94" s="144"/>
      <c r="D94" s="144"/>
      <c r="E94" s="144"/>
      <c r="F94" s="144"/>
      <c r="G94" s="144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9"/>
      <c r="T94" s="99"/>
      <c r="U94" s="99"/>
      <c r="V94" s="99"/>
      <c r="W94" s="99"/>
      <c r="X94" s="99"/>
      <c r="Y94" s="99"/>
      <c r="Z94" s="99"/>
      <c r="AA94" s="99"/>
      <c r="AB94" s="146"/>
      <c r="BN94" s="107"/>
      <c r="BO94" s="99"/>
    </row>
    <row r="95" spans="1:67" customFormat="1" ht="17.25" customHeight="1" thickTop="1" thickBot="1" x14ac:dyDescent="0.3">
      <c r="A95" s="99"/>
      <c r="B95" s="99"/>
      <c r="C95" s="144"/>
      <c r="D95" s="144"/>
      <c r="E95" s="144"/>
      <c r="F95" s="144"/>
      <c r="G95" s="144"/>
      <c r="H95" s="471" t="s">
        <v>246</v>
      </c>
      <c r="I95" s="472"/>
      <c r="J95" s="472"/>
      <c r="K95" s="472"/>
      <c r="L95" s="472"/>
      <c r="M95" s="472"/>
      <c r="N95" s="473"/>
      <c r="O95" s="474">
        <f>O72-O82+O77+O86</f>
        <v>28.81798955310256</v>
      </c>
      <c r="P95" s="334"/>
      <c r="Q95" s="334"/>
      <c r="R95" s="334"/>
      <c r="S95" s="99" t="s">
        <v>71</v>
      </c>
      <c r="T95" s="99"/>
      <c r="U95" s="346" t="str" cm="1">
        <f t="array" ref="U95">angleDecimal2Txt(O95)</f>
        <v>+28°49.07 (+28.8179) [+28°49'04.76]</v>
      </c>
      <c r="V95" s="346"/>
      <c r="W95" s="346"/>
      <c r="X95" s="346"/>
      <c r="Y95" s="346"/>
      <c r="Z95" s="346"/>
      <c r="AA95" s="99"/>
      <c r="AB95" s="146"/>
      <c r="BN95" s="107"/>
      <c r="BO95" s="99"/>
    </row>
    <row r="96" spans="1:67" customFormat="1" ht="17.25" customHeight="1" thickTop="1" x14ac:dyDescent="0.25">
      <c r="A96" s="99"/>
      <c r="B96" s="99"/>
      <c r="C96" s="144"/>
      <c r="D96" s="144"/>
      <c r="E96" s="144"/>
      <c r="F96" s="144"/>
      <c r="G96" s="144"/>
      <c r="H96" s="99"/>
      <c r="I96" s="99"/>
      <c r="J96" s="99"/>
      <c r="K96" s="99"/>
      <c r="L96" s="99"/>
      <c r="M96" s="99"/>
      <c r="N96" s="99"/>
      <c r="O96" s="99"/>
      <c r="P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  <c r="AB96" s="146"/>
      <c r="BN96" s="107"/>
      <c r="BO96" s="99"/>
    </row>
    <row r="97" spans="1:67" customFormat="1" ht="17.25" customHeight="1" x14ac:dyDescent="0.25">
      <c r="A97" s="99"/>
      <c r="B97" s="99"/>
      <c r="C97" s="144"/>
      <c r="D97" s="144"/>
      <c r="E97" s="144"/>
      <c r="F97" s="475" t="s">
        <v>91</v>
      </c>
      <c r="G97" s="475"/>
      <c r="H97" s="475"/>
      <c r="I97" s="475"/>
      <c r="J97" s="334" t="str">
        <f>IF(G66=AD66,O103,"---")</f>
        <v>---</v>
      </c>
      <c r="K97" s="334"/>
      <c r="L97" s="334"/>
      <c r="M97" s="99"/>
      <c r="N97" s="99"/>
      <c r="O97" s="99"/>
      <c r="P97" s="99"/>
      <c r="Q97" s="99"/>
      <c r="R97" s="121" t="s">
        <v>112</v>
      </c>
      <c r="S97" s="99" t="s">
        <v>40</v>
      </c>
      <c r="T97" s="99"/>
      <c r="U97" s="99"/>
      <c r="V97" s="99"/>
      <c r="W97" s="99"/>
      <c r="X97" s="99"/>
      <c r="Y97" s="99"/>
      <c r="Z97" s="99"/>
      <c r="AA97" s="99"/>
      <c r="AB97" s="146"/>
      <c r="BN97" s="107"/>
      <c r="BO97" s="99"/>
    </row>
    <row r="98" spans="1:67" customFormat="1" ht="17.25" customHeight="1" x14ac:dyDescent="0.25">
      <c r="A98" s="99"/>
      <c r="B98" s="99"/>
      <c r="C98" s="144"/>
      <c r="D98" s="144"/>
      <c r="E98" s="144"/>
      <c r="F98" s="144"/>
      <c r="G98" s="144"/>
      <c r="H98" s="99"/>
      <c r="I98" s="99"/>
      <c r="J98" s="99"/>
      <c r="K98" s="99"/>
      <c r="L98" s="99"/>
      <c r="M98" s="99"/>
      <c r="N98" s="99"/>
      <c r="O98" s="99"/>
      <c r="P98" s="99"/>
      <c r="Q98" s="99"/>
      <c r="R98" s="122" t="s">
        <v>108</v>
      </c>
      <c r="S98" s="99" t="s">
        <v>110</v>
      </c>
      <c r="T98" s="99"/>
      <c r="U98" s="99"/>
      <c r="V98" s="99"/>
      <c r="W98" s="99"/>
      <c r="X98" s="99"/>
      <c r="Y98" s="99"/>
      <c r="Z98" s="99"/>
      <c r="AA98" s="99"/>
      <c r="AB98" s="146"/>
      <c r="BN98" s="107"/>
      <c r="BO98" s="99"/>
    </row>
    <row r="99" spans="1:67" customFormat="1" ht="17.25" customHeight="1" x14ac:dyDescent="0.25">
      <c r="A99" s="99"/>
      <c r="B99" s="99"/>
      <c r="C99" s="144"/>
      <c r="D99" s="144"/>
      <c r="E99" s="144"/>
      <c r="F99" s="144"/>
      <c r="G99" s="144"/>
      <c r="H99" s="99" t="s">
        <v>100</v>
      </c>
      <c r="I99" s="123" t="s">
        <v>102</v>
      </c>
      <c r="J99" s="99" t="s">
        <v>88</v>
      </c>
      <c r="K99" s="123" t="s">
        <v>105</v>
      </c>
      <c r="L99" s="99" t="s">
        <v>87</v>
      </c>
      <c r="M99" s="99"/>
      <c r="N99" s="123" t="s">
        <v>106</v>
      </c>
      <c r="O99" s="99"/>
      <c r="P99" s="99"/>
      <c r="Q99" s="123" t="s">
        <v>107</v>
      </c>
      <c r="R99" s="124" t="s">
        <v>109</v>
      </c>
      <c r="S99" s="99" t="s">
        <v>111</v>
      </c>
      <c r="T99" s="99"/>
      <c r="U99" s="99"/>
      <c r="AB99" s="146"/>
      <c r="BN99" s="107"/>
      <c r="BO99" s="99"/>
    </row>
    <row r="100" spans="1:67" customFormat="1" ht="17.25" customHeight="1" thickBot="1" x14ac:dyDescent="0.3">
      <c r="A100" s="99"/>
      <c r="B100" s="99"/>
      <c r="C100" s="144"/>
      <c r="D100" s="144"/>
      <c r="E100" s="144"/>
      <c r="F100" s="144"/>
      <c r="G100" s="144"/>
      <c r="H100" s="99"/>
      <c r="I100" s="123"/>
      <c r="J100" s="125">
        <f>O68</f>
        <v>28.916666666666668</v>
      </c>
      <c r="K100" s="123" t="s">
        <v>105</v>
      </c>
      <c r="L100" s="126">
        <f>O69</f>
        <v>0</v>
      </c>
      <c r="M100" s="99"/>
      <c r="N100" s="920" t="s">
        <v>250</v>
      </c>
      <c r="O100" s="920"/>
      <c r="P100" s="920"/>
      <c r="Q100" s="123" t="s">
        <v>107</v>
      </c>
      <c r="R100" s="127">
        <v>0</v>
      </c>
      <c r="S100" s="99"/>
      <c r="T100" s="99"/>
      <c r="U100" s="99"/>
      <c r="AB100" s="146"/>
      <c r="BN100" s="107"/>
      <c r="BO100" s="99"/>
    </row>
    <row r="101" spans="1:67" customFormat="1" ht="17.25" customHeight="1" thickTop="1" thickBot="1" x14ac:dyDescent="0.3">
      <c r="A101" s="99"/>
      <c r="B101" s="99"/>
      <c r="C101" s="144"/>
      <c r="D101" s="144"/>
      <c r="E101" s="144"/>
      <c r="F101" s="144"/>
      <c r="G101" s="144"/>
      <c r="H101" s="99"/>
      <c r="I101" s="123"/>
      <c r="K101" s="123"/>
      <c r="L101" s="161" cm="1">
        <f t="array" ref="L101">angleConvert2Decimal(L100)</f>
        <v>0</v>
      </c>
      <c r="N101" s="919" cm="1">
        <f t="array" ref="N101">angleConvert2Decimal(N100)</f>
        <v>0.17166666666666669</v>
      </c>
      <c r="O101" s="919"/>
      <c r="P101" s="919"/>
      <c r="Q101" s="41"/>
      <c r="R101" s="161" cm="1">
        <f t="array" ref="R101">angleConvert2Decimal(R100)</f>
        <v>0</v>
      </c>
      <c r="T101" s="13" t="s">
        <v>139</v>
      </c>
      <c r="U101" s="13"/>
      <c r="V101" s="13">
        <f>R101+N101</f>
        <v>0.17166666666666669</v>
      </c>
      <c r="W101" s="358" t="str" cm="1">
        <f t="array" ref="W101">angleDecimal2Txt(V101)</f>
        <v>+00°10.30 (+00.1716) [+00°10'18.00]</v>
      </c>
      <c r="X101" s="359"/>
      <c r="Y101" s="359"/>
      <c r="Z101" s="359"/>
      <c r="AA101" s="360"/>
      <c r="AB101" s="146"/>
      <c r="BN101" s="107"/>
      <c r="BO101" s="99"/>
    </row>
    <row r="102" spans="1:67" customFormat="1" ht="17.25" customHeight="1" thickTop="1" thickBot="1" x14ac:dyDescent="0.3">
      <c r="A102" s="99"/>
      <c r="B102" s="99"/>
      <c r="C102" s="144"/>
      <c r="D102" s="144"/>
      <c r="E102" s="144"/>
      <c r="F102" s="144"/>
      <c r="G102" s="144"/>
      <c r="H102" s="99"/>
      <c r="I102" s="123"/>
      <c r="J102" s="99"/>
      <c r="K102" s="123"/>
      <c r="L102" s="99"/>
      <c r="M102" s="99"/>
      <c r="N102" s="123"/>
      <c r="O102" s="99"/>
      <c r="P102" s="99"/>
      <c r="Q102" s="123"/>
      <c r="R102" s="128"/>
      <c r="S102" s="99"/>
      <c r="T102" s="99"/>
      <c r="U102" s="99"/>
      <c r="V102" s="99"/>
      <c r="W102" s="99"/>
      <c r="X102" s="99"/>
      <c r="Y102" s="99"/>
      <c r="Z102" s="99"/>
      <c r="AA102" s="99"/>
      <c r="AB102" s="146"/>
      <c r="BN102" s="107"/>
      <c r="BO102" s="99"/>
    </row>
    <row r="103" spans="1:67" customFormat="1" ht="17.25" customHeight="1" thickTop="1" thickBot="1" x14ac:dyDescent="0.3">
      <c r="A103" s="99"/>
      <c r="B103" s="99"/>
      <c r="C103" s="144"/>
      <c r="D103" s="144"/>
      <c r="E103" s="144"/>
      <c r="F103" s="144"/>
      <c r="G103" s="144"/>
      <c r="H103" s="471" t="s">
        <v>249</v>
      </c>
      <c r="I103" s="472"/>
      <c r="J103" s="472"/>
      <c r="K103" s="472"/>
      <c r="L103" s="472"/>
      <c r="M103" s="472"/>
      <c r="N103" s="473"/>
      <c r="O103" s="474">
        <f>J100-L101+N101+R101</f>
        <v>29.088333333333335</v>
      </c>
      <c r="P103" s="334"/>
      <c r="Q103" s="334"/>
      <c r="R103" s="334"/>
      <c r="S103" s="99" t="s">
        <v>71</v>
      </c>
      <c r="T103" s="99"/>
      <c r="U103" s="346" t="str" cm="1">
        <f t="array" ref="U103">angleDecimal2Txt(O103)</f>
        <v>+29°05.29 (+29.0883) [+29°05'18.00]</v>
      </c>
      <c r="V103" s="346"/>
      <c r="W103" s="346"/>
      <c r="X103" s="346"/>
      <c r="Y103" s="346"/>
      <c r="Z103" s="346"/>
      <c r="AA103" s="99"/>
      <c r="AB103" s="146"/>
      <c r="BN103" s="107"/>
      <c r="BO103" s="99"/>
    </row>
    <row r="104" spans="1:67" customFormat="1" ht="17.25" customHeight="1" thickTop="1" thickBot="1" x14ac:dyDescent="0.3">
      <c r="A104" s="99"/>
      <c r="B104" s="99"/>
      <c r="C104" s="144"/>
      <c r="D104" s="129"/>
      <c r="E104" s="144"/>
      <c r="F104" s="144"/>
      <c r="G104" s="144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99"/>
      <c r="W104" s="99"/>
      <c r="X104" s="99"/>
      <c r="Y104" s="99"/>
      <c r="Z104" s="99"/>
      <c r="AA104" s="99"/>
      <c r="AB104" s="146"/>
      <c r="BN104" s="107"/>
      <c r="BO104" s="99"/>
    </row>
    <row r="105" spans="1:67" s="99" customFormat="1" ht="17.25" customHeight="1" thickBot="1" x14ac:dyDescent="0.25">
      <c r="B105" s="108" t="s">
        <v>52</v>
      </c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  <c r="AB105" s="177"/>
      <c r="AC105" s="109"/>
      <c r="AD105" s="109"/>
      <c r="AE105" s="109"/>
      <c r="AF105" s="109"/>
      <c r="AG105" s="109"/>
      <c r="AH105" s="109"/>
      <c r="AI105" s="109"/>
      <c r="AJ105" s="109"/>
      <c r="AK105" s="109"/>
      <c r="AL105" s="109"/>
      <c r="AM105" s="109"/>
      <c r="AN105" s="109"/>
      <c r="AO105" s="109"/>
      <c r="AP105" s="109"/>
      <c r="AQ105" s="109"/>
      <c r="AR105" s="109"/>
      <c r="AS105" s="109"/>
      <c r="AT105" s="109"/>
    </row>
    <row r="106" spans="1:67" s="99" customFormat="1" ht="17.25" customHeight="1" x14ac:dyDescent="0.25">
      <c r="D106" s="945" t="s">
        <v>318</v>
      </c>
      <c r="E106" s="939"/>
      <c r="F106" s="939"/>
      <c r="G106" s="939"/>
      <c r="H106" s="934">
        <f>90-P107</f>
        <v>0.61666666666666003</v>
      </c>
      <c r="I106" s="934"/>
      <c r="J106" s="934"/>
      <c r="K106" s="934"/>
      <c r="L106" s="934"/>
      <c r="N106" s="932" t="s">
        <v>319</v>
      </c>
      <c r="O106" s="932"/>
      <c r="P106" s="932"/>
      <c r="Q106" s="932"/>
      <c r="R106" s="932"/>
      <c r="S106" s="932"/>
      <c r="T106" s="932"/>
      <c r="U106" s="932"/>
      <c r="V106" s="932"/>
      <c r="W106" s="932"/>
      <c r="AA106"/>
      <c r="AB106" s="181"/>
      <c r="AC106"/>
      <c r="AD106"/>
      <c r="AE106"/>
      <c r="AF106"/>
      <c r="AL106" s="166"/>
    </row>
    <row r="107" spans="1:67" s="99" customFormat="1" ht="17.25" customHeight="1" thickBot="1" x14ac:dyDescent="0.3">
      <c r="C107" s="182"/>
      <c r="D107" s="940"/>
      <c r="E107" s="941"/>
      <c r="F107" s="941"/>
      <c r="G107" s="941"/>
      <c r="H107" s="934"/>
      <c r="I107" s="934"/>
      <c r="J107" s="934"/>
      <c r="K107" s="934"/>
      <c r="L107" s="934"/>
      <c r="M107" s="131" t="s">
        <v>184</v>
      </c>
      <c r="N107" s="768" t="s">
        <v>114</v>
      </c>
      <c r="O107" s="768"/>
      <c r="P107" s="768">
        <f>F33</f>
        <v>89.38333333333334</v>
      </c>
      <c r="Q107" s="768"/>
      <c r="R107" s="768"/>
      <c r="S107" s="167" t="s">
        <v>71</v>
      </c>
      <c r="T107" s="768">
        <f>P107*$D$123</f>
        <v>1.5600334630742649</v>
      </c>
      <c r="U107" s="768"/>
      <c r="V107" s="768"/>
      <c r="W107" s="167" t="s">
        <v>92</v>
      </c>
      <c r="AA107"/>
      <c r="AB107" s="181"/>
      <c r="AC107"/>
      <c r="AD107"/>
      <c r="AE107"/>
      <c r="AF107"/>
      <c r="AL107" s="166"/>
    </row>
    <row r="108" spans="1:67" s="99" customFormat="1" ht="17.25" customHeight="1" thickTop="1" thickBot="1" x14ac:dyDescent="0.3">
      <c r="C108" s="182"/>
      <c r="D108" s="942"/>
      <c r="E108" s="943"/>
      <c r="F108" s="943"/>
      <c r="G108" s="943"/>
      <c r="H108" s="947" t="str" cm="1">
        <f t="array" ref="H108">angleDecimal2Txt(H106)</f>
        <v>+00°36.99 (+00.6166) [+00°36'59.99]</v>
      </c>
      <c r="I108" s="947"/>
      <c r="J108" s="947"/>
      <c r="K108" s="947"/>
      <c r="L108" s="947"/>
      <c r="N108" s="872"/>
      <c r="O108" s="872"/>
      <c r="P108" s="872"/>
      <c r="Q108" s="872"/>
      <c r="R108" s="872"/>
      <c r="S108" s="182"/>
      <c r="T108" s="872"/>
      <c r="U108" s="872"/>
      <c r="V108" s="872"/>
      <c r="W108" s="182"/>
      <c r="AA108"/>
      <c r="AB108" s="181"/>
      <c r="AC108"/>
      <c r="AD108"/>
      <c r="AE108"/>
      <c r="AF108"/>
      <c r="AG108" s="168" t="b">
        <f>ISNUMBER(SEARCH("°",AF108,1))</f>
        <v>0</v>
      </c>
      <c r="AH108" s="168" t="b">
        <f>ISNUMBER(SEARCH("'",AF108,1))</f>
        <v>0</v>
      </c>
      <c r="AI108" s="168" t="b">
        <f>ISNUMBER(SEARCH("""",AF108,1))</f>
        <v>0</v>
      </c>
      <c r="AJ108" s="168" t="b">
        <f>NOT(OR(AG108,AH108,AI108))</f>
        <v>1</v>
      </c>
      <c r="AK108" s="168" t="b">
        <f>OR(AJ108,AG108)</f>
        <v>1</v>
      </c>
      <c r="AL108" s="169">
        <f>IF(AJ108,VALUE(AF108),IF(AG108,LEFT(AF108,SEARCH("°",AF108,1)-1),0))</f>
        <v>0</v>
      </c>
      <c r="AM108" s="168" t="str">
        <f>IF(AJ108,"",IF(AG108,RIGHT(AF108,LEN(AF108)-SEARCH("°",AF108,1)),AF108))</f>
        <v/>
      </c>
      <c r="AN108" s="168" t="b">
        <f>(LEN(AM108)&gt;0)</f>
        <v>0</v>
      </c>
      <c r="AO108" s="168" t="b">
        <f>NOT(OR(AH108,AI108))</f>
        <v>1</v>
      </c>
      <c r="AP108" s="169">
        <f>IF(NOT(AN108),0,IF(AO108,VALUE(AM108),IF(NOT(AH108),0,VALUE(LEFT(AM108,SEARCH("'",AM108,1)-1)))))</f>
        <v>0</v>
      </c>
      <c r="AQ108" s="168" t="str">
        <f>IF(NOT(AN108),"",IF(AO108,"",IF(NOT(AH108),AM108,RIGHT(AM108,LEN(AM108)-SEARCH("'",AM108,1)))))</f>
        <v/>
      </c>
      <c r="AR108" s="168" t="b">
        <f>(LEN(AQ108)&gt;0)</f>
        <v>0</v>
      </c>
      <c r="AS108" s="168" t="b">
        <f>NOT(AI108)</f>
        <v>1</v>
      </c>
      <c r="AT108" s="168" t="b">
        <f>ISNUMBER(SEARCH(".",AQ108,1))</f>
        <v>0</v>
      </c>
      <c r="AU108" s="169">
        <f>IF(AR108,IF(AI108,IF(AT108,VALUE(SUBSTITUTE(AQ108, """", "")),VALUE(SUBSTITUTE(AQ108, """", "."))),VALUE(AQ108)),0)</f>
        <v>0</v>
      </c>
      <c r="AV108" s="169">
        <f>AL108*3600+AP108*60+AU108</f>
        <v>0</v>
      </c>
      <c r="AW108" s="169">
        <f>AV108/3600</f>
        <v>0</v>
      </c>
      <c r="AX108" s="169">
        <f>_xlfn.FLOOR.MATH((AW108))</f>
        <v>0</v>
      </c>
      <c r="AY108" s="169">
        <f>(AV108-3600*AX108)/60</f>
        <v>0</v>
      </c>
      <c r="AZ108" s="169">
        <f>_xlfn.FLOOR.MATH((AY108))</f>
        <v>0</v>
      </c>
      <c r="BA108" s="169">
        <f>AV108-3600*AX108-60*AZ108</f>
        <v>0</v>
      </c>
      <c r="BB108" s="169">
        <f>AW108*IF(AD108&lt;0,-1,1)</f>
        <v>0</v>
      </c>
      <c r="BC108" s="170" t="str">
        <f>CONCATENATE(AE108,TEXT(AX108,"00"),"°",TEXT(AZ108,"00"),"'",TEXT(BA108,"00.00"), " [", CONCATENATE(AE108,TEXT(AX108,"00"),"°",TEXT(AY108,"00.00")),"]", "  (", AE108,TEXT(AW108,"00.0000"),"°)")</f>
        <v>00°00'00.00 [00°00.00]  (00.0000°)</v>
      </c>
    </row>
    <row r="109" spans="1:67" s="99" customFormat="1" ht="17.25" customHeight="1" thickTop="1" x14ac:dyDescent="0.25">
      <c r="N109" s="946"/>
      <c r="O109" s="872"/>
      <c r="P109" s="872"/>
      <c r="Q109" s="872"/>
      <c r="R109" s="872"/>
      <c r="S109" s="872"/>
      <c r="T109" s="872"/>
      <c r="U109" s="872"/>
      <c r="V109" s="872"/>
      <c r="W109" s="872"/>
      <c r="X109" s="872"/>
      <c r="Y109" s="872"/>
      <c r="Z109" s="872"/>
      <c r="AA109"/>
      <c r="AB109" s="181"/>
      <c r="AC109"/>
      <c r="AD109"/>
      <c r="AE109"/>
      <c r="AF109"/>
      <c r="AL109" s="166"/>
    </row>
    <row r="110" spans="1:67" s="99" customFormat="1" ht="17.25" customHeight="1" x14ac:dyDescent="0.25">
      <c r="D110" s="945" t="s">
        <v>320</v>
      </c>
      <c r="E110" s="939"/>
      <c r="F110" s="939"/>
      <c r="G110" s="939"/>
      <c r="H110" s="934">
        <f>-H106*COS(T111)</f>
        <v>0.19940452818420051</v>
      </c>
      <c r="I110" s="934"/>
      <c r="J110" s="934"/>
      <c r="K110" s="934"/>
      <c r="L110" s="934"/>
      <c r="N110" s="948" t="s">
        <v>323</v>
      </c>
      <c r="O110" s="932"/>
      <c r="P110" s="932"/>
      <c r="Q110" s="932"/>
      <c r="R110" s="932"/>
      <c r="S110" s="932"/>
      <c r="T110" s="932"/>
      <c r="U110" s="932"/>
      <c r="V110" s="932"/>
      <c r="W110" s="932"/>
      <c r="X110" s="182"/>
      <c r="Y110" s="182"/>
      <c r="Z110" s="182"/>
      <c r="AA110"/>
      <c r="AB110" s="181"/>
      <c r="AC110"/>
      <c r="AD110"/>
      <c r="AE110"/>
      <c r="AF110"/>
      <c r="AL110" s="166"/>
    </row>
    <row r="111" spans="1:67" s="99" customFormat="1" ht="17.25" customHeight="1" thickBot="1" x14ac:dyDescent="0.3">
      <c r="C111" s="182"/>
      <c r="D111" s="940"/>
      <c r="E111" s="941"/>
      <c r="F111" s="941"/>
      <c r="G111" s="941"/>
      <c r="H111" s="934"/>
      <c r="I111" s="934"/>
      <c r="J111" s="934"/>
      <c r="K111" s="934"/>
      <c r="L111" s="934"/>
      <c r="M111" s="131" t="s">
        <v>184</v>
      </c>
      <c r="N111" s="768" t="s">
        <v>51</v>
      </c>
      <c r="O111" s="768"/>
      <c r="P111" s="768">
        <f>F61</f>
        <v>251.13383339999996</v>
      </c>
      <c r="Q111" s="768"/>
      <c r="R111" s="768"/>
      <c r="S111" s="167" t="s">
        <v>71</v>
      </c>
      <c r="T111" s="768">
        <f>P111*$D$123</f>
        <v>4.3831122559849049</v>
      </c>
      <c r="U111" s="768"/>
      <c r="V111" s="768"/>
      <c r="W111" s="167" t="s">
        <v>92</v>
      </c>
      <c r="X111" s="182"/>
      <c r="Y111" s="182"/>
      <c r="Z111" s="182"/>
      <c r="AA111"/>
      <c r="AB111" s="181"/>
      <c r="AC111"/>
      <c r="AD111"/>
      <c r="AE111"/>
      <c r="AF111"/>
      <c r="AL111" s="166"/>
    </row>
    <row r="112" spans="1:67" s="99" customFormat="1" ht="17.25" customHeight="1" thickTop="1" thickBot="1" x14ac:dyDescent="0.3">
      <c r="C112" s="182"/>
      <c r="D112" s="942"/>
      <c r="E112" s="943"/>
      <c r="F112" s="943"/>
      <c r="G112" s="943"/>
      <c r="H112" s="933" t="str" cm="1">
        <f t="array" ref="H112">angleDecimal2Txt(H110)</f>
        <v>+00°11.96 (+00.1994) [+00°11'57.85]</v>
      </c>
      <c r="I112" s="933"/>
      <c r="J112" s="933"/>
      <c r="K112" s="933"/>
      <c r="L112" s="933"/>
      <c r="N112" s="182"/>
      <c r="O112" s="182"/>
      <c r="P112" s="182"/>
      <c r="Q112" s="182"/>
      <c r="R112" s="182"/>
      <c r="S112" s="182"/>
      <c r="T112" s="182"/>
      <c r="U112" s="182"/>
      <c r="V112" s="182"/>
      <c r="W112" s="182"/>
      <c r="X112" s="182"/>
      <c r="Y112" s="182"/>
      <c r="Z112" s="182"/>
      <c r="AA112"/>
      <c r="AB112" s="181"/>
      <c r="AC112"/>
      <c r="AD112"/>
      <c r="AE112"/>
      <c r="AF112"/>
      <c r="AG112" s="168" t="b">
        <f>ISNUMBER(SEARCH("°",AF112,1))</f>
        <v>0</v>
      </c>
      <c r="AH112" s="168" t="b">
        <f>ISNUMBER(SEARCH("'",AF112,1))</f>
        <v>0</v>
      </c>
      <c r="AI112" s="168" t="b">
        <f>ISNUMBER(SEARCH("""",AF112,1))</f>
        <v>0</v>
      </c>
      <c r="AJ112" s="168" t="b">
        <f>NOT(OR(AG112,AH112,AI112))</f>
        <v>1</v>
      </c>
      <c r="AK112" s="168" t="b">
        <f>OR(AJ112,AG112)</f>
        <v>1</v>
      </c>
      <c r="AL112" s="169">
        <f>IF(AJ112,VALUE(AF112),IF(AG112,LEFT(AF112,SEARCH("°",AF112,1)-1),0))</f>
        <v>0</v>
      </c>
      <c r="AM112" s="168" t="str">
        <f>IF(AJ112,"",IF(AG112,RIGHT(AF112,LEN(AF112)-SEARCH("°",AF112,1)),AF112))</f>
        <v/>
      </c>
      <c r="AN112" s="168" t="b">
        <f>(LEN(AM112)&gt;0)</f>
        <v>0</v>
      </c>
      <c r="AO112" s="168" t="b">
        <f>NOT(OR(AH112,AI112))</f>
        <v>1</v>
      </c>
      <c r="AP112" s="169">
        <f>IF(NOT(AN112),0,IF(AO112,VALUE(AM112),IF(NOT(AH112),0,VALUE(LEFT(AM112,SEARCH("'",AM112,1)-1)))))</f>
        <v>0</v>
      </c>
      <c r="AQ112" s="168" t="str">
        <f>IF(NOT(AN112),"",IF(AO112,"",IF(NOT(AH112),AM112,RIGHT(AM112,LEN(AM112)-SEARCH("'",AM112,1)))))</f>
        <v/>
      </c>
      <c r="AR112" s="168" t="b">
        <f>(LEN(AQ112)&gt;0)</f>
        <v>0</v>
      </c>
      <c r="AS112" s="168" t="b">
        <f>NOT(AI112)</f>
        <v>1</v>
      </c>
      <c r="AT112" s="168" t="b">
        <f>ISNUMBER(SEARCH(".",AQ112,1))</f>
        <v>0</v>
      </c>
      <c r="AU112" s="169">
        <f>IF(AR112,IF(AI112,IF(AT112,VALUE(SUBSTITUTE(AQ112, """", "")),VALUE(SUBSTITUTE(AQ112, """", "."))),VALUE(AQ112)),0)</f>
        <v>0</v>
      </c>
      <c r="AV112" s="169">
        <f>AL112*3600+AP112*60+AU112</f>
        <v>0</v>
      </c>
      <c r="AW112" s="169">
        <f>AV112/3600</f>
        <v>0</v>
      </c>
      <c r="AX112" s="169">
        <f>_xlfn.FLOOR.MATH((AW112))</f>
        <v>0</v>
      </c>
      <c r="AY112" s="169">
        <f>(AV112-3600*AX112)/60</f>
        <v>0</v>
      </c>
      <c r="AZ112" s="169">
        <f>_xlfn.FLOOR.MATH((AY112))</f>
        <v>0</v>
      </c>
      <c r="BA112" s="169">
        <f>AV112-3600*AX112-60*AZ112</f>
        <v>0</v>
      </c>
      <c r="BB112" s="169">
        <f>AW112*IF(AD112&lt;0,-1,1)</f>
        <v>0</v>
      </c>
      <c r="BC112" s="170" t="str">
        <f>CONCATENATE(AE112,TEXT(AX112,"00"),"°",TEXT(AZ112,"00"),"'",TEXT(BA112,"00.00"), " [", CONCATENATE(AE112,TEXT(AX112,"00"),"°",TEXT(AY112,"00.00")),"]", "  (", AE112,TEXT(AW112,"00.0000"),"°)")</f>
        <v>00°00'00.00 [00°00.00]  (00.0000°)</v>
      </c>
    </row>
    <row r="113" spans="1:55" s="99" customFormat="1" ht="17.25" customHeight="1" thickTop="1" x14ac:dyDescent="0.25">
      <c r="C113" s="182"/>
      <c r="AA113"/>
      <c r="AB113" s="181"/>
      <c r="AC113"/>
      <c r="AD113"/>
      <c r="AE113"/>
      <c r="AF113"/>
      <c r="AG113" s="184" t="s">
        <v>66</v>
      </c>
      <c r="AH113" s="184" t="s">
        <v>67</v>
      </c>
      <c r="AI113" s="184" t="s">
        <v>68</v>
      </c>
      <c r="AJ113" s="184" t="s">
        <v>69</v>
      </c>
      <c r="AK113" s="184" t="s">
        <v>70</v>
      </c>
      <c r="AL113" s="184" t="s">
        <v>71</v>
      </c>
      <c r="AM113" s="184" t="s">
        <v>61</v>
      </c>
      <c r="AN113" s="184" t="s">
        <v>75</v>
      </c>
      <c r="AO113" s="184" t="s">
        <v>74</v>
      </c>
      <c r="AP113" s="184" t="s">
        <v>72</v>
      </c>
      <c r="AQ113" s="184" t="s">
        <v>73</v>
      </c>
      <c r="AR113" s="184" t="s">
        <v>75</v>
      </c>
      <c r="AS113" s="184" t="s">
        <v>74</v>
      </c>
      <c r="AT113" s="184" t="s">
        <v>76</v>
      </c>
      <c r="AU113" s="184" t="s">
        <v>63</v>
      </c>
      <c r="AV113" s="184" t="s">
        <v>64</v>
      </c>
      <c r="AW113" s="184" t="s">
        <v>78</v>
      </c>
      <c r="AX113" s="184" t="s">
        <v>80</v>
      </c>
      <c r="AY113" s="184" t="s">
        <v>77</v>
      </c>
      <c r="AZ113" s="184" t="s">
        <v>81</v>
      </c>
      <c r="BA113" s="184" t="s">
        <v>63</v>
      </c>
      <c r="BB113" s="184" t="s">
        <v>168</v>
      </c>
      <c r="BC113" s="184" t="s">
        <v>82</v>
      </c>
    </row>
    <row r="114" spans="1:55" s="99" customFormat="1" ht="17.25" customHeight="1" x14ac:dyDescent="0.25">
      <c r="D114" s="938" t="s">
        <v>321</v>
      </c>
      <c r="E114" s="939"/>
      <c r="F114" s="939"/>
      <c r="G114" s="939"/>
      <c r="H114" s="934">
        <f>F65+H110</f>
        <v>29.01739408128676</v>
      </c>
      <c r="I114" s="934"/>
      <c r="J114" s="934"/>
      <c r="K114" s="934"/>
      <c r="L114" s="934"/>
      <c r="N114" s="932" t="s">
        <v>325</v>
      </c>
      <c r="O114" s="932"/>
      <c r="P114" s="932"/>
      <c r="Q114" s="932"/>
      <c r="R114" s="932"/>
      <c r="S114" s="932"/>
      <c r="T114" s="932"/>
      <c r="U114" s="932"/>
      <c r="V114" s="932"/>
      <c r="W114" s="932"/>
      <c r="X114" s="182"/>
      <c r="Y114" s="182"/>
      <c r="AA114"/>
      <c r="AB114" s="181"/>
      <c r="AC114"/>
      <c r="AD114"/>
      <c r="AE114"/>
      <c r="AF114"/>
    </row>
    <row r="115" spans="1:55" s="99" customFormat="1" ht="17.25" customHeight="1" thickBot="1" x14ac:dyDescent="0.3">
      <c r="C115" s="182"/>
      <c r="D115" s="940"/>
      <c r="E115" s="941"/>
      <c r="F115" s="941"/>
      <c r="G115" s="941"/>
      <c r="H115" s="934"/>
      <c r="I115" s="934"/>
      <c r="J115" s="934"/>
      <c r="K115" s="934"/>
      <c r="L115" s="934"/>
      <c r="M115" s="131" t="s">
        <v>184</v>
      </c>
      <c r="N115" s="768" t="s">
        <v>137</v>
      </c>
      <c r="O115" s="768"/>
      <c r="P115" s="768">
        <f>F65</f>
        <v>28.81798955310256</v>
      </c>
      <c r="Q115" s="768"/>
      <c r="R115" s="768"/>
      <c r="S115" s="167" t="s">
        <v>71</v>
      </c>
      <c r="T115" s="768">
        <f>P115*$D$123</f>
        <v>0.50296880150696899</v>
      </c>
      <c r="U115" s="768"/>
      <c r="V115" s="768"/>
      <c r="W115" s="167" t="s">
        <v>92</v>
      </c>
      <c r="X115" s="872"/>
      <c r="Y115" s="872"/>
      <c r="AA115"/>
      <c r="AB115" s="181"/>
      <c r="AC115"/>
      <c r="AD115"/>
      <c r="AE115"/>
      <c r="AF115"/>
      <c r="AG115" s="168" t="e">
        <f>NOT(OR(AD115,AE115,AF115))</f>
        <v>#VALUE!</v>
      </c>
      <c r="AH115" s="168" t="e">
        <f>OR(AG115,AD115)</f>
        <v>#VALUE!</v>
      </c>
      <c r="AI115" s="169" t="e">
        <f>IF(AG115,VALUE(AA115),IF(AD115,LEFT(AA115,SEARCH("°",AA115,1)-1),0))</f>
        <v>#VALUE!</v>
      </c>
      <c r="AJ115" s="168" t="e">
        <f>IF(AG115,"",IF(AD115,RIGHT(AA115,LEN(AA115)-SEARCH("°",AA115,1)),AA115))</f>
        <v>#VALUE!</v>
      </c>
      <c r="AK115" s="168" t="e">
        <f>(LEN(AJ115)&gt;0)</f>
        <v>#VALUE!</v>
      </c>
      <c r="AL115" s="168" t="e">
        <f>NOT(OR(AE115,AF115))</f>
        <v>#VALUE!</v>
      </c>
      <c r="AM115" s="169" t="e">
        <f>IF(NOT(AK115),0,IF(AL115,VALUE(AJ115),IF(NOT(AE115),0,VALUE(LEFT(AJ115,SEARCH("'",AJ115,1)-1)))))</f>
        <v>#VALUE!</v>
      </c>
      <c r="AN115" s="168" t="e">
        <f>IF(NOT(AK115),"",IF(AL115,"",IF(NOT(AE115),AJ115,RIGHT(AJ115,LEN(AJ115)-SEARCH("'",AJ115,1)))))</f>
        <v>#VALUE!</v>
      </c>
      <c r="AO115" s="168" t="e">
        <f>(LEN(AN115)&gt;0)</f>
        <v>#VALUE!</v>
      </c>
      <c r="AP115" s="168" t="b">
        <f>NOT(AF115)</f>
        <v>1</v>
      </c>
      <c r="AQ115" s="168" t="b">
        <f>ISNUMBER(SEARCH(".",AN115,1))</f>
        <v>0</v>
      </c>
      <c r="AR115" s="169" t="e">
        <f>IF(AO115,IF(AF115,IF(AQ115,VALUE(SUBSTITUTE(AN115, """", "")),VALUE(SUBSTITUTE(AN115, """", "."))),VALUE(AN115)),0)</f>
        <v>#VALUE!</v>
      </c>
      <c r="AS115" s="169" t="e">
        <f>AI115*3600+AM115*60+AR115</f>
        <v>#VALUE!</v>
      </c>
      <c r="AT115" s="169" t="e">
        <f>AS115/3600</f>
        <v>#VALUE!</v>
      </c>
      <c r="AU115" s="169" t="e">
        <f>_xlfn.FLOOR.MATH((AT115))</f>
        <v>#VALUE!</v>
      </c>
      <c r="AV115" s="169" t="e">
        <f>(AS115-3600*AU115)/60</f>
        <v>#VALUE!</v>
      </c>
      <c r="AW115" s="169" t="e">
        <f>_xlfn.FLOOR.MATH((AV115))</f>
        <v>#VALUE!</v>
      </c>
      <c r="AX115" s="169" t="e">
        <f>AS115-3600*AU115-60*AW115</f>
        <v>#VALUE!</v>
      </c>
      <c r="AY115" s="170" t="e">
        <f>CONCATENATE(TEXT(AU115,"00"),"°",TEXT(AW115,"00"),"'",TEXT(AX115,"00.00"), " [", CONCATENATE(TEXT(AU115,"00"),"°",TEXT(AV115,"00.00")),"]", " - (", TEXT(AT115,"00.0000"),"°)")</f>
        <v>#VALUE!</v>
      </c>
    </row>
    <row r="116" spans="1:55" s="99" customFormat="1" ht="17.25" customHeight="1" thickTop="1" thickBot="1" x14ac:dyDescent="0.3">
      <c r="C116" s="182"/>
      <c r="D116" s="942"/>
      <c r="E116" s="943"/>
      <c r="F116" s="943"/>
      <c r="G116" s="943"/>
      <c r="H116" s="947" t="str" cm="1">
        <f t="array" ref="H116">angleDecimal2Txt(H114)</f>
        <v>+29°01.04 (+29.0173) [+29°01'02.61]</v>
      </c>
      <c r="I116" s="947"/>
      <c r="J116" s="947"/>
      <c r="K116" s="947"/>
      <c r="L116" s="947"/>
      <c r="N116" s="182"/>
      <c r="O116" s="182"/>
      <c r="P116" s="182"/>
      <c r="Q116" s="182"/>
      <c r="R116" s="182"/>
      <c r="S116" s="182"/>
      <c r="T116" s="182"/>
      <c r="U116" s="182"/>
      <c r="V116" s="182"/>
      <c r="W116" s="182"/>
      <c r="X116" s="182"/>
      <c r="Y116" s="182"/>
      <c r="AA116"/>
      <c r="AB116" s="181"/>
      <c r="AC116"/>
      <c r="AD116"/>
      <c r="AE116"/>
      <c r="AF116"/>
      <c r="AL116" s="166"/>
    </row>
    <row r="117" spans="1:55" s="99" customFormat="1" ht="17.25" customHeight="1" thickTop="1" x14ac:dyDescent="0.25">
      <c r="C117" s="182"/>
      <c r="S117" s="182"/>
      <c r="T117" s="182"/>
      <c r="U117" s="182"/>
      <c r="V117" s="182"/>
      <c r="W117" s="182"/>
      <c r="X117" s="182"/>
      <c r="AA117"/>
      <c r="AB117" s="181"/>
      <c r="AC117" t="s">
        <v>380</v>
      </c>
      <c r="AD117"/>
      <c r="AE117"/>
      <c r="AF117"/>
      <c r="AL117" s="166"/>
    </row>
    <row r="118" spans="1:55" s="99" customFormat="1" ht="17.25" customHeight="1" x14ac:dyDescent="0.25">
      <c r="D118" s="938" t="s">
        <v>322</v>
      </c>
      <c r="E118" s="939"/>
      <c r="F118" s="939"/>
      <c r="G118" s="939"/>
      <c r="H118" s="944">
        <f>IF(AD118&lt;0,AD118+360,AD118)</f>
        <v>1.1121698407406929E-2</v>
      </c>
      <c r="I118" s="944"/>
      <c r="J118" s="944"/>
      <c r="K118" s="944"/>
      <c r="L118" s="944"/>
      <c r="N118" s="948" t="s">
        <v>324</v>
      </c>
      <c r="O118" s="932"/>
      <c r="P118" s="932"/>
      <c r="Q118" s="932"/>
      <c r="R118" s="932"/>
      <c r="S118" s="932"/>
      <c r="T118" s="932"/>
      <c r="U118" s="932"/>
      <c r="V118" s="932"/>
      <c r="W118" s="932"/>
      <c r="X118" s="182"/>
      <c r="AA118"/>
      <c r="AB118" s="181"/>
      <c r="AC118" s="123" t="s">
        <v>370</v>
      </c>
      <c r="AD118" s="99">
        <f>(-H106*SIN(T119)/COS(T120))/60</f>
        <v>1.1121698407406929E-2</v>
      </c>
      <c r="AE118"/>
      <c r="AF118"/>
      <c r="AL118" s="166"/>
    </row>
    <row r="119" spans="1:55" s="99" customFormat="1" ht="17.25" customHeight="1" thickBot="1" x14ac:dyDescent="0.3">
      <c r="D119" s="940"/>
      <c r="E119" s="941"/>
      <c r="F119" s="941"/>
      <c r="G119" s="941"/>
      <c r="H119" s="944"/>
      <c r="I119" s="944"/>
      <c r="J119" s="944"/>
      <c r="K119" s="944"/>
      <c r="L119" s="944"/>
      <c r="M119" s="131" t="s">
        <v>184</v>
      </c>
      <c r="N119" s="768" t="s">
        <v>51</v>
      </c>
      <c r="O119" s="768"/>
      <c r="P119" s="768">
        <f>F61</f>
        <v>251.13383339999996</v>
      </c>
      <c r="Q119" s="768"/>
      <c r="R119" s="768"/>
      <c r="S119" s="167" t="s">
        <v>71</v>
      </c>
      <c r="T119" s="768">
        <f>P119*$D$123</f>
        <v>4.3831122559849049</v>
      </c>
      <c r="U119" s="768"/>
      <c r="V119" s="768"/>
      <c r="W119" s="167" t="s">
        <v>92</v>
      </c>
      <c r="X119" s="182"/>
      <c r="AA119"/>
      <c r="AB119" s="181"/>
      <c r="AC119"/>
      <c r="AD119"/>
      <c r="AE119"/>
      <c r="AF119"/>
      <c r="AL119" s="166"/>
    </row>
    <row r="120" spans="1:55" s="99" customFormat="1" ht="17.25" customHeight="1" thickTop="1" thickBot="1" x14ac:dyDescent="0.3">
      <c r="D120" s="942"/>
      <c r="E120" s="943"/>
      <c r="F120" s="943"/>
      <c r="G120" s="943"/>
      <c r="H120" s="933" t="str" cm="1">
        <f t="array" ref="H120">angleDecimal2Txt(H118)</f>
        <v>+00°00.66 (+00.0111) [+00°00'40.03]</v>
      </c>
      <c r="I120" s="933"/>
      <c r="J120" s="933"/>
      <c r="K120" s="933"/>
      <c r="L120" s="933"/>
      <c r="N120" s="768" t="s">
        <v>49</v>
      </c>
      <c r="O120" s="768"/>
      <c r="P120" s="768">
        <f>H114</f>
        <v>29.01739408128676</v>
      </c>
      <c r="Q120" s="768"/>
      <c r="R120" s="768"/>
      <c r="S120" s="167" t="s">
        <v>71</v>
      </c>
      <c r="T120" s="768">
        <f>P120*$D$123</f>
        <v>0.50644906706716908</v>
      </c>
      <c r="U120" s="768"/>
      <c r="V120" s="768"/>
      <c r="W120" s="167" t="s">
        <v>92</v>
      </c>
      <c r="AA120"/>
      <c r="AB120" s="181"/>
      <c r="AC120"/>
      <c r="AD120"/>
      <c r="AE120"/>
      <c r="AF120"/>
      <c r="AG120" s="168" t="b">
        <f>ISNUMBER(SEARCH("°",AF120,1))</f>
        <v>0</v>
      </c>
      <c r="AH120" s="168" t="b">
        <f>ISNUMBER(SEARCH("'",AF120,1))</f>
        <v>0</v>
      </c>
      <c r="AI120" s="168" t="b">
        <f>ISNUMBER(SEARCH("""",AF120,1))</f>
        <v>0</v>
      </c>
      <c r="AJ120" s="168" t="b">
        <f>NOT(OR(AG120,AH120,AI120))</f>
        <v>1</v>
      </c>
      <c r="AK120" s="168" t="b">
        <f>OR(AJ120,AG120)</f>
        <v>1</v>
      </c>
      <c r="AL120" s="169">
        <f>IF(AJ120,VALUE(AF120),IF(AG120,LEFT(AF120,SEARCH("°",AF120,1)-1),0))</f>
        <v>0</v>
      </c>
      <c r="AM120" s="168" t="str">
        <f>IF(AJ120,"",IF(AG120,RIGHT(AF120,LEN(AF120)-SEARCH("°",AF120,1)),AF120))</f>
        <v/>
      </c>
      <c r="AN120" s="168" t="b">
        <f>(LEN(AM120)&gt;0)</f>
        <v>0</v>
      </c>
      <c r="AO120" s="168" t="b">
        <f>NOT(OR(AH120,AI120))</f>
        <v>1</v>
      </c>
      <c r="AP120" s="169">
        <f>IF(NOT(AN120),0,IF(AO120,VALUE(AM120),IF(NOT(AH120),0,VALUE(LEFT(AM120,SEARCH("'",AM120,1)-1)))))</f>
        <v>0</v>
      </c>
      <c r="AQ120" s="168" t="str">
        <f>IF(NOT(AN120),"",IF(AO120,"",IF(NOT(AH120),AM120,RIGHT(AM120,LEN(AM120)-SEARCH("'",AM120,1)))))</f>
        <v/>
      </c>
      <c r="AR120" s="168" t="b">
        <f>(LEN(AQ120)&gt;0)</f>
        <v>0</v>
      </c>
      <c r="AS120" s="168" t="b">
        <f>NOT(AI120)</f>
        <v>1</v>
      </c>
      <c r="AT120" s="168" t="b">
        <f>ISNUMBER(SEARCH(".",AQ120,1))</f>
        <v>0</v>
      </c>
      <c r="AU120" s="169">
        <f>IF(AR120,IF(AI120,IF(AT120,VALUE(SUBSTITUTE(AQ120, """", "")),VALUE(SUBSTITUTE(AQ120, """", "."))),VALUE(AQ120)),0)</f>
        <v>0</v>
      </c>
      <c r="AV120" s="169">
        <f>AL120*3600+AP120*60+AU120</f>
        <v>0</v>
      </c>
      <c r="AW120" s="169">
        <f>AV120/3600</f>
        <v>0</v>
      </c>
      <c r="AX120" s="169">
        <f>_xlfn.FLOOR.MATH((AW120))</f>
        <v>0</v>
      </c>
      <c r="AY120" s="169">
        <f>(AV120-3600*AX120)/60</f>
        <v>0</v>
      </c>
      <c r="AZ120" s="169">
        <f>_xlfn.FLOOR.MATH((AY120))</f>
        <v>0</v>
      </c>
      <c r="BA120" s="169">
        <f>AV120-3600*AX120-60*AZ120</f>
        <v>0</v>
      </c>
      <c r="BB120" s="169">
        <f>AW120*IF(AD120&lt;0,-1,1)</f>
        <v>0</v>
      </c>
      <c r="BC120" s="170" t="str">
        <f>CONCATENATE(AE120,TEXT(AX120,"00"),"°",TEXT(AZ120,"00"),"'",TEXT(BA120,"00.00"), " [", CONCATENATE(AE120,TEXT(AX120,"00"),"°",TEXT(AY120,"00.00")),"]", "  (", AE120,TEXT(AW120,"00.0000"),"°)")</f>
        <v>00°00'00.00 [00°00.00]  (00.0000°)</v>
      </c>
    </row>
    <row r="121" spans="1:55" s="99" customFormat="1" ht="17.25" customHeight="1" thickTop="1" thickBot="1" x14ac:dyDescent="0.3">
      <c r="G121" s="182"/>
      <c r="H121" s="182"/>
      <c r="I121" s="182"/>
      <c r="J121" s="182"/>
      <c r="K121" s="182"/>
      <c r="L121" s="182"/>
      <c r="M121" s="182"/>
      <c r="N121" s="182"/>
      <c r="O121" s="182"/>
      <c r="P121" s="182"/>
      <c r="Q121" s="182"/>
      <c r="R121" s="182"/>
      <c r="S121" s="182"/>
      <c r="T121" s="182"/>
      <c r="U121" s="182"/>
      <c r="V121" s="182"/>
      <c r="W121" s="182"/>
      <c r="X121" s="182"/>
      <c r="Y121" s="182"/>
      <c r="Z121" s="182"/>
      <c r="AA121"/>
      <c r="AB121" s="181"/>
      <c r="AC121"/>
      <c r="AD121"/>
      <c r="AE121"/>
      <c r="AF121"/>
      <c r="AL121" s="166"/>
    </row>
    <row r="122" spans="1:55" s="99" customFormat="1" ht="17.25" customHeight="1" x14ac:dyDescent="0.25">
      <c r="A122" s="935" t="s">
        <v>138</v>
      </c>
      <c r="B122" s="936"/>
      <c r="C122" s="936"/>
      <c r="D122" s="937"/>
      <c r="E122" s="182"/>
      <c r="F122" s="144"/>
      <c r="G122" s="182"/>
      <c r="H122" s="182"/>
      <c r="I122" s="182"/>
      <c r="J122" s="182"/>
      <c r="K122" s="182"/>
      <c r="L122" s="182"/>
      <c r="M122" s="872"/>
      <c r="N122" s="872"/>
      <c r="O122" s="182"/>
      <c r="P122" s="872"/>
      <c r="Q122" s="872"/>
      <c r="R122" s="872"/>
      <c r="S122" s="872"/>
      <c r="T122" s="872"/>
      <c r="U122" s="872"/>
      <c r="V122" s="182"/>
      <c r="W122" s="872"/>
      <c r="X122" s="872"/>
      <c r="Y122" s="872"/>
      <c r="Z122" s="182"/>
      <c r="AA122"/>
      <c r="AB122" s="181"/>
      <c r="AC122"/>
      <c r="AD122"/>
      <c r="AE122"/>
      <c r="AF122"/>
      <c r="AL122" s="166"/>
    </row>
    <row r="123" spans="1:55" s="99" customFormat="1" ht="17.25" customHeight="1" x14ac:dyDescent="0.25">
      <c r="A123" s="171" t="s">
        <v>62</v>
      </c>
      <c r="B123" s="172" t="s">
        <v>121</v>
      </c>
      <c r="C123" s="173" t="s">
        <v>122</v>
      </c>
      <c r="D123" s="164">
        <f>PI()/180</f>
        <v>1.7453292519943295E-2</v>
      </c>
      <c r="E123" s="144"/>
      <c r="F123" s="144"/>
      <c r="G123" s="182"/>
      <c r="H123" s="872"/>
      <c r="I123" s="872"/>
      <c r="J123" s="182"/>
      <c r="K123" s="872"/>
      <c r="L123" s="872"/>
      <c r="M123" s="182"/>
      <c r="N123" s="182"/>
      <c r="O123" s="182"/>
      <c r="P123" s="182"/>
      <c r="Q123" s="182"/>
      <c r="R123" s="182"/>
      <c r="S123" s="182"/>
      <c r="T123" s="182"/>
      <c r="U123" s="182"/>
      <c r="V123" s="182"/>
      <c r="W123" s="182"/>
      <c r="X123" s="182"/>
      <c r="Y123" s="182"/>
      <c r="Z123" s="182"/>
      <c r="AA123"/>
      <c r="AB123" s="181"/>
      <c r="AC123"/>
      <c r="AD123"/>
      <c r="AE123"/>
      <c r="AF123"/>
      <c r="AL123" s="166"/>
    </row>
    <row r="124" spans="1:55" s="99" customFormat="1" ht="17.25" customHeight="1" thickBot="1" x14ac:dyDescent="0.3">
      <c r="A124" s="174" t="s">
        <v>123</v>
      </c>
      <c r="B124" s="175" t="s">
        <v>121</v>
      </c>
      <c r="C124" s="176" t="s">
        <v>62</v>
      </c>
      <c r="D124" s="165">
        <f>180/PI()</f>
        <v>57.295779513082323</v>
      </c>
      <c r="H124" s="872"/>
      <c r="I124" s="872"/>
      <c r="J124" s="182"/>
      <c r="K124" s="872"/>
      <c r="L124" s="872"/>
      <c r="M124" s="182"/>
      <c r="N124" s="872"/>
      <c r="O124" s="872"/>
      <c r="P124" s="872"/>
      <c r="Q124" s="872"/>
      <c r="R124" s="872"/>
      <c r="S124" s="872"/>
      <c r="T124" s="872"/>
      <c r="U124" s="182"/>
      <c r="V124" s="182"/>
      <c r="W124" s="182"/>
      <c r="X124" s="182"/>
      <c r="Y124" s="182"/>
      <c r="Z124" s="182"/>
      <c r="AA124"/>
      <c r="AB124" s="181"/>
      <c r="AC124"/>
      <c r="AD124"/>
      <c r="AE124"/>
      <c r="AF124"/>
      <c r="AL124" s="166"/>
    </row>
    <row r="125" spans="1:55" s="99" customFormat="1" ht="17.25" customHeight="1" x14ac:dyDescent="0.25">
      <c r="C125" s="144"/>
      <c r="H125" s="872"/>
      <c r="I125" s="872"/>
      <c r="J125" s="872"/>
      <c r="K125" s="872"/>
      <c r="L125" s="872"/>
      <c r="M125" s="182"/>
      <c r="N125" s="182"/>
      <c r="O125" s="182"/>
      <c r="P125" s="182"/>
      <c r="Q125" s="182"/>
      <c r="R125" s="182"/>
      <c r="S125" s="872"/>
      <c r="T125" s="872"/>
      <c r="U125" s="872"/>
      <c r="V125" s="872"/>
      <c r="W125" s="872"/>
      <c r="X125" s="872"/>
      <c r="Y125" s="182"/>
      <c r="Z125" s="182"/>
      <c r="AA125"/>
      <c r="AB125" s="181"/>
      <c r="AC125"/>
      <c r="AD125"/>
      <c r="AE125"/>
      <c r="AF125"/>
      <c r="AL125" s="166"/>
    </row>
    <row r="126" spans="1:55" s="99" customFormat="1" ht="17.25" customHeight="1" x14ac:dyDescent="0.25">
      <c r="C126" s="144"/>
      <c r="H126" s="182"/>
      <c r="I126" s="182"/>
      <c r="J126" s="182"/>
      <c r="K126" s="182"/>
      <c r="L126" s="182"/>
      <c r="M126" s="182"/>
      <c r="N126" s="182"/>
      <c r="O126" s="182"/>
      <c r="P126" s="182"/>
      <c r="Q126" s="182"/>
      <c r="R126" s="182"/>
      <c r="S126" s="182"/>
      <c r="T126" s="182"/>
      <c r="U126" s="182"/>
      <c r="V126" s="182"/>
      <c r="W126" s="182"/>
      <c r="X126" s="182"/>
      <c r="Y126" s="182"/>
      <c r="Z126" s="182"/>
      <c r="AA126"/>
      <c r="AB126" s="181"/>
      <c r="AC126"/>
      <c r="AD126"/>
      <c r="AE126"/>
      <c r="AF126"/>
      <c r="AL126" s="166"/>
    </row>
    <row r="127" spans="1:55" s="99" customFormat="1" ht="17.25" customHeight="1" x14ac:dyDescent="0.25">
      <c r="C127" s="144"/>
      <c r="D127" s="144"/>
      <c r="E127" s="144"/>
      <c r="F127" s="144"/>
      <c r="G127" s="182"/>
      <c r="H127" s="182"/>
      <c r="I127" s="182"/>
      <c r="J127" s="182"/>
      <c r="K127" s="182"/>
      <c r="V127" s="182"/>
      <c r="W127" s="182"/>
      <c r="X127" s="182"/>
      <c r="Y127" s="182"/>
      <c r="Z127" s="182"/>
      <c r="AA127"/>
      <c r="AB127" s="181"/>
      <c r="AC127"/>
      <c r="AD127"/>
      <c r="AE127"/>
      <c r="AF127"/>
      <c r="AL127" s="166"/>
    </row>
    <row r="128" spans="1:55" s="99" customFormat="1" ht="17.25" customHeight="1" x14ac:dyDescent="0.25">
      <c r="C128" s="144"/>
      <c r="D128" s="144"/>
      <c r="E128" s="144"/>
      <c r="F128" s="144"/>
      <c r="G128" s="182"/>
      <c r="H128" s="182"/>
      <c r="I128" s="182"/>
      <c r="J128" s="182"/>
      <c r="K128" s="182"/>
      <c r="V128" s="182"/>
      <c r="W128" s="182"/>
      <c r="X128" s="182"/>
      <c r="Y128" s="182"/>
      <c r="Z128" s="182"/>
      <c r="AA128"/>
      <c r="AB128" s="181"/>
      <c r="AC128"/>
      <c r="AD128"/>
      <c r="AE128"/>
      <c r="AF128"/>
      <c r="AL128" s="166"/>
    </row>
    <row r="129" spans="3:65" s="99" customFormat="1" ht="17.25" customHeight="1" x14ac:dyDescent="0.25">
      <c r="C129" s="144"/>
      <c r="D129" s="144"/>
      <c r="E129" s="144"/>
      <c r="F129" s="144"/>
      <c r="AA129"/>
      <c r="AB129" s="181"/>
      <c r="AC129"/>
      <c r="AD129"/>
      <c r="AE129"/>
      <c r="AF129"/>
      <c r="AL129" s="166"/>
    </row>
    <row r="130" spans="3:65" s="99" customFormat="1" ht="17.25" customHeight="1" x14ac:dyDescent="0.25">
      <c r="C130" s="144"/>
      <c r="D130" s="144"/>
      <c r="E130" s="144"/>
      <c r="AA130"/>
      <c r="AB130" s="181"/>
      <c r="AC130"/>
      <c r="AD130"/>
      <c r="AE130"/>
      <c r="AF130"/>
      <c r="AL130" s="166"/>
    </row>
    <row r="131" spans="3:65" s="99" customFormat="1" ht="17.25" customHeight="1" x14ac:dyDescent="0.25">
      <c r="C131" s="144"/>
      <c r="D131" s="144"/>
      <c r="E131" s="144"/>
      <c r="AA131"/>
      <c r="AB131" s="181"/>
      <c r="AC131"/>
      <c r="AD131"/>
      <c r="AE131"/>
      <c r="AF131"/>
      <c r="AL131" s="166"/>
    </row>
    <row r="132" spans="3:65" s="99" customFormat="1" ht="17.25" customHeight="1" x14ac:dyDescent="0.25">
      <c r="C132" s="144"/>
      <c r="D132" s="144"/>
      <c r="E132" s="144"/>
      <c r="AA132"/>
      <c r="AB132" s="181"/>
      <c r="AC132"/>
      <c r="AD132"/>
      <c r="AE132"/>
      <c r="AF132"/>
      <c r="AL132" s="166"/>
    </row>
    <row r="133" spans="3:65" s="99" customFormat="1" ht="17.25" customHeight="1" x14ac:dyDescent="0.25">
      <c r="C133" s="144"/>
      <c r="D133" s="144"/>
      <c r="E133" s="144"/>
      <c r="F133" s="144"/>
      <c r="AA133"/>
      <c r="AB133" s="181"/>
      <c r="AC133"/>
      <c r="AD133"/>
      <c r="AE133"/>
      <c r="AF133"/>
      <c r="AL133" s="166"/>
    </row>
    <row r="134" spans="3:65" s="99" customFormat="1" ht="17.25" customHeight="1" x14ac:dyDescent="0.25">
      <c r="C134" s="144"/>
      <c r="D134" s="144"/>
      <c r="E134" s="144"/>
      <c r="F134" s="144"/>
      <c r="AA134"/>
      <c r="AB134" s="181"/>
      <c r="AC134"/>
      <c r="AD134"/>
      <c r="AE134"/>
      <c r="AF134"/>
      <c r="AG134" s="107"/>
      <c r="AH134" s="107"/>
      <c r="AI134" s="107"/>
      <c r="AJ134" s="107"/>
      <c r="AK134" s="107"/>
      <c r="AL134" s="163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  <c r="AY134" s="107"/>
      <c r="AZ134" s="107"/>
      <c r="BA134" s="107"/>
      <c r="BB134" s="107"/>
      <c r="BC134" s="107"/>
      <c r="BD134" s="107"/>
      <c r="BE134" s="107"/>
      <c r="BF134" s="107"/>
      <c r="BG134" s="107"/>
      <c r="BH134" s="107"/>
      <c r="BI134" s="107"/>
      <c r="BJ134" s="107"/>
      <c r="BK134" s="107"/>
      <c r="BL134" s="107"/>
      <c r="BM134" s="107"/>
    </row>
    <row r="135" spans="3:65" s="99" customFormat="1" ht="17.25" customHeight="1" x14ac:dyDescent="0.25">
      <c r="C135" s="144"/>
      <c r="D135" s="144"/>
      <c r="E135" s="144"/>
      <c r="F135" s="144"/>
      <c r="AA135"/>
      <c r="AB135" s="181"/>
      <c r="AC135"/>
      <c r="AD135"/>
      <c r="AE135"/>
      <c r="AF135"/>
      <c r="AG135" s="107"/>
      <c r="AH135" s="107"/>
      <c r="AI135" s="107"/>
      <c r="AJ135" s="107"/>
      <c r="AK135" s="107"/>
      <c r="AL135" s="163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  <c r="AY135" s="107"/>
      <c r="AZ135" s="107"/>
      <c r="BA135" s="107"/>
      <c r="BB135" s="107"/>
      <c r="BC135" s="107"/>
      <c r="BD135" s="107"/>
      <c r="BE135" s="107"/>
      <c r="BF135" s="107"/>
      <c r="BG135" s="107"/>
      <c r="BH135" s="107"/>
      <c r="BI135" s="107"/>
      <c r="BJ135" s="107"/>
      <c r="BK135" s="107"/>
      <c r="BL135" s="107"/>
      <c r="BM135" s="107"/>
    </row>
    <row r="136" spans="3:65" s="99" customFormat="1" ht="17.25" customHeight="1" x14ac:dyDescent="0.25">
      <c r="C136" s="144"/>
      <c r="D136" s="144"/>
      <c r="E136" s="144"/>
      <c r="F136" s="144"/>
      <c r="AA136"/>
      <c r="AB136" s="181"/>
      <c r="AC136"/>
      <c r="AD136"/>
      <c r="AE136"/>
      <c r="AF136"/>
      <c r="AG136" s="107"/>
      <c r="AH136" s="107"/>
      <c r="AI136" s="107"/>
      <c r="AJ136" s="107"/>
      <c r="AK136" s="107"/>
      <c r="AL136" s="163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  <c r="AY136" s="107"/>
      <c r="AZ136" s="107"/>
      <c r="BA136" s="107"/>
      <c r="BB136" s="107"/>
      <c r="BC136" s="107"/>
      <c r="BD136" s="107"/>
      <c r="BE136" s="107"/>
      <c r="BF136" s="107"/>
      <c r="BG136" s="107"/>
      <c r="BH136" s="107"/>
      <c r="BI136" s="107"/>
      <c r="BJ136" s="107"/>
      <c r="BK136" s="107"/>
      <c r="BL136" s="107"/>
      <c r="BM136" s="107"/>
    </row>
    <row r="137" spans="3:65" s="99" customFormat="1" ht="17.25" customHeight="1" x14ac:dyDescent="0.25">
      <c r="C137" s="144"/>
      <c r="D137" s="144"/>
      <c r="E137" s="144"/>
      <c r="F137" s="144"/>
      <c r="AA137"/>
      <c r="AB137" s="181"/>
      <c r="AC137"/>
      <c r="AD137"/>
      <c r="AE137"/>
      <c r="AF137"/>
      <c r="AG137" s="107"/>
      <c r="AH137" s="107"/>
      <c r="AI137" s="107"/>
      <c r="AJ137" s="107"/>
      <c r="AK137" s="107"/>
      <c r="AL137" s="163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  <c r="AY137" s="107"/>
      <c r="AZ137" s="107"/>
      <c r="BA137" s="107"/>
      <c r="BB137" s="107"/>
      <c r="BC137" s="107"/>
      <c r="BD137" s="107"/>
      <c r="BE137" s="107"/>
      <c r="BF137" s="107"/>
      <c r="BG137" s="107"/>
      <c r="BH137" s="107"/>
      <c r="BI137" s="107"/>
      <c r="BJ137" s="107"/>
      <c r="BK137" s="107"/>
      <c r="BL137" s="107"/>
      <c r="BM137" s="107"/>
    </row>
    <row r="138" spans="3:65" s="99" customFormat="1" ht="17.25" customHeight="1" x14ac:dyDescent="0.25">
      <c r="C138" s="144"/>
      <c r="D138" s="144"/>
      <c r="E138" s="144"/>
      <c r="F138" s="144"/>
      <c r="AA138"/>
      <c r="AB138" s="181"/>
      <c r="AC138"/>
      <c r="AD138"/>
      <c r="AE138"/>
      <c r="AF138"/>
      <c r="AG138" s="107"/>
      <c r="AH138" s="107"/>
      <c r="AI138" s="107"/>
      <c r="AJ138" s="107"/>
      <c r="AK138" s="107"/>
      <c r="AL138" s="163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</row>
    <row r="139" spans="3:65" s="99" customFormat="1" ht="17.25" customHeight="1" x14ac:dyDescent="0.25">
      <c r="C139" s="144"/>
      <c r="D139" s="144"/>
      <c r="E139" s="144"/>
      <c r="F139" s="144"/>
      <c r="AA139"/>
      <c r="AB139" s="181"/>
      <c r="AC139"/>
      <c r="AD139"/>
      <c r="AE139"/>
      <c r="AF139"/>
      <c r="AG139" s="107"/>
      <c r="AH139" s="107"/>
      <c r="AI139" s="107"/>
      <c r="AJ139" s="107"/>
      <c r="AK139" s="107"/>
      <c r="AL139" s="163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</row>
    <row r="140" spans="3:65" s="99" customFormat="1" ht="17.25" customHeight="1" x14ac:dyDescent="0.25">
      <c r="C140" s="144"/>
      <c r="D140" s="144"/>
      <c r="E140" s="144"/>
      <c r="F140" s="144"/>
      <c r="AA140"/>
      <c r="AB140" s="181"/>
      <c r="AC140"/>
      <c r="AD140"/>
      <c r="AE140"/>
      <c r="AF140"/>
      <c r="AG140" s="107"/>
      <c r="AH140" s="107"/>
      <c r="AI140" s="107"/>
      <c r="AJ140" s="107"/>
      <c r="AK140" s="107"/>
      <c r="AL140" s="163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</row>
    <row r="141" spans="3:65" s="99" customFormat="1" ht="17.25" customHeight="1" x14ac:dyDescent="0.25">
      <c r="C141" s="144"/>
      <c r="D141" s="144"/>
      <c r="E141" s="144"/>
      <c r="F141" s="144"/>
      <c r="AA141"/>
      <c r="AB141" s="181"/>
      <c r="AC141"/>
      <c r="AD141"/>
      <c r="AE141"/>
      <c r="AF141"/>
      <c r="AG141" s="107"/>
      <c r="AH141" s="107"/>
      <c r="AI141" s="107"/>
      <c r="AJ141" s="107"/>
      <c r="AK141" s="107"/>
      <c r="AL141" s="163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</row>
    <row r="142" spans="3:65" s="99" customFormat="1" ht="17.25" customHeight="1" x14ac:dyDescent="0.25">
      <c r="C142" s="144"/>
      <c r="D142" s="144"/>
      <c r="E142" s="144"/>
      <c r="F142" s="144"/>
      <c r="AA142"/>
      <c r="AB142" s="181"/>
      <c r="AC142"/>
      <c r="AD142"/>
      <c r="AE142"/>
      <c r="AF142"/>
      <c r="AG142" s="107"/>
      <c r="AH142" s="107"/>
      <c r="AI142" s="107"/>
      <c r="AJ142" s="107"/>
      <c r="AK142" s="107"/>
      <c r="AL142" s="163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</row>
    <row r="143" spans="3:65" s="99" customFormat="1" ht="17.25" customHeight="1" x14ac:dyDescent="0.25">
      <c r="C143" s="144"/>
      <c r="D143" s="144"/>
      <c r="E143" s="144"/>
      <c r="F143" s="144"/>
      <c r="AA143"/>
      <c r="AB143" s="181"/>
      <c r="AC143"/>
      <c r="AD143"/>
      <c r="AE143"/>
      <c r="AF143"/>
      <c r="AG143" s="107"/>
      <c r="AH143" s="107"/>
      <c r="AI143" s="107"/>
      <c r="AJ143" s="107"/>
      <c r="AK143" s="107"/>
      <c r="AL143" s="163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</row>
    <row r="144" spans="3:65" s="99" customFormat="1" ht="17.25" customHeight="1" x14ac:dyDescent="0.25">
      <c r="C144" s="144"/>
      <c r="D144" s="144"/>
      <c r="E144" s="144"/>
      <c r="F144" s="144"/>
      <c r="AA144"/>
      <c r="AB144" s="181"/>
      <c r="AC144"/>
      <c r="AD144"/>
      <c r="AE144"/>
      <c r="AF144"/>
      <c r="AG144" s="107"/>
      <c r="AH144" s="107"/>
      <c r="AI144" s="107"/>
      <c r="AJ144" s="107"/>
      <c r="AK144" s="107"/>
      <c r="AL144" s="163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</row>
    <row r="145" spans="3:65" s="99" customFormat="1" ht="17.25" customHeight="1" x14ac:dyDescent="0.25">
      <c r="C145" s="144"/>
      <c r="D145" s="144"/>
      <c r="E145" s="144"/>
      <c r="F145" s="144"/>
      <c r="AA145"/>
      <c r="AB145" s="181"/>
      <c r="AC145"/>
      <c r="AD145"/>
      <c r="AE145"/>
      <c r="AF145"/>
      <c r="AG145" s="107"/>
      <c r="AH145" s="107"/>
      <c r="AI145" s="107"/>
      <c r="AJ145" s="107"/>
      <c r="AK145" s="107"/>
      <c r="AL145" s="163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</row>
    <row r="146" spans="3:65" s="99" customFormat="1" ht="17.25" customHeight="1" x14ac:dyDescent="0.25">
      <c r="C146" s="144"/>
      <c r="D146" s="144"/>
      <c r="E146" s="144"/>
      <c r="F146" s="144"/>
      <c r="AA146"/>
      <c r="AB146" s="181"/>
      <c r="AC146"/>
      <c r="AD146"/>
      <c r="AE146"/>
      <c r="AF146"/>
      <c r="AG146" s="107"/>
      <c r="AH146" s="107"/>
      <c r="AI146" s="107"/>
      <c r="AJ146" s="107"/>
      <c r="AK146" s="107"/>
      <c r="AL146" s="163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</row>
    <row r="147" spans="3:65" s="99" customFormat="1" ht="17.25" customHeight="1" x14ac:dyDescent="0.25">
      <c r="C147" s="144"/>
      <c r="D147" s="144"/>
      <c r="E147" s="144"/>
      <c r="F147" s="144"/>
      <c r="AA147"/>
      <c r="AB147" s="181"/>
      <c r="AC147"/>
      <c r="AD147"/>
      <c r="AE147"/>
      <c r="AF147"/>
      <c r="AG147" s="107"/>
      <c r="AH147" s="107"/>
      <c r="AI147" s="107"/>
      <c r="AJ147" s="107"/>
      <c r="AK147" s="107"/>
      <c r="AL147" s="163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</row>
    <row r="148" spans="3:65" s="99" customFormat="1" ht="17.25" customHeight="1" x14ac:dyDescent="0.25">
      <c r="C148" s="144"/>
      <c r="D148" s="144"/>
      <c r="E148" s="144"/>
      <c r="F148" s="144"/>
      <c r="AA148"/>
      <c r="AB148" s="181"/>
      <c r="AC148"/>
      <c r="AD148"/>
      <c r="AE148"/>
      <c r="AF148"/>
      <c r="AG148" s="107"/>
      <c r="AH148" s="107"/>
      <c r="AI148" s="107"/>
      <c r="AJ148" s="107"/>
      <c r="AK148" s="107"/>
      <c r="AL148" s="163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</row>
    <row r="149" spans="3:65" s="99" customFormat="1" ht="17.25" customHeight="1" x14ac:dyDescent="0.25">
      <c r="C149" s="144"/>
      <c r="D149" s="144"/>
      <c r="E149" s="144"/>
      <c r="F149" s="144"/>
      <c r="AA149"/>
      <c r="AB149" s="181"/>
      <c r="AC149"/>
      <c r="AD149"/>
      <c r="AE149"/>
      <c r="AF149"/>
      <c r="AG149" s="107"/>
      <c r="AH149" s="107"/>
      <c r="AI149" s="107"/>
      <c r="AJ149" s="107"/>
      <c r="AK149" s="107"/>
      <c r="AL149" s="163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</row>
    <row r="150" spans="3:65" s="99" customFormat="1" ht="17.25" customHeight="1" x14ac:dyDescent="0.25">
      <c r="C150" s="144"/>
      <c r="D150" s="144"/>
      <c r="E150" s="144"/>
      <c r="F150" s="144"/>
      <c r="AA150"/>
      <c r="AB150" s="181"/>
      <c r="AC150"/>
      <c r="AD150"/>
      <c r="AE150"/>
      <c r="AF150"/>
      <c r="AG150" s="107"/>
      <c r="AH150" s="107"/>
      <c r="AI150" s="107"/>
      <c r="AJ150" s="107"/>
      <c r="AK150" s="107"/>
      <c r="AL150" s="163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</row>
    <row r="151" spans="3:65" s="99" customFormat="1" ht="17.25" customHeight="1" x14ac:dyDescent="0.25">
      <c r="C151" s="144"/>
      <c r="D151" s="144"/>
      <c r="E151" s="144"/>
      <c r="F151" s="144"/>
      <c r="AA151"/>
      <c r="AB151" s="181"/>
      <c r="AC151"/>
      <c r="AD151"/>
      <c r="AE151"/>
      <c r="AF151"/>
      <c r="AG151" s="107"/>
      <c r="AH151" s="107"/>
      <c r="AI151" s="107"/>
      <c r="AJ151" s="107"/>
      <c r="AK151" s="107"/>
      <c r="AL151" s="163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</row>
    <row r="152" spans="3:65" s="99" customFormat="1" ht="17.25" customHeight="1" x14ac:dyDescent="0.25">
      <c r="C152" s="144"/>
      <c r="D152" s="144"/>
      <c r="E152" s="144"/>
      <c r="F152" s="144"/>
      <c r="AA152"/>
      <c r="AB152" s="181"/>
      <c r="AC152"/>
      <c r="AD152"/>
      <c r="AE152"/>
      <c r="AF152"/>
      <c r="AG152" s="107"/>
      <c r="AH152" s="107"/>
      <c r="AI152" s="107"/>
      <c r="AJ152" s="107"/>
      <c r="AK152" s="107"/>
      <c r="AL152" s="163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</row>
    <row r="153" spans="3:65" s="99" customFormat="1" ht="17.25" customHeight="1" x14ac:dyDescent="0.2">
      <c r="C153" s="144"/>
      <c r="D153" s="144"/>
      <c r="E153" s="144"/>
      <c r="F153" s="144"/>
      <c r="AA153" s="106"/>
      <c r="AB153" s="178"/>
      <c r="AC153" s="105"/>
      <c r="AD153" s="107"/>
      <c r="AE153" s="107"/>
      <c r="AF153" s="107"/>
      <c r="AG153" s="107"/>
      <c r="AH153" s="107"/>
      <c r="AI153" s="107"/>
      <c r="AJ153" s="107"/>
      <c r="AK153" s="107"/>
      <c r="AL153" s="163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</row>
    <row r="154" spans="3:65" s="99" customFormat="1" ht="17.25" customHeight="1" x14ac:dyDescent="0.2">
      <c r="C154" s="144"/>
      <c r="D154" s="144"/>
      <c r="E154" s="144"/>
      <c r="F154" s="144"/>
      <c r="AA154" s="106"/>
      <c r="AB154" s="178"/>
      <c r="AC154" s="105"/>
      <c r="AD154" s="107"/>
      <c r="AE154" s="107"/>
      <c r="AF154" s="107"/>
      <c r="AG154" s="107"/>
      <c r="AH154" s="107"/>
      <c r="AI154" s="107"/>
      <c r="AJ154" s="107"/>
      <c r="AK154" s="107"/>
      <c r="AL154" s="163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</row>
    <row r="155" spans="3:65" s="99" customFormat="1" ht="17.25" customHeight="1" x14ac:dyDescent="0.2">
      <c r="C155" s="144"/>
      <c r="D155" s="144"/>
      <c r="E155" s="144"/>
      <c r="F155" s="144"/>
      <c r="AA155" s="106"/>
      <c r="AB155" s="178"/>
      <c r="AC155" s="105"/>
      <c r="AD155" s="107"/>
      <c r="AE155" s="107"/>
      <c r="AF155" s="107"/>
      <c r="AG155" s="107"/>
      <c r="AH155" s="107"/>
      <c r="AI155" s="107"/>
      <c r="AJ155" s="107"/>
      <c r="AK155" s="107"/>
      <c r="AL155" s="163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</row>
    <row r="156" spans="3:65" s="99" customFormat="1" ht="17.25" customHeight="1" x14ac:dyDescent="0.2">
      <c r="C156" s="144"/>
      <c r="D156" s="144"/>
      <c r="E156" s="144"/>
      <c r="F156" s="144"/>
      <c r="AA156" s="106"/>
      <c r="AB156" s="178"/>
      <c r="AC156" s="105"/>
      <c r="AD156" s="107"/>
      <c r="AE156" s="107"/>
      <c r="AF156" s="107"/>
      <c r="AG156" s="107"/>
      <c r="AH156" s="107"/>
      <c r="AI156" s="107"/>
      <c r="AJ156" s="107"/>
      <c r="AK156" s="107"/>
      <c r="AL156" s="163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</row>
    <row r="157" spans="3:65" s="99" customFormat="1" ht="17.25" customHeight="1" x14ac:dyDescent="0.2">
      <c r="C157" s="144"/>
      <c r="D157" s="144"/>
      <c r="E157" s="144"/>
      <c r="F157" s="144"/>
      <c r="AA157" s="106"/>
      <c r="AB157" s="178"/>
      <c r="AC157" s="105"/>
      <c r="AD157" s="107"/>
      <c r="AE157" s="107"/>
      <c r="AF157" s="107"/>
      <c r="AG157" s="107"/>
      <c r="AH157" s="107"/>
      <c r="AI157" s="107"/>
      <c r="AJ157" s="107"/>
      <c r="AK157" s="107"/>
      <c r="AL157" s="163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</row>
    <row r="158" spans="3:65" s="99" customFormat="1" ht="17.25" customHeight="1" x14ac:dyDescent="0.2">
      <c r="C158" s="144"/>
      <c r="D158" s="144"/>
      <c r="E158" s="144"/>
      <c r="F158" s="144"/>
      <c r="AA158" s="106"/>
      <c r="AB158" s="178"/>
      <c r="AC158" s="105"/>
      <c r="AD158" s="107"/>
      <c r="AE158" s="107"/>
      <c r="AF158" s="107"/>
      <c r="AG158" s="107"/>
      <c r="AH158" s="107"/>
      <c r="AI158" s="107"/>
      <c r="AJ158" s="107"/>
      <c r="AK158" s="107"/>
      <c r="AL158" s="163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</row>
    <row r="159" spans="3:65" s="99" customFormat="1" ht="17.25" customHeight="1" x14ac:dyDescent="0.2">
      <c r="C159" s="144"/>
      <c r="D159" s="144"/>
      <c r="E159" s="144"/>
      <c r="F159" s="144"/>
      <c r="AA159" s="106"/>
      <c r="AB159" s="178"/>
      <c r="AC159" s="105"/>
      <c r="AD159" s="107"/>
      <c r="AE159" s="107"/>
      <c r="AF159" s="107"/>
      <c r="AG159" s="107"/>
      <c r="AH159" s="107"/>
      <c r="AI159" s="107"/>
      <c r="AJ159" s="107"/>
      <c r="AK159" s="107"/>
      <c r="AL159" s="163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</row>
    <row r="160" spans="3:65" s="99" customFormat="1" ht="17.25" customHeight="1" x14ac:dyDescent="0.2">
      <c r="C160" s="144"/>
      <c r="D160" s="144"/>
      <c r="E160" s="144"/>
      <c r="F160" s="144"/>
      <c r="AA160" s="106"/>
      <c r="AB160" s="178"/>
      <c r="AC160" s="105"/>
      <c r="AD160" s="107"/>
      <c r="AE160" s="107"/>
      <c r="AF160" s="107"/>
      <c r="AG160" s="107"/>
      <c r="AH160" s="107"/>
      <c r="AI160" s="107"/>
      <c r="AJ160" s="107"/>
      <c r="AK160" s="107"/>
      <c r="AL160" s="163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</row>
    <row r="161" spans="3:65" s="99" customFormat="1" ht="17.25" customHeight="1" x14ac:dyDescent="0.2">
      <c r="C161" s="144"/>
      <c r="D161" s="144"/>
      <c r="E161" s="144"/>
      <c r="F161" s="144"/>
      <c r="AA161" s="106"/>
      <c r="AB161" s="178"/>
      <c r="AC161" s="105"/>
      <c r="AD161" s="107"/>
      <c r="AE161" s="107"/>
      <c r="AF161" s="107"/>
      <c r="AG161" s="107"/>
      <c r="AH161" s="107"/>
      <c r="AI161" s="107"/>
      <c r="AJ161" s="107"/>
      <c r="AK161" s="107"/>
      <c r="AL161" s="163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</row>
    <row r="162" spans="3:65" s="99" customFormat="1" ht="17.25" customHeight="1" x14ac:dyDescent="0.2">
      <c r="C162" s="144"/>
      <c r="D162" s="144"/>
      <c r="E162" s="144"/>
      <c r="F162" s="144"/>
      <c r="AA162" s="106"/>
      <c r="AB162" s="178"/>
      <c r="AC162" s="105"/>
      <c r="AD162" s="107"/>
      <c r="AE162" s="107"/>
      <c r="AF162" s="107"/>
      <c r="AG162" s="107"/>
      <c r="AH162" s="107"/>
      <c r="AI162" s="107"/>
      <c r="AJ162" s="107"/>
      <c r="AK162" s="107"/>
      <c r="AL162" s="163"/>
      <c r="AM162" s="107"/>
      <c r="AN162" s="107"/>
      <c r="AO162" s="107"/>
      <c r="AP162" s="107"/>
      <c r="AQ162" s="107"/>
      <c r="AR162" s="107"/>
      <c r="AS162" s="107"/>
      <c r="AT162" s="107"/>
      <c r="AU162" s="107"/>
      <c r="AV162" s="107"/>
      <c r="AW162" s="107"/>
      <c r="AX162" s="107"/>
      <c r="AY162" s="107"/>
      <c r="AZ162" s="107"/>
      <c r="BA162" s="107"/>
      <c r="BB162" s="107"/>
      <c r="BC162" s="107"/>
      <c r="BD162" s="107"/>
      <c r="BE162" s="107"/>
      <c r="BF162" s="107"/>
      <c r="BG162" s="107"/>
      <c r="BH162" s="107"/>
      <c r="BI162" s="107"/>
      <c r="BJ162" s="107"/>
      <c r="BK162" s="107"/>
      <c r="BL162" s="107"/>
      <c r="BM162" s="107"/>
    </row>
    <row r="163" spans="3:65" s="99" customFormat="1" ht="17.25" customHeight="1" x14ac:dyDescent="0.2">
      <c r="C163" s="144"/>
      <c r="D163" s="144"/>
      <c r="E163" s="144"/>
      <c r="F163" s="144"/>
      <c r="AA163" s="106"/>
      <c r="AB163" s="178"/>
      <c r="AC163" s="105"/>
      <c r="AD163" s="107"/>
      <c r="AE163" s="107"/>
      <c r="AF163" s="107"/>
      <c r="AG163" s="107"/>
      <c r="AH163" s="107"/>
      <c r="AI163" s="107"/>
      <c r="AJ163" s="107"/>
      <c r="AK163" s="107"/>
      <c r="AL163" s="163"/>
      <c r="AM163" s="107"/>
      <c r="AN163" s="107"/>
      <c r="AO163" s="107"/>
      <c r="AP163" s="107"/>
      <c r="AQ163" s="107"/>
      <c r="AR163" s="107"/>
      <c r="AS163" s="107"/>
      <c r="AT163" s="107"/>
      <c r="AU163" s="107"/>
      <c r="AV163" s="107"/>
      <c r="AW163" s="107"/>
      <c r="AX163" s="107"/>
      <c r="AY163" s="107"/>
      <c r="AZ163" s="107"/>
      <c r="BA163" s="107"/>
      <c r="BB163" s="107"/>
      <c r="BC163" s="107"/>
      <c r="BD163" s="107"/>
      <c r="BE163" s="107"/>
      <c r="BF163" s="107"/>
      <c r="BG163" s="107"/>
      <c r="BH163" s="107"/>
      <c r="BI163" s="107"/>
      <c r="BJ163" s="107"/>
      <c r="BK163" s="107"/>
      <c r="BL163" s="107"/>
      <c r="BM163" s="107"/>
    </row>
    <row r="164" spans="3:65" s="99" customFormat="1" ht="17.25" customHeight="1" x14ac:dyDescent="0.2">
      <c r="C164" s="144"/>
      <c r="D164" s="144"/>
      <c r="E164" s="144"/>
      <c r="F164" s="144"/>
      <c r="AA164" s="106"/>
      <c r="AB164" s="178"/>
      <c r="AC164" s="105"/>
      <c r="AD164" s="107"/>
      <c r="AE164" s="107"/>
      <c r="AF164" s="107"/>
      <c r="AG164" s="107"/>
      <c r="AH164" s="107"/>
      <c r="AI164" s="107"/>
      <c r="AJ164" s="107"/>
      <c r="AK164" s="107"/>
      <c r="AL164" s="163"/>
      <c r="AM164" s="107"/>
      <c r="AN164" s="107"/>
      <c r="AO164" s="107"/>
      <c r="AP164" s="107"/>
      <c r="AQ164" s="107"/>
      <c r="AR164" s="107"/>
      <c r="AS164" s="107"/>
      <c r="AT164" s="107"/>
      <c r="AU164" s="107"/>
      <c r="AV164" s="107"/>
      <c r="AW164" s="107"/>
      <c r="AX164" s="107"/>
      <c r="AY164" s="107"/>
      <c r="AZ164" s="107"/>
      <c r="BA164" s="107"/>
      <c r="BB164" s="107"/>
      <c r="BC164" s="107"/>
      <c r="BD164" s="107"/>
      <c r="BE164" s="107"/>
      <c r="BF164" s="107"/>
      <c r="BG164" s="107"/>
      <c r="BH164" s="107"/>
      <c r="BI164" s="107"/>
      <c r="BJ164" s="107"/>
      <c r="BK164" s="107"/>
      <c r="BL164" s="107"/>
      <c r="BM164" s="107"/>
    </row>
    <row r="165" spans="3:65" s="99" customFormat="1" ht="17.25" customHeight="1" x14ac:dyDescent="0.2">
      <c r="C165" s="144"/>
      <c r="D165" s="144"/>
      <c r="E165" s="144"/>
      <c r="F165" s="144"/>
      <c r="AA165" s="106"/>
      <c r="AB165" s="178"/>
      <c r="AC165" s="105"/>
      <c r="AD165" s="107"/>
      <c r="AE165" s="107"/>
      <c r="AF165" s="107"/>
      <c r="AG165" s="107"/>
      <c r="AH165" s="107"/>
      <c r="AI165" s="107"/>
      <c r="AJ165" s="107"/>
      <c r="AK165" s="107"/>
      <c r="AL165" s="163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X165" s="107"/>
      <c r="AY165" s="107"/>
      <c r="AZ165" s="107"/>
      <c r="BA165" s="107"/>
      <c r="BB165" s="107"/>
      <c r="BC165" s="107"/>
      <c r="BD165" s="107"/>
      <c r="BE165" s="107"/>
      <c r="BF165" s="107"/>
      <c r="BG165" s="107"/>
      <c r="BH165" s="107"/>
      <c r="BI165" s="107"/>
      <c r="BJ165" s="107"/>
      <c r="BK165" s="107"/>
      <c r="BL165" s="107"/>
      <c r="BM165" s="107"/>
    </row>
    <row r="166" spans="3:65" s="99" customFormat="1" ht="17.25" customHeight="1" x14ac:dyDescent="0.2">
      <c r="C166" s="144"/>
      <c r="D166" s="144"/>
      <c r="E166" s="144"/>
      <c r="F166" s="144"/>
      <c r="AA166" s="106"/>
      <c r="AB166" s="178"/>
      <c r="AC166" s="105"/>
      <c r="AD166" s="107"/>
      <c r="AE166" s="107"/>
      <c r="AF166" s="107"/>
      <c r="AG166" s="107"/>
      <c r="AH166" s="107"/>
      <c r="AI166" s="107"/>
      <c r="AJ166" s="107"/>
      <c r="AK166" s="107"/>
      <c r="AL166" s="163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  <c r="AY166" s="107"/>
      <c r="AZ166" s="107"/>
      <c r="BA166" s="107"/>
      <c r="BB166" s="107"/>
      <c r="BC166" s="107"/>
      <c r="BD166" s="107"/>
      <c r="BE166" s="107"/>
      <c r="BF166" s="107"/>
      <c r="BG166" s="107"/>
      <c r="BH166" s="107"/>
      <c r="BI166" s="107"/>
      <c r="BJ166" s="107"/>
      <c r="BK166" s="107"/>
      <c r="BL166" s="107"/>
      <c r="BM166" s="107"/>
    </row>
    <row r="167" spans="3:65" s="99" customFormat="1" ht="17.25" customHeight="1" x14ac:dyDescent="0.2">
      <c r="C167" s="144"/>
      <c r="D167" s="144"/>
      <c r="E167" s="144"/>
      <c r="F167" s="144"/>
      <c r="AA167" s="106"/>
      <c r="AB167" s="178"/>
      <c r="AC167" s="105"/>
      <c r="AD167" s="107"/>
      <c r="AE167" s="107"/>
      <c r="AF167" s="107"/>
      <c r="AG167" s="107"/>
      <c r="AH167" s="107"/>
      <c r="AI167" s="107"/>
      <c r="AJ167" s="107"/>
      <c r="AK167" s="107"/>
      <c r="AL167" s="163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  <c r="BD167" s="107"/>
      <c r="BE167" s="107"/>
      <c r="BF167" s="107"/>
      <c r="BG167" s="107"/>
      <c r="BH167" s="107"/>
      <c r="BI167" s="107"/>
      <c r="BJ167" s="107"/>
      <c r="BK167" s="107"/>
      <c r="BL167" s="107"/>
      <c r="BM167" s="107"/>
    </row>
    <row r="168" spans="3:65" s="99" customFormat="1" ht="17.25" customHeight="1" x14ac:dyDescent="0.2">
      <c r="C168" s="144"/>
      <c r="D168" s="144"/>
      <c r="E168" s="144"/>
      <c r="F168" s="144"/>
      <c r="AA168" s="106"/>
      <c r="AB168" s="178"/>
      <c r="AC168" s="105"/>
      <c r="AD168" s="107"/>
      <c r="AE168" s="107"/>
      <c r="AF168" s="107"/>
      <c r="AG168" s="107"/>
      <c r="AH168" s="107"/>
      <c r="AI168" s="107"/>
      <c r="AJ168" s="107"/>
      <c r="AK168" s="107"/>
      <c r="AL168" s="163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  <c r="BI168" s="107"/>
      <c r="BJ168" s="107"/>
      <c r="BK168" s="107"/>
      <c r="BL168" s="107"/>
      <c r="BM168" s="107"/>
    </row>
    <row r="169" spans="3:65" s="99" customFormat="1" ht="17.25" customHeight="1" x14ac:dyDescent="0.2">
      <c r="C169" s="144"/>
      <c r="D169" s="144"/>
      <c r="E169" s="144"/>
      <c r="F169" s="144"/>
      <c r="AA169" s="106"/>
      <c r="AB169" s="178"/>
      <c r="AC169" s="105"/>
      <c r="AD169" s="107"/>
      <c r="AE169" s="107"/>
      <c r="AF169" s="107"/>
      <c r="AG169" s="107"/>
      <c r="AH169" s="107"/>
      <c r="AI169" s="107"/>
      <c r="AJ169" s="107"/>
      <c r="AK169" s="107"/>
      <c r="AL169" s="163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  <c r="AY169" s="107"/>
      <c r="AZ169" s="107"/>
      <c r="BA169" s="107"/>
      <c r="BB169" s="107"/>
      <c r="BC169" s="107"/>
      <c r="BD169" s="107"/>
      <c r="BE169" s="107"/>
      <c r="BF169" s="107"/>
      <c r="BG169" s="107"/>
      <c r="BH169" s="107"/>
      <c r="BI169" s="107"/>
      <c r="BJ169" s="107"/>
      <c r="BK169" s="107"/>
      <c r="BL169" s="107"/>
      <c r="BM169" s="107"/>
    </row>
    <row r="170" spans="3:65" s="99" customFormat="1" ht="17.25" customHeight="1" x14ac:dyDescent="0.2">
      <c r="C170" s="144"/>
      <c r="D170" s="144"/>
      <c r="E170" s="144"/>
      <c r="F170" s="144"/>
      <c r="AA170" s="106"/>
      <c r="AB170" s="178"/>
      <c r="AC170" s="105"/>
      <c r="AD170" s="107"/>
      <c r="AE170" s="107"/>
      <c r="AF170" s="107"/>
      <c r="AG170" s="107"/>
      <c r="AH170" s="107"/>
      <c r="AI170" s="107"/>
      <c r="AJ170" s="107"/>
      <c r="AK170" s="107"/>
      <c r="AL170" s="163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  <c r="AY170" s="107"/>
      <c r="AZ170" s="107"/>
      <c r="BA170" s="107"/>
      <c r="BB170" s="107"/>
      <c r="BC170" s="107"/>
      <c r="BD170" s="107"/>
      <c r="BE170" s="107"/>
      <c r="BF170" s="107"/>
      <c r="BG170" s="107"/>
      <c r="BH170" s="107"/>
      <c r="BI170" s="107"/>
      <c r="BJ170" s="107"/>
      <c r="BK170" s="107"/>
      <c r="BL170" s="107"/>
      <c r="BM170" s="107"/>
    </row>
    <row r="171" spans="3:65" s="99" customFormat="1" ht="17.25" customHeight="1" x14ac:dyDescent="0.2">
      <c r="C171" s="144"/>
      <c r="D171" s="144"/>
      <c r="E171" s="144"/>
      <c r="F171" s="144"/>
      <c r="AA171" s="106"/>
      <c r="AB171" s="178"/>
      <c r="AC171" s="105"/>
      <c r="AD171" s="107"/>
      <c r="AE171" s="107"/>
      <c r="AF171" s="107"/>
      <c r="AG171" s="107"/>
      <c r="AH171" s="107"/>
      <c r="AI171" s="107"/>
      <c r="AJ171" s="107"/>
      <c r="AK171" s="107"/>
      <c r="AL171" s="163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  <c r="AY171" s="107"/>
      <c r="AZ171" s="107"/>
      <c r="BA171" s="107"/>
      <c r="BB171" s="107"/>
      <c r="BC171" s="107"/>
      <c r="BD171" s="107"/>
      <c r="BE171" s="107"/>
      <c r="BF171" s="107"/>
      <c r="BG171" s="107"/>
      <c r="BH171" s="107"/>
      <c r="BI171" s="107"/>
      <c r="BJ171" s="107"/>
      <c r="BK171" s="107"/>
      <c r="BL171" s="107"/>
      <c r="BM171" s="107"/>
    </row>
    <row r="172" spans="3:65" s="99" customFormat="1" ht="17.25" customHeight="1" x14ac:dyDescent="0.2">
      <c r="C172" s="144"/>
      <c r="D172" s="144"/>
      <c r="E172" s="144"/>
      <c r="F172" s="144"/>
      <c r="AA172" s="106"/>
      <c r="AB172" s="178"/>
      <c r="AC172" s="105"/>
      <c r="AD172" s="107"/>
      <c r="AE172" s="107"/>
      <c r="AF172" s="107"/>
      <c r="AG172" s="107"/>
      <c r="AH172" s="107"/>
      <c r="AI172" s="107"/>
      <c r="AJ172" s="107"/>
      <c r="AK172" s="107"/>
      <c r="AL172" s="163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  <c r="AY172" s="107"/>
      <c r="AZ172" s="107"/>
      <c r="BA172" s="107"/>
      <c r="BB172" s="107"/>
      <c r="BC172" s="107"/>
      <c r="BD172" s="107"/>
      <c r="BE172" s="107"/>
      <c r="BF172" s="107"/>
      <c r="BG172" s="107"/>
      <c r="BH172" s="107"/>
      <c r="BI172" s="107"/>
      <c r="BJ172" s="107"/>
      <c r="BK172" s="107"/>
      <c r="BL172" s="107"/>
      <c r="BM172" s="107"/>
    </row>
    <row r="173" spans="3:65" s="99" customFormat="1" ht="17.25" customHeight="1" x14ac:dyDescent="0.2">
      <c r="C173" s="144"/>
      <c r="D173" s="144"/>
      <c r="E173" s="144"/>
      <c r="F173" s="144"/>
      <c r="AA173" s="106"/>
      <c r="AB173" s="178"/>
      <c r="AC173" s="105"/>
      <c r="AD173" s="107"/>
      <c r="AE173" s="107"/>
      <c r="AF173" s="107"/>
      <c r="AG173" s="107"/>
      <c r="AH173" s="107"/>
      <c r="AI173" s="107"/>
      <c r="AJ173" s="107"/>
      <c r="AK173" s="107"/>
      <c r="AL173" s="163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  <c r="AY173" s="107"/>
      <c r="AZ173" s="107"/>
      <c r="BA173" s="107"/>
      <c r="BB173" s="107"/>
      <c r="BC173" s="107"/>
      <c r="BD173" s="107"/>
      <c r="BE173" s="107"/>
      <c r="BF173" s="107"/>
      <c r="BG173" s="107"/>
      <c r="BH173" s="107"/>
      <c r="BI173" s="107"/>
      <c r="BJ173" s="107"/>
      <c r="BK173" s="107"/>
      <c r="BL173" s="107"/>
      <c r="BM173" s="107"/>
    </row>
    <row r="174" spans="3:65" s="99" customFormat="1" ht="17.25" customHeight="1" x14ac:dyDescent="0.2">
      <c r="C174" s="144"/>
      <c r="D174" s="144"/>
      <c r="E174" s="144"/>
      <c r="F174" s="144"/>
      <c r="AA174" s="106"/>
      <c r="AB174" s="178"/>
      <c r="AC174" s="105"/>
      <c r="AD174" s="107"/>
      <c r="AE174" s="107"/>
      <c r="AF174" s="107"/>
      <c r="AG174" s="107"/>
      <c r="AH174" s="107"/>
      <c r="AI174" s="107"/>
      <c r="AJ174" s="107"/>
      <c r="AK174" s="107"/>
      <c r="AL174" s="163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</row>
    <row r="175" spans="3:65" s="99" customFormat="1" ht="17.25" customHeight="1" x14ac:dyDescent="0.2">
      <c r="C175" s="144"/>
      <c r="D175" s="144"/>
      <c r="E175" s="144"/>
      <c r="F175" s="144"/>
      <c r="AA175" s="106"/>
      <c r="AB175" s="178"/>
      <c r="AC175" s="105"/>
      <c r="AD175" s="107"/>
      <c r="AE175" s="107"/>
      <c r="AF175" s="107"/>
      <c r="AG175" s="107"/>
      <c r="AH175" s="107"/>
      <c r="AI175" s="107"/>
      <c r="AJ175" s="107"/>
      <c r="AK175" s="107"/>
      <c r="AL175" s="163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</row>
    <row r="176" spans="3:65" s="99" customFormat="1" ht="17.25" customHeight="1" x14ac:dyDescent="0.2">
      <c r="C176" s="144"/>
      <c r="D176" s="144"/>
      <c r="E176" s="144"/>
      <c r="F176" s="144"/>
      <c r="AA176" s="106"/>
      <c r="AB176" s="178"/>
      <c r="AC176" s="105"/>
      <c r="AD176" s="107"/>
      <c r="AE176" s="107"/>
      <c r="AF176" s="107"/>
      <c r="AG176" s="107"/>
      <c r="AH176" s="107"/>
      <c r="AI176" s="107"/>
      <c r="AJ176" s="107"/>
      <c r="AK176" s="107"/>
      <c r="AL176" s="163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</row>
    <row r="177" spans="3:65" s="99" customFormat="1" ht="17.25" customHeight="1" x14ac:dyDescent="0.2">
      <c r="C177" s="144"/>
      <c r="D177" s="144"/>
      <c r="E177" s="144"/>
      <c r="F177" s="144"/>
      <c r="AA177" s="106"/>
      <c r="AB177" s="178"/>
      <c r="AC177" s="105"/>
      <c r="AD177" s="107"/>
      <c r="AE177" s="107"/>
      <c r="AF177" s="107"/>
      <c r="AG177" s="107"/>
      <c r="AH177" s="107"/>
      <c r="AI177" s="107"/>
      <c r="AJ177" s="107"/>
      <c r="AK177" s="107"/>
      <c r="AL177" s="163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  <c r="AY177" s="107"/>
      <c r="AZ177" s="107"/>
      <c r="BA177" s="107"/>
      <c r="BB177" s="107"/>
      <c r="BC177" s="107"/>
      <c r="BD177" s="107"/>
      <c r="BE177" s="107"/>
      <c r="BF177" s="107"/>
      <c r="BG177" s="107"/>
      <c r="BH177" s="107"/>
      <c r="BI177" s="107"/>
      <c r="BJ177" s="107"/>
      <c r="BK177" s="107"/>
      <c r="BL177" s="107"/>
      <c r="BM177" s="107"/>
    </row>
    <row r="178" spans="3:65" s="99" customFormat="1" ht="17.25" customHeight="1" x14ac:dyDescent="0.2">
      <c r="C178" s="144"/>
      <c r="D178" s="144"/>
      <c r="E178" s="144"/>
      <c r="F178" s="144"/>
      <c r="AA178" s="106"/>
      <c r="AB178" s="178"/>
      <c r="AC178" s="105"/>
      <c r="AD178" s="107"/>
      <c r="AE178" s="107"/>
      <c r="AF178" s="107"/>
      <c r="AG178" s="107"/>
      <c r="AH178" s="107"/>
      <c r="AI178" s="107"/>
      <c r="AJ178" s="107"/>
      <c r="AK178" s="107"/>
      <c r="AL178" s="163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/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  <c r="BI178" s="107"/>
      <c r="BJ178" s="107"/>
      <c r="BK178" s="107"/>
      <c r="BL178" s="107"/>
      <c r="BM178" s="107"/>
    </row>
    <row r="179" spans="3:65" s="99" customFormat="1" ht="17.25" customHeight="1" x14ac:dyDescent="0.2">
      <c r="C179" s="144"/>
      <c r="D179" s="144"/>
      <c r="E179" s="144"/>
      <c r="F179" s="144"/>
      <c r="AA179" s="106"/>
      <c r="AB179" s="178"/>
      <c r="AC179" s="105"/>
      <c r="AD179" s="107"/>
      <c r="AE179" s="107"/>
      <c r="AF179" s="107"/>
      <c r="AG179" s="107"/>
      <c r="AH179" s="107"/>
      <c r="AI179" s="107"/>
      <c r="AJ179" s="107"/>
      <c r="AK179" s="107"/>
      <c r="AL179" s="163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  <c r="AY179" s="107"/>
      <c r="AZ179" s="107"/>
      <c r="BA179" s="107"/>
      <c r="BB179" s="107"/>
      <c r="BC179" s="107"/>
      <c r="BD179" s="107"/>
      <c r="BE179" s="107"/>
      <c r="BF179" s="107"/>
      <c r="BG179" s="107"/>
      <c r="BH179" s="107"/>
      <c r="BI179" s="107"/>
      <c r="BJ179" s="107"/>
      <c r="BK179" s="107"/>
      <c r="BL179" s="107"/>
      <c r="BM179" s="107"/>
    </row>
    <row r="180" spans="3:65" s="99" customFormat="1" ht="17.25" customHeight="1" x14ac:dyDescent="0.2">
      <c r="C180" s="144"/>
      <c r="D180" s="144"/>
      <c r="E180" s="144"/>
      <c r="F180" s="144"/>
      <c r="AA180" s="106"/>
      <c r="AB180" s="178"/>
      <c r="AC180" s="105"/>
      <c r="AD180" s="107"/>
      <c r="AE180" s="107"/>
      <c r="AF180" s="107"/>
      <c r="AG180" s="107"/>
      <c r="AH180" s="107"/>
      <c r="AI180" s="107"/>
      <c r="AJ180" s="107"/>
      <c r="AK180" s="107"/>
      <c r="AL180" s="163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  <c r="BI180" s="107"/>
      <c r="BJ180" s="107"/>
      <c r="BK180" s="107"/>
      <c r="BL180" s="107"/>
      <c r="BM180" s="107"/>
    </row>
    <row r="181" spans="3:65" s="99" customFormat="1" ht="17.25" customHeight="1" x14ac:dyDescent="0.2">
      <c r="C181" s="144"/>
      <c r="D181" s="144"/>
      <c r="E181" s="144"/>
      <c r="F181" s="144"/>
      <c r="AA181" s="106"/>
      <c r="AB181" s="178"/>
      <c r="AC181" s="105"/>
      <c r="AD181" s="107"/>
      <c r="AE181" s="107"/>
      <c r="AF181" s="107"/>
      <c r="AG181" s="107"/>
      <c r="AH181" s="107"/>
      <c r="AI181" s="107"/>
      <c r="AJ181" s="107"/>
      <c r="AK181" s="107"/>
      <c r="AL181" s="163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7"/>
      <c r="BC181" s="107"/>
      <c r="BD181" s="107"/>
      <c r="BE181" s="107"/>
      <c r="BF181" s="107"/>
      <c r="BG181" s="107"/>
      <c r="BH181" s="107"/>
      <c r="BI181" s="107"/>
      <c r="BJ181" s="107"/>
      <c r="BK181" s="107"/>
      <c r="BL181" s="107"/>
      <c r="BM181" s="107"/>
    </row>
    <row r="182" spans="3:65" s="99" customFormat="1" ht="17.25" customHeight="1" x14ac:dyDescent="0.2">
      <c r="C182" s="144"/>
      <c r="D182" s="144"/>
      <c r="E182" s="144"/>
      <c r="F182" s="144"/>
      <c r="AA182" s="106"/>
      <c r="AB182" s="178"/>
      <c r="AC182" s="105"/>
      <c r="AD182" s="107"/>
      <c r="AE182" s="107"/>
      <c r="AF182" s="107"/>
      <c r="AG182" s="107"/>
      <c r="AH182" s="107"/>
      <c r="AI182" s="107"/>
      <c r="AJ182" s="107"/>
      <c r="AK182" s="107"/>
      <c r="AL182" s="163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</row>
    <row r="183" spans="3:65" s="99" customFormat="1" ht="17.25" customHeight="1" x14ac:dyDescent="0.2">
      <c r="C183" s="144"/>
      <c r="D183" s="144"/>
      <c r="E183" s="144"/>
      <c r="F183" s="144"/>
      <c r="AA183" s="106"/>
      <c r="AB183" s="178"/>
      <c r="AC183" s="105"/>
      <c r="AD183" s="107"/>
      <c r="AE183" s="107"/>
      <c r="AF183" s="107"/>
      <c r="AG183" s="107"/>
      <c r="AH183" s="107"/>
      <c r="AI183" s="107"/>
      <c r="AJ183" s="107"/>
      <c r="AK183" s="107"/>
      <c r="AL183" s="163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</row>
    <row r="184" spans="3:65" s="99" customFormat="1" ht="17.25" customHeight="1" x14ac:dyDescent="0.2">
      <c r="C184" s="144"/>
      <c r="D184" s="144"/>
      <c r="E184" s="144"/>
      <c r="F184" s="144"/>
      <c r="AA184" s="106"/>
      <c r="AB184" s="178"/>
      <c r="AC184" s="105"/>
      <c r="AD184" s="107"/>
      <c r="AE184" s="107"/>
      <c r="AF184" s="107"/>
      <c r="AG184" s="107"/>
      <c r="AH184" s="107"/>
      <c r="AI184" s="107"/>
      <c r="AJ184" s="107"/>
      <c r="AK184" s="107"/>
      <c r="AL184" s="163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</row>
  </sheetData>
  <sheetProtection algorithmName="SHA-512" hashValue="JLmakh7MWp+4X+QoQJiX2SBZsrZEZIIgHfosclJzqZRuQ30Ob6T9K6jihnebNa/y1qfQuXY7rom9kxik0L5iMg==" saltValue="AEP/YJd+KQuuRxQ/xauVfA==" spinCount="100000" sheet="1" objects="1" scenarios="1"/>
  <dataConsolidate/>
  <mergeCells count="225">
    <mergeCell ref="H103:N103"/>
    <mergeCell ref="O103:R103"/>
    <mergeCell ref="U103:Z103"/>
    <mergeCell ref="E12:H12"/>
    <mergeCell ref="J33:P33"/>
    <mergeCell ref="J65:N65"/>
    <mergeCell ref="I93:N93"/>
    <mergeCell ref="O93:R93"/>
    <mergeCell ref="H95:N95"/>
    <mergeCell ref="O95:R95"/>
    <mergeCell ref="U95:Z95"/>
    <mergeCell ref="F97:I97"/>
    <mergeCell ref="J97:L97"/>
    <mergeCell ref="N100:P100"/>
    <mergeCell ref="N101:P101"/>
    <mergeCell ref="W101:AA101"/>
    <mergeCell ref="H84:N84"/>
    <mergeCell ref="O84:R84"/>
    <mergeCell ref="H85:N85"/>
    <mergeCell ref="O85:R85"/>
    <mergeCell ref="M74:P74"/>
    <mergeCell ref="M75:P75"/>
    <mergeCell ref="H76:N76"/>
    <mergeCell ref="O76:R76"/>
    <mergeCell ref="AD87:AE87"/>
    <mergeCell ref="G88:S88"/>
    <mergeCell ref="G89:H90"/>
    <mergeCell ref="I89:N89"/>
    <mergeCell ref="O89:R90"/>
    <mergeCell ref="S89:S90"/>
    <mergeCell ref="AD89:AE89"/>
    <mergeCell ref="I90:N90"/>
    <mergeCell ref="I91:N91"/>
    <mergeCell ref="O91:R92"/>
    <mergeCell ref="S91:S92"/>
    <mergeCell ref="I92:N92"/>
    <mergeCell ref="AD85:AE85"/>
    <mergeCell ref="H86:N86"/>
    <mergeCell ref="O86:R86"/>
    <mergeCell ref="U86:Z86"/>
    <mergeCell ref="AD86:AE86"/>
    <mergeCell ref="H80:N80"/>
    <mergeCell ref="O80:R80"/>
    <mergeCell ref="S80:U80"/>
    <mergeCell ref="H81:N81"/>
    <mergeCell ref="O81:R81"/>
    <mergeCell ref="S81:U81"/>
    <mergeCell ref="H82:N82"/>
    <mergeCell ref="O82:R82"/>
    <mergeCell ref="U82:Z82"/>
    <mergeCell ref="U76:Z76"/>
    <mergeCell ref="H77:N77"/>
    <mergeCell ref="O77:R77"/>
    <mergeCell ref="U77:Z77"/>
    <mergeCell ref="S79:U79"/>
    <mergeCell ref="H69:N69"/>
    <mergeCell ref="O69:R69"/>
    <mergeCell ref="U69:Z69"/>
    <mergeCell ref="H70:N70"/>
    <mergeCell ref="O70:R70"/>
    <mergeCell ref="U70:Z70"/>
    <mergeCell ref="M71:P71"/>
    <mergeCell ref="H72:N72"/>
    <mergeCell ref="O72:P72"/>
    <mergeCell ref="R72:S72"/>
    <mergeCell ref="U72:Z72"/>
    <mergeCell ref="V65:X65"/>
    <mergeCell ref="C66:F66"/>
    <mergeCell ref="G66:I66"/>
    <mergeCell ref="AC66:AC67"/>
    <mergeCell ref="F67:I67"/>
    <mergeCell ref="J67:L67"/>
    <mergeCell ref="H68:N68"/>
    <mergeCell ref="O68:R68"/>
    <mergeCell ref="U68:Z68"/>
    <mergeCell ref="F61:H61"/>
    <mergeCell ref="J61:L61"/>
    <mergeCell ref="M61:O61"/>
    <mergeCell ref="C62:H62"/>
    <mergeCell ref="I62:L62"/>
    <mergeCell ref="N62:Q62"/>
    <mergeCell ref="I63:N63"/>
    <mergeCell ref="D65:E65"/>
    <mergeCell ref="F65:H65"/>
    <mergeCell ref="P65:Q65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M53:O54"/>
    <mergeCell ref="P53:T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P16:X16"/>
    <mergeCell ref="P17:X17"/>
    <mergeCell ref="F33:H33"/>
    <mergeCell ref="C34:H34"/>
    <mergeCell ref="I34:I35"/>
    <mergeCell ref="J34:M35"/>
    <mergeCell ref="N34:P35"/>
    <mergeCell ref="N111:O111"/>
    <mergeCell ref="P111:R111"/>
    <mergeCell ref="T111:V111"/>
    <mergeCell ref="N106:W106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H124:I124"/>
    <mergeCell ref="K124:L124"/>
    <mergeCell ref="N124:R124"/>
    <mergeCell ref="S124:T124"/>
    <mergeCell ref="H125:J125"/>
    <mergeCell ref="K125:L125"/>
    <mergeCell ref="S125:X125"/>
    <mergeCell ref="M122:N122"/>
    <mergeCell ref="P122:R122"/>
    <mergeCell ref="S122:U122"/>
    <mergeCell ref="W122:Y122"/>
    <mergeCell ref="H123:I123"/>
    <mergeCell ref="K123:L123"/>
    <mergeCell ref="A122:D122"/>
    <mergeCell ref="D118:G120"/>
    <mergeCell ref="H118:L119"/>
    <mergeCell ref="H120:L120"/>
    <mergeCell ref="D106:G108"/>
    <mergeCell ref="D114:G116"/>
    <mergeCell ref="N109:Z109"/>
    <mergeCell ref="D110:G112"/>
    <mergeCell ref="H110:L111"/>
    <mergeCell ref="H114:L115"/>
    <mergeCell ref="X115:Y115"/>
    <mergeCell ref="H116:L116"/>
    <mergeCell ref="N118:W118"/>
    <mergeCell ref="N119:O119"/>
    <mergeCell ref="P119:R119"/>
    <mergeCell ref="T119:V119"/>
    <mergeCell ref="N107:O107"/>
    <mergeCell ref="P107:R107"/>
    <mergeCell ref="T107:V107"/>
    <mergeCell ref="H108:L108"/>
    <mergeCell ref="N120:O120"/>
    <mergeCell ref="P120:R120"/>
    <mergeCell ref="T120:V120"/>
    <mergeCell ref="N110:W110"/>
    <mergeCell ref="N114:W114"/>
    <mergeCell ref="N115:O115"/>
    <mergeCell ref="P115:R115"/>
    <mergeCell ref="T115:V115"/>
    <mergeCell ref="H112:L112"/>
    <mergeCell ref="N108:O108"/>
    <mergeCell ref="P108:R108"/>
    <mergeCell ref="T108:V108"/>
    <mergeCell ref="H106:L107"/>
  </mergeCells>
  <dataValidations count="4">
    <dataValidation type="list" allowBlank="1" showInputMessage="1" showErrorMessage="1" sqref="I24:I25 I34:I35 P60 U60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6:I66" xr:uid="{03F10643-B6D2-439A-864B-66743CDC2ECC}">
      <formula1>$AD$66:$AD$67</formula1>
    </dataValidation>
  </dataValidations>
  <printOptions horizontalCentered="1" verticalCentered="1"/>
  <pageMargins left="0.25" right="0.25" top="0.1" bottom="0.1" header="0.3" footer="0.3"/>
  <pageSetup paperSize="9" scale="1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15" zoomScaleNormal="100" workbookViewId="0">
      <selection activeCell="O123" sqref="O123:R123"/>
    </sheetView>
  </sheetViews>
  <sheetFormatPr baseColWidth="10" defaultColWidth="9.140625" defaultRowHeight="15" outlineLevelCol="1" x14ac:dyDescent="0.25"/>
  <cols>
    <col min="1" max="2" width="7.140625" style="16" customWidth="1"/>
    <col min="3" max="3" width="8.5703125" style="16" customWidth="1"/>
    <col min="4" max="22" width="7.140625" style="16" customWidth="1"/>
    <col min="23" max="24" width="9" style="16" customWidth="1"/>
    <col min="25" max="26" width="7.140625" style="16" customWidth="1"/>
    <col min="27" max="27" width="2.42578125" style="31" customWidth="1" outlineLevel="1"/>
    <col min="28" max="28" width="13.140625" style="262" customWidth="1" outlineLevel="1"/>
    <col min="29" max="29" width="15" style="262" customWidth="1" outlineLevel="1"/>
    <col min="30" max="33" width="15" style="16" customWidth="1" outlineLevel="1"/>
    <col min="34" max="52" width="13.140625" style="16" customWidth="1" outlineLevel="1"/>
    <col min="53" max="58" width="13.140625" style="16" customWidth="1"/>
    <col min="59" max="16384" width="9.140625" style="16"/>
  </cols>
  <sheetData>
    <row r="1" spans="1:54" s="1" customFormat="1" ht="17.25" customHeight="1" x14ac:dyDescent="0.25">
      <c r="C1" s="1078" t="s">
        <v>236</v>
      </c>
      <c r="D1" s="1078"/>
      <c r="E1" s="1078"/>
      <c r="F1" s="1078"/>
      <c r="G1" s="1079" t="s">
        <v>237</v>
      </c>
      <c r="H1" s="1079"/>
      <c r="I1" s="1079"/>
      <c r="J1" s="1079"/>
      <c r="K1" s="1079"/>
      <c r="L1" s="1079"/>
      <c r="M1" s="1079"/>
      <c r="N1" s="1079"/>
      <c r="O1" s="1079"/>
      <c r="P1" s="1079"/>
      <c r="Q1" s="1079"/>
      <c r="R1" s="1079"/>
      <c r="S1" s="1079"/>
      <c r="T1" s="1079"/>
      <c r="U1" s="1079"/>
      <c r="V1" s="1079"/>
      <c r="W1" s="1079"/>
      <c r="X1" s="1079"/>
      <c r="Y1" s="1079"/>
      <c r="AB1" s="15"/>
      <c r="AC1" s="252"/>
      <c r="AD1" s="252"/>
      <c r="AM1" s="30"/>
    </row>
    <row r="2" spans="1:54" s="1" customFormat="1" ht="17.25" customHeight="1" x14ac:dyDescent="0.25">
      <c r="C2" s="1078"/>
      <c r="D2" s="1078"/>
      <c r="E2" s="1078"/>
      <c r="F2" s="1078"/>
      <c r="G2" s="1079"/>
      <c r="H2" s="1079"/>
      <c r="I2" s="1079"/>
      <c r="J2" s="1079"/>
      <c r="K2" s="1079"/>
      <c r="L2" s="1079"/>
      <c r="M2" s="1079"/>
      <c r="N2" s="1079"/>
      <c r="O2" s="1079"/>
      <c r="P2" s="1079"/>
      <c r="Q2" s="1079"/>
      <c r="R2" s="1079"/>
      <c r="S2" s="1079"/>
      <c r="T2" s="1079"/>
      <c r="U2" s="1079"/>
      <c r="V2" s="1079"/>
      <c r="W2" s="1079"/>
      <c r="X2" s="1079"/>
      <c r="Y2" s="1079"/>
      <c r="AB2" s="15"/>
      <c r="AC2" s="252"/>
      <c r="AD2" s="252"/>
      <c r="AM2" s="30"/>
    </row>
    <row r="3" spans="1:54" s="1" customFormat="1" ht="17.25" customHeight="1" x14ac:dyDescent="0.25">
      <c r="C3" s="1078"/>
      <c r="D3" s="1078"/>
      <c r="E3" s="1078"/>
      <c r="F3" s="1078"/>
      <c r="G3" s="1080" t="s">
        <v>241</v>
      </c>
      <c r="H3" s="1080"/>
      <c r="I3" s="1080"/>
      <c r="J3" s="1082" t="s">
        <v>240</v>
      </c>
      <c r="K3" s="1082"/>
      <c r="L3" s="1082"/>
      <c r="AB3" s="15"/>
      <c r="AC3" s="252"/>
      <c r="AD3" s="252"/>
      <c r="AM3" s="30"/>
    </row>
    <row r="4" spans="1:54" s="1" customFormat="1" ht="17.25" customHeight="1" x14ac:dyDescent="0.25">
      <c r="C4" s="1078"/>
      <c r="D4" s="1078"/>
      <c r="E4" s="1078"/>
      <c r="F4" s="1078"/>
      <c r="G4" s="1081"/>
      <c r="H4" s="1081"/>
      <c r="I4" s="1081"/>
      <c r="J4" s="1083"/>
      <c r="K4" s="1083"/>
      <c r="L4" s="1083"/>
      <c r="AB4" s="15"/>
      <c r="AC4" s="252"/>
      <c r="AD4" s="252"/>
      <c r="AM4" s="30"/>
    </row>
    <row r="5" spans="1:54" s="1" customFormat="1" ht="17.25" customHeight="1" x14ac:dyDescent="0.25">
      <c r="C5" s="37"/>
      <c r="D5" s="37"/>
      <c r="E5" s="37"/>
      <c r="F5" s="37"/>
      <c r="G5" s="37"/>
      <c r="AB5" s="15"/>
      <c r="AC5" s="252"/>
      <c r="AD5" s="252"/>
      <c r="AM5" s="30"/>
    </row>
    <row r="6" spans="1:54" s="1" customFormat="1" ht="17.25" customHeight="1" x14ac:dyDescent="0.25">
      <c r="C6" s="37"/>
      <c r="D6" s="37"/>
      <c r="E6" s="37"/>
      <c r="F6" s="37"/>
      <c r="G6" s="37"/>
      <c r="AB6" s="15"/>
      <c r="AC6" s="252"/>
      <c r="AD6" s="252"/>
      <c r="AM6" s="30"/>
    </row>
    <row r="7" spans="1:54" s="1" customFormat="1" ht="17.25" customHeight="1" thickBot="1" x14ac:dyDescent="0.3">
      <c r="A7" s="1" t="s">
        <v>47</v>
      </c>
      <c r="B7" s="1" t="s">
        <v>48</v>
      </c>
      <c r="C7" s="37"/>
      <c r="D7" s="1056" t="s">
        <v>27</v>
      </c>
      <c r="E7" s="1056"/>
      <c r="F7" s="1056"/>
      <c r="G7" s="1056"/>
      <c r="H7" s="1056"/>
      <c r="I7" s="1056"/>
      <c r="J7" s="16"/>
      <c r="O7" s="1057" t="s">
        <v>28</v>
      </c>
      <c r="P7" s="1058"/>
      <c r="Q7" s="1058"/>
      <c r="R7" s="1058"/>
      <c r="S7" s="1058"/>
      <c r="T7" s="1058"/>
      <c r="U7" s="1059"/>
      <c r="AA7" s="15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s="1" customFormat="1" ht="17.25" customHeight="1" thickTop="1" thickBot="1" x14ac:dyDescent="0.3">
      <c r="C8" s="37"/>
      <c r="D8" s="1060" t="s">
        <v>15</v>
      </c>
      <c r="E8" s="1060"/>
      <c r="F8" s="1060"/>
      <c r="G8" s="1061" t="s">
        <v>14</v>
      </c>
      <c r="H8" s="1061"/>
      <c r="I8" s="1061"/>
      <c r="J8" s="1062" t="s">
        <v>35</v>
      </c>
      <c r="K8" s="1062"/>
      <c r="L8" s="1062"/>
      <c r="M8" s="1062"/>
      <c r="N8" s="1062"/>
      <c r="O8" s="1063" t="s">
        <v>29</v>
      </c>
      <c r="P8" s="1064"/>
      <c r="Q8" s="1064"/>
      <c r="R8" s="1065"/>
      <c r="S8" s="1066" t="s">
        <v>30</v>
      </c>
      <c r="T8" s="1067"/>
      <c r="U8" s="1068"/>
      <c r="V8" s="1062" t="s">
        <v>35</v>
      </c>
      <c r="W8" s="1062"/>
      <c r="X8" s="1062"/>
      <c r="Y8" s="1062"/>
      <c r="Z8" s="1062"/>
      <c r="AA8" s="15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s="1" customFormat="1" ht="17.25" customHeight="1" thickTop="1" thickBot="1" x14ac:dyDescent="0.3">
      <c r="C9" s="37"/>
      <c r="D9" s="1069" t="s">
        <v>79</v>
      </c>
      <c r="E9" s="1070"/>
      <c r="F9" s="1070"/>
      <c r="G9" s="1061" cm="1">
        <f t="array" ref="G9">heureConvert2Decimal(D9)</f>
        <v>11.983333333333333</v>
      </c>
      <c r="H9" s="1061"/>
      <c r="I9" s="1061"/>
      <c r="J9" s="1071" t="str" cm="1">
        <f t="array" ref="J9">heureDecimal2Txt(G9)</f>
        <v>11:59:00.00(11.9833)</v>
      </c>
      <c r="K9" s="1071"/>
      <c r="L9" s="1071"/>
      <c r="M9" s="1071"/>
      <c r="N9" s="1071"/>
      <c r="O9" s="1043" t="s">
        <v>522</v>
      </c>
      <c r="P9" s="1044"/>
      <c r="Q9" s="1044"/>
      <c r="R9" s="1045"/>
      <c r="S9" s="1072" cm="1">
        <f t="array" ref="S9">angleConvert2Decimal(O9)</f>
        <v>0.46666666666666667</v>
      </c>
      <c r="T9" s="1073"/>
      <c r="U9" s="1074"/>
      <c r="V9" s="1071" t="str" cm="1">
        <f t="array" ref="V9">angleDecimal2Txt(S9)</f>
        <v>+00°28.00 (+00.4666) [+00°28'00.00]</v>
      </c>
      <c r="W9" s="1071"/>
      <c r="X9" s="1071"/>
      <c r="Y9" s="1071"/>
      <c r="Z9" s="1071"/>
      <c r="AA9" s="15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s="1" customFormat="1" ht="17.25" customHeight="1" thickTop="1" thickBot="1" x14ac:dyDescent="0.3">
      <c r="C10" s="37"/>
      <c r="D10" s="1070"/>
      <c r="E10" s="1070"/>
      <c r="F10" s="1070"/>
      <c r="G10" s="1061"/>
      <c r="H10" s="1061"/>
      <c r="I10" s="1061"/>
      <c r="J10" s="1071"/>
      <c r="K10" s="1071"/>
      <c r="L10" s="1071"/>
      <c r="M10" s="1071"/>
      <c r="N10" s="1071"/>
      <c r="O10" s="1046"/>
      <c r="P10" s="1047"/>
      <c r="Q10" s="1047"/>
      <c r="R10" s="1048"/>
      <c r="S10" s="1075"/>
      <c r="T10" s="1076"/>
      <c r="U10" s="1077"/>
      <c r="V10" s="1071"/>
      <c r="W10" s="1071"/>
      <c r="X10" s="1071"/>
      <c r="Y10" s="1071"/>
      <c r="Z10" s="1071"/>
      <c r="AA10" s="15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s="1" customFormat="1" ht="17.25" customHeight="1" thickTop="1" thickBot="1" x14ac:dyDescent="0.3">
      <c r="C11" s="37"/>
      <c r="D11" s="1069"/>
      <c r="E11" s="1070"/>
      <c r="F11" s="1070"/>
      <c r="G11" s="1061">
        <v>11.9</v>
      </c>
      <c r="H11" s="1061"/>
      <c r="I11" s="1061"/>
      <c r="J11" s="1071" t="str" cm="1">
        <f t="array" ref="J11">heureDecimal2Txt(G11)</f>
        <v>11:54:00.00(11.9000)</v>
      </c>
      <c r="K11" s="1071"/>
      <c r="L11" s="1071"/>
      <c r="M11" s="1071"/>
      <c r="N11" s="1071"/>
      <c r="O11" s="1043"/>
      <c r="P11" s="1044"/>
      <c r="Q11" s="1044"/>
      <c r="R11" s="1045"/>
      <c r="S11" s="1072">
        <f>S9-59.2166667</f>
        <v>-58.750000033333329</v>
      </c>
      <c r="T11" s="1073"/>
      <c r="U11" s="1074"/>
      <c r="V11" s="1071" t="str" cm="1">
        <f t="array" ref="V11">angleDecimal2Txt(S11)</f>
        <v>-58°45.00 (-58.7500) [-58°45'00.00]</v>
      </c>
      <c r="W11" s="1071"/>
      <c r="X11" s="1071"/>
      <c r="Y11" s="1071"/>
      <c r="Z11" s="1071"/>
      <c r="AA11" s="15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s="1" customFormat="1" ht="17.25" customHeight="1" thickTop="1" thickBot="1" x14ac:dyDescent="0.3">
      <c r="C12" s="37"/>
      <c r="D12" s="1070"/>
      <c r="E12" s="1070"/>
      <c r="F12" s="1070"/>
      <c r="G12" s="1061"/>
      <c r="H12" s="1061"/>
      <c r="I12" s="1061"/>
      <c r="J12" s="1071"/>
      <c r="K12" s="1071"/>
      <c r="L12" s="1071"/>
      <c r="M12" s="1071"/>
      <c r="N12" s="1071"/>
      <c r="O12" s="1046"/>
      <c r="P12" s="1047"/>
      <c r="Q12" s="1047"/>
      <c r="R12" s="1048"/>
      <c r="S12" s="1075"/>
      <c r="T12" s="1076"/>
      <c r="U12" s="1077"/>
      <c r="V12" s="1071"/>
      <c r="W12" s="1071"/>
      <c r="X12" s="1071"/>
      <c r="Y12" s="1071"/>
      <c r="Z12" s="1071"/>
      <c r="AA12" s="15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s="1" customFormat="1" ht="17.25" customHeight="1" thickTop="1" thickBot="1" x14ac:dyDescent="0.3">
      <c r="C13" s="37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7"/>
      <c r="P13" s="17"/>
      <c r="Q13" s="17"/>
      <c r="R13" s="17"/>
      <c r="S13" s="16"/>
      <c r="T13" s="16"/>
      <c r="U13" s="16"/>
      <c r="V13" s="16"/>
      <c r="W13" s="16"/>
      <c r="X13" s="16"/>
      <c r="Y13" s="16"/>
      <c r="Z13" s="16"/>
      <c r="AA13" s="15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s="1" customFormat="1" ht="17.25" customHeight="1" thickBot="1" x14ac:dyDescent="0.3">
      <c r="C14" s="37"/>
      <c r="D14" s="1053" t="s">
        <v>41</v>
      </c>
      <c r="E14" s="1054"/>
      <c r="F14" s="1055"/>
      <c r="G14" s="16"/>
      <c r="H14" s="16"/>
      <c r="I14" s="1053" t="s">
        <v>144</v>
      </c>
      <c r="J14" s="1054"/>
      <c r="K14" s="1055"/>
      <c r="L14" s="16"/>
      <c r="M14" s="16"/>
      <c r="N14" s="16"/>
      <c r="O14" s="17"/>
      <c r="P14" s="17"/>
      <c r="Q14" s="17"/>
      <c r="R14" s="17"/>
      <c r="S14" s="16"/>
      <c r="T14" s="16"/>
      <c r="U14" s="16"/>
      <c r="V14" s="16"/>
      <c r="W14" s="1017" t="s">
        <v>154</v>
      </c>
      <c r="X14" s="1017"/>
      <c r="Y14" s="253" t="s">
        <v>9</v>
      </c>
      <c r="Z14" s="253"/>
      <c r="AA14" s="15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s="1" customFormat="1" ht="17.25" customHeight="1" x14ac:dyDescent="0.25">
      <c r="C15" s="37"/>
      <c r="D15" s="18" t="s">
        <v>49</v>
      </c>
      <c r="E15" s="19" t="s">
        <v>50</v>
      </c>
      <c r="F15" s="20"/>
      <c r="G15" s="16"/>
      <c r="H15" s="16"/>
      <c r="I15" s="21" t="s">
        <v>62</v>
      </c>
      <c r="J15" s="22" t="s">
        <v>122</v>
      </c>
      <c r="K15" s="23">
        <f>PI()/180</f>
        <v>1.7453292519943295E-2</v>
      </c>
      <c r="L15" s="16"/>
      <c r="M15" s="16"/>
      <c r="N15" s="16"/>
      <c r="O15" s="17"/>
      <c r="P15" s="17"/>
      <c r="Q15" s="17"/>
      <c r="R15" s="17"/>
      <c r="S15" s="16"/>
      <c r="T15" s="16"/>
      <c r="U15" s="16"/>
      <c r="V15" s="16"/>
      <c r="W15" s="1017" t="s">
        <v>155</v>
      </c>
      <c r="X15" s="1017"/>
      <c r="Y15" s="253" t="s">
        <v>156</v>
      </c>
      <c r="Z15" s="253"/>
      <c r="AA15" s="15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s="1" customFormat="1" ht="17.25" customHeight="1" thickBot="1" x14ac:dyDescent="0.3">
      <c r="C16" s="37"/>
      <c r="D16" s="18" t="s">
        <v>3</v>
      </c>
      <c r="E16" s="19" t="s">
        <v>5</v>
      </c>
      <c r="F16" s="20">
        <v>1</v>
      </c>
      <c r="G16" s="16"/>
      <c r="H16" s="16"/>
      <c r="I16" s="24" t="s">
        <v>122</v>
      </c>
      <c r="J16" s="25" t="s">
        <v>62</v>
      </c>
      <c r="K16" s="26">
        <f>180/PI()</f>
        <v>57.295779513082323</v>
      </c>
      <c r="L16" s="16"/>
      <c r="M16" s="16"/>
      <c r="N16" s="16"/>
      <c r="O16" s="17"/>
      <c r="P16" s="17"/>
      <c r="Q16" s="17"/>
      <c r="R16" s="17"/>
      <c r="S16" s="16"/>
      <c r="T16" s="16"/>
      <c r="U16" s="16"/>
      <c r="V16" s="16"/>
      <c r="W16" s="1049" t="s">
        <v>160</v>
      </c>
      <c r="X16" s="1049"/>
      <c r="Y16" s="254" t="s">
        <v>159</v>
      </c>
      <c r="Z16" s="254"/>
      <c r="AA16" s="15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2:54" s="1" customFormat="1" ht="17.25" customHeight="1" thickBot="1" x14ac:dyDescent="0.3">
      <c r="C17" s="37"/>
      <c r="D17" s="27" t="s">
        <v>4</v>
      </c>
      <c r="E17" s="28" t="s">
        <v>6</v>
      </c>
      <c r="F17" s="29">
        <v>-1</v>
      </c>
      <c r="G17" s="16"/>
      <c r="H17" s="16"/>
      <c r="I17" s="16"/>
      <c r="J17" s="16"/>
      <c r="K17" s="16"/>
      <c r="L17" s="16"/>
      <c r="M17" s="16"/>
      <c r="N17" s="16"/>
      <c r="O17" s="17"/>
      <c r="P17" s="17"/>
      <c r="Q17" s="17"/>
      <c r="R17" s="17"/>
      <c r="S17" s="16"/>
      <c r="T17" s="16"/>
      <c r="U17" s="16"/>
      <c r="V17" s="16"/>
      <c r="W17" s="1017" t="s">
        <v>157</v>
      </c>
      <c r="X17" s="1050"/>
      <c r="Y17" s="255"/>
      <c r="Z17" s="256"/>
      <c r="AA17" s="15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2:54" s="1" customFormat="1" ht="17.25" customHeight="1" x14ac:dyDescent="0.25"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7"/>
      <c r="P18" s="17"/>
      <c r="Q18" s="17"/>
      <c r="R18" s="17"/>
      <c r="S18" s="16"/>
      <c r="T18" s="16"/>
      <c r="U18" s="16"/>
      <c r="V18" s="16"/>
      <c r="W18" s="1017" t="s">
        <v>158</v>
      </c>
      <c r="X18" s="1050"/>
      <c r="Y18" s="257"/>
      <c r="Z18" s="258"/>
      <c r="AA18" s="15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2:54" s="1" customFormat="1" ht="17.25" customHeight="1" x14ac:dyDescent="0.25"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7"/>
      <c r="P19" s="17"/>
      <c r="Q19" s="17"/>
      <c r="R19" s="17"/>
      <c r="S19" s="16"/>
      <c r="T19" s="16"/>
      <c r="U19" s="16"/>
      <c r="V19" s="16"/>
      <c r="W19" s="1017" t="s">
        <v>163</v>
      </c>
      <c r="X19" s="1017"/>
      <c r="Y19" s="259" t="s">
        <v>161</v>
      </c>
      <c r="Z19" s="259"/>
      <c r="AA19" s="15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2:54" s="1" customFormat="1" ht="17.25" customHeight="1" x14ac:dyDescent="0.25"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7"/>
      <c r="P20" s="17"/>
      <c r="Q20" s="17"/>
      <c r="R20" s="17"/>
      <c r="S20" s="16"/>
      <c r="T20" s="16"/>
      <c r="U20" s="16"/>
      <c r="V20" s="16"/>
      <c r="W20" s="1017" t="s">
        <v>162</v>
      </c>
      <c r="X20" s="1050"/>
      <c r="Y20" s="255"/>
      <c r="Z20" s="256"/>
      <c r="AA20" s="15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2:54" s="1" customFormat="1" ht="17.25" customHeight="1" x14ac:dyDescent="0.25"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7"/>
      <c r="P21" s="17"/>
      <c r="Q21" s="17"/>
      <c r="R21" s="17"/>
      <c r="S21" s="16"/>
      <c r="T21" s="16"/>
      <c r="U21" s="16"/>
      <c r="V21" s="16"/>
      <c r="W21" s="1017" t="s">
        <v>164</v>
      </c>
      <c r="X21" s="1050"/>
      <c r="Y21" s="257"/>
      <c r="Z21" s="258"/>
      <c r="AA21" s="15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2:54" s="1" customFormat="1" ht="17.25" customHeight="1" x14ac:dyDescent="0.25">
      <c r="B22" s="260" t="s">
        <v>167</v>
      </c>
      <c r="C22" s="32"/>
      <c r="D22" s="32"/>
      <c r="E22" s="32"/>
      <c r="F22" s="32"/>
      <c r="G22" s="32"/>
      <c r="H22" s="32"/>
      <c r="I22" s="16"/>
      <c r="J22" s="16"/>
      <c r="K22" s="16"/>
      <c r="L22" s="16"/>
      <c r="M22" s="16"/>
      <c r="N22" s="16"/>
      <c r="O22" s="17"/>
      <c r="P22" s="17"/>
      <c r="Q22" s="17"/>
      <c r="R22" s="17"/>
      <c r="S22" s="16"/>
      <c r="T22" s="16"/>
      <c r="U22" s="16"/>
      <c r="V22" s="16"/>
      <c r="W22" s="1017" t="s">
        <v>165</v>
      </c>
      <c r="X22" s="1017"/>
      <c r="Y22" s="1086" t="s">
        <v>166</v>
      </c>
      <c r="Z22" s="1086"/>
      <c r="AA22" s="15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2:54" s="1" customFormat="1" ht="17.25" customHeight="1" x14ac:dyDescent="0.25"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7"/>
      <c r="P23" s="17"/>
      <c r="Q23" s="17"/>
      <c r="R23" s="17"/>
      <c r="S23" s="16"/>
      <c r="T23" s="16"/>
      <c r="U23" s="16"/>
      <c r="V23" s="16"/>
      <c r="W23" s="1085"/>
      <c r="X23" s="1085"/>
      <c r="Y23" s="16"/>
      <c r="Z23" s="16"/>
      <c r="AA23" s="15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2:54" s="1" customFormat="1" ht="17.25" customHeight="1" x14ac:dyDescent="0.25"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5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2:54" s="1" customFormat="1" ht="17.25" customHeight="1" x14ac:dyDescent="0.25"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7"/>
      <c r="P25" s="17"/>
      <c r="Q25" s="17"/>
      <c r="R25" s="17"/>
      <c r="S25" s="16"/>
      <c r="T25" s="16"/>
      <c r="U25" s="16"/>
      <c r="V25" s="16"/>
      <c r="W25" s="16"/>
      <c r="X25" s="16"/>
      <c r="Y25" s="16"/>
      <c r="Z25" s="16"/>
      <c r="AA25" s="15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2:54" s="1" customFormat="1" ht="17.25" customHeight="1" x14ac:dyDescent="0.25"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7"/>
      <c r="P26" s="17"/>
      <c r="Q26" s="17"/>
      <c r="R26" s="17"/>
      <c r="S26" s="16"/>
      <c r="T26" s="16"/>
      <c r="U26" s="16"/>
      <c r="V26" s="16"/>
      <c r="W26" s="16"/>
      <c r="X26" s="16"/>
      <c r="Y26" s="16"/>
      <c r="Z26" s="16"/>
      <c r="AA26" s="15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2:54" s="1" customFormat="1" ht="17.25" customHeight="1" x14ac:dyDescent="0.25"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7"/>
      <c r="P27" s="17"/>
      <c r="Q27" s="17"/>
      <c r="R27" s="17"/>
      <c r="S27" s="16"/>
      <c r="T27" s="16"/>
      <c r="U27" s="16"/>
      <c r="V27" s="16"/>
      <c r="W27" s="16"/>
      <c r="X27" s="16"/>
      <c r="Y27" s="16"/>
      <c r="Z27" s="16"/>
      <c r="AA27" s="15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2:54" s="1" customFormat="1" ht="17.25" customHeight="1" x14ac:dyDescent="0.25"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7"/>
      <c r="P28" s="17"/>
      <c r="Q28" s="17"/>
      <c r="R28" s="17"/>
      <c r="S28" s="16"/>
      <c r="T28" s="16"/>
      <c r="U28" s="16"/>
      <c r="V28" s="16"/>
      <c r="W28" s="16"/>
      <c r="X28" s="16"/>
      <c r="Y28" s="16"/>
      <c r="Z28" s="16"/>
      <c r="AA28" s="15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2:54" s="1" customFormat="1" ht="17.25" customHeight="1" x14ac:dyDescent="0.25"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7"/>
      <c r="P29" s="17"/>
      <c r="Q29" s="17"/>
      <c r="R29" s="17"/>
      <c r="S29" s="16"/>
      <c r="T29" s="16"/>
      <c r="U29" s="16"/>
      <c r="V29" s="16"/>
      <c r="W29" s="16"/>
      <c r="X29" s="16"/>
      <c r="Y29" s="16"/>
      <c r="Z29" s="16"/>
      <c r="AA29" s="15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2:54" s="1" customFormat="1" ht="17.25" customHeight="1" thickBot="1" x14ac:dyDescent="0.3">
      <c r="C30" s="37"/>
      <c r="D30" s="37"/>
      <c r="E30" s="37"/>
      <c r="F30" s="37"/>
      <c r="AA30" s="15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2:54" s="1" customFormat="1" ht="17.25" customHeight="1" thickBot="1" x14ac:dyDescent="0.3">
      <c r="B31" s="10" t="s">
        <v>143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4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2:54" s="1" customFormat="1" ht="17.25" customHeight="1" thickBot="1" x14ac:dyDescent="0.3">
      <c r="C32" s="16"/>
      <c r="AA32" s="15"/>
      <c r="AB32" s="265" t="s">
        <v>473</v>
      </c>
      <c r="AC32" s="265">
        <f>180/PI()</f>
        <v>57.295779513082323</v>
      </c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2:65" s="1" customFormat="1" ht="17.25" customHeight="1" thickTop="1" x14ac:dyDescent="0.25">
      <c r="C33" s="1032" t="s">
        <v>145</v>
      </c>
      <c r="D33" s="1051" t="s">
        <v>49</v>
      </c>
      <c r="E33" s="1004" cm="1">
        <f t="array" ref="E33">angleConvert2Decimal(I33)*VLOOKUP(H33,$D$16:$F$17,3)</f>
        <v>49.1</v>
      </c>
      <c r="F33" s="1004"/>
      <c r="G33" s="1005"/>
      <c r="H33" s="1008" t="s">
        <v>3</v>
      </c>
      <c r="I33" s="1010">
        <v>49.1</v>
      </c>
      <c r="J33" s="1011"/>
      <c r="K33" s="1011"/>
      <c r="L33" s="1011"/>
      <c r="M33" s="1012"/>
      <c r="N33" s="1001" t="str" cm="1">
        <f t="array" ref="N33">angleDecimal2Txt(E33)</f>
        <v>+49°06.00 (+49.1000) [+49°06'00.00]</v>
      </c>
      <c r="O33" s="1001"/>
      <c r="P33" s="1001"/>
      <c r="Q33" s="1001"/>
      <c r="R33" s="1001"/>
      <c r="S33" s="1001"/>
      <c r="T33" s="1001"/>
      <c r="U33" s="1001"/>
      <c r="V33" s="1001"/>
      <c r="W33" s="1002"/>
      <c r="AA33" s="15"/>
      <c r="AB33" s="265" t="s">
        <v>474</v>
      </c>
      <c r="AC33" s="265">
        <f>PI()/180</f>
        <v>1.7453292519943295E-2</v>
      </c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2:65" s="1" customFormat="1" ht="17.25" customHeight="1" thickBot="1" x14ac:dyDescent="0.3">
      <c r="C34" s="1033"/>
      <c r="D34" s="1052"/>
      <c r="E34" s="1006"/>
      <c r="F34" s="1006"/>
      <c r="G34" s="1007"/>
      <c r="H34" s="1009"/>
      <c r="I34" s="1013"/>
      <c r="J34" s="1014"/>
      <c r="K34" s="1014"/>
      <c r="L34" s="1014"/>
      <c r="M34" s="1015"/>
      <c r="N34" s="999"/>
      <c r="O34" s="999"/>
      <c r="P34" s="999"/>
      <c r="Q34" s="999"/>
      <c r="R34" s="999"/>
      <c r="S34" s="999"/>
      <c r="T34" s="999"/>
      <c r="U34" s="999"/>
      <c r="V34" s="999"/>
      <c r="W34" s="1000"/>
      <c r="X34" s="1" t="s">
        <v>481</v>
      </c>
      <c r="AA34" s="15"/>
      <c r="AB34" s="264" t="s">
        <v>469</v>
      </c>
      <c r="AC34" s="16"/>
      <c r="AD34" s="251" t="s">
        <v>71</v>
      </c>
      <c r="AE34" s="251" t="s">
        <v>92</v>
      </c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</row>
    <row r="35" spans="2:65" s="1" customFormat="1" ht="17.25" customHeight="1" thickTop="1" x14ac:dyDescent="0.25">
      <c r="C35" s="1033"/>
      <c r="D35" s="1020" t="s">
        <v>50</v>
      </c>
      <c r="E35" s="1004" cm="1">
        <f t="array" ref="E35">angleConvert2Decimal(I35)*VLOOKUP(H35,$E$16:$F$17,2)</f>
        <v>2.5</v>
      </c>
      <c r="F35" s="1004"/>
      <c r="G35" s="1005"/>
      <c r="H35" s="1022" t="s">
        <v>5</v>
      </c>
      <c r="I35" s="1024">
        <v>2.5</v>
      </c>
      <c r="J35" s="1025"/>
      <c r="K35" s="1025"/>
      <c r="L35" s="1025"/>
      <c r="M35" s="1026"/>
      <c r="N35" s="1001" t="str" cm="1">
        <f t="array" ref="N35">angleDecimal2Txt(E35)</f>
        <v>+02°30.00 (+02.5000) [+02°30'00.00]</v>
      </c>
      <c r="O35" s="1001"/>
      <c r="P35" s="1001"/>
      <c r="Q35" s="1001"/>
      <c r="R35" s="1001"/>
      <c r="S35" s="1001"/>
      <c r="T35" s="1001"/>
      <c r="U35" s="1001"/>
      <c r="V35" s="1001"/>
      <c r="W35" s="1002"/>
      <c r="AA35" s="15"/>
      <c r="AB35" s="16"/>
      <c r="AC35" s="269" t="s">
        <v>470</v>
      </c>
      <c r="AD35" s="270">
        <f>$E$41-$E$35</f>
        <v>136.6</v>
      </c>
      <c r="AE35" s="251">
        <f>AD35*AC33</f>
        <v>2.3841197582242541</v>
      </c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</row>
    <row r="36" spans="2:65" s="1" customFormat="1" ht="17.25" customHeight="1" thickBot="1" x14ac:dyDescent="0.3">
      <c r="C36" s="1034"/>
      <c r="D36" s="1021"/>
      <c r="E36" s="1006"/>
      <c r="F36" s="1006"/>
      <c r="G36" s="1007"/>
      <c r="H36" s="1023"/>
      <c r="I36" s="1027"/>
      <c r="J36" s="1028"/>
      <c r="K36" s="1028"/>
      <c r="L36" s="1028"/>
      <c r="M36" s="1029"/>
      <c r="N36" s="999"/>
      <c r="O36" s="999"/>
      <c r="P36" s="999"/>
      <c r="Q36" s="999"/>
      <c r="R36" s="999"/>
      <c r="S36" s="999"/>
      <c r="T36" s="999"/>
      <c r="U36" s="999"/>
      <c r="V36" s="999"/>
      <c r="W36" s="1000"/>
      <c r="Z36"/>
      <c r="AA36" s="278"/>
      <c r="AB36" s="16"/>
      <c r="AC36" s="269" t="s">
        <v>471</v>
      </c>
      <c r="AD36" s="270">
        <f>$E$39-$E$33</f>
        <v>-0.10000000000000142</v>
      </c>
      <c r="AE36" s="251">
        <f>AD36*AC33</f>
        <v>-1.7453292519943543E-3</v>
      </c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</row>
    <row r="37" spans="2:65" s="1" customFormat="1" ht="17.25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Y37" s="16"/>
      <c r="Z37"/>
      <c r="AA37" s="278"/>
      <c r="AB37" s="16"/>
      <c r="AC37" s="269" t="s">
        <v>472</v>
      </c>
      <c r="AD37" s="269">
        <f>(E39+E33)/2</f>
        <v>49.05</v>
      </c>
      <c r="AE37" s="251">
        <f>AD37*AC33</f>
        <v>0.85608399810321856</v>
      </c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</row>
    <row r="38" spans="2:65" s="1" customFormat="1" ht="17.25" customHeight="1" thickBot="1" x14ac:dyDescent="0.3">
      <c r="C38" s="16"/>
      <c r="Y38" s="16"/>
      <c r="Z38"/>
      <c r="AA38" s="278"/>
      <c r="AB38" s="16"/>
      <c r="AC38" s="269" t="s">
        <v>491</v>
      </c>
      <c r="AD38" s="269">
        <f>ABS(AE35/AE36)*COS(AE37)</f>
        <v>895.27663346549798</v>
      </c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2:65" s="1" customFormat="1" ht="17.25" customHeight="1" thickTop="1" x14ac:dyDescent="0.25">
      <c r="C39" s="1032" t="s">
        <v>19</v>
      </c>
      <c r="D39" s="1051" t="s">
        <v>49</v>
      </c>
      <c r="E39" s="1004" cm="1">
        <f t="array" ref="E39">angleConvert2Decimal(I39)</f>
        <v>49</v>
      </c>
      <c r="F39" s="1004"/>
      <c r="G39" s="1005"/>
      <c r="H39" s="1008" t="s">
        <v>3</v>
      </c>
      <c r="I39" s="1010">
        <v>49</v>
      </c>
      <c r="J39" s="1011"/>
      <c r="K39" s="1011"/>
      <c r="L39" s="1011"/>
      <c r="M39" s="1012"/>
      <c r="N39" s="1001" t="str" cm="1">
        <f t="array" ref="N39">angleDecimal2Txt(E39)</f>
        <v>+49°00.00 (+49.0000) [+49°00'00.00]</v>
      </c>
      <c r="O39" s="1001"/>
      <c r="P39" s="1001"/>
      <c r="Q39" s="1001"/>
      <c r="R39" s="1001"/>
      <c r="S39" s="1001"/>
      <c r="T39" s="1001"/>
      <c r="U39" s="1001"/>
      <c r="V39" s="1001"/>
      <c r="W39" s="1002"/>
      <c r="Y39" s="16"/>
      <c r="Z39"/>
      <c r="AA39" s="278"/>
      <c r="AB39" s="16"/>
      <c r="AC39" s="266" t="s">
        <v>482</v>
      </c>
      <c r="AD39" s="266">
        <f>ATAN(AD38)*$AC$32</f>
        <v>89.936002176820651</v>
      </c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2:65" s="1" customFormat="1" ht="17.25" customHeight="1" thickBot="1" x14ac:dyDescent="0.3">
      <c r="C40" s="1033"/>
      <c r="D40" s="1052"/>
      <c r="E40" s="1006"/>
      <c r="F40" s="1006"/>
      <c r="G40" s="1007"/>
      <c r="H40" s="1009"/>
      <c r="I40" s="1013"/>
      <c r="J40" s="1014"/>
      <c r="K40" s="1014"/>
      <c r="L40" s="1014"/>
      <c r="M40" s="1015"/>
      <c r="N40" s="999"/>
      <c r="O40" s="999"/>
      <c r="P40" s="999"/>
      <c r="Q40" s="999"/>
      <c r="R40" s="999"/>
      <c r="S40" s="999"/>
      <c r="T40" s="999"/>
      <c r="U40" s="999"/>
      <c r="V40" s="999"/>
      <c r="W40" s="1000"/>
      <c r="X40" s="1" t="s">
        <v>480</v>
      </c>
      <c r="Y40" s="16"/>
      <c r="Z40"/>
      <c r="AA40" s="278"/>
      <c r="AB40" s="16"/>
      <c r="AC40" s="266" t="s">
        <v>483</v>
      </c>
      <c r="AD40" s="266" t="str">
        <f>CONCATENATE(IF(AD36&lt;0,"S","N"),IF(AD35&gt;0,"E","W"))</f>
        <v>SE</v>
      </c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</row>
    <row r="41" spans="2:65" s="1" customFormat="1" ht="17.25" customHeight="1" thickTop="1" x14ac:dyDescent="0.25">
      <c r="C41" s="1033"/>
      <c r="D41" s="1020" t="s">
        <v>50</v>
      </c>
      <c r="E41" s="1004" cm="1">
        <f t="array" ref="E41">angleConvert2Decimal(I41)*VLOOKUP(H41,$E$16:$F$17,2)</f>
        <v>139.1</v>
      </c>
      <c r="F41" s="1004"/>
      <c r="G41" s="1005"/>
      <c r="H41" s="1022" t="s">
        <v>5</v>
      </c>
      <c r="I41" s="1024">
        <v>139.1</v>
      </c>
      <c r="J41" s="1025"/>
      <c r="K41" s="1025"/>
      <c r="L41" s="1025"/>
      <c r="M41" s="1026"/>
      <c r="N41" s="1001" t="str" cm="1">
        <f t="array" ref="N41">angleDecimal2Txt(E41)</f>
        <v>+139°06.00 (+139.0999) [+139°06'00.00]</v>
      </c>
      <c r="O41" s="1001"/>
      <c r="P41" s="1001"/>
      <c r="Q41" s="1001"/>
      <c r="R41" s="1001"/>
      <c r="S41" s="1001"/>
      <c r="T41" s="1001"/>
      <c r="U41" s="1001"/>
      <c r="V41" s="1001"/>
      <c r="W41" s="1002"/>
      <c r="Y41" s="16"/>
      <c r="Z41"/>
      <c r="AA41" s="278"/>
      <c r="AB41" s="16"/>
      <c r="AC41" s="266" t="s">
        <v>148</v>
      </c>
      <c r="AD41" s="266">
        <f>IF(AD40="NE",AD39,IF(AD40="NW",360-AD39,IF(AD40="SE",180-AD39,180+AD39)))</f>
        <v>90.063997823179349</v>
      </c>
      <c r="AE41" s="16">
        <f>AD41*AC33</f>
        <v>1.5719132995234855</v>
      </c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</row>
    <row r="42" spans="2:65" s="1" customFormat="1" ht="17.25" customHeight="1" thickBot="1" x14ac:dyDescent="0.3">
      <c r="C42" s="1034"/>
      <c r="D42" s="1021"/>
      <c r="E42" s="1006"/>
      <c r="F42" s="1006"/>
      <c r="G42" s="1007"/>
      <c r="H42" s="1023"/>
      <c r="I42" s="1027"/>
      <c r="J42" s="1028"/>
      <c r="K42" s="1028"/>
      <c r="L42" s="1028"/>
      <c r="M42" s="1029"/>
      <c r="N42" s="999"/>
      <c r="O42" s="999"/>
      <c r="P42" s="999"/>
      <c r="Q42" s="999"/>
      <c r="R42" s="999"/>
      <c r="S42" s="999"/>
      <c r="T42" s="999"/>
      <c r="U42" s="999"/>
      <c r="V42" s="999"/>
      <c r="W42" s="1000"/>
      <c r="Y42" s="16"/>
      <c r="Z42"/>
      <c r="AA42" s="278"/>
      <c r="AB42" s="16"/>
      <c r="AC42" s="266" t="s">
        <v>475</v>
      </c>
      <c r="AD42" s="266">
        <f>60*AD36/COS(AE41)</f>
        <v>5371.6631517123951</v>
      </c>
      <c r="AE42" s="16">
        <f>AD42*1.852</f>
        <v>9948.3201569713565</v>
      </c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</row>
    <row r="43" spans="2:65" x14ac:dyDescent="0.25">
      <c r="Z43"/>
      <c r="AA43" s="278"/>
      <c r="AB43" s="4" t="s">
        <v>476</v>
      </c>
      <c r="AC43" s="16"/>
      <c r="AE43"/>
      <c r="AF43"/>
      <c r="AG43"/>
    </row>
    <row r="44" spans="2:65" x14ac:dyDescent="0.25">
      <c r="Z44"/>
      <c r="AA44" s="278"/>
      <c r="AB44" s="16"/>
      <c r="AC44" s="273" t="s">
        <v>470</v>
      </c>
      <c r="AD44" s="274">
        <f>$E$41-$E$35</f>
        <v>136.6</v>
      </c>
      <c r="AE44" s="275">
        <f>AD44*AC33</f>
        <v>2.3841197582242541</v>
      </c>
      <c r="AF44"/>
      <c r="AG44"/>
    </row>
    <row r="45" spans="2:65" x14ac:dyDescent="0.25">
      <c r="E45" s="1030" t="s">
        <v>493</v>
      </c>
      <c r="F45" s="1030"/>
      <c r="G45" s="1030"/>
      <c r="H45" s="1030"/>
      <c r="I45" s="1030"/>
      <c r="J45" s="1030"/>
      <c r="K45" s="1030"/>
      <c r="L45" s="1030"/>
      <c r="M45" s="1030"/>
      <c r="N45" s="1030"/>
      <c r="O45" s="1030"/>
      <c r="P45" s="1030"/>
      <c r="Q45" s="1030"/>
      <c r="R45" s="1030"/>
      <c r="S45" s="1030"/>
      <c r="U45" s="981" t="s">
        <v>146</v>
      </c>
      <c r="V45" s="982"/>
      <c r="W45" s="982"/>
      <c r="X45" s="983"/>
      <c r="AB45" s="16"/>
      <c r="AC45" s="250" t="s">
        <v>471</v>
      </c>
      <c r="AD45" s="270">
        <f>$E$39-$E$33</f>
        <v>-0.10000000000000142</v>
      </c>
      <c r="AE45" s="272" t="s">
        <v>485</v>
      </c>
      <c r="AF45" s="272" t="s">
        <v>486</v>
      </c>
      <c r="AG45" s="272" t="s">
        <v>487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2:65" s="1" customFormat="1" ht="17.25" customHeight="1" x14ac:dyDescent="0.25">
      <c r="B46" s="1016" t="s">
        <v>492</v>
      </c>
      <c r="C46" s="1016"/>
      <c r="D46" s="16"/>
      <c r="E46" s="990" t="str" cm="1">
        <f t="array" ref="E46">angleDecimal2Txt(I46,0)</f>
        <v>+90°00.00</v>
      </c>
      <c r="F46" s="990"/>
      <c r="G46" s="990"/>
      <c r="H46" s="990"/>
      <c r="I46" s="980">
        <f>IF(OR(AF57,AE55),AD58,AD41)</f>
        <v>90</v>
      </c>
      <c r="J46" s="980"/>
      <c r="K46" s="980"/>
      <c r="L46" s="1031" t="str" cm="1">
        <f t="array" ref="L46">angleDecimal2Txt(I46)</f>
        <v>+90°00.00 (+90.0000) [+90°00'00.00]</v>
      </c>
      <c r="M46" s="1031"/>
      <c r="N46" s="1031"/>
      <c r="O46" s="1031"/>
      <c r="P46" s="1031"/>
      <c r="Q46" s="1031"/>
      <c r="R46" s="1031"/>
      <c r="S46" s="1031"/>
      <c r="U46" s="984">
        <f>IF(OR(AF57,AE55),AD59,AD42)</f>
        <v>5371.6598007930643</v>
      </c>
      <c r="V46" s="985"/>
      <c r="W46" s="985"/>
      <c r="X46" s="986"/>
      <c r="AA46" s="15"/>
      <c r="AB46" s="16"/>
      <c r="AC46" s="250" t="s">
        <v>478</v>
      </c>
      <c r="AD46" s="271">
        <f>AG46</f>
        <v>0.98647087183363136</v>
      </c>
      <c r="AE46" s="272">
        <f>PI()/4 + E33*$AC$33/2</f>
        <v>1.2138764947620562</v>
      </c>
      <c r="AF46" s="272">
        <f>TAN(AE46)</f>
        <v>2.6817535005930826</v>
      </c>
      <c r="AG46" s="272">
        <f>LN(AF46)</f>
        <v>0.98647087183363136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2:65" s="1" customFormat="1" ht="17.25" customHeight="1" x14ac:dyDescent="0.25">
      <c r="B47" s="1016"/>
      <c r="C47" s="1016"/>
      <c r="D47" s="16"/>
      <c r="E47" s="990"/>
      <c r="F47" s="990"/>
      <c r="G47" s="990"/>
      <c r="H47" s="990"/>
      <c r="I47" s="980"/>
      <c r="J47" s="980"/>
      <c r="K47" s="980"/>
      <c r="L47" s="1031"/>
      <c r="M47" s="1031"/>
      <c r="N47" s="1031"/>
      <c r="O47" s="1031"/>
      <c r="P47" s="1031"/>
      <c r="Q47" s="1031"/>
      <c r="R47" s="1031"/>
      <c r="S47" s="1031"/>
      <c r="U47" s="987"/>
      <c r="V47" s="988"/>
      <c r="W47" s="988"/>
      <c r="X47" s="989"/>
      <c r="AA47" s="15"/>
      <c r="AB47" s="16"/>
      <c r="AC47" s="250" t="s">
        <v>477</v>
      </c>
      <c r="AD47" s="271">
        <f>AG47</f>
        <v>0.98380787273879144</v>
      </c>
      <c r="AE47" s="272">
        <f>PI()/4 + E39*$AC$33/2</f>
        <v>1.2130038301360591</v>
      </c>
      <c r="AF47" s="272">
        <f>TAN(AE47)</f>
        <v>2.674621493926824</v>
      </c>
      <c r="AG47" s="272">
        <f>LN(AF47)</f>
        <v>0.98380787273879144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2:65" x14ac:dyDescent="0.25">
      <c r="AB48" s="16"/>
      <c r="AC48" s="250" t="s">
        <v>479</v>
      </c>
      <c r="AD48" s="271">
        <f>AD47-AD46</f>
        <v>-2.6629990948399129E-3</v>
      </c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</row>
    <row r="49" spans="2:54" x14ac:dyDescent="0.25">
      <c r="B49" s="1089" t="s">
        <v>476</v>
      </c>
      <c r="C49" s="1089"/>
      <c r="E49" s="990" t="str" cm="1">
        <f t="array" ref="E49">angleDecimal2Txt(I49,0)</f>
        <v>+90°03.83</v>
      </c>
      <c r="F49" s="990"/>
      <c r="G49" s="990"/>
      <c r="H49" s="990"/>
      <c r="I49" s="980">
        <f>AD52</f>
        <v>90.063997852876852</v>
      </c>
      <c r="J49" s="980"/>
      <c r="K49" s="980"/>
      <c r="L49" s="1031" t="str" cm="1">
        <f t="array" ref="L49">angleDecimal2Txt(I49)</f>
        <v>+90°03.83 (+90.0639) [+90°03'50.39]</v>
      </c>
      <c r="M49" s="1031"/>
      <c r="N49" s="1031"/>
      <c r="O49" s="1031"/>
      <c r="P49" s="1031"/>
      <c r="Q49" s="1031"/>
      <c r="R49" s="1031"/>
      <c r="S49" s="1031"/>
      <c r="T49" s="1"/>
      <c r="U49" s="984">
        <f>AD53</f>
        <v>5371.6606590521533</v>
      </c>
      <c r="V49" s="985"/>
      <c r="W49" s="985"/>
      <c r="X49" s="986"/>
      <c r="AB49" s="16"/>
      <c r="AC49" s="269" t="s">
        <v>491</v>
      </c>
      <c r="AD49" s="251">
        <f>ABS(AE44/AD48)</f>
        <v>895.2762180219878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</row>
    <row r="50" spans="2:54" x14ac:dyDescent="0.25">
      <c r="B50" s="1089"/>
      <c r="C50" s="1089"/>
      <c r="E50" s="990"/>
      <c r="F50" s="990"/>
      <c r="G50" s="990"/>
      <c r="H50" s="990"/>
      <c r="I50" s="980"/>
      <c r="J50" s="980"/>
      <c r="K50" s="980"/>
      <c r="L50" s="1031"/>
      <c r="M50" s="1031"/>
      <c r="N50" s="1031"/>
      <c r="O50" s="1031"/>
      <c r="P50" s="1031"/>
      <c r="Q50" s="1031"/>
      <c r="R50" s="1031"/>
      <c r="S50" s="1031"/>
      <c r="T50" s="1"/>
      <c r="U50" s="987"/>
      <c r="V50" s="988"/>
      <c r="W50" s="988"/>
      <c r="X50" s="989"/>
      <c r="AA50" s="15"/>
      <c r="AB50" s="16"/>
      <c r="AC50" s="266" t="s">
        <v>482</v>
      </c>
      <c r="AD50" s="261">
        <f>ATAN(AD49)*$AC$32</f>
        <v>89.936002147123148</v>
      </c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 s="1"/>
      <c r="BB50" s="1"/>
    </row>
    <row r="51" spans="2:54" x14ac:dyDescent="0.25">
      <c r="AA51" s="15"/>
      <c r="AB51" s="16"/>
      <c r="AC51" s="266" t="s">
        <v>483</v>
      </c>
      <c r="AD51" s="266" t="str">
        <f>CONCATENATE(IF(AD45&lt;0,"S","N"),IF(AD44&gt;0,"E","W"))</f>
        <v>SE</v>
      </c>
      <c r="AE51"/>
      <c r="AF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 s="1"/>
      <c r="BB51" s="1"/>
    </row>
    <row r="52" spans="2:54" x14ac:dyDescent="0.25">
      <c r="AB52"/>
      <c r="AC52" s="266" t="s">
        <v>148</v>
      </c>
      <c r="AD52" s="266">
        <f>IF(AD51="NE",AD50,IF(AD51="NW",360-AD50,IF(AD51="SE",180-AD50,180+AD50)))</f>
        <v>90.063997852876852</v>
      </c>
      <c r="AE52"/>
      <c r="AF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</row>
    <row r="53" spans="2:54" x14ac:dyDescent="0.25">
      <c r="AB53"/>
      <c r="AC53" s="266" t="s">
        <v>475</v>
      </c>
      <c r="AD53" s="266">
        <f>ABS(60*AD45/COS(AD52*$AC$33))</f>
        <v>5371.6606590521533</v>
      </c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</row>
    <row r="54" spans="2:54" x14ac:dyDescent="0.25">
      <c r="AB54" s="264" t="s">
        <v>484</v>
      </c>
      <c r="AC54"/>
      <c r="AD54"/>
      <c r="AE54" t="s">
        <v>489</v>
      </c>
      <c r="AF54" t="s">
        <v>490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</row>
    <row r="55" spans="2:54" x14ac:dyDescent="0.25">
      <c r="AB55"/>
      <c r="AC55" s="279" t="s">
        <v>488</v>
      </c>
      <c r="AD55" s="277">
        <f>E39-E33</f>
        <v>-0.10000000000000142</v>
      </c>
      <c r="AE55" t="b">
        <f>(ABS(AD55)&lt;0.0001)</f>
        <v>0</v>
      </c>
      <c r="AF55">
        <f>TAN(89*PI()/180)</f>
        <v>57.289961630759876</v>
      </c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</row>
    <row r="56" spans="2:54" x14ac:dyDescent="0.25">
      <c r="AB56"/>
      <c r="AC56" s="279" t="s">
        <v>470</v>
      </c>
      <c r="AD56" s="274">
        <f>$E$41-$E$35</f>
        <v>136.6</v>
      </c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</row>
    <row r="57" spans="2:54" x14ac:dyDescent="0.25">
      <c r="AB57"/>
      <c r="AC57" s="276" t="s">
        <v>491</v>
      </c>
      <c r="AD57">
        <f>ABS(AE35/AE36)*COS(AE37)</f>
        <v>895.27663346549798</v>
      </c>
      <c r="AF57" s="16" t="b">
        <f>IF(IFERROR(AD57,TRUE), TRUE, IF((AD57&gt;AF55),TRUE,FALSE))</f>
        <v>1</v>
      </c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</row>
    <row r="58" spans="2:54" x14ac:dyDescent="0.25">
      <c r="AB58"/>
      <c r="AC58" s="266" t="s">
        <v>148</v>
      </c>
      <c r="AD58" s="3">
        <f>IF(AD56&gt;0,90,270)</f>
        <v>90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</row>
    <row r="59" spans="2:54" x14ac:dyDescent="0.25">
      <c r="E59" s="1030" t="s">
        <v>494</v>
      </c>
      <c r="F59" s="1030"/>
      <c r="G59" s="1030"/>
      <c r="H59" s="1030"/>
      <c r="I59" s="1030"/>
      <c r="J59" s="1030"/>
      <c r="K59" s="1030"/>
      <c r="L59" s="1030"/>
      <c r="M59" s="1030"/>
      <c r="N59" s="1030"/>
      <c r="O59" s="1030"/>
      <c r="P59" s="1030"/>
      <c r="Q59" s="1030"/>
      <c r="R59" s="1030"/>
      <c r="S59" s="1030"/>
      <c r="U59" s="981" t="s">
        <v>146</v>
      </c>
      <c r="V59" s="982"/>
      <c r="W59" s="982"/>
      <c r="X59" s="983"/>
      <c r="AB59"/>
      <c r="AC59" s="280" t="s">
        <v>475</v>
      </c>
      <c r="AD59" s="280">
        <f>60 * ABS(AD56 * COS(AE37))</f>
        <v>5371.6598007930643</v>
      </c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</row>
    <row r="60" spans="2:54" x14ac:dyDescent="0.25">
      <c r="B60" s="1016" t="s">
        <v>476</v>
      </c>
      <c r="C60" s="1016"/>
      <c r="E60" s="990" t="str" cm="1">
        <f t="array" ref="E60">angleDecimal2Txt(I60,0)</f>
        <v>+67°43.11</v>
      </c>
      <c r="F60" s="990"/>
      <c r="G60" s="990"/>
      <c r="H60" s="990"/>
      <c r="I60" s="980">
        <f>AD66</f>
        <v>67.718563531590618</v>
      </c>
      <c r="J60" s="980"/>
      <c r="K60" s="980"/>
      <c r="L60" s="1031" t="str" cm="1">
        <f t="array" ref="L60">angleDecimal2Txt(I60)</f>
        <v>+67°43.11 (+67.7185) [+67°43'06.82]</v>
      </c>
      <c r="M60" s="1031"/>
      <c r="N60" s="1031"/>
      <c r="O60" s="1031"/>
      <c r="P60" s="1031"/>
      <c r="Q60" s="1031"/>
      <c r="R60" s="1031"/>
      <c r="S60" s="1031"/>
      <c r="T60" s="1"/>
      <c r="U60" s="984">
        <f>AD64</f>
        <v>4501.6667210167871</v>
      </c>
      <c r="V60" s="985"/>
      <c r="W60" s="985"/>
      <c r="X60" s="986"/>
      <c r="AB60" s="264" t="s">
        <v>495</v>
      </c>
      <c r="AC60"/>
      <c r="AD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</row>
    <row r="61" spans="2:54" x14ac:dyDescent="0.25">
      <c r="B61" s="1016"/>
      <c r="C61" s="1016"/>
      <c r="E61" s="990"/>
      <c r="F61" s="990"/>
      <c r="G61" s="990"/>
      <c r="H61" s="990"/>
      <c r="I61" s="980"/>
      <c r="J61" s="980"/>
      <c r="K61" s="980"/>
      <c r="L61" s="1031"/>
      <c r="M61" s="1031"/>
      <c r="N61" s="1031"/>
      <c r="O61" s="1031"/>
      <c r="P61" s="1031"/>
      <c r="Q61" s="1031"/>
      <c r="R61" s="1031"/>
      <c r="S61" s="1031"/>
      <c r="T61" s="1"/>
      <c r="U61" s="987"/>
      <c r="V61" s="988"/>
      <c r="W61" s="988"/>
      <c r="X61" s="989"/>
      <c r="AB61"/>
      <c r="AC61" t="s">
        <v>496</v>
      </c>
      <c r="AD61" s="277">
        <f>E41-E35</f>
        <v>136.6</v>
      </c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</row>
    <row r="62" spans="2:54" x14ac:dyDescent="0.25">
      <c r="AB62"/>
      <c r="AC62" t="s">
        <v>497</v>
      </c>
      <c r="AD62">
        <f>SIN(E39*AC33)*SIN(E33*AC33)+COS(E39*AC33)*COS(E33*AC33)*COS(AD61*AC33)</f>
        <v>0.25835070537528781</v>
      </c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</row>
    <row r="63" spans="2:54" x14ac:dyDescent="0.25">
      <c r="AB63"/>
      <c r="AC63" s="16" t="s">
        <v>155</v>
      </c>
      <c r="AD63" s="16">
        <f>AE63*AC32</f>
        <v>75.027778683613121</v>
      </c>
      <c r="AE63" s="16">
        <f>ACOS(AD62)</f>
        <v>1.309481768486666</v>
      </c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</row>
    <row r="64" spans="2:54" x14ac:dyDescent="0.25">
      <c r="AB64"/>
      <c r="AC64" s="281" t="s">
        <v>499</v>
      </c>
      <c r="AD64" s="3">
        <f>60*ACOS(AD62)*AC32</f>
        <v>4501.6667210167871</v>
      </c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</row>
    <row r="65" spans="2:65" x14ac:dyDescent="0.25">
      <c r="AB65"/>
      <c r="AC65" t="s">
        <v>498</v>
      </c>
      <c r="AD65">
        <f>((SIN(E39*AC33)-SIN(E33*AC33)*AD62)/SIN(AE63)*COS(E33*AC33))</f>
        <v>0.37915637652931999</v>
      </c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</row>
    <row r="66" spans="2:65" ht="15.75" thickBot="1" x14ac:dyDescent="0.3">
      <c r="AB66"/>
      <c r="AC66" s="3" t="s">
        <v>500</v>
      </c>
      <c r="AD66" s="3">
        <f>AE66*AC32</f>
        <v>67.718563531590618</v>
      </c>
      <c r="AE66" s="16">
        <f>ACOS(AD65)</f>
        <v>1.1819118983472154</v>
      </c>
      <c r="AF66"/>
      <c r="AG66"/>
    </row>
    <row r="67" spans="2:65" s="1" customFormat="1" ht="17.25" customHeight="1" thickBot="1" x14ac:dyDescent="0.3">
      <c r="B67" s="10" t="s">
        <v>147</v>
      </c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267"/>
      <c r="AB67" s="268"/>
      <c r="AC67" s="268"/>
      <c r="AD67" s="267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2"/>
    </row>
    <row r="68" spans="2:65" s="1" customFormat="1" ht="17.25" customHeight="1" thickBot="1" x14ac:dyDescent="0.3">
      <c r="C68" s="16"/>
      <c r="AA68" s="15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2:65" s="1" customFormat="1" ht="17.25" customHeight="1" thickTop="1" x14ac:dyDescent="0.25">
      <c r="C69" s="1032" t="s">
        <v>145</v>
      </c>
      <c r="D69" s="1090" t="s">
        <v>49</v>
      </c>
      <c r="E69" s="1004" cm="1">
        <f t="array" ref="E69">angleConvert2Decimal(I69)*VLOOKUP(H69,D16:F17,3)</f>
        <v>40.016666666666666</v>
      </c>
      <c r="F69" s="1004"/>
      <c r="G69" s="1005"/>
      <c r="H69" s="1008" t="s">
        <v>3</v>
      </c>
      <c r="I69" s="1010" t="s">
        <v>467</v>
      </c>
      <c r="J69" s="1011"/>
      <c r="K69" s="1011"/>
      <c r="L69" s="1011"/>
      <c r="M69" s="1012"/>
      <c r="N69" s="1001" t="str" cm="1">
        <f t="array" ref="N69">angleDecimal2Txt(E69)</f>
        <v>+40°01.00 (+40.0166) [+40°01'00.00]</v>
      </c>
      <c r="O69" s="1001"/>
      <c r="P69" s="1001"/>
      <c r="Q69" s="1001"/>
      <c r="R69" s="1001"/>
      <c r="S69" s="1001"/>
      <c r="T69" s="1001"/>
      <c r="U69" s="1001"/>
      <c r="V69" s="1001"/>
      <c r="W69" s="1002"/>
      <c r="AA69" s="15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2:65" s="1" customFormat="1" ht="17.25" customHeight="1" thickBot="1" x14ac:dyDescent="0.3">
      <c r="C70" s="1033"/>
      <c r="D70" s="1091"/>
      <c r="E70" s="1006"/>
      <c r="F70" s="1006"/>
      <c r="G70" s="1007"/>
      <c r="H70" s="1009"/>
      <c r="I70" s="1013"/>
      <c r="J70" s="1014"/>
      <c r="K70" s="1014"/>
      <c r="L70" s="1014"/>
      <c r="M70" s="1015"/>
      <c r="N70" s="999"/>
      <c r="O70" s="999"/>
      <c r="P70" s="999"/>
      <c r="Q70" s="999"/>
      <c r="R70" s="999"/>
      <c r="S70" s="999"/>
      <c r="T70" s="999"/>
      <c r="U70" s="999"/>
      <c r="V70" s="999"/>
      <c r="W70" s="1000"/>
      <c r="AA70" s="15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 s="16"/>
      <c r="BI70" s="16"/>
      <c r="BJ70" s="16"/>
      <c r="BK70" s="16"/>
      <c r="BL70" s="16"/>
      <c r="BM70" s="16"/>
    </row>
    <row r="71" spans="2:65" s="1" customFormat="1" ht="17.25" customHeight="1" thickTop="1" x14ac:dyDescent="0.25">
      <c r="C71" s="1033"/>
      <c r="D71" s="1091" t="s">
        <v>50</v>
      </c>
      <c r="E71" s="1004" cm="1">
        <f t="array" ref="E71">angleConvert2Decimal(I71)*VLOOKUP(H71,E16:F18,2)</f>
        <v>5.7166666666666668</v>
      </c>
      <c r="F71" s="1004"/>
      <c r="G71" s="1005"/>
      <c r="H71" s="1022" t="s">
        <v>5</v>
      </c>
      <c r="I71" s="1024" t="s">
        <v>468</v>
      </c>
      <c r="J71" s="1025"/>
      <c r="K71" s="1025"/>
      <c r="L71" s="1025"/>
      <c r="M71" s="1026"/>
      <c r="N71" s="1001" t="str" cm="1">
        <f t="array" ref="N71">angleDecimal2Txt(E71)</f>
        <v>+05°43.00 (+05.7166) [+05°43'00.00]</v>
      </c>
      <c r="O71" s="1001"/>
      <c r="P71" s="1001"/>
      <c r="Q71" s="1001"/>
      <c r="R71" s="1001"/>
      <c r="S71" s="1001"/>
      <c r="T71" s="1001"/>
      <c r="U71" s="1001"/>
      <c r="V71" s="1001"/>
      <c r="W71" s="1002"/>
      <c r="AA71" s="15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 s="16"/>
      <c r="BI71" s="16"/>
      <c r="BJ71" s="16"/>
      <c r="BK71" s="16"/>
      <c r="BL71" s="16"/>
      <c r="BM71" s="16"/>
    </row>
    <row r="72" spans="2:65" s="1" customFormat="1" ht="17.25" customHeight="1" thickBot="1" x14ac:dyDescent="0.3">
      <c r="C72" s="1034"/>
      <c r="D72" s="1092"/>
      <c r="E72" s="1006"/>
      <c r="F72" s="1006"/>
      <c r="G72" s="1007"/>
      <c r="H72" s="1023"/>
      <c r="I72" s="1027"/>
      <c r="J72" s="1028"/>
      <c r="K72" s="1028"/>
      <c r="L72" s="1028"/>
      <c r="M72" s="1029"/>
      <c r="N72" s="999"/>
      <c r="O72" s="999"/>
      <c r="P72" s="999"/>
      <c r="Q72" s="999"/>
      <c r="R72" s="999"/>
      <c r="S72" s="999"/>
      <c r="T72" s="999"/>
      <c r="U72" s="999"/>
      <c r="V72" s="999"/>
      <c r="W72" s="1000"/>
      <c r="AA72" s="15"/>
      <c r="AB72" t="s">
        <v>502</v>
      </c>
      <c r="AC72">
        <f>F75*K15</f>
        <v>2.0943951023931953</v>
      </c>
      <c r="AD72" t="s">
        <v>92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 s="16"/>
      <c r="BI72" s="16"/>
      <c r="BJ72" s="16"/>
      <c r="BK72" s="16"/>
      <c r="BL72" s="16"/>
      <c r="BM72" s="16"/>
    </row>
    <row r="73" spans="2:65" s="1" customFormat="1" ht="17.25" customHeight="1" x14ac:dyDescent="0.25"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AA73" s="31"/>
      <c r="AB73" t="s">
        <v>475</v>
      </c>
      <c r="AC73">
        <f>F77*F79/60</f>
        <v>0.33333333333333331</v>
      </c>
      <c r="AD73" t="s">
        <v>71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 s="16"/>
      <c r="BF73" s="16"/>
      <c r="BG73" s="16"/>
      <c r="BH73" s="16"/>
      <c r="BI73" s="16"/>
      <c r="BJ73" s="16"/>
      <c r="BK73" s="16"/>
      <c r="BL73" s="16"/>
      <c r="BM73" s="16"/>
    </row>
    <row r="74" spans="2:65" s="1" customFormat="1" ht="17.25" customHeight="1" thickBot="1" x14ac:dyDescent="0.3">
      <c r="C74" s="16"/>
      <c r="AA74" s="15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</row>
    <row r="75" spans="2:65" s="1" customFormat="1" ht="17.25" customHeight="1" thickTop="1" x14ac:dyDescent="0.25">
      <c r="C75" s="1032" t="s">
        <v>150</v>
      </c>
      <c r="D75" s="1099" t="s">
        <v>151</v>
      </c>
      <c r="E75" s="1100"/>
      <c r="F75" s="1108">
        <v>120</v>
      </c>
      <c r="G75" s="1109"/>
      <c r="H75" s="1109"/>
      <c r="I75" s="1003">
        <v>120</v>
      </c>
      <c r="J75" s="1003"/>
      <c r="K75" s="1003"/>
      <c r="L75" s="1003"/>
      <c r="M75" s="1003"/>
      <c r="N75" s="1001" t="str" cm="1">
        <f t="array" ref="N75">angleDecimal2Txt(F75)</f>
        <v>+120°00.00 (+120.0000) [+120°00'00.00]</v>
      </c>
      <c r="O75" s="1001"/>
      <c r="P75" s="1001"/>
      <c r="Q75" s="1001"/>
      <c r="R75" s="1001"/>
      <c r="S75" s="1001"/>
      <c r="T75" s="1001"/>
      <c r="U75" s="1001"/>
      <c r="V75" s="1001"/>
      <c r="W75" s="1002"/>
      <c r="AA75" s="15"/>
      <c r="AB75" t="s">
        <v>503</v>
      </c>
      <c r="AC75">
        <f>E69+AC73*COS(AC72)</f>
        <v>39.85</v>
      </c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</row>
    <row r="76" spans="2:65" s="1" customFormat="1" ht="17.25" customHeight="1" thickBot="1" x14ac:dyDescent="0.3">
      <c r="C76" s="1095"/>
      <c r="D76" s="1089"/>
      <c r="E76" s="1101"/>
      <c r="F76" s="1108"/>
      <c r="G76" s="1109"/>
      <c r="H76" s="1109"/>
      <c r="I76" s="1003"/>
      <c r="J76" s="1003"/>
      <c r="K76" s="1003"/>
      <c r="L76" s="1003"/>
      <c r="M76" s="1003"/>
      <c r="N76" s="999"/>
      <c r="O76" s="999"/>
      <c r="P76" s="999"/>
      <c r="Q76" s="999"/>
      <c r="R76" s="999"/>
      <c r="S76" s="999"/>
      <c r="T76" s="999"/>
      <c r="U76" s="999"/>
      <c r="V76" s="999"/>
      <c r="W76" s="1000"/>
      <c r="AA76" s="15"/>
      <c r="AB76" t="s">
        <v>504</v>
      </c>
      <c r="AC76">
        <f>(AC75+E69)/2</f>
        <v>39.933333333333337</v>
      </c>
      <c r="AD76">
        <f>AC76*K15</f>
        <v>0.69696814796306905</v>
      </c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 s="16"/>
      <c r="BF76" s="16"/>
      <c r="BG76" s="16"/>
      <c r="BH76" s="16"/>
      <c r="BI76" s="16"/>
      <c r="BJ76" s="16"/>
      <c r="BK76" s="16"/>
      <c r="BL76" s="16"/>
      <c r="BM76" s="16"/>
    </row>
    <row r="77" spans="2:65" s="1" customFormat="1" ht="17.25" customHeight="1" thickTop="1" x14ac:dyDescent="0.25">
      <c r="C77" s="1095"/>
      <c r="D77" s="1089" t="s">
        <v>150</v>
      </c>
      <c r="E77" s="1101"/>
      <c r="F77" s="1108">
        <f>I77</f>
        <v>10</v>
      </c>
      <c r="G77" s="1109"/>
      <c r="H77" s="1109"/>
      <c r="I77" s="1003">
        <v>10</v>
      </c>
      <c r="J77" s="1003"/>
      <c r="K77" s="1003"/>
      <c r="L77" s="1003"/>
      <c r="M77" s="1003"/>
      <c r="N77" s="996"/>
      <c r="O77" s="996"/>
      <c r="P77" s="996"/>
      <c r="Q77" s="996"/>
      <c r="R77" s="996"/>
      <c r="S77" s="996"/>
      <c r="T77" s="996"/>
      <c r="U77" s="996"/>
      <c r="V77" s="996"/>
      <c r="W77" s="996"/>
      <c r="AA77" s="15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 s="16"/>
      <c r="BF77" s="16"/>
      <c r="BG77" s="16"/>
      <c r="BH77" s="16"/>
      <c r="BI77" s="16"/>
      <c r="BJ77" s="16"/>
      <c r="BK77" s="16"/>
      <c r="BL77" s="16"/>
      <c r="BM77" s="16"/>
    </row>
    <row r="78" spans="2:65" s="1" customFormat="1" ht="17.25" customHeight="1" thickBot="1" x14ac:dyDescent="0.3">
      <c r="C78" s="1095"/>
      <c r="D78" s="1089"/>
      <c r="E78" s="1101"/>
      <c r="F78" s="1108"/>
      <c r="G78" s="1109"/>
      <c r="H78" s="1109"/>
      <c r="I78" s="1003"/>
      <c r="J78" s="1003"/>
      <c r="K78" s="1003"/>
      <c r="L78" s="1003"/>
      <c r="M78" s="1003"/>
      <c r="N78" s="996"/>
      <c r="O78" s="996"/>
      <c r="P78" s="996"/>
      <c r="Q78" s="996"/>
      <c r="R78" s="996"/>
      <c r="S78" s="996"/>
      <c r="T78" s="996"/>
      <c r="U78" s="996"/>
      <c r="V78" s="996"/>
      <c r="W78" s="996"/>
      <c r="AA78" s="15"/>
      <c r="AB78" s="1" t="s">
        <v>165</v>
      </c>
      <c r="AC78" s="1">
        <f>E71+AC73*SIN(AC72)/COS(AD76)</f>
        <v>6.0931379837585844</v>
      </c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 s="16"/>
      <c r="BF78" s="16"/>
      <c r="BG78" s="16"/>
      <c r="BH78" s="16"/>
      <c r="BI78" s="16"/>
      <c r="BJ78" s="16"/>
      <c r="BK78" s="16"/>
      <c r="BL78" s="16"/>
      <c r="BM78" s="16"/>
    </row>
    <row r="79" spans="2:65" ht="15.75" thickTop="1" x14ac:dyDescent="0.25">
      <c r="C79" s="1095"/>
      <c r="D79" s="1089" t="s">
        <v>153</v>
      </c>
      <c r="E79" s="1101"/>
      <c r="F79" s="1108">
        <v>2</v>
      </c>
      <c r="G79" s="1109"/>
      <c r="H79" s="1109"/>
      <c r="I79" s="1107" t="s">
        <v>501</v>
      </c>
      <c r="J79" s="1107"/>
      <c r="K79" s="1107"/>
      <c r="L79" s="1107"/>
      <c r="M79" s="1107"/>
      <c r="N79" s="1001" t="str" cm="1">
        <f t="array" ref="N79">heureDecimal2Txt(F79)</f>
        <v>02:00:00.00(02.0000)</v>
      </c>
      <c r="O79" s="1001"/>
      <c r="P79" s="1001"/>
      <c r="Q79" s="1001"/>
      <c r="R79" s="1001"/>
      <c r="S79" s="1001"/>
      <c r="T79" s="1001"/>
      <c r="U79" s="1001"/>
      <c r="V79" s="1001"/>
      <c r="W79" s="1002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</row>
    <row r="80" spans="2:65" ht="15.75" thickBot="1" x14ac:dyDescent="0.3">
      <c r="C80" s="1096"/>
      <c r="D80" s="1110"/>
      <c r="E80" s="1111"/>
      <c r="F80" s="1108"/>
      <c r="G80" s="1109"/>
      <c r="H80" s="1109"/>
      <c r="I80" s="1107"/>
      <c r="J80" s="1107"/>
      <c r="K80" s="1107"/>
      <c r="L80" s="1107"/>
      <c r="M80" s="1107"/>
      <c r="N80" s="999"/>
      <c r="O80" s="999"/>
      <c r="P80" s="999"/>
      <c r="Q80" s="999"/>
      <c r="R80" s="999"/>
      <c r="S80" s="999"/>
      <c r="T80" s="999"/>
      <c r="U80" s="999"/>
      <c r="V80" s="999"/>
      <c r="W80" s="100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</row>
    <row r="81" spans="2:61" x14ac:dyDescent="0.25">
      <c r="AB81"/>
      <c r="AC81"/>
      <c r="AD81"/>
      <c r="AE81"/>
      <c r="AF81"/>
      <c r="AG81"/>
    </row>
    <row r="82" spans="2:61" s="1" customFormat="1" ht="17.25" customHeight="1" x14ac:dyDescent="0.25">
      <c r="C82" s="37"/>
      <c r="D82" s="16"/>
      <c r="AA82" s="31"/>
      <c r="AB82"/>
      <c r="AC82"/>
      <c r="AD82"/>
      <c r="AE82"/>
      <c r="AF82"/>
      <c r="AG82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</row>
    <row r="83" spans="2:61" s="1" customFormat="1" ht="17.25" customHeight="1" x14ac:dyDescent="0.25">
      <c r="C83" s="37"/>
      <c r="D83" s="16"/>
      <c r="F83" s="1104" t="s">
        <v>152</v>
      </c>
      <c r="G83" s="1105"/>
      <c r="H83" s="1105"/>
      <c r="I83" s="1105"/>
      <c r="J83" s="1105"/>
      <c r="K83" s="1105"/>
      <c r="L83" s="1105"/>
      <c r="M83" s="1105"/>
      <c r="N83" s="1105"/>
      <c r="O83" s="1105"/>
      <c r="P83" s="1105"/>
      <c r="Q83" s="1105"/>
      <c r="R83" s="1105"/>
      <c r="S83" s="1105"/>
      <c r="T83" s="1105"/>
      <c r="U83" s="1105"/>
      <c r="V83" s="1105"/>
      <c r="W83" s="1105"/>
      <c r="X83" s="1105"/>
      <c r="Y83" s="1106"/>
      <c r="AA83" s="31"/>
      <c r="AB83"/>
      <c r="AC83"/>
      <c r="AD83"/>
      <c r="AE83"/>
      <c r="AF83"/>
      <c r="AG83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</row>
    <row r="84" spans="2:61" x14ac:dyDescent="0.25">
      <c r="F84" s="1093" t="s">
        <v>49</v>
      </c>
      <c r="G84" s="1097">
        <f>E69+F77*F79*COS(F75*K15)/60</f>
        <v>39.85</v>
      </c>
      <c r="H84" s="1097"/>
      <c r="I84" s="1097"/>
      <c r="J84" s="1097"/>
      <c r="K84" s="1097"/>
      <c r="L84" s="1097"/>
      <c r="M84" s="1097"/>
      <c r="N84" s="1097"/>
      <c r="O84" s="1097"/>
      <c r="P84" s="997" t="str" cm="1">
        <f t="array" ref="P84">angleDecimal2Txt(G84)</f>
        <v>+39°51.00 (+39.8500) [+39°51'00.00]</v>
      </c>
      <c r="Q84" s="997"/>
      <c r="R84" s="997"/>
      <c r="S84" s="997"/>
      <c r="T84" s="997"/>
      <c r="U84" s="997"/>
      <c r="V84" s="997"/>
      <c r="W84" s="997"/>
      <c r="X84" s="997"/>
      <c r="Y84" s="998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</row>
    <row r="85" spans="2:61" ht="15.75" thickBot="1" x14ac:dyDescent="0.3">
      <c r="F85" s="1094"/>
      <c r="G85" s="1097"/>
      <c r="H85" s="1097"/>
      <c r="I85" s="1097"/>
      <c r="J85" s="1097"/>
      <c r="K85" s="1097"/>
      <c r="L85" s="1097"/>
      <c r="M85" s="1097"/>
      <c r="N85" s="1097"/>
      <c r="O85" s="1097"/>
      <c r="P85" s="999"/>
      <c r="Q85" s="999"/>
      <c r="R85" s="999"/>
      <c r="S85" s="999"/>
      <c r="T85" s="999"/>
      <c r="U85" s="999"/>
      <c r="V85" s="999"/>
      <c r="W85" s="999"/>
      <c r="X85" s="999"/>
      <c r="Y85" s="1000"/>
      <c r="AA85" s="1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</row>
    <row r="86" spans="2:61" ht="15.75" thickTop="1" x14ac:dyDescent="0.25">
      <c r="F86" s="1102" t="s">
        <v>50</v>
      </c>
      <c r="G86" s="1098">
        <f>AC78</f>
        <v>6.0931379837585844</v>
      </c>
      <c r="H86" s="1097"/>
      <c r="I86" s="1097"/>
      <c r="J86" s="1097"/>
      <c r="K86" s="1097"/>
      <c r="L86" s="1097"/>
      <c r="M86" s="1097"/>
      <c r="N86" s="1097"/>
      <c r="O86" s="1097"/>
      <c r="P86" s="1001" t="str" cm="1">
        <f t="array" ref="P86">angleDecimal2Txt(G86)</f>
        <v>+06°05.58 (+06.0931) [+06°05'35.29]</v>
      </c>
      <c r="Q86" s="1001"/>
      <c r="R86" s="1001"/>
      <c r="S86" s="1001"/>
      <c r="T86" s="1001"/>
      <c r="U86" s="1001"/>
      <c r="V86" s="1001"/>
      <c r="W86" s="1001"/>
      <c r="X86" s="1001"/>
      <c r="Y86" s="1002"/>
      <c r="AA86" s="15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</row>
    <row r="87" spans="2:61" ht="15.75" thickBot="1" x14ac:dyDescent="0.3">
      <c r="F87" s="1103"/>
      <c r="G87" s="1097"/>
      <c r="H87" s="1097"/>
      <c r="I87" s="1097"/>
      <c r="J87" s="1097"/>
      <c r="K87" s="1097"/>
      <c r="L87" s="1097"/>
      <c r="M87" s="1097"/>
      <c r="N87" s="1097"/>
      <c r="O87" s="1097"/>
      <c r="P87" s="999"/>
      <c r="Q87" s="999"/>
      <c r="R87" s="999"/>
      <c r="S87" s="999"/>
      <c r="T87" s="999"/>
      <c r="U87" s="999"/>
      <c r="V87" s="999"/>
      <c r="W87" s="999"/>
      <c r="X87" s="999"/>
      <c r="Y87" s="1000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</row>
    <row r="88" spans="2:61" x14ac:dyDescent="0.25">
      <c r="AB88"/>
      <c r="AC88"/>
      <c r="AD88"/>
    </row>
    <row r="89" spans="2:61" x14ac:dyDescent="0.25">
      <c r="F89" s="62" t="s">
        <v>471</v>
      </c>
      <c r="G89" s="62"/>
      <c r="H89" s="1087">
        <f>G84-E69</f>
        <v>-0.1666666666666643</v>
      </c>
      <c r="I89" s="1088"/>
      <c r="J89" s="1088" t="str" cm="1">
        <f t="array" ref="J89">angleDecimal2Txt(H89)</f>
        <v>-00°09.99 (-00.1666) [-00°09'59.99]</v>
      </c>
      <c r="K89" s="1088"/>
      <c r="L89" s="1088"/>
      <c r="M89" s="1088"/>
      <c r="N89" s="1088"/>
      <c r="O89" s="1088"/>
      <c r="AB89"/>
      <c r="AC89"/>
      <c r="AD89"/>
    </row>
    <row r="90" spans="2:61" x14ac:dyDescent="0.25">
      <c r="F90" s="62" t="s">
        <v>505</v>
      </c>
      <c r="G90" s="62"/>
      <c r="H90" s="1087">
        <f>G86-E71</f>
        <v>0.37647131709191761</v>
      </c>
      <c r="I90" s="1088"/>
      <c r="J90" s="1088" t="str" cm="1">
        <f t="array" ref="J90">angleDecimal2Txt(H90)</f>
        <v>+00°22.58 (+00.3764) [+00°22'35.29]</v>
      </c>
      <c r="K90" s="1088"/>
      <c r="L90" s="1088"/>
      <c r="M90" s="1088"/>
      <c r="N90" s="1088"/>
      <c r="O90" s="1088"/>
      <c r="AB90"/>
      <c r="AC90"/>
      <c r="AD90"/>
    </row>
    <row r="91" spans="2:61" x14ac:dyDescent="0.25">
      <c r="AB91"/>
      <c r="AC91"/>
      <c r="AD91"/>
    </row>
    <row r="92" spans="2:61" x14ac:dyDescent="0.25">
      <c r="AB92"/>
      <c r="AC92"/>
      <c r="AD92"/>
    </row>
    <row r="93" spans="2:61" ht="15.75" thickBot="1" x14ac:dyDescent="0.3">
      <c r="AB93"/>
      <c r="AC93"/>
      <c r="AD93"/>
    </row>
    <row r="94" spans="2:61" s="1" customFormat="1" ht="17.25" customHeight="1" thickBot="1" x14ac:dyDescent="0.3">
      <c r="B94" s="10" t="s">
        <v>524</v>
      </c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4"/>
      <c r="AB94" s="263"/>
      <c r="AC94" s="263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2"/>
    </row>
    <row r="95" spans="2:61" s="1" customFormat="1" ht="17.25" customHeight="1" thickBot="1" x14ac:dyDescent="0.3">
      <c r="C95" s="16"/>
      <c r="AA95" s="1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</row>
    <row r="96" spans="2:61" s="1" customFormat="1" ht="17.25" customHeight="1" thickTop="1" thickBot="1" x14ac:dyDescent="0.3">
      <c r="B96" s="16"/>
      <c r="C96" s="1035" t="s">
        <v>22</v>
      </c>
      <c r="D96" s="1036"/>
      <c r="E96" s="1036"/>
      <c r="F96" s="1036"/>
      <c r="G96" s="1036"/>
      <c r="H96" s="1037"/>
      <c r="I96" s="1039">
        <f>AB96</f>
        <v>-0.05</v>
      </c>
      <c r="J96" s="1040"/>
      <c r="K96" s="1040"/>
      <c r="L96" s="1041" t="s">
        <v>172</v>
      </c>
      <c r="M96" s="1042"/>
      <c r="N96" s="1042"/>
      <c r="O96" s="1084">
        <f>AB96</f>
        <v>-0.05</v>
      </c>
      <c r="P96" s="1084"/>
      <c r="Q96" s="1084"/>
      <c r="R96" s="1084"/>
      <c r="S96" s="1084"/>
      <c r="T96" s="1084"/>
      <c r="U96" s="1084"/>
      <c r="V96" s="1084"/>
      <c r="W96" s="1084"/>
      <c r="X96" s="16"/>
      <c r="AA96" s="15"/>
      <c r="AB96" cm="1">
        <f t="array" ref="AB96">angleConvert2Decimal(L96)</f>
        <v>-0.05</v>
      </c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</row>
    <row r="97" spans="1:60" s="1" customFormat="1" ht="17.25" customHeight="1" thickTop="1" thickBot="1" x14ac:dyDescent="0.3">
      <c r="C97" s="1038" t="s">
        <v>32</v>
      </c>
      <c r="D97" s="1038"/>
      <c r="E97" s="1038"/>
      <c r="F97" s="1038"/>
      <c r="G97" s="1038"/>
      <c r="H97" s="1038"/>
      <c r="I97" s="991">
        <f>AB97</f>
        <v>2.5833333333333335</v>
      </c>
      <c r="J97" s="992"/>
      <c r="K97" s="992"/>
      <c r="L97" s="993" t="s">
        <v>523</v>
      </c>
      <c r="M97" s="994"/>
      <c r="N97" s="995"/>
      <c r="O97" s="1084">
        <f>AB97</f>
        <v>2.5833333333333335</v>
      </c>
      <c r="P97" s="1084"/>
      <c r="Q97" s="1084"/>
      <c r="R97" s="1084"/>
      <c r="S97" s="1084"/>
      <c r="T97" s="1084"/>
      <c r="U97" s="1084"/>
      <c r="V97" s="1084"/>
      <c r="W97" s="1084"/>
      <c r="X97" s="16"/>
      <c r="AA97" s="15"/>
      <c r="AB97" cm="1">
        <f t="array" ref="AB97">angleConvert2Decimal(L97)</f>
        <v>2.5833333333333335</v>
      </c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</row>
    <row r="98" spans="1:60" s="1" customFormat="1" ht="17.25" customHeight="1" thickTop="1" thickBot="1" x14ac:dyDescent="0.3">
      <c r="C98" s="1038" t="s">
        <v>180</v>
      </c>
      <c r="D98" s="1038"/>
      <c r="E98" s="1038"/>
      <c r="F98" s="1038"/>
      <c r="G98" s="1038"/>
      <c r="H98" s="1038"/>
      <c r="I98" s="991">
        <f>AB98</f>
        <v>2.5333333333333337</v>
      </c>
      <c r="J98" s="992"/>
      <c r="K98" s="992"/>
      <c r="L98" s="993" t="s">
        <v>523</v>
      </c>
      <c r="M98" s="994"/>
      <c r="N98" s="995"/>
      <c r="O98" s="1084" t="str" cm="1">
        <f t="array" ref="O98">angleDecimal2Txt(AC98)</f>
        <v>+00°00.00 (+00.0000) [+00°00'00.00]</v>
      </c>
      <c r="P98" s="1084"/>
      <c r="Q98" s="1084"/>
      <c r="R98" s="1084"/>
      <c r="S98" s="1084"/>
      <c r="T98" s="1084"/>
      <c r="U98" s="1084"/>
      <c r="V98" s="1084"/>
      <c r="W98" s="1084"/>
      <c r="X98" s="16"/>
      <c r="AA98" s="15"/>
      <c r="AB98">
        <f>AB97+AB96</f>
        <v>2.5333333333333337</v>
      </c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</row>
    <row r="99" spans="1:60" s="1" customFormat="1" ht="17.25" customHeight="1" thickTop="1" x14ac:dyDescent="0.25">
      <c r="C99" s="1038" t="s">
        <v>181</v>
      </c>
      <c r="D99" s="1038"/>
      <c r="E99" s="1038"/>
      <c r="F99" s="1038"/>
      <c r="G99" s="1038"/>
      <c r="H99" s="1038"/>
      <c r="I99" s="991">
        <v>13</v>
      </c>
      <c r="J99" s="992"/>
      <c r="K99" s="992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</row>
    <row r="100" spans="1:60" ht="17.25" customHeight="1" x14ac:dyDescent="0.25">
      <c r="AA100" s="16"/>
      <c r="AB100" s="16"/>
      <c r="AC100" s="16"/>
    </row>
    <row r="101" spans="1:60" ht="17.25" customHeight="1" x14ac:dyDescent="0.25">
      <c r="AA101" s="16"/>
      <c r="AB101" s="16"/>
      <c r="AC101" s="16"/>
    </row>
    <row r="102" spans="1:60" ht="17.25" customHeight="1" x14ac:dyDescent="0.25">
      <c r="I102" s="957" t="s">
        <v>182</v>
      </c>
      <c r="J102" s="957"/>
      <c r="K102" s="957"/>
      <c r="L102" s="957">
        <f>I99/TAN(I98*PI()/180)</f>
        <v>293.82619257974028</v>
      </c>
      <c r="M102" s="957"/>
      <c r="AA102" s="16"/>
      <c r="AB102" s="16"/>
      <c r="AC102" s="16"/>
    </row>
    <row r="103" spans="1:60" ht="17.25" customHeight="1" x14ac:dyDescent="0.25">
      <c r="I103" s="957" t="s">
        <v>146</v>
      </c>
      <c r="J103" s="957"/>
      <c r="K103" s="957"/>
      <c r="L103" s="957">
        <f>L102/1852</f>
        <v>0.15865345171692238</v>
      </c>
      <c r="M103" s="957"/>
      <c r="AA103" s="16"/>
      <c r="AB103" s="16"/>
      <c r="AC103" s="16"/>
    </row>
    <row r="104" spans="1:60" ht="17.25" customHeight="1" x14ac:dyDescent="0.25">
      <c r="AA104" s="16"/>
      <c r="AB104" s="16"/>
      <c r="AC104" s="16"/>
    </row>
    <row r="105" spans="1:60" ht="17.25" customHeight="1" x14ac:dyDescent="0.25">
      <c r="AA105" s="16"/>
      <c r="AB105" s="16"/>
      <c r="AC105" s="16"/>
    </row>
    <row r="106" spans="1:60" x14ac:dyDescent="0.25">
      <c r="AA106" s="16"/>
      <c r="AB106" s="16"/>
      <c r="AC106" s="16"/>
    </row>
    <row r="107" spans="1:60" ht="15.75" thickBot="1" x14ac:dyDescent="0.3">
      <c r="AA107" s="16"/>
      <c r="AB107" s="16"/>
      <c r="AC107" s="16"/>
    </row>
    <row r="108" spans="1:60" ht="15.75" thickBot="1" x14ac:dyDescent="0.3">
      <c r="A108" s="1"/>
      <c r="B108" s="10" t="s">
        <v>506</v>
      </c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4"/>
      <c r="AB108" s="16"/>
      <c r="AC108" s="16"/>
    </row>
    <row r="109" spans="1:60" ht="17.25" customHeight="1" x14ac:dyDescent="0.25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5"/>
      <c r="AB109" s="16"/>
      <c r="AC109" s="16"/>
    </row>
    <row r="110" spans="1:60" ht="17.25" customHeight="1" x14ac:dyDescent="0.35">
      <c r="A110" s="1"/>
      <c r="C110"/>
      <c r="D110"/>
      <c r="E110" s="272" t="s">
        <v>114</v>
      </c>
      <c r="F110" s="272" t="s">
        <v>510</v>
      </c>
      <c r="G110" s="272" t="s">
        <v>51</v>
      </c>
      <c r="H110"/>
      <c r="I110"/>
      <c r="J110"/>
      <c r="K110"/>
      <c r="L110" s="41"/>
      <c r="M110"/>
      <c r="N110"/>
      <c r="O110"/>
      <c r="P110" t="s">
        <v>137</v>
      </c>
      <c r="Q110" t="s">
        <v>511</v>
      </c>
      <c r="R110" t="s">
        <v>512</v>
      </c>
      <c r="S110"/>
      <c r="T110"/>
      <c r="U110"/>
      <c r="V110"/>
      <c r="W110"/>
      <c r="X110"/>
      <c r="Y110"/>
      <c r="Z110"/>
      <c r="AA110"/>
      <c r="AB110"/>
      <c r="AC110" s="16"/>
    </row>
    <row r="111" spans="1:60" x14ac:dyDescent="0.25">
      <c r="A111" s="1"/>
      <c r="B111" s="1"/>
      <c r="C111"/>
      <c r="D111"/>
      <c r="E111" s="272">
        <v>23.13</v>
      </c>
      <c r="F111" s="272">
        <v>27.25</v>
      </c>
      <c r="G111" s="272">
        <v>328.93</v>
      </c>
      <c r="H111"/>
      <c r="I111" s="285" t="s">
        <v>508</v>
      </c>
      <c r="J111" s="285">
        <f>SIN(E112)*SIN(F112)+COS(E112)*COS(G112)*COS(F112)</f>
        <v>0.88012731306072611</v>
      </c>
      <c r="K111"/>
      <c r="L111" s="283" t="s">
        <v>507</v>
      </c>
      <c r="M111" s="284">
        <f>ASIN(J111)*$K$16</f>
        <v>61.657724934347911</v>
      </c>
      <c r="N111"/>
      <c r="O111"/>
      <c r="P111">
        <v>72.890799999999999</v>
      </c>
      <c r="Q111">
        <f>P111-M111</f>
        <v>11.233075065652088</v>
      </c>
      <c r="R111">
        <f>Q111*60</f>
        <v>673.98450393912526</v>
      </c>
      <c r="S111"/>
      <c r="T111"/>
      <c r="U111"/>
      <c r="V111"/>
      <c r="W111"/>
      <c r="X111"/>
      <c r="Y111"/>
      <c r="Z111"/>
      <c r="AA111"/>
      <c r="AB111"/>
      <c r="AC111" s="16"/>
    </row>
    <row r="112" spans="1:60" x14ac:dyDescent="0.25">
      <c r="A112" s="1"/>
      <c r="B112" s="1"/>
      <c r="C112"/>
      <c r="D112"/>
      <c r="E112" s="286">
        <f>E111*$K$15</f>
        <v>0.4036946559862884</v>
      </c>
      <c r="F112" s="286">
        <f>F111*$K$15</f>
        <v>0.4756022211684548</v>
      </c>
      <c r="G112" s="286">
        <f>G111*$K$15</f>
        <v>5.740911508584948</v>
      </c>
      <c r="H112"/>
      <c r="I112"/>
      <c r="J112"/>
      <c r="K112"/>
      <c r="L112" s="282"/>
      <c r="M112" s="285">
        <f>M111*$K$15</f>
        <v>1.0761303093933756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6"/>
    </row>
    <row r="113" spans="1:29" x14ac:dyDescent="0.25">
      <c r="A113" s="1"/>
      <c r="B113" s="1"/>
      <c r="C113"/>
      <c r="D113"/>
      <c r="E113"/>
      <c r="F113"/>
      <c r="G113"/>
      <c r="H113"/>
      <c r="I113" s="285" t="s">
        <v>509</v>
      </c>
      <c r="J113" s="285">
        <f>((SIN(E112)-SIN(F112)*SIN(M112))/(COS(F112)*COS(M112)))</f>
        <v>-2.4093493424369321E-2</v>
      </c>
      <c r="K113"/>
      <c r="L113" s="62" t="s">
        <v>124</v>
      </c>
      <c r="M113" s="62">
        <f>ACOS(J113)*$K$16</f>
        <v>91.380589080089095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 s="16"/>
    </row>
    <row r="114" spans="1:29" x14ac:dyDescent="0.25">
      <c r="H114"/>
      <c r="I114"/>
      <c r="J114"/>
      <c r="K114"/>
      <c r="L114"/>
      <c r="M114"/>
      <c r="N114"/>
      <c r="R114" s="16">
        <f>360-M113</f>
        <v>268.61941091991093</v>
      </c>
      <c r="AA114" s="16"/>
      <c r="AB114" s="16"/>
      <c r="AC114" s="16"/>
    </row>
    <row r="115" spans="1:29" x14ac:dyDescent="0.25">
      <c r="H115"/>
      <c r="I115"/>
      <c r="J115"/>
      <c r="K115"/>
      <c r="L115"/>
      <c r="M115"/>
      <c r="N115"/>
      <c r="AA115" s="16"/>
      <c r="AB115" s="16"/>
      <c r="AC115" s="16"/>
    </row>
    <row r="116" spans="1:29" x14ac:dyDescent="0.25">
      <c r="H116"/>
      <c r="I116"/>
      <c r="J116"/>
      <c r="K116"/>
      <c r="L116"/>
      <c r="M116"/>
      <c r="N116"/>
      <c r="AA116" s="16"/>
    </row>
    <row r="117" spans="1:29" ht="15.75" thickBot="1" x14ac:dyDescent="0.3">
      <c r="H117"/>
      <c r="I117"/>
      <c r="J117"/>
      <c r="K117"/>
      <c r="L117"/>
      <c r="M117"/>
      <c r="N117"/>
      <c r="AA117" s="16"/>
    </row>
    <row r="118" spans="1:29" s="182" customFormat="1" ht="13.5" thickBot="1" x14ac:dyDescent="0.25">
      <c r="B118" s="108" t="s">
        <v>553</v>
      </c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  <c r="X118" s="109"/>
      <c r="Y118" s="109"/>
      <c r="Z118" s="109"/>
      <c r="AA118" s="308"/>
      <c r="AB118" s="209"/>
      <c r="AC118" s="209"/>
    </row>
    <row r="119" spans="1:29" s="182" customFormat="1" ht="12.75" x14ac:dyDescent="0.2">
      <c r="H119" s="97"/>
      <c r="I119" s="97"/>
      <c r="J119" s="97"/>
      <c r="K119" s="97"/>
      <c r="L119" s="97"/>
      <c r="M119" s="97"/>
      <c r="N119" s="97"/>
      <c r="AA119" s="309"/>
      <c r="AB119" s="209"/>
      <c r="AC119" s="209"/>
    </row>
    <row r="120" spans="1:29" s="182" customFormat="1" ht="13.5" thickBot="1" x14ac:dyDescent="0.25">
      <c r="B120" s="182" t="s">
        <v>554</v>
      </c>
      <c r="O120" s="182" t="s">
        <v>555</v>
      </c>
      <c r="AA120" s="309"/>
      <c r="AB120" s="209"/>
      <c r="AC120" s="209"/>
    </row>
    <row r="121" spans="1:29" s="182" customFormat="1" ht="14.25" thickTop="1" thickBot="1" x14ac:dyDescent="0.25">
      <c r="C121" s="1018" t="s">
        <v>15</v>
      </c>
      <c r="D121" s="1018"/>
      <c r="E121" s="1018"/>
      <c r="F121" s="1019" t="s">
        <v>14</v>
      </c>
      <c r="G121" s="1019"/>
      <c r="H121" s="1019"/>
      <c r="I121" s="973" t="s">
        <v>35</v>
      </c>
      <c r="J121" s="973"/>
      <c r="K121" s="973"/>
      <c r="L121" s="973"/>
      <c r="M121" s="973"/>
      <c r="N121" s="314"/>
      <c r="O121" s="967" t="s">
        <v>29</v>
      </c>
      <c r="P121" s="968"/>
      <c r="Q121" s="968"/>
      <c r="R121" s="969"/>
      <c r="S121" s="970" t="s">
        <v>30</v>
      </c>
      <c r="T121" s="971"/>
      <c r="U121" s="972"/>
      <c r="V121" s="973" t="s">
        <v>35</v>
      </c>
      <c r="W121" s="973"/>
      <c r="X121" s="973"/>
      <c r="Y121" s="973"/>
      <c r="Z121" s="973"/>
      <c r="AA121" s="309"/>
      <c r="AB121" s="209"/>
      <c r="AC121" s="209"/>
    </row>
    <row r="122" spans="1:29" s="182" customFormat="1" ht="14.25" thickTop="1" thickBot="1" x14ac:dyDescent="0.25">
      <c r="C122" s="974" t="s">
        <v>79</v>
      </c>
      <c r="D122" s="975"/>
      <c r="E122" s="976"/>
      <c r="F122" s="977" cm="1">
        <f t="array" ref="F122">heureConvert2Decimal(C122)</f>
        <v>11.983333333333333</v>
      </c>
      <c r="G122" s="978"/>
      <c r="H122" s="979"/>
      <c r="I122" s="745" t="str" cm="1">
        <f t="array" ref="I122">heureDecimal2Txt(F122)</f>
        <v>11:59:00.00(11.9833)</v>
      </c>
      <c r="J122" s="965"/>
      <c r="K122" s="965"/>
      <c r="L122" s="965"/>
      <c r="M122" s="966"/>
      <c r="O122" s="959" t="s">
        <v>567</v>
      </c>
      <c r="P122" s="960"/>
      <c r="Q122" s="960"/>
      <c r="R122" s="961"/>
      <c r="S122" s="962" cm="1">
        <f t="array" ref="S122">angleConvert2Decimal(O122)</f>
        <v>1</v>
      </c>
      <c r="T122" s="963"/>
      <c r="U122" s="964"/>
      <c r="V122" s="745" t="str" cm="1">
        <f t="array" ref="V122">angleDecimal2Txt(S122)</f>
        <v>+01°00.00 (+01.0000) [+01°00'00.00]</v>
      </c>
      <c r="W122" s="965"/>
      <c r="X122" s="965"/>
      <c r="Y122" s="965"/>
      <c r="Z122" s="966"/>
      <c r="AA122" s="309"/>
      <c r="AB122" s="209"/>
      <c r="AC122" s="209"/>
    </row>
    <row r="123" spans="1:29" s="182" customFormat="1" ht="14.25" thickTop="1" thickBot="1" x14ac:dyDescent="0.25">
      <c r="C123" s="974" t="s">
        <v>79</v>
      </c>
      <c r="D123" s="975"/>
      <c r="E123" s="976"/>
      <c r="F123" s="977" cm="1">
        <f t="array" ref="F123">heureConvert2Decimal(C123)</f>
        <v>11.983333333333333</v>
      </c>
      <c r="G123" s="978"/>
      <c r="H123" s="979"/>
      <c r="I123" s="745" t="str" cm="1">
        <f t="array" ref="I123">heureDecimal2Txt(F123)</f>
        <v>11:59:00.00(11.9833)</v>
      </c>
      <c r="J123" s="965"/>
      <c r="K123" s="965"/>
      <c r="L123" s="965"/>
      <c r="M123" s="966"/>
      <c r="O123" s="959" t="s">
        <v>522</v>
      </c>
      <c r="P123" s="960"/>
      <c r="Q123" s="960"/>
      <c r="R123" s="961"/>
      <c r="S123" s="962" cm="1">
        <f t="array" ref="S123">angleConvert2Decimal(O123)</f>
        <v>0.46666666666666667</v>
      </c>
      <c r="T123" s="963"/>
      <c r="U123" s="964"/>
      <c r="V123" s="745" t="str" cm="1">
        <f t="array" ref="V123">angleDecimal2Txt(S123)</f>
        <v>+00°28.00 (+00.4666) [+00°28'00.00]</v>
      </c>
      <c r="W123" s="965"/>
      <c r="X123" s="965"/>
      <c r="Y123" s="965"/>
      <c r="Z123" s="966"/>
      <c r="AA123" s="309"/>
      <c r="AB123" s="209"/>
      <c r="AC123" s="209"/>
    </row>
    <row r="124" spans="1:29" s="182" customFormat="1" ht="14.25" thickTop="1" thickBot="1" x14ac:dyDescent="0.25">
      <c r="C124" s="974" t="s">
        <v>79</v>
      </c>
      <c r="D124" s="975"/>
      <c r="E124" s="976"/>
      <c r="F124" s="977" cm="1">
        <f t="array" ref="F124">heureConvert2Decimal(C124)</f>
        <v>11.983333333333333</v>
      </c>
      <c r="G124" s="978"/>
      <c r="H124" s="979"/>
      <c r="I124" s="745" t="str" cm="1">
        <f t="array" ref="I124">heureDecimal2Txt(F124)</f>
        <v>11:59:00.00(11.9833)</v>
      </c>
      <c r="J124" s="965"/>
      <c r="K124" s="965"/>
      <c r="L124" s="965"/>
      <c r="M124" s="966"/>
      <c r="O124" s="959" t="s">
        <v>522</v>
      </c>
      <c r="P124" s="960"/>
      <c r="Q124" s="960"/>
      <c r="R124" s="961"/>
      <c r="S124" s="962" cm="1">
        <f t="array" ref="S124">angleConvert2Decimal(O124)</f>
        <v>0.46666666666666667</v>
      </c>
      <c r="T124" s="963"/>
      <c r="U124" s="964"/>
      <c r="V124" s="745" t="str" cm="1">
        <f t="array" ref="V124">angleDecimal2Txt(S124)</f>
        <v>+00°28.00 (+00.4666) [+00°28'00.00]</v>
      </c>
      <c r="W124" s="965"/>
      <c r="X124" s="965"/>
      <c r="Y124" s="965"/>
      <c r="Z124" s="966"/>
      <c r="AA124" s="309"/>
      <c r="AB124" s="209"/>
      <c r="AC124" s="209"/>
    </row>
    <row r="125" spans="1:29" s="182" customFormat="1" ht="14.25" thickTop="1" thickBot="1" x14ac:dyDescent="0.25">
      <c r="C125" s="974" t="s">
        <v>79</v>
      </c>
      <c r="D125" s="975"/>
      <c r="E125" s="976"/>
      <c r="F125" s="977" cm="1">
        <f t="array" ref="F125">heureConvert2Decimal(C125)</f>
        <v>11.983333333333333</v>
      </c>
      <c r="G125" s="978"/>
      <c r="H125" s="979"/>
      <c r="I125" s="745" t="str" cm="1">
        <f t="array" ref="I125">heureDecimal2Txt(F125)</f>
        <v>11:59:00.00(11.9833)</v>
      </c>
      <c r="J125" s="965"/>
      <c r="K125" s="965"/>
      <c r="L125" s="965"/>
      <c r="M125" s="966"/>
      <c r="O125" s="959" t="s">
        <v>522</v>
      </c>
      <c r="P125" s="960"/>
      <c r="Q125" s="960"/>
      <c r="R125" s="961"/>
      <c r="S125" s="962" cm="1">
        <f t="array" ref="S125">angleConvert2Decimal(O125)</f>
        <v>0.46666666666666667</v>
      </c>
      <c r="T125" s="963"/>
      <c r="U125" s="964"/>
      <c r="V125" s="745" t="str" cm="1">
        <f t="array" ref="V125">angleDecimal2Txt(S125)</f>
        <v>+00°28.00 (+00.4666) [+00°28'00.00]</v>
      </c>
      <c r="W125" s="965"/>
      <c r="X125" s="965"/>
      <c r="Y125" s="965"/>
      <c r="Z125" s="966"/>
      <c r="AA125" s="309"/>
      <c r="AB125" s="209"/>
      <c r="AC125" s="209"/>
    </row>
    <row r="126" spans="1:29" s="182" customFormat="1" ht="14.25" thickTop="1" thickBot="1" x14ac:dyDescent="0.25">
      <c r="C126" s="974" t="s">
        <v>79</v>
      </c>
      <c r="D126" s="975"/>
      <c r="E126" s="976"/>
      <c r="F126" s="977" cm="1">
        <f t="array" ref="F126">heureConvert2Decimal(C126)</f>
        <v>11.983333333333333</v>
      </c>
      <c r="G126" s="978"/>
      <c r="H126" s="979"/>
      <c r="I126" s="745" t="str" cm="1">
        <f t="array" ref="I126">heureDecimal2Txt(F126)</f>
        <v>11:59:00.00(11.9833)</v>
      </c>
      <c r="J126" s="965"/>
      <c r="K126" s="965"/>
      <c r="L126" s="965"/>
      <c r="M126" s="966"/>
      <c r="O126" s="959" t="s">
        <v>522</v>
      </c>
      <c r="P126" s="960"/>
      <c r="Q126" s="960"/>
      <c r="R126" s="961"/>
      <c r="S126" s="962" cm="1">
        <f t="array" ref="S126">angleConvert2Decimal(O126)</f>
        <v>0.46666666666666667</v>
      </c>
      <c r="T126" s="963"/>
      <c r="U126" s="964"/>
      <c r="V126" s="745" t="str" cm="1">
        <f t="array" ref="V126">angleDecimal2Txt(S126)</f>
        <v>+00°28.00 (+00.4666) [+00°28'00.00]</v>
      </c>
      <c r="W126" s="965"/>
      <c r="X126" s="965"/>
      <c r="Y126" s="965"/>
      <c r="Z126" s="966"/>
      <c r="AA126" s="309"/>
      <c r="AB126" s="209"/>
      <c r="AC126" s="209"/>
    </row>
    <row r="127" spans="1:29" s="182" customFormat="1" ht="14.25" thickTop="1" thickBot="1" x14ac:dyDescent="0.25">
      <c r="C127" s="974" t="s">
        <v>79</v>
      </c>
      <c r="D127" s="975"/>
      <c r="E127" s="976"/>
      <c r="F127" s="977" cm="1">
        <f t="array" ref="F127">heureConvert2Decimal(C127)</f>
        <v>11.983333333333333</v>
      </c>
      <c r="G127" s="978"/>
      <c r="H127" s="979"/>
      <c r="I127" s="745" t="str" cm="1">
        <f t="array" ref="I127">heureDecimal2Txt(F127)</f>
        <v>11:59:00.00(11.9833)</v>
      </c>
      <c r="J127" s="965"/>
      <c r="K127" s="965"/>
      <c r="L127" s="965"/>
      <c r="M127" s="966"/>
      <c r="O127" s="959" t="s">
        <v>522</v>
      </c>
      <c r="P127" s="960"/>
      <c r="Q127" s="960"/>
      <c r="R127" s="961"/>
      <c r="S127" s="962" cm="1">
        <f t="array" ref="S127">angleConvert2Decimal(O127)</f>
        <v>0.46666666666666667</v>
      </c>
      <c r="T127" s="963"/>
      <c r="U127" s="964"/>
      <c r="V127" s="745" t="str" cm="1">
        <f t="array" ref="V127">angleDecimal2Txt(S127)</f>
        <v>+00°28.00 (+00.4666) [+00°28'00.00]</v>
      </c>
      <c r="W127" s="965"/>
      <c r="X127" s="965"/>
      <c r="Y127" s="965"/>
      <c r="Z127" s="966"/>
      <c r="AA127" s="309"/>
      <c r="AB127" s="209"/>
      <c r="AC127" s="209"/>
    </row>
    <row r="128" spans="1:29" s="182" customFormat="1" ht="14.25" thickTop="1" thickBot="1" x14ac:dyDescent="0.25">
      <c r="C128" s="974" t="s">
        <v>79</v>
      </c>
      <c r="D128" s="975"/>
      <c r="E128" s="976"/>
      <c r="F128" s="977" cm="1">
        <f t="array" ref="F128">heureConvert2Decimal(C128)</f>
        <v>11.983333333333333</v>
      </c>
      <c r="G128" s="978"/>
      <c r="H128" s="979"/>
      <c r="I128" s="745" t="str" cm="1">
        <f t="array" ref="I128">heureDecimal2Txt(F128)</f>
        <v>11:59:00.00(11.9833)</v>
      </c>
      <c r="J128" s="965"/>
      <c r="K128" s="965"/>
      <c r="L128" s="965"/>
      <c r="M128" s="966"/>
      <c r="O128" s="959" t="s">
        <v>522</v>
      </c>
      <c r="P128" s="960"/>
      <c r="Q128" s="960"/>
      <c r="R128" s="961"/>
      <c r="S128" s="962" cm="1">
        <f t="array" ref="S128">angleConvert2Decimal(O128)</f>
        <v>0.46666666666666667</v>
      </c>
      <c r="T128" s="963"/>
      <c r="U128" s="964"/>
      <c r="V128" s="745" t="str" cm="1">
        <f t="array" ref="V128">angleDecimal2Txt(S128)</f>
        <v>+00°28.00 (+00.4666) [+00°28'00.00]</v>
      </c>
      <c r="W128" s="965"/>
      <c r="X128" s="965"/>
      <c r="Y128" s="965"/>
      <c r="Z128" s="966"/>
      <c r="AA128" s="309"/>
      <c r="AB128" s="209"/>
      <c r="AC128" s="209"/>
    </row>
    <row r="129" spans="2:29" s="182" customFormat="1" ht="14.25" thickTop="1" thickBot="1" x14ac:dyDescent="0.25">
      <c r="O129" s="959" t="s">
        <v>522</v>
      </c>
      <c r="P129" s="960"/>
      <c r="Q129" s="960"/>
      <c r="R129" s="961"/>
      <c r="S129" s="962" cm="1">
        <f t="array" ref="S129">angleConvert2Decimal(O129)</f>
        <v>0.46666666666666667</v>
      </c>
      <c r="T129" s="963"/>
      <c r="U129" s="964"/>
      <c r="V129" s="745" t="str" cm="1">
        <f t="array" ref="V129">angleDecimal2Txt(S129)</f>
        <v>+00°28.00 (+00.4666) [+00°28'00.00]</v>
      </c>
      <c r="W129" s="965"/>
      <c r="X129" s="965"/>
      <c r="Y129" s="965"/>
      <c r="Z129" s="966"/>
      <c r="AA129" s="309"/>
      <c r="AB129" s="209"/>
      <c r="AC129" s="209"/>
    </row>
    <row r="130" spans="2:29" s="182" customFormat="1" ht="14.25" thickTop="1" thickBot="1" x14ac:dyDescent="0.25">
      <c r="O130" s="959" t="s">
        <v>522</v>
      </c>
      <c r="P130" s="960"/>
      <c r="Q130" s="960"/>
      <c r="R130" s="961"/>
      <c r="S130" s="962" cm="1">
        <f t="array" ref="S130">angleConvert2Decimal(O130)</f>
        <v>0.46666666666666667</v>
      </c>
      <c r="T130" s="963"/>
      <c r="U130" s="964"/>
      <c r="V130" s="745" t="str" cm="1">
        <f t="array" ref="V130">angleDecimal2Txt(S130)</f>
        <v>+00°28.00 (+00.4666) [+00°28'00.00]</v>
      </c>
      <c r="W130" s="965"/>
      <c r="X130" s="965"/>
      <c r="Y130" s="965"/>
      <c r="Z130" s="966"/>
      <c r="AA130" s="309"/>
      <c r="AB130" s="209"/>
      <c r="AC130" s="209"/>
    </row>
    <row r="131" spans="2:29" s="182" customFormat="1" ht="14.25" thickTop="1" thickBot="1" x14ac:dyDescent="0.25">
      <c r="O131" s="959" t="s">
        <v>522</v>
      </c>
      <c r="P131" s="960"/>
      <c r="Q131" s="960"/>
      <c r="R131" s="961"/>
      <c r="S131" s="962" cm="1">
        <f t="array" ref="S131">angleConvert2Decimal(O131)</f>
        <v>0.46666666666666667</v>
      </c>
      <c r="T131" s="963"/>
      <c r="U131" s="964"/>
      <c r="V131" s="745" t="str" cm="1">
        <f t="array" ref="V131">angleDecimal2Txt(S131)</f>
        <v>+00°28.00 (+00.4666) [+00°28'00.00]</v>
      </c>
      <c r="W131" s="965"/>
      <c r="X131" s="965"/>
      <c r="Y131" s="965"/>
      <c r="Z131" s="966"/>
      <c r="AA131" s="309"/>
      <c r="AB131" s="209"/>
      <c r="AC131" s="209"/>
    </row>
    <row r="132" spans="2:29" s="182" customFormat="1" ht="14.25" thickTop="1" thickBot="1" x14ac:dyDescent="0.25">
      <c r="O132" s="959" t="s">
        <v>522</v>
      </c>
      <c r="P132" s="960"/>
      <c r="Q132" s="960"/>
      <c r="R132" s="961"/>
      <c r="S132" s="962" cm="1">
        <f t="array" ref="S132">angleConvert2Decimal(O132)</f>
        <v>0.46666666666666667</v>
      </c>
      <c r="T132" s="963"/>
      <c r="U132" s="964"/>
      <c r="V132" s="745" t="str" cm="1">
        <f t="array" ref="V132">angleDecimal2Txt(S132)</f>
        <v>+00°28.00 (+00.4666) [+00°28'00.00]</v>
      </c>
      <c r="W132" s="965"/>
      <c r="X132" s="965"/>
      <c r="Y132" s="965"/>
      <c r="Z132" s="966"/>
      <c r="AA132" s="309"/>
      <c r="AB132" s="209"/>
      <c r="AC132" s="209"/>
    </row>
    <row r="133" spans="2:29" ht="16.5" thickTop="1" thickBot="1" x14ac:dyDescent="0.3">
      <c r="O133" s="959" t="s">
        <v>522</v>
      </c>
      <c r="P133" s="960"/>
      <c r="Q133" s="960"/>
      <c r="R133" s="961"/>
      <c r="S133" s="962" cm="1">
        <f t="array" ref="S133">angleConvert2Decimal(O133)</f>
        <v>0.46666666666666667</v>
      </c>
      <c r="T133" s="963"/>
      <c r="U133" s="964"/>
      <c r="V133" s="745" t="str" cm="1">
        <f t="array" ref="V133">angleDecimal2Txt(S133)</f>
        <v>+00°28.00 (+00.4666) [+00°28'00.00]</v>
      </c>
      <c r="W133" s="965"/>
      <c r="X133" s="965"/>
      <c r="Y133" s="965"/>
      <c r="Z133" s="966"/>
    </row>
    <row r="134" spans="2:29" ht="16.5" thickTop="1" thickBot="1" x14ac:dyDescent="0.3">
      <c r="O134" s="959" t="s">
        <v>522</v>
      </c>
      <c r="P134" s="960"/>
      <c r="Q134" s="960"/>
      <c r="R134" s="961"/>
      <c r="S134" s="962" cm="1">
        <f t="array" ref="S134">angleConvert2Decimal(O134)</f>
        <v>0.46666666666666667</v>
      </c>
      <c r="T134" s="963"/>
      <c r="U134" s="964"/>
      <c r="V134" s="745" t="str" cm="1">
        <f t="array" ref="V134">angleDecimal2Txt(S134)</f>
        <v>+00°28.00 (+00.4666) [+00°28'00.00]</v>
      </c>
      <c r="W134" s="965"/>
      <c r="X134" s="965"/>
      <c r="Y134" s="965"/>
      <c r="Z134" s="966"/>
    </row>
    <row r="135" spans="2:29" ht="16.5" thickTop="1" thickBot="1" x14ac:dyDescent="0.3">
      <c r="B135" s="108" t="s">
        <v>566</v>
      </c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8"/>
    </row>
    <row r="136" spans="2:29" x14ac:dyDescent="0.25">
      <c r="C136" s="956" t="s">
        <v>562</v>
      </c>
      <c r="D136" s="310" t="s">
        <v>556</v>
      </c>
      <c r="E136" s="39">
        <v>5</v>
      </c>
      <c r="F136" s="33"/>
      <c r="G136" s="957" t="s">
        <v>564</v>
      </c>
      <c r="H136" s="957"/>
      <c r="I136" s="957"/>
      <c r="J136" s="957"/>
      <c r="L136" s="16" t="s">
        <v>560</v>
      </c>
      <c r="M136" s="16">
        <f>(E137-E139)/(E136-E138)</f>
        <v>4.9616666666666669</v>
      </c>
    </row>
    <row r="137" spans="2:29" x14ac:dyDescent="0.25">
      <c r="C137" s="956"/>
      <c r="D137" s="310" t="s">
        <v>557</v>
      </c>
      <c r="E137" s="39">
        <v>23.23</v>
      </c>
      <c r="F137" s="313" t="s">
        <v>565</v>
      </c>
      <c r="G137" s="310" t="s">
        <v>169</v>
      </c>
      <c r="H137" s="39">
        <v>10.5</v>
      </c>
      <c r="I137" s="288" t="s">
        <v>547</v>
      </c>
      <c r="J137" s="311">
        <f>M136*H137+M137</f>
        <v>50.519166666666671</v>
      </c>
      <c r="L137" s="16" t="s">
        <v>561</v>
      </c>
      <c r="M137" s="16">
        <f>E137-M136*(E136)</f>
        <v>-1.5783333333333331</v>
      </c>
    </row>
    <row r="138" spans="2:29" x14ac:dyDescent="0.25">
      <c r="C138" s="958" t="s">
        <v>563</v>
      </c>
      <c r="D138" s="312" t="s">
        <v>558</v>
      </c>
      <c r="E138" s="39">
        <v>11</v>
      </c>
      <c r="F138" s="33"/>
      <c r="G138" s="33"/>
      <c r="H138" s="33"/>
      <c r="I138" s="33"/>
      <c r="J138" s="33"/>
    </row>
    <row r="139" spans="2:29" x14ac:dyDescent="0.25">
      <c r="C139" s="958"/>
      <c r="D139" s="312" t="s">
        <v>559</v>
      </c>
      <c r="E139" s="39">
        <v>53</v>
      </c>
      <c r="F139" s="33"/>
      <c r="G139" s="33"/>
      <c r="H139" s="33"/>
      <c r="I139" s="33"/>
      <c r="J139" s="33"/>
    </row>
    <row r="141" spans="2:29" x14ac:dyDescent="0.25">
      <c r="C141" s="956" t="s">
        <v>562</v>
      </c>
      <c r="D141" s="310" t="s">
        <v>556</v>
      </c>
      <c r="E141" s="39">
        <v>0</v>
      </c>
      <c r="F141" s="33"/>
      <c r="G141" s="957" t="s">
        <v>564</v>
      </c>
      <c r="H141" s="957"/>
      <c r="I141" s="957"/>
      <c r="J141" s="957"/>
      <c r="L141" s="16" t="s">
        <v>560</v>
      </c>
      <c r="M141" s="16">
        <f>(E142-E144)/(E141-E143)</f>
        <v>1</v>
      </c>
    </row>
    <row r="142" spans="2:29" x14ac:dyDescent="0.25">
      <c r="C142" s="956"/>
      <c r="D142" s="310" t="s">
        <v>557</v>
      </c>
      <c r="E142" s="39">
        <v>0</v>
      </c>
      <c r="F142" s="313" t="s">
        <v>565</v>
      </c>
      <c r="G142" s="310" t="s">
        <v>169</v>
      </c>
      <c r="H142" s="39">
        <v>10.5</v>
      </c>
      <c r="I142" s="288" t="s">
        <v>547</v>
      </c>
      <c r="J142" s="311">
        <f>M141*H142+M142</f>
        <v>10.5</v>
      </c>
      <c r="L142" s="16" t="s">
        <v>561</v>
      </c>
      <c r="M142" s="16">
        <f>E142-M141*(E141)</f>
        <v>0</v>
      </c>
    </row>
    <row r="143" spans="2:29" x14ac:dyDescent="0.25">
      <c r="C143" s="958" t="s">
        <v>563</v>
      </c>
      <c r="D143" s="312" t="s">
        <v>558</v>
      </c>
      <c r="E143" s="39">
        <v>11</v>
      </c>
      <c r="F143" s="33"/>
      <c r="G143" s="33"/>
      <c r="H143" s="33"/>
      <c r="I143" s="33"/>
      <c r="J143" s="33"/>
    </row>
    <row r="144" spans="2:29" x14ac:dyDescent="0.25">
      <c r="C144" s="958"/>
      <c r="D144" s="312" t="s">
        <v>559</v>
      </c>
      <c r="E144" s="39">
        <v>11</v>
      </c>
      <c r="F144" s="33"/>
      <c r="G144" s="33"/>
      <c r="H144" s="33"/>
      <c r="I144" s="33"/>
      <c r="J144" s="33"/>
    </row>
    <row r="146" spans="3:13" x14ac:dyDescent="0.25">
      <c r="C146" s="956" t="s">
        <v>562</v>
      </c>
      <c r="D146" s="310" t="s">
        <v>556</v>
      </c>
      <c r="E146" s="39">
        <v>0</v>
      </c>
      <c r="F146" s="33"/>
      <c r="G146" s="957" t="s">
        <v>564</v>
      </c>
      <c r="H146" s="957"/>
      <c r="I146" s="957"/>
      <c r="J146" s="957"/>
      <c r="L146" s="16" t="s">
        <v>560</v>
      </c>
      <c r="M146" s="16">
        <f>(E147-E149)/(E146-E148)</f>
        <v>-1</v>
      </c>
    </row>
    <row r="147" spans="3:13" x14ac:dyDescent="0.25">
      <c r="C147" s="956"/>
      <c r="D147" s="310" t="s">
        <v>557</v>
      </c>
      <c r="E147" s="39">
        <v>11</v>
      </c>
      <c r="F147" s="313" t="s">
        <v>565</v>
      </c>
      <c r="G147" s="310" t="s">
        <v>169</v>
      </c>
      <c r="H147" s="39">
        <v>10.5</v>
      </c>
      <c r="I147" s="288" t="s">
        <v>547</v>
      </c>
      <c r="J147" s="311">
        <f>M146*H147+M147</f>
        <v>0.5</v>
      </c>
      <c r="L147" s="16" t="s">
        <v>561</v>
      </c>
      <c r="M147" s="16">
        <f>E147-M146*(E146)</f>
        <v>11</v>
      </c>
    </row>
    <row r="148" spans="3:13" x14ac:dyDescent="0.25">
      <c r="C148" s="958" t="s">
        <v>563</v>
      </c>
      <c r="D148" s="312" t="s">
        <v>558</v>
      </c>
      <c r="E148" s="39">
        <v>11</v>
      </c>
      <c r="F148" s="33"/>
      <c r="G148" s="33"/>
      <c r="H148" s="33"/>
      <c r="I148" s="33"/>
      <c r="J148" s="33"/>
    </row>
    <row r="149" spans="3:13" x14ac:dyDescent="0.25">
      <c r="C149" s="958"/>
      <c r="D149" s="312" t="s">
        <v>559</v>
      </c>
      <c r="E149" s="39">
        <v>0</v>
      </c>
      <c r="F149" s="33"/>
      <c r="G149" s="33"/>
      <c r="H149" s="33"/>
      <c r="I149" s="33"/>
      <c r="J149" s="33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G78"/>
  <sheetViews>
    <sheetView topLeftCell="A49" zoomScaleNormal="100" workbookViewId="0">
      <selection activeCell="D37" sqref="D37"/>
    </sheetView>
  </sheetViews>
  <sheetFormatPr baseColWidth="10" defaultColWidth="9.7109375" defaultRowHeight="15" outlineLevelCol="1" x14ac:dyDescent="0.25"/>
  <cols>
    <col min="1" max="1" width="9.7109375" style="16"/>
    <col min="2" max="2" width="11.7109375" style="16" customWidth="1"/>
    <col min="3" max="3" width="13.7109375" style="16" customWidth="1"/>
    <col min="4" max="4" width="13.42578125" style="16" customWidth="1"/>
    <col min="5" max="5" width="15.42578125" style="16" bestFit="1" customWidth="1"/>
    <col min="6" max="6" width="15.85546875" style="16" customWidth="1"/>
    <col min="7" max="7" width="15.42578125" style="16" bestFit="1" customWidth="1"/>
    <col min="8" max="8" width="15.5703125" style="16" customWidth="1"/>
    <col min="9" max="9" width="9.7109375" style="16"/>
    <col min="10" max="10" width="15.5703125" style="16" customWidth="1"/>
    <col min="11" max="14" width="9.7109375" style="16"/>
    <col min="15" max="15" width="2.42578125" style="16" customWidth="1"/>
    <col min="16" max="17" width="2" style="33" customWidth="1"/>
    <col min="18" max="26" width="2" style="16" customWidth="1"/>
    <col min="27" max="27" width="2" style="2" customWidth="1"/>
    <col min="28" max="28" width="14.85546875" style="16" customWidth="1" outlineLevel="1"/>
    <col min="29" max="34" width="15.42578125" style="16" customWidth="1" outlineLevel="1"/>
    <col min="35" max="35" width="15.5703125" style="16" customWidth="1" outlineLevel="1"/>
    <col min="36" max="36" width="18.28515625" style="16" customWidth="1" outlineLevel="1"/>
    <col min="37" max="37" width="12.28515625" style="16" customWidth="1" outlineLevel="1"/>
    <col min="38" max="38" width="18.28515625" style="16" customWidth="1" outlineLevel="1"/>
    <col min="39" max="39" width="7.28515625" style="16" customWidth="1" outlineLevel="1"/>
    <col min="40" max="40" width="18.28515625" style="16" customWidth="1" outlineLevel="1"/>
    <col min="41" max="47" width="14.140625" style="16" customWidth="1" outlineLevel="1"/>
    <col min="48" max="50" width="9.7109375" style="16" customWidth="1" outlineLevel="1"/>
    <col min="51" max="51" width="17.5703125" style="16" customWidth="1" outlineLevel="1"/>
    <col min="52" max="53" width="15.42578125" style="16" customWidth="1" outlineLevel="1"/>
    <col min="54" max="58" width="9.7109375" style="16" customWidth="1" outlineLevel="1"/>
    <col min="59" max="59" width="15.42578125" style="16" customWidth="1" outlineLevel="1"/>
    <col min="60" max="64" width="9.7109375" style="16" customWidth="1" outlineLevel="1"/>
    <col min="65" max="65" width="14.28515625" style="16" customWidth="1" outlineLevel="1"/>
    <col min="66" max="70" width="9.7109375" style="16" customWidth="1" outlineLevel="1"/>
    <col min="71" max="71" width="14.28515625" style="16" customWidth="1" outlineLevel="1"/>
    <col min="72" max="76" width="9.7109375" style="16" customWidth="1" outlineLevel="1"/>
    <col min="77" max="77" width="15.42578125" style="16" customWidth="1" outlineLevel="1"/>
    <col min="78" max="82" width="9.7109375" style="16" customWidth="1" outlineLevel="1"/>
    <col min="83" max="83" width="15.42578125" style="16" customWidth="1" outlineLevel="1"/>
    <col min="84" max="111" width="9.7109375" style="16" customWidth="1" outlineLevel="1"/>
    <col min="112" max="16384" width="9.7109375" style="16"/>
  </cols>
  <sheetData>
    <row r="1" spans="1:66" s="1" customFormat="1" ht="17.25" customHeight="1" x14ac:dyDescent="0.25">
      <c r="C1" s="1078" t="s">
        <v>236</v>
      </c>
      <c r="D1" s="1078"/>
      <c r="E1" s="1078"/>
      <c r="F1" s="1078"/>
      <c r="G1" s="1079" t="s">
        <v>237</v>
      </c>
      <c r="H1" s="1079"/>
      <c r="I1" s="1079"/>
      <c r="J1" s="1079"/>
      <c r="K1" s="1079"/>
      <c r="L1" s="1079"/>
      <c r="M1" s="1079"/>
      <c r="N1" s="1079"/>
      <c r="O1" s="1079"/>
      <c r="P1" s="1079"/>
      <c r="Q1" s="1079"/>
      <c r="R1" s="1079"/>
      <c r="S1" s="1079"/>
      <c r="T1" s="1079"/>
      <c r="U1" s="1079"/>
      <c r="V1" s="1079"/>
      <c r="W1" s="1079"/>
      <c r="X1" s="1079"/>
      <c r="Y1" s="1079"/>
      <c r="AB1" s="5"/>
      <c r="AC1" s="8"/>
      <c r="AD1" s="8"/>
      <c r="AE1" s="7"/>
      <c r="AF1" s="7"/>
      <c r="AG1" s="7"/>
      <c r="AH1" s="7"/>
      <c r="AI1" s="7"/>
      <c r="AJ1" s="7"/>
      <c r="AK1" s="7"/>
      <c r="AL1" s="7"/>
      <c r="AM1" s="9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</row>
    <row r="2" spans="1:66" s="1" customFormat="1" ht="17.25" customHeight="1" x14ac:dyDescent="0.25">
      <c r="C2" s="1078"/>
      <c r="D2" s="1078"/>
      <c r="E2" s="1078"/>
      <c r="F2" s="1078"/>
      <c r="G2" s="1079"/>
      <c r="H2" s="1079"/>
      <c r="I2" s="1079"/>
      <c r="J2" s="1079"/>
      <c r="K2" s="1079"/>
      <c r="L2" s="1079"/>
      <c r="M2" s="1079"/>
      <c r="N2" s="1079"/>
      <c r="O2" s="1079"/>
      <c r="P2" s="1079"/>
      <c r="Q2" s="1079"/>
      <c r="R2" s="1079"/>
      <c r="S2" s="1079"/>
      <c r="T2" s="1079"/>
      <c r="U2" s="1079"/>
      <c r="V2" s="1079"/>
      <c r="W2" s="1079"/>
      <c r="X2" s="1079"/>
      <c r="Y2" s="1079"/>
      <c r="AB2" s="5"/>
      <c r="AC2" s="8"/>
      <c r="AD2" s="8"/>
      <c r="AE2" s="7"/>
      <c r="AF2" s="7"/>
      <c r="AG2" s="7"/>
      <c r="AH2" s="7"/>
      <c r="AI2" s="7"/>
      <c r="AJ2" s="7"/>
      <c r="AK2" s="7"/>
      <c r="AL2" s="7"/>
      <c r="AM2" s="9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</row>
    <row r="3" spans="1:66" s="1" customFormat="1" ht="17.25" customHeight="1" x14ac:dyDescent="0.25">
      <c r="C3" s="1078"/>
      <c r="D3" s="1078"/>
      <c r="E3" s="1078"/>
      <c r="F3" s="1078"/>
      <c r="G3" s="1117" t="s">
        <v>241</v>
      </c>
      <c r="H3" s="1117"/>
      <c r="I3" s="1117"/>
      <c r="J3" s="1119" t="s">
        <v>240</v>
      </c>
      <c r="K3" s="1119"/>
      <c r="L3" s="1119"/>
      <c r="AB3" s="5"/>
      <c r="AC3" s="8"/>
      <c r="AD3" s="8"/>
      <c r="AE3" s="7"/>
      <c r="AF3" s="7"/>
      <c r="AG3" s="7"/>
      <c r="AH3" s="7"/>
      <c r="AI3" s="7"/>
      <c r="AJ3" s="7"/>
      <c r="AK3" s="7"/>
      <c r="AL3" s="7"/>
      <c r="AM3" s="9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</row>
    <row r="4" spans="1:66" s="1" customFormat="1" ht="17.25" customHeight="1" x14ac:dyDescent="0.25">
      <c r="C4" s="1078"/>
      <c r="D4" s="1078"/>
      <c r="E4" s="1078"/>
      <c r="F4" s="1078"/>
      <c r="G4" s="1118"/>
      <c r="H4" s="1118"/>
      <c r="I4" s="1118"/>
      <c r="J4" s="1120"/>
      <c r="K4" s="1120"/>
      <c r="L4" s="1120"/>
      <c r="AB4" s="5"/>
      <c r="AC4" s="8"/>
      <c r="AD4" s="8"/>
      <c r="AE4" s="7"/>
      <c r="AF4" s="7"/>
      <c r="AG4" s="7"/>
      <c r="AH4" s="7"/>
      <c r="AI4" s="7"/>
      <c r="AJ4" s="7"/>
      <c r="AK4" s="7"/>
      <c r="AL4" s="7"/>
      <c r="AM4" s="9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</row>
    <row r="5" spans="1:66" s="1" customFormat="1" ht="17.25" customHeight="1" x14ac:dyDescent="0.25">
      <c r="C5" s="37"/>
      <c r="D5" s="37"/>
      <c r="E5" s="37"/>
      <c r="F5" s="37"/>
      <c r="G5" s="37"/>
      <c r="AB5" s="5"/>
      <c r="AC5" s="8"/>
      <c r="AD5" s="8"/>
      <c r="AE5" s="7"/>
      <c r="AF5" s="7"/>
      <c r="AG5" s="7"/>
      <c r="AH5" s="7"/>
      <c r="AI5" s="7"/>
      <c r="AJ5" s="7"/>
      <c r="AK5" s="7"/>
      <c r="AL5" s="7"/>
      <c r="AM5" s="9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</row>
    <row r="6" spans="1:66" s="1" customFormat="1" ht="17.25" customHeight="1" x14ac:dyDescent="0.25">
      <c r="C6" s="37"/>
      <c r="D6" s="37"/>
      <c r="E6" s="37"/>
      <c r="F6" s="37"/>
      <c r="G6" s="37"/>
      <c r="AB6" s="5"/>
      <c r="AC6" s="8"/>
      <c r="AD6" s="8"/>
      <c r="AE6" s="7"/>
      <c r="AF6" s="7"/>
      <c r="AG6" s="7"/>
      <c r="AH6" s="7"/>
      <c r="AI6" s="7"/>
      <c r="AJ6" s="7"/>
      <c r="AK6" s="7"/>
      <c r="AL6" s="7"/>
      <c r="AM6" s="9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</row>
    <row r="7" spans="1:66" x14ac:dyDescent="0.25">
      <c r="AC7" s="16" t="s">
        <v>264</v>
      </c>
      <c r="AD7" s="50">
        <f ca="1">TODAY()</f>
        <v>45501</v>
      </c>
      <c r="AI7" s="34">
        <f ca="1">AD7</f>
        <v>45501</v>
      </c>
      <c r="AQ7" s="16" t="s">
        <v>271</v>
      </c>
      <c r="AR7" s="16" t="s">
        <v>101</v>
      </c>
      <c r="AS7" s="16" t="s">
        <v>272</v>
      </c>
      <c r="AT7" s="16" t="s">
        <v>65</v>
      </c>
      <c r="AU7" s="16" t="s">
        <v>272</v>
      </c>
    </row>
    <row r="8" spans="1:66" ht="18.75" x14ac:dyDescent="0.3">
      <c r="C8" s="38" t="s">
        <v>201</v>
      </c>
      <c r="D8" s="46" t="s">
        <v>169</v>
      </c>
      <c r="E8"/>
      <c r="F8" s="1115" t="s">
        <v>127</v>
      </c>
      <c r="G8" s="1115"/>
      <c r="H8" s="1115"/>
      <c r="I8" s="1115"/>
      <c r="J8" s="1115"/>
      <c r="K8" s="1115"/>
      <c r="L8" s="1115"/>
      <c r="M8" s="1115"/>
      <c r="AO8" s="16">
        <v>1</v>
      </c>
      <c r="AP8" s="16" t="str">
        <f>AG9</f>
        <v>0:0</v>
      </c>
      <c r="AQ8" s="16" t="b">
        <f>ISNUMBER(SEARCH("-",AP8,1))</f>
        <v>0</v>
      </c>
      <c r="AR8" s="16">
        <f>IF(AQ8,-1,1)</f>
        <v>1</v>
      </c>
      <c r="AS8" s="16">
        <f>ABS(VALUE(LEFT($AP8,SEARCH(":",$AP8,1)-1)))</f>
        <v>0</v>
      </c>
      <c r="AT8" s="16">
        <f>ABS(VALUE(RIGHT($AP8,LEN($AP8)-SEARCH(":",$AP8,1))))</f>
        <v>0</v>
      </c>
      <c r="AU8" s="16">
        <f>(AS8+AT8/60)/24</f>
        <v>0</v>
      </c>
    </row>
    <row r="9" spans="1:66" ht="18.75" x14ac:dyDescent="0.3">
      <c r="C9" s="38" t="s">
        <v>203</v>
      </c>
      <c r="D9" s="46" t="s">
        <v>169</v>
      </c>
      <c r="E9"/>
      <c r="F9" s="1116" t="s">
        <v>204</v>
      </c>
      <c r="G9" s="1116"/>
      <c r="H9" s="1116"/>
      <c r="I9" s="1116"/>
      <c r="J9" s="1116" t="s">
        <v>207</v>
      </c>
      <c r="K9" s="1116"/>
      <c r="L9" s="1116"/>
      <c r="M9" s="1116"/>
      <c r="AD9" s="16" t="str">
        <f>CONCATENATE(D8,"-",D9)</f>
        <v>x-x</v>
      </c>
      <c r="AE9" s="16">
        <f>MATCH(AD9,AD12:AD18,0)</f>
        <v>7</v>
      </c>
      <c r="AF9" s="16">
        <f>INDEX($AF$12:$AM$18,$AE$9,1)</f>
        <v>0</v>
      </c>
      <c r="AG9" s="16" t="str">
        <f>INDEX($AF$12:$AM$18,$AE$9,2)</f>
        <v>0:0</v>
      </c>
      <c r="AH9" s="16">
        <f>INDEX($AF$12:$AM$18,$AE$9,3)</f>
        <v>0</v>
      </c>
      <c r="AI9" s="16" t="str">
        <f>INDEX($AF$12:$AM$18,$AE$9,4)</f>
        <v>0:0</v>
      </c>
      <c r="AJ9" s="16">
        <f>INDEX($AF$12:$AM$18,$AE$9,5)</f>
        <v>0</v>
      </c>
      <c r="AK9" s="16" t="str">
        <f>INDEX($AF$12:$AM$18,$AE$9,6)</f>
        <v>0:0</v>
      </c>
      <c r="AL9" s="16">
        <f>INDEX($AF$12:$AM$18,$AE$9,7)</f>
        <v>0</v>
      </c>
      <c r="AM9" s="16" t="str">
        <f>INDEX($AF$12:$AM$18,$AE$9,8)</f>
        <v>0:0</v>
      </c>
      <c r="AO9" s="16">
        <v>2</v>
      </c>
      <c r="AP9" s="16" t="str">
        <f>AI9</f>
        <v>0:0</v>
      </c>
      <c r="AQ9" s="16" t="b">
        <f>ISNUMBER(SEARCH("-",AP9,1))</f>
        <v>0</v>
      </c>
      <c r="AR9" s="16">
        <f>IF(AQ9,-1,1)</f>
        <v>1</v>
      </c>
      <c r="AS9" s="16">
        <f>ABS(VALUE(LEFT($AP9,SEARCH(":",$AP9,1)-1)))</f>
        <v>0</v>
      </c>
      <c r="AT9" s="16">
        <f>ABS(VALUE(RIGHT($AP9,LEN($AP9)-SEARCH(":",$AP9,1))))</f>
        <v>0</v>
      </c>
      <c r="AU9" s="16">
        <f>(AS9+AT9/60)/24</f>
        <v>0</v>
      </c>
    </row>
    <row r="10" spans="1:66" ht="15.75" x14ac:dyDescent="0.25">
      <c r="F10" s="1116" t="s">
        <v>205</v>
      </c>
      <c r="G10" s="1116"/>
      <c r="H10" s="1116" t="s">
        <v>206</v>
      </c>
      <c r="I10" s="1116"/>
      <c r="J10" s="1116" t="s">
        <v>205</v>
      </c>
      <c r="K10" s="1116"/>
      <c r="L10" s="1116" t="s">
        <v>206</v>
      </c>
      <c r="M10" s="1116"/>
      <c r="P10" s="16"/>
      <c r="Q10" s="16"/>
      <c r="S10"/>
      <c r="T10"/>
      <c r="AF10" s="16">
        <f>AF9</f>
        <v>0</v>
      </c>
      <c r="AG10" s="16">
        <f>AU8</f>
        <v>0</v>
      </c>
      <c r="AH10" s="16">
        <f>AH9</f>
        <v>0</v>
      </c>
      <c r="AI10" s="16">
        <f>AU9</f>
        <v>0</v>
      </c>
      <c r="AJ10" s="16">
        <f>AJ9</f>
        <v>0</v>
      </c>
      <c r="AK10" s="16">
        <f>AU10</f>
        <v>0</v>
      </c>
      <c r="AL10" s="16">
        <f>AL9</f>
        <v>0</v>
      </c>
      <c r="AM10" s="16">
        <f>AU11</f>
        <v>0</v>
      </c>
      <c r="AO10" s="16">
        <v>3</v>
      </c>
      <c r="AP10" s="16" t="str">
        <f>AK9</f>
        <v>0:0</v>
      </c>
      <c r="AQ10" s="16" t="b">
        <f>ISNUMBER(SEARCH("-",AP10,1))</f>
        <v>0</v>
      </c>
      <c r="AR10" s="16">
        <f>IF(AQ10,-1,1)</f>
        <v>1</v>
      </c>
      <c r="AS10" s="16">
        <f>ABS(VALUE(LEFT($AP10,SEARCH(":",$AP10,1)-1)))</f>
        <v>0</v>
      </c>
      <c r="AT10" s="16">
        <f>ABS(VALUE(RIGHT($AP10,LEN($AP10)-SEARCH(":",$AP10,1))))</f>
        <v>0</v>
      </c>
      <c r="AU10" s="16">
        <f>(AS10+AT10/60)/24</f>
        <v>0</v>
      </c>
    </row>
    <row r="11" spans="1:66" ht="18.75" x14ac:dyDescent="0.3">
      <c r="C11"/>
      <c r="D11" s="47" t="s">
        <v>201</v>
      </c>
      <c r="E11" s="47" t="s">
        <v>203</v>
      </c>
      <c r="F11" s="35" t="s">
        <v>208</v>
      </c>
      <c r="G11" s="35" t="s">
        <v>209</v>
      </c>
      <c r="H11" s="35" t="s">
        <v>208</v>
      </c>
      <c r="I11" s="35" t="s">
        <v>209</v>
      </c>
      <c r="J11" s="35" t="s">
        <v>208</v>
      </c>
      <c r="K11" s="35" t="s">
        <v>209</v>
      </c>
      <c r="L11" s="35" t="s">
        <v>208</v>
      </c>
      <c r="M11" s="35" t="s">
        <v>209</v>
      </c>
      <c r="P11" s="16"/>
      <c r="Q11" s="16"/>
      <c r="S11"/>
      <c r="T11"/>
      <c r="U11"/>
      <c r="AO11" s="16">
        <v>4</v>
      </c>
      <c r="AP11" s="16" t="str">
        <f>AM9</f>
        <v>0:0</v>
      </c>
      <c r="AQ11" s="16" t="b">
        <f>ISNUMBER(SEARCH("-",AP11,1))</f>
        <v>0</v>
      </c>
      <c r="AR11" s="16">
        <f>IF(AQ11,-1,1)</f>
        <v>1</v>
      </c>
      <c r="AS11" s="16">
        <f>ABS(VALUE(LEFT($AP11,SEARCH(":",$AP11,1)-1)))</f>
        <v>0</v>
      </c>
      <c r="AT11" s="16">
        <f>ABS(VALUE(RIGHT($AP11,LEN($AP11)-SEARCH(":",$AP11,1))))</f>
        <v>0</v>
      </c>
      <c r="AU11" s="16">
        <f>(AS11+AT11/60)/24</f>
        <v>0</v>
      </c>
    </row>
    <row r="12" spans="1:66" x14ac:dyDescent="0.25">
      <c r="A12" s="65" t="s">
        <v>254</v>
      </c>
      <c r="B12" s="65" t="s">
        <v>308</v>
      </c>
      <c r="C12" s="65" t="s">
        <v>203</v>
      </c>
      <c r="D12" s="1112" t="s">
        <v>202</v>
      </c>
      <c r="E12" s="48" t="s">
        <v>220</v>
      </c>
      <c r="F12" s="42">
        <v>0.23</v>
      </c>
      <c r="G12" s="43" t="s">
        <v>211</v>
      </c>
      <c r="H12" s="42">
        <v>-2.1</v>
      </c>
      <c r="I12" s="44" t="s">
        <v>210</v>
      </c>
      <c r="J12" s="42">
        <v>0.13</v>
      </c>
      <c r="K12" s="43" t="s">
        <v>211</v>
      </c>
      <c r="L12" s="42">
        <v>-0.78</v>
      </c>
      <c r="M12" s="44" t="s">
        <v>217</v>
      </c>
      <c r="P12" s="16"/>
      <c r="Q12" s="16"/>
      <c r="S12"/>
      <c r="T12"/>
      <c r="U12"/>
      <c r="AC12" s="16" t="str">
        <f t="shared" ref="AC12:AC18" si="0">IF(ISBLANK(D12),AC11,D12)</f>
        <v>Brest</v>
      </c>
      <c r="AD12" s="16" t="str">
        <f t="shared" ref="AD12:AD18" si="1">CONCATENATE(AC12,"-",E12)</f>
        <v>Brest-StQuay</v>
      </c>
      <c r="AF12" s="16">
        <f t="shared" ref="AF12:AM17" si="2">F12</f>
        <v>0.23</v>
      </c>
      <c r="AG12" s="16" t="str">
        <f t="shared" si="2"/>
        <v>00:12</v>
      </c>
      <c r="AH12" s="16">
        <f t="shared" si="2"/>
        <v>-2.1</v>
      </c>
      <c r="AI12" s="16" t="str">
        <f t="shared" si="2"/>
        <v>-0:01</v>
      </c>
      <c r="AJ12" s="16">
        <f t="shared" si="2"/>
        <v>0.13</v>
      </c>
      <c r="AK12" s="16" t="str">
        <f t="shared" si="2"/>
        <v>00:12</v>
      </c>
      <c r="AL12" s="16">
        <f t="shared" si="2"/>
        <v>-0.78</v>
      </c>
      <c r="AM12" s="16" t="str">
        <f t="shared" si="2"/>
        <v>-0:04</v>
      </c>
    </row>
    <row r="13" spans="1:66" x14ac:dyDescent="0.25">
      <c r="A13" s="49" t="s">
        <v>205</v>
      </c>
      <c r="B13" s="3" t="s">
        <v>169</v>
      </c>
      <c r="C13" s="62" t="s">
        <v>169</v>
      </c>
      <c r="D13" s="1113"/>
      <c r="E13" s="48" t="s">
        <v>251</v>
      </c>
      <c r="F13" s="42">
        <v>0.23</v>
      </c>
      <c r="G13" s="43" t="s">
        <v>211</v>
      </c>
      <c r="H13" s="42">
        <v>-2.1</v>
      </c>
      <c r="I13" s="44" t="s">
        <v>273</v>
      </c>
      <c r="J13" s="42">
        <v>0.13</v>
      </c>
      <c r="K13" s="43" t="s">
        <v>211</v>
      </c>
      <c r="L13" s="42">
        <v>-0.78</v>
      </c>
      <c r="M13" s="44" t="s">
        <v>217</v>
      </c>
      <c r="P13" s="16"/>
      <c r="Q13" s="16"/>
      <c r="S13"/>
      <c r="T13"/>
      <c r="U13"/>
      <c r="AC13" s="16" t="str">
        <f t="shared" si="0"/>
        <v>Brest</v>
      </c>
      <c r="AD13" s="16" t="str">
        <f t="shared" si="1"/>
        <v>Brest-Binic</v>
      </c>
      <c r="AF13" s="16">
        <f t="shared" si="2"/>
        <v>0.23</v>
      </c>
      <c r="AG13" s="16" t="str">
        <f t="shared" si="2"/>
        <v>00:12</v>
      </c>
      <c r="AH13" s="16">
        <f t="shared" si="2"/>
        <v>-2.1</v>
      </c>
      <c r="AI13" s="16" t="str">
        <f t="shared" si="2"/>
        <v>-1:01</v>
      </c>
      <c r="AJ13" s="16">
        <f t="shared" si="2"/>
        <v>0.13</v>
      </c>
      <c r="AK13" s="16" t="str">
        <f t="shared" si="2"/>
        <v>00:12</v>
      </c>
      <c r="AL13" s="16">
        <f t="shared" si="2"/>
        <v>-0.78</v>
      </c>
      <c r="AM13" s="16" t="str">
        <f t="shared" si="2"/>
        <v>-0:04</v>
      </c>
    </row>
    <row r="14" spans="1:66" x14ac:dyDescent="0.25">
      <c r="A14" s="49" t="s">
        <v>206</v>
      </c>
      <c r="B14" s="62" t="s">
        <v>202</v>
      </c>
      <c r="C14" s="62" t="s">
        <v>220</v>
      </c>
      <c r="D14" s="1114"/>
      <c r="E14" s="48" t="s">
        <v>252</v>
      </c>
      <c r="F14" s="42">
        <v>0.23</v>
      </c>
      <c r="G14" s="43" t="s">
        <v>211</v>
      </c>
      <c r="H14" s="42">
        <v>-2.1</v>
      </c>
      <c r="I14" s="44" t="s">
        <v>210</v>
      </c>
      <c r="J14" s="42">
        <v>0.13</v>
      </c>
      <c r="K14" s="43" t="s">
        <v>211</v>
      </c>
      <c r="L14" s="42">
        <v>-0.78</v>
      </c>
      <c r="M14" s="44" t="s">
        <v>217</v>
      </c>
      <c r="P14" s="16"/>
      <c r="Q14" s="16"/>
      <c r="S14"/>
      <c r="T14"/>
      <c r="U14"/>
      <c r="AC14" s="16" t="str">
        <f t="shared" si="0"/>
        <v>Brest</v>
      </c>
      <c r="AD14" s="16" t="str">
        <f t="shared" si="1"/>
        <v>Brest-Paimpol</v>
      </c>
      <c r="AF14" s="16">
        <f t="shared" si="2"/>
        <v>0.23</v>
      </c>
      <c r="AG14" s="16" t="str">
        <f t="shared" si="2"/>
        <v>00:12</v>
      </c>
      <c r="AH14" s="16">
        <f t="shared" si="2"/>
        <v>-2.1</v>
      </c>
      <c r="AI14" s="16" t="str">
        <f t="shared" si="2"/>
        <v>-0:01</v>
      </c>
      <c r="AJ14" s="16">
        <f t="shared" si="2"/>
        <v>0.13</v>
      </c>
      <c r="AK14" s="16" t="str">
        <f t="shared" si="2"/>
        <v>00:12</v>
      </c>
      <c r="AL14" s="16">
        <f t="shared" si="2"/>
        <v>-0.78</v>
      </c>
      <c r="AM14" s="16" t="str">
        <f t="shared" si="2"/>
        <v>-0:04</v>
      </c>
    </row>
    <row r="15" spans="1:66" x14ac:dyDescent="0.25">
      <c r="B15" s="66" t="s">
        <v>253</v>
      </c>
      <c r="C15" s="62" t="s">
        <v>251</v>
      </c>
      <c r="D15" s="1112" t="s">
        <v>253</v>
      </c>
      <c r="E15" s="48" t="s">
        <v>220</v>
      </c>
      <c r="F15" s="42">
        <v>0.23</v>
      </c>
      <c r="G15" s="43" t="s">
        <v>211</v>
      </c>
      <c r="H15" s="42">
        <v>-2.1</v>
      </c>
      <c r="I15" s="44" t="s">
        <v>210</v>
      </c>
      <c r="J15" s="42">
        <v>0.13</v>
      </c>
      <c r="K15" s="43" t="s">
        <v>211</v>
      </c>
      <c r="L15" s="42">
        <v>-0.78</v>
      </c>
      <c r="M15" s="44" t="s">
        <v>217</v>
      </c>
      <c r="P15" s="16"/>
      <c r="Q15" s="16"/>
      <c r="S15"/>
      <c r="T15"/>
      <c r="U15"/>
      <c r="AC15" s="16" t="str">
        <f t="shared" si="0"/>
        <v>StMalo</v>
      </c>
      <c r="AD15" s="16" t="str">
        <f t="shared" si="1"/>
        <v>StMalo-StQuay</v>
      </c>
      <c r="AF15" s="16">
        <f t="shared" si="2"/>
        <v>0.23</v>
      </c>
      <c r="AG15" s="16" t="str">
        <f t="shared" si="2"/>
        <v>00:12</v>
      </c>
      <c r="AH15" s="16">
        <f t="shared" si="2"/>
        <v>-2.1</v>
      </c>
      <c r="AI15" s="16" t="str">
        <f t="shared" si="2"/>
        <v>-0:01</v>
      </c>
      <c r="AJ15" s="16">
        <f t="shared" si="2"/>
        <v>0.13</v>
      </c>
      <c r="AK15" s="16" t="str">
        <f t="shared" si="2"/>
        <v>00:12</v>
      </c>
      <c r="AL15" s="16">
        <f t="shared" si="2"/>
        <v>-0.78</v>
      </c>
      <c r="AM15" s="16" t="str">
        <f t="shared" si="2"/>
        <v>-0:04</v>
      </c>
    </row>
    <row r="16" spans="1:66" x14ac:dyDescent="0.25">
      <c r="C16" s="62" t="s">
        <v>252</v>
      </c>
      <c r="D16" s="1113"/>
      <c r="E16" s="48" t="s">
        <v>251</v>
      </c>
      <c r="F16" s="42">
        <v>0.23</v>
      </c>
      <c r="G16" s="43" t="s">
        <v>211</v>
      </c>
      <c r="H16" s="42">
        <v>-2.1</v>
      </c>
      <c r="I16" s="44" t="s">
        <v>210</v>
      </c>
      <c r="J16" s="42">
        <v>0.13</v>
      </c>
      <c r="K16" s="43" t="s">
        <v>211</v>
      </c>
      <c r="L16" s="42">
        <v>-0.78</v>
      </c>
      <c r="M16" s="44" t="s">
        <v>217</v>
      </c>
      <c r="P16" s="16"/>
      <c r="Q16" s="16"/>
      <c r="S16"/>
      <c r="T16"/>
      <c r="U16"/>
      <c r="AC16" s="16" t="str">
        <f t="shared" si="0"/>
        <v>StMalo</v>
      </c>
      <c r="AD16" s="16" t="str">
        <f t="shared" si="1"/>
        <v>StMalo-Binic</v>
      </c>
      <c r="AF16" s="16">
        <f t="shared" si="2"/>
        <v>0.23</v>
      </c>
      <c r="AG16" s="16" t="str">
        <f t="shared" si="2"/>
        <v>00:12</v>
      </c>
      <c r="AH16" s="16">
        <f t="shared" si="2"/>
        <v>-2.1</v>
      </c>
      <c r="AI16" s="16" t="str">
        <f t="shared" si="2"/>
        <v>-0:01</v>
      </c>
      <c r="AJ16" s="16">
        <f t="shared" si="2"/>
        <v>0.13</v>
      </c>
      <c r="AK16" s="16" t="str">
        <f t="shared" si="2"/>
        <v>00:12</v>
      </c>
      <c r="AL16" s="16">
        <f t="shared" si="2"/>
        <v>-0.78</v>
      </c>
      <c r="AM16" s="16" t="str">
        <f t="shared" si="2"/>
        <v>-0:04</v>
      </c>
    </row>
    <row r="17" spans="2:53" x14ac:dyDescent="0.25">
      <c r="C17" s="62"/>
      <c r="D17" s="1114"/>
      <c r="E17" s="48" t="s">
        <v>252</v>
      </c>
      <c r="F17" s="42">
        <v>0.23</v>
      </c>
      <c r="G17" s="43" t="s">
        <v>211</v>
      </c>
      <c r="H17" s="42">
        <v>-2.1</v>
      </c>
      <c r="I17" s="44" t="s">
        <v>210</v>
      </c>
      <c r="J17" s="42">
        <v>0.13</v>
      </c>
      <c r="K17" s="43" t="s">
        <v>211</v>
      </c>
      <c r="L17" s="42">
        <v>-0.78</v>
      </c>
      <c r="M17" s="44" t="s">
        <v>217</v>
      </c>
      <c r="P17" s="16"/>
      <c r="Q17" s="16"/>
      <c r="S17"/>
      <c r="T17"/>
      <c r="U17"/>
      <c r="AC17" s="16" t="str">
        <f t="shared" si="0"/>
        <v>StMalo</v>
      </c>
      <c r="AD17" s="16" t="str">
        <f t="shared" si="1"/>
        <v>StMalo-Paimpol</v>
      </c>
      <c r="AF17" s="16">
        <f t="shared" si="2"/>
        <v>0.23</v>
      </c>
      <c r="AG17" s="16" t="str">
        <f t="shared" si="2"/>
        <v>00:12</v>
      </c>
      <c r="AH17" s="16">
        <f t="shared" si="2"/>
        <v>-2.1</v>
      </c>
      <c r="AI17" s="16" t="str">
        <f t="shared" si="2"/>
        <v>-0:01</v>
      </c>
      <c r="AJ17" s="16">
        <f t="shared" si="2"/>
        <v>0.13</v>
      </c>
      <c r="AK17" s="16" t="str">
        <f t="shared" si="2"/>
        <v>00:12</v>
      </c>
      <c r="AL17" s="16">
        <f t="shared" si="2"/>
        <v>-0.78</v>
      </c>
      <c r="AM17" s="16" t="str">
        <f t="shared" si="2"/>
        <v>-0:04</v>
      </c>
    </row>
    <row r="18" spans="2:53" x14ac:dyDescent="0.25">
      <c r="D18" s="48" t="s">
        <v>169</v>
      </c>
      <c r="E18" s="48" t="s">
        <v>169</v>
      </c>
      <c r="F18" s="42">
        <v>0</v>
      </c>
      <c r="G18" s="43" t="s">
        <v>309</v>
      </c>
      <c r="H18" s="42">
        <v>0</v>
      </c>
      <c r="I18" s="43" t="s">
        <v>309</v>
      </c>
      <c r="J18" s="42">
        <v>0</v>
      </c>
      <c r="K18" s="43" t="s">
        <v>309</v>
      </c>
      <c r="L18" s="42">
        <v>0</v>
      </c>
      <c r="M18" s="43" t="s">
        <v>309</v>
      </c>
      <c r="P18" s="16"/>
      <c r="Q18" s="16"/>
      <c r="S18"/>
      <c r="T18"/>
      <c r="U18"/>
      <c r="AC18" s="16" t="str">
        <f t="shared" si="0"/>
        <v>x</v>
      </c>
      <c r="AD18" s="16" t="str">
        <f t="shared" si="1"/>
        <v>x-x</v>
      </c>
      <c r="AF18" s="16">
        <f t="shared" ref="AF18:AM18" si="3">F18</f>
        <v>0</v>
      </c>
      <c r="AG18" s="16" t="str">
        <f t="shared" si="3"/>
        <v>0:0</v>
      </c>
      <c r="AH18" s="16">
        <f t="shared" si="3"/>
        <v>0</v>
      </c>
      <c r="AI18" s="16" t="str">
        <f t="shared" si="3"/>
        <v>0:0</v>
      </c>
      <c r="AJ18" s="16">
        <f t="shared" si="3"/>
        <v>0</v>
      </c>
      <c r="AK18" s="16" t="str">
        <f t="shared" si="3"/>
        <v>0:0</v>
      </c>
      <c r="AL18" s="16">
        <f t="shared" si="3"/>
        <v>0</v>
      </c>
      <c r="AM18" s="16" t="str">
        <f t="shared" si="3"/>
        <v>0:0</v>
      </c>
    </row>
    <row r="19" spans="2:53" ht="15.75" thickBot="1" x14ac:dyDescent="0.3">
      <c r="P19" s="16"/>
      <c r="Q19" s="16"/>
      <c r="S19"/>
      <c r="T19"/>
      <c r="U19"/>
    </row>
    <row r="20" spans="2:53" ht="20.25" thickTop="1" thickBot="1" x14ac:dyDescent="0.35">
      <c r="C20" s="1128" t="s">
        <v>219</v>
      </c>
      <c r="D20" s="1128"/>
      <c r="E20" s="1128"/>
      <c r="F20" s="1128"/>
      <c r="G20" s="1128"/>
      <c r="H20" s="1129" t="s">
        <v>312</v>
      </c>
      <c r="I20" s="1130"/>
      <c r="J20" s="1130"/>
      <c r="K20" s="1130"/>
      <c r="L20"/>
      <c r="M20"/>
      <c r="P20" s="16"/>
      <c r="Q20" s="16"/>
    </row>
    <row r="21" spans="2:53" ht="17.25" thickTop="1" thickBot="1" x14ac:dyDescent="0.3">
      <c r="C21" s="40" t="s">
        <v>254</v>
      </c>
      <c r="D21" s="40" t="s">
        <v>1</v>
      </c>
      <c r="E21" s="40" t="s">
        <v>11</v>
      </c>
      <c r="F21" s="40" t="s">
        <v>196</v>
      </c>
      <c r="G21" s="40" t="s">
        <v>299</v>
      </c>
      <c r="H21" s="73" t="s">
        <v>257</v>
      </c>
      <c r="I21" s="68" t="s">
        <v>268</v>
      </c>
      <c r="J21" s="68" t="s">
        <v>11</v>
      </c>
      <c r="K21" s="68" t="s">
        <v>197</v>
      </c>
      <c r="P21" s="16"/>
      <c r="Q21" s="16"/>
      <c r="AB21" s="16" t="s">
        <v>258</v>
      </c>
      <c r="AC21" s="16" t="s">
        <v>1</v>
      </c>
      <c r="AD21" s="16" t="s">
        <v>11</v>
      </c>
      <c r="AE21" s="16" t="s">
        <v>259</v>
      </c>
      <c r="AF21" s="16" t="s">
        <v>260</v>
      </c>
      <c r="AG21" s="16" t="s">
        <v>261</v>
      </c>
      <c r="AH21" s="16" t="s">
        <v>262</v>
      </c>
      <c r="AI21" s="16" t="s">
        <v>263</v>
      </c>
      <c r="AJ21" s="16" t="s">
        <v>265</v>
      </c>
      <c r="AK21" s="16" t="s">
        <v>266</v>
      </c>
      <c r="AL21" s="16" t="s">
        <v>280</v>
      </c>
      <c r="AM21" s="16" t="s">
        <v>267</v>
      </c>
      <c r="AN21" s="16" t="s">
        <v>196</v>
      </c>
      <c r="AO21" s="16" t="s">
        <v>213</v>
      </c>
      <c r="AQ21" s="16" t="s">
        <v>274</v>
      </c>
      <c r="AR21" s="16" t="s">
        <v>275</v>
      </c>
      <c r="AS21" s="16" t="s">
        <v>276</v>
      </c>
      <c r="AT21" s="16" t="s">
        <v>277</v>
      </c>
      <c r="AU21" s="16" t="s">
        <v>11</v>
      </c>
      <c r="AW21" s="16" t="s">
        <v>274</v>
      </c>
      <c r="AX21" s="16" t="s">
        <v>275</v>
      </c>
      <c r="AY21" s="16" t="s">
        <v>276</v>
      </c>
      <c r="AZ21" s="16" t="s">
        <v>277</v>
      </c>
      <c r="BA21" s="16" t="s">
        <v>197</v>
      </c>
    </row>
    <row r="22" spans="2:53" ht="17.25" thickTop="1" thickBot="1" x14ac:dyDescent="0.3">
      <c r="B22" s="72" t="s">
        <v>255</v>
      </c>
      <c r="C22" s="39" t="s">
        <v>205</v>
      </c>
      <c r="D22" s="74" t="s">
        <v>269</v>
      </c>
      <c r="E22" s="75" t="s">
        <v>198</v>
      </c>
      <c r="F22" s="76">
        <v>90</v>
      </c>
      <c r="G22" s="76">
        <v>9.56</v>
      </c>
      <c r="H22" s="73" t="str">
        <f ca="1">IF(AM22,"Y","N")</f>
        <v>Y</v>
      </c>
      <c r="I22" s="69" t="str">
        <f ca="1">IF(AO22,"Y","N")</f>
        <v>Y</v>
      </c>
      <c r="J22" s="70">
        <f ca="1">AU22</f>
        <v>45646.416666666664</v>
      </c>
      <c r="K22" s="71">
        <f ca="1">BA22</f>
        <v>9.56</v>
      </c>
      <c r="P22" s="16"/>
      <c r="Q22" s="16"/>
      <c r="AB22" s="16" t="b">
        <f>(C22=$A$13)</f>
        <v>1</v>
      </c>
      <c r="AC22" s="16">
        <f t="shared" ref="AC22:AC31" si="4">DATEVALUE(D22)</f>
        <v>45646</v>
      </c>
      <c r="AD22" s="16">
        <f t="shared" ref="AD22:AD31" si="5">TIMEVALUE(E22)</f>
        <v>0.41666666666666669</v>
      </c>
      <c r="AE22" s="52" t="b">
        <f>ISNUMBER(AC22)</f>
        <v>1</v>
      </c>
      <c r="AF22" s="52" t="b">
        <f>ISNUMBER(AD22)</f>
        <v>1</v>
      </c>
      <c r="AG22" s="52" t="b">
        <f t="shared" ref="AG22:AG31" si="6">IF(AB22,IF(AND(ISNUMBER(F22),F22&gt;20,F22&lt;120),TRUE,FALSE),TRUE)</f>
        <v>1</v>
      </c>
      <c r="AH22" s="52" t="b">
        <f>ISNUMBER(G22)</f>
        <v>1</v>
      </c>
      <c r="AI22" s="52" t="b">
        <f t="shared" ref="AI22:AI31" ca="1" si="7">IF(AE22, IF(AND(AC22&gt;$AI$7,AC22&lt;$AI$7+365),TRUE,FALSE),FALSE)</f>
        <v>1</v>
      </c>
      <c r="AJ22" s="52" t="b">
        <f t="shared" ref="AJ22:AJ31" si="8">IF(AF22,IF(AND(AD22&gt;=0,AD22&lt;=1),TRUE,FALSE),FALSE)</f>
        <v>1</v>
      </c>
      <c r="AK22" s="52" t="b">
        <f t="shared" ref="AK22:AK31" si="9">IF(AH22,IF(G22&gt;0,TRUE,FALSE),FALSE)</f>
        <v>1</v>
      </c>
      <c r="AL22" s="16">
        <f ca="1">IF(AND(AJ22,AI22),1,0)</f>
        <v>1</v>
      </c>
      <c r="AM22" s="52" t="b">
        <f ca="1">AND(AK22,AJ22,AI22,AG22,(AL22&gt;0.8),(AL22&lt;1.2))</f>
        <v>1</v>
      </c>
      <c r="AN22" s="16">
        <f ca="1">IF(AM22,IF(AND(AM22,AB22),F22,F23),-1)</f>
        <v>90</v>
      </c>
      <c r="AO22" s="16" t="b">
        <f ca="1">AND(AM22,AN22&gt;70)</f>
        <v>1</v>
      </c>
      <c r="AQ22" s="16">
        <f t="shared" ref="AQ22:AQ31" ca="1" si="10">IF(AND($AM22,$AO22,$AB22),$AG$10,0)</f>
        <v>0</v>
      </c>
      <c r="AR22" s="16">
        <f t="shared" ref="AR22:AR31" ca="1" si="11">IF(AND($AM22,$AO22,NOT($AB22)),$AI$10,0)</f>
        <v>0</v>
      </c>
      <c r="AS22" s="16">
        <f t="shared" ref="AS22:AS31" ca="1" si="12">IF(AND($AM22,NOT($AO22),$AB22),$AK$10,0)</f>
        <v>0</v>
      </c>
      <c r="AT22" s="16">
        <f t="shared" ref="AT22:AT31" ca="1" si="13">IF(AND($AM22,NOT($AO22),NOT($AB22)),$AM$10,0)</f>
        <v>0</v>
      </c>
      <c r="AU22" s="16">
        <f ca="1">IF(AM22,$AC22+$AD22+SUM(AQ22:AT22),"-")</f>
        <v>45646.416666666664</v>
      </c>
      <c r="AW22" s="16">
        <f t="shared" ref="AW22:AW31" ca="1" si="14">IF(AND($AM22,$AO22,$AB22),$AF$10,0)</f>
        <v>0</v>
      </c>
      <c r="AX22" s="16">
        <f t="shared" ref="AX22:AX31" ca="1" si="15">IF(AND($AM22,$AO22,NOT($AB22)),$AH$10,0)</f>
        <v>0</v>
      </c>
      <c r="AY22" s="16">
        <f t="shared" ref="AY22:AY31" ca="1" si="16">IF(AND($AM22,NOT($AO22),$AB22),$AJ$10,0)</f>
        <v>0</v>
      </c>
      <c r="AZ22" s="16">
        <f t="shared" ref="AZ22:AZ31" ca="1" si="17">IF(AND($AM22,NOT($AO22),NOT($AB22)),$AL$10,0)</f>
        <v>0</v>
      </c>
      <c r="BA22" s="16">
        <f t="shared" ref="BA22:BA31" ca="1" si="18">IF(AM22,G22+SUM(AW22:AZ22),"-")</f>
        <v>9.56</v>
      </c>
    </row>
    <row r="23" spans="2:53" ht="16.5" thickTop="1" thickBot="1" x14ac:dyDescent="0.3">
      <c r="C23" s="78" t="str">
        <f>IF(C22=$A$13,$A$14,$A$13)</f>
        <v>BM</v>
      </c>
      <c r="D23" s="74" t="s">
        <v>269</v>
      </c>
      <c r="E23" s="75" t="s">
        <v>199</v>
      </c>
      <c r="F23" s="76"/>
      <c r="G23" s="76">
        <v>5</v>
      </c>
      <c r="H23" s="73" t="str">
        <f t="shared" ref="H23:H31" ca="1" si="19">IF(AM23,"Y","N")</f>
        <v>Y</v>
      </c>
      <c r="I23" s="69" t="str">
        <f t="shared" ref="I23:I31" ca="1" si="20">IF(AO23,"Y","N")</f>
        <v>Y</v>
      </c>
      <c r="J23" s="70">
        <f t="shared" ref="J23:J31" ca="1" si="21">AU23</f>
        <v>45646.675000000003</v>
      </c>
      <c r="K23" s="71">
        <f t="shared" ref="K23:K31" ca="1" si="22">BA23</f>
        <v>5</v>
      </c>
      <c r="P23" s="16"/>
      <c r="Q23" s="16"/>
      <c r="AB23" s="16" t="b">
        <f t="shared" ref="AB23:AB31" si="23">(C23=$A$13)</f>
        <v>0</v>
      </c>
      <c r="AC23" s="16">
        <f t="shared" si="4"/>
        <v>45646</v>
      </c>
      <c r="AD23" s="16">
        <f t="shared" si="5"/>
        <v>0.67499999999999993</v>
      </c>
      <c r="AE23" s="52" t="b">
        <f t="shared" ref="AE23:AF31" si="24">ISNUMBER(AC23)</f>
        <v>1</v>
      </c>
      <c r="AF23" s="52" t="b">
        <f t="shared" si="24"/>
        <v>1</v>
      </c>
      <c r="AG23" s="52" t="b">
        <f t="shared" si="6"/>
        <v>1</v>
      </c>
      <c r="AH23" s="52" t="b">
        <f t="shared" ref="AH23:AH31" si="25">ISNUMBER(G23)</f>
        <v>1</v>
      </c>
      <c r="AI23" s="52" t="b">
        <f t="shared" ca="1" si="7"/>
        <v>1</v>
      </c>
      <c r="AJ23" s="52" t="b">
        <f t="shared" si="8"/>
        <v>1</v>
      </c>
      <c r="AK23" s="52" t="b">
        <f t="shared" si="9"/>
        <v>1</v>
      </c>
      <c r="AL23" s="16">
        <f ca="1">IF(AND(AI23,AJ23),((AC23+AD23)-(AC22+AD22))*24/6,0)</f>
        <v>1.0333333333546761</v>
      </c>
      <c r="AM23" s="52" t="b">
        <f ca="1">AND(AK23,AJ23,AI23,AG23,(AL23&gt;0.6),(AL23&lt;1.4))</f>
        <v>1</v>
      </c>
      <c r="AN23" s="16">
        <f t="shared" ref="AN23:AN31" ca="1" si="26">IF(AM23,IF(AND(AM23,AB23),F23,AN22),-1)</f>
        <v>90</v>
      </c>
      <c r="AO23" s="16" t="b">
        <f t="shared" ref="AO23:AO31" ca="1" si="27">AND(AM23,AN23&gt;70)</f>
        <v>1</v>
      </c>
      <c r="AQ23" s="16">
        <f t="shared" ca="1" si="10"/>
        <v>0</v>
      </c>
      <c r="AR23" s="16">
        <f t="shared" ca="1" si="11"/>
        <v>0</v>
      </c>
      <c r="AS23" s="16">
        <f t="shared" ca="1" si="12"/>
        <v>0</v>
      </c>
      <c r="AT23" s="16">
        <f t="shared" ca="1" si="13"/>
        <v>0</v>
      </c>
      <c r="AU23" s="16">
        <f t="shared" ref="AU23:AU31" ca="1" si="28">IF(AM23,$AC23+$AD23+SUM(AQ23:AT23),"-")</f>
        <v>45646.675000000003</v>
      </c>
      <c r="AW23" s="16">
        <f t="shared" ca="1" si="14"/>
        <v>0</v>
      </c>
      <c r="AX23" s="16">
        <f t="shared" ca="1" si="15"/>
        <v>0</v>
      </c>
      <c r="AY23" s="16">
        <f t="shared" ca="1" si="16"/>
        <v>0</v>
      </c>
      <c r="AZ23" s="16">
        <f t="shared" ca="1" si="17"/>
        <v>0</v>
      </c>
      <c r="BA23" s="16">
        <f t="shared" ca="1" si="18"/>
        <v>5</v>
      </c>
    </row>
    <row r="24" spans="2:53" ht="16.5" thickTop="1" thickBot="1" x14ac:dyDescent="0.3">
      <c r="C24" s="78" t="str">
        <f t="shared" ref="C24:C31" si="29">IF(C23=$A$13,$A$14,$A$13)</f>
        <v>PM</v>
      </c>
      <c r="D24" s="74" t="s">
        <v>270</v>
      </c>
      <c r="E24" s="77" t="s">
        <v>281</v>
      </c>
      <c r="F24" s="76">
        <v>50</v>
      </c>
      <c r="G24" s="76">
        <v>10.199999999999999</v>
      </c>
      <c r="H24" s="73" t="str">
        <f t="shared" ca="1" si="19"/>
        <v>Y</v>
      </c>
      <c r="I24" s="69" t="str">
        <f t="shared" ca="1" si="20"/>
        <v>N</v>
      </c>
      <c r="J24" s="70">
        <f t="shared" ca="1" si="21"/>
        <v>45647.008333333331</v>
      </c>
      <c r="K24" s="71">
        <f t="shared" ca="1" si="22"/>
        <v>10.199999999999999</v>
      </c>
      <c r="P24" s="16"/>
      <c r="Q24" s="16"/>
      <c r="AB24" s="16" t="b">
        <f t="shared" si="23"/>
        <v>1</v>
      </c>
      <c r="AC24" s="16">
        <f t="shared" si="4"/>
        <v>45647</v>
      </c>
      <c r="AD24" s="16">
        <f t="shared" si="5"/>
        <v>8.3333333333333332E-3</v>
      </c>
      <c r="AE24" s="52" t="b">
        <f t="shared" si="24"/>
        <v>1</v>
      </c>
      <c r="AF24" s="52" t="b">
        <f t="shared" si="24"/>
        <v>1</v>
      </c>
      <c r="AG24" s="52" t="b">
        <f t="shared" si="6"/>
        <v>1</v>
      </c>
      <c r="AH24" s="52" t="b">
        <f t="shared" si="25"/>
        <v>1</v>
      </c>
      <c r="AI24" s="52" t="b">
        <f t="shared" ca="1" si="7"/>
        <v>1</v>
      </c>
      <c r="AJ24" s="52" t="b">
        <f t="shared" si="8"/>
        <v>1</v>
      </c>
      <c r="AK24" s="52" t="b">
        <f t="shared" si="9"/>
        <v>1</v>
      </c>
      <c r="AL24" s="16">
        <f t="shared" ref="AL24:AL31" ca="1" si="30">IF(AND(AI24,AJ24),((AC24+AD24)-(AC23+AD23))*24/6,0)</f>
        <v>1.3333333333139308</v>
      </c>
      <c r="AM24" s="52" t="b">
        <f t="shared" ref="AM24:AM31" ca="1" si="31">AND(AK24,AJ24,AI24,AG24,(AL24&gt;0.6),(AL24&lt;1.4))</f>
        <v>1</v>
      </c>
      <c r="AN24" s="16">
        <f t="shared" ca="1" si="26"/>
        <v>50</v>
      </c>
      <c r="AO24" s="16" t="b">
        <f t="shared" ca="1" si="27"/>
        <v>0</v>
      </c>
      <c r="AQ24" s="16">
        <f t="shared" ca="1" si="10"/>
        <v>0</v>
      </c>
      <c r="AR24" s="16">
        <f t="shared" ca="1" si="11"/>
        <v>0</v>
      </c>
      <c r="AS24" s="16">
        <f t="shared" ca="1" si="12"/>
        <v>0</v>
      </c>
      <c r="AT24" s="16">
        <f t="shared" ca="1" si="13"/>
        <v>0</v>
      </c>
      <c r="AU24" s="16">
        <f t="shared" ca="1" si="28"/>
        <v>45647.008333333331</v>
      </c>
      <c r="AW24" s="16">
        <f t="shared" ca="1" si="14"/>
        <v>0</v>
      </c>
      <c r="AX24" s="16">
        <f t="shared" ca="1" si="15"/>
        <v>0</v>
      </c>
      <c r="AY24" s="16">
        <f t="shared" ca="1" si="16"/>
        <v>0</v>
      </c>
      <c r="AZ24" s="16">
        <f t="shared" ca="1" si="17"/>
        <v>0</v>
      </c>
      <c r="BA24" s="16">
        <f t="shared" ca="1" si="18"/>
        <v>10.199999999999999</v>
      </c>
    </row>
    <row r="25" spans="2:53" ht="16.5" thickTop="1" thickBot="1" x14ac:dyDescent="0.3">
      <c r="C25" s="78" t="str">
        <f t="shared" si="29"/>
        <v>BM</v>
      </c>
      <c r="D25" s="74" t="s">
        <v>270</v>
      </c>
      <c r="E25" s="77" t="s">
        <v>282</v>
      </c>
      <c r="F25" s="76"/>
      <c r="G25" s="76">
        <v>4.75</v>
      </c>
      <c r="H25" s="73" t="str">
        <f t="shared" ca="1" si="19"/>
        <v>Y</v>
      </c>
      <c r="I25" s="69" t="str">
        <f t="shared" ca="1" si="20"/>
        <v>N</v>
      </c>
      <c r="J25" s="70">
        <f t="shared" ca="1" si="21"/>
        <v>45647.258333333331</v>
      </c>
      <c r="K25" s="71">
        <f t="shared" ca="1" si="22"/>
        <v>4.75</v>
      </c>
      <c r="P25" s="16"/>
      <c r="Q25" s="16"/>
      <c r="AB25" s="16" t="b">
        <f t="shared" si="23"/>
        <v>0</v>
      </c>
      <c r="AC25" s="16">
        <f t="shared" si="4"/>
        <v>45647</v>
      </c>
      <c r="AD25" s="16">
        <f t="shared" si="5"/>
        <v>0.25833333333333336</v>
      </c>
      <c r="AE25" s="52" t="b">
        <f t="shared" si="24"/>
        <v>1</v>
      </c>
      <c r="AF25" s="52" t="b">
        <f t="shared" si="24"/>
        <v>1</v>
      </c>
      <c r="AG25" s="52" t="b">
        <f t="shared" si="6"/>
        <v>1</v>
      </c>
      <c r="AH25" s="52" t="b">
        <f t="shared" si="25"/>
        <v>1</v>
      </c>
      <c r="AI25" s="52" t="b">
        <f t="shared" ca="1" si="7"/>
        <v>1</v>
      </c>
      <c r="AJ25" s="52" t="b">
        <f t="shared" si="8"/>
        <v>1</v>
      </c>
      <c r="AK25" s="52" t="b">
        <f t="shared" si="9"/>
        <v>1</v>
      </c>
      <c r="AL25" s="16">
        <f t="shared" ca="1" si="30"/>
        <v>1</v>
      </c>
      <c r="AM25" s="52" t="b">
        <f t="shared" ca="1" si="31"/>
        <v>1</v>
      </c>
      <c r="AN25" s="16">
        <f t="shared" ca="1" si="26"/>
        <v>50</v>
      </c>
      <c r="AO25" s="16" t="b">
        <f t="shared" ca="1" si="27"/>
        <v>0</v>
      </c>
      <c r="AQ25" s="16">
        <f t="shared" ca="1" si="10"/>
        <v>0</v>
      </c>
      <c r="AR25" s="16">
        <f t="shared" ca="1" si="11"/>
        <v>0</v>
      </c>
      <c r="AS25" s="16">
        <f t="shared" ca="1" si="12"/>
        <v>0</v>
      </c>
      <c r="AT25" s="16">
        <f t="shared" ca="1" si="13"/>
        <v>0</v>
      </c>
      <c r="AU25" s="16">
        <f t="shared" ca="1" si="28"/>
        <v>45647.258333333331</v>
      </c>
      <c r="AW25" s="16">
        <f t="shared" ca="1" si="14"/>
        <v>0</v>
      </c>
      <c r="AX25" s="16">
        <f t="shared" ca="1" si="15"/>
        <v>0</v>
      </c>
      <c r="AY25" s="16">
        <f t="shared" ca="1" si="16"/>
        <v>0</v>
      </c>
      <c r="AZ25" s="16">
        <f t="shared" ca="1" si="17"/>
        <v>0</v>
      </c>
      <c r="BA25" s="16">
        <f t="shared" ca="1" si="18"/>
        <v>4.75</v>
      </c>
    </row>
    <row r="26" spans="2:53" ht="16.5" thickTop="1" thickBot="1" x14ac:dyDescent="0.3">
      <c r="C26" s="78" t="str">
        <f t="shared" si="29"/>
        <v>PM</v>
      </c>
      <c r="D26" s="74" t="str">
        <f>D25</f>
        <v>2024/12/21</v>
      </c>
      <c r="E26" s="77" t="s">
        <v>313</v>
      </c>
      <c r="F26" s="76">
        <v>80</v>
      </c>
      <c r="G26" s="76">
        <v>9.7200000000000006</v>
      </c>
      <c r="H26" s="73" t="str">
        <f t="shared" ca="1" si="19"/>
        <v>Y</v>
      </c>
      <c r="I26" s="69" t="str">
        <f t="shared" ca="1" si="20"/>
        <v>Y</v>
      </c>
      <c r="J26" s="70">
        <f t="shared" ca="1" si="21"/>
        <v>45647.51666666667</v>
      </c>
      <c r="K26" s="71">
        <f t="shared" ca="1" si="22"/>
        <v>9.7200000000000006</v>
      </c>
      <c r="P26" s="16"/>
      <c r="Q26" s="16"/>
      <c r="AB26" s="16" t="b">
        <f t="shared" si="23"/>
        <v>1</v>
      </c>
      <c r="AC26" s="16">
        <f t="shared" si="4"/>
        <v>45647</v>
      </c>
      <c r="AD26" s="16">
        <f t="shared" si="5"/>
        <v>0.51666666666666672</v>
      </c>
      <c r="AE26" s="52" t="b">
        <f t="shared" si="24"/>
        <v>1</v>
      </c>
      <c r="AF26" s="52" t="b">
        <f t="shared" si="24"/>
        <v>1</v>
      </c>
      <c r="AG26" s="52" t="b">
        <f t="shared" si="6"/>
        <v>1</v>
      </c>
      <c r="AH26" s="52" t="b">
        <f t="shared" si="25"/>
        <v>1</v>
      </c>
      <c r="AI26" s="52" t="b">
        <f t="shared" ca="1" si="7"/>
        <v>1</v>
      </c>
      <c r="AJ26" s="52" t="b">
        <f t="shared" si="8"/>
        <v>1</v>
      </c>
      <c r="AK26" s="52" t="b">
        <f t="shared" si="9"/>
        <v>1</v>
      </c>
      <c r="AL26" s="16">
        <f t="shared" ca="1" si="30"/>
        <v>1.0333333333546761</v>
      </c>
      <c r="AM26" s="52" t="b">
        <f t="shared" ca="1" si="31"/>
        <v>1</v>
      </c>
      <c r="AN26" s="16">
        <f t="shared" ca="1" si="26"/>
        <v>80</v>
      </c>
      <c r="AO26" s="16" t="b">
        <f t="shared" ca="1" si="27"/>
        <v>1</v>
      </c>
      <c r="AQ26" s="16">
        <f t="shared" ca="1" si="10"/>
        <v>0</v>
      </c>
      <c r="AR26" s="16">
        <f t="shared" ca="1" si="11"/>
        <v>0</v>
      </c>
      <c r="AS26" s="16">
        <f t="shared" ca="1" si="12"/>
        <v>0</v>
      </c>
      <c r="AT26" s="16">
        <f t="shared" ca="1" si="13"/>
        <v>0</v>
      </c>
      <c r="AU26" s="16">
        <f t="shared" ca="1" si="28"/>
        <v>45647.51666666667</v>
      </c>
      <c r="AW26" s="16">
        <f t="shared" ca="1" si="14"/>
        <v>0</v>
      </c>
      <c r="AX26" s="16">
        <f t="shared" ca="1" si="15"/>
        <v>0</v>
      </c>
      <c r="AY26" s="16">
        <f t="shared" ca="1" si="16"/>
        <v>0</v>
      </c>
      <c r="AZ26" s="16">
        <f t="shared" ca="1" si="17"/>
        <v>0</v>
      </c>
      <c r="BA26" s="16">
        <f t="shared" ca="1" si="18"/>
        <v>9.7200000000000006</v>
      </c>
    </row>
    <row r="27" spans="2:53" ht="16.5" thickTop="1" thickBot="1" x14ac:dyDescent="0.3">
      <c r="C27" s="78" t="str">
        <f t="shared" si="29"/>
        <v>BM</v>
      </c>
      <c r="D27" s="74"/>
      <c r="E27" s="77"/>
      <c r="F27" s="76"/>
      <c r="G27" s="76"/>
      <c r="H27" s="73" t="str">
        <f t="shared" si="19"/>
        <v>N</v>
      </c>
      <c r="I27" s="69" t="str">
        <f t="shared" si="20"/>
        <v>N</v>
      </c>
      <c r="J27" s="70" t="str">
        <f t="shared" si="21"/>
        <v>-</v>
      </c>
      <c r="K27" s="71" t="str">
        <f t="shared" si="22"/>
        <v>-</v>
      </c>
      <c r="P27" s="16"/>
      <c r="Q27" s="16"/>
      <c r="AB27" s="16" t="b">
        <f t="shared" si="23"/>
        <v>0</v>
      </c>
      <c r="AC27" s="16" t="e">
        <f t="shared" si="4"/>
        <v>#VALUE!</v>
      </c>
      <c r="AD27" s="16" t="e">
        <f t="shared" si="5"/>
        <v>#VALUE!</v>
      </c>
      <c r="AE27" s="52" t="b">
        <f t="shared" si="24"/>
        <v>0</v>
      </c>
      <c r="AF27" s="52" t="b">
        <f t="shared" si="24"/>
        <v>0</v>
      </c>
      <c r="AG27" s="52" t="b">
        <f t="shared" si="6"/>
        <v>1</v>
      </c>
      <c r="AH27" s="52" t="b">
        <f t="shared" si="25"/>
        <v>0</v>
      </c>
      <c r="AI27" s="52" t="b">
        <f t="shared" si="7"/>
        <v>0</v>
      </c>
      <c r="AJ27" s="52" t="b">
        <f t="shared" si="8"/>
        <v>0</v>
      </c>
      <c r="AK27" s="52" t="b">
        <f t="shared" si="9"/>
        <v>0</v>
      </c>
      <c r="AL27" s="16">
        <f t="shared" si="30"/>
        <v>0</v>
      </c>
      <c r="AM27" s="52" t="b">
        <f t="shared" si="31"/>
        <v>0</v>
      </c>
      <c r="AN27" s="16">
        <f t="shared" si="26"/>
        <v>-1</v>
      </c>
      <c r="AO27" s="16" t="b">
        <f t="shared" si="27"/>
        <v>0</v>
      </c>
      <c r="AQ27" s="16">
        <f t="shared" si="10"/>
        <v>0</v>
      </c>
      <c r="AR27" s="16">
        <f t="shared" si="11"/>
        <v>0</v>
      </c>
      <c r="AS27" s="16">
        <f t="shared" si="12"/>
        <v>0</v>
      </c>
      <c r="AT27" s="16">
        <f t="shared" si="13"/>
        <v>0</v>
      </c>
      <c r="AU27" s="16" t="str">
        <f t="shared" si="28"/>
        <v>-</v>
      </c>
      <c r="AW27" s="16">
        <f t="shared" si="14"/>
        <v>0</v>
      </c>
      <c r="AX27" s="16">
        <f t="shared" si="15"/>
        <v>0</v>
      </c>
      <c r="AY27" s="16">
        <f t="shared" si="16"/>
        <v>0</v>
      </c>
      <c r="AZ27" s="16">
        <f t="shared" si="17"/>
        <v>0</v>
      </c>
      <c r="BA27" s="16" t="str">
        <f t="shared" si="18"/>
        <v>-</v>
      </c>
    </row>
    <row r="28" spans="2:53" ht="16.5" thickTop="1" thickBot="1" x14ac:dyDescent="0.3">
      <c r="C28" s="78" t="str">
        <f t="shared" si="29"/>
        <v>PM</v>
      </c>
      <c r="D28" s="75"/>
      <c r="E28" s="77"/>
      <c r="F28" s="76"/>
      <c r="G28" s="76"/>
      <c r="H28" s="73" t="str">
        <f t="shared" si="19"/>
        <v>N</v>
      </c>
      <c r="I28" s="69" t="str">
        <f t="shared" si="20"/>
        <v>N</v>
      </c>
      <c r="J28" s="70" t="str">
        <f t="shared" si="21"/>
        <v>-</v>
      </c>
      <c r="K28" s="71" t="str">
        <f t="shared" si="22"/>
        <v>-</v>
      </c>
      <c r="P28"/>
      <c r="Q28"/>
      <c r="AB28" s="16" t="b">
        <f t="shared" si="23"/>
        <v>1</v>
      </c>
      <c r="AC28" s="16" t="e">
        <f t="shared" si="4"/>
        <v>#VALUE!</v>
      </c>
      <c r="AD28" s="16" t="e">
        <f t="shared" si="5"/>
        <v>#VALUE!</v>
      </c>
      <c r="AE28" s="52" t="b">
        <f t="shared" si="24"/>
        <v>0</v>
      </c>
      <c r="AF28" s="52" t="b">
        <f t="shared" si="24"/>
        <v>0</v>
      </c>
      <c r="AG28" s="52" t="b">
        <f t="shared" si="6"/>
        <v>0</v>
      </c>
      <c r="AH28" s="52" t="b">
        <f t="shared" si="25"/>
        <v>0</v>
      </c>
      <c r="AI28" s="52" t="b">
        <f t="shared" si="7"/>
        <v>0</v>
      </c>
      <c r="AJ28" s="52" t="b">
        <f t="shared" si="8"/>
        <v>0</v>
      </c>
      <c r="AK28" s="52" t="b">
        <f t="shared" si="9"/>
        <v>0</v>
      </c>
      <c r="AL28" s="16">
        <f t="shared" si="30"/>
        <v>0</v>
      </c>
      <c r="AM28" s="52" t="b">
        <f t="shared" si="31"/>
        <v>0</v>
      </c>
      <c r="AN28" s="16">
        <f t="shared" si="26"/>
        <v>-1</v>
      </c>
      <c r="AO28" s="16" t="b">
        <f t="shared" si="27"/>
        <v>0</v>
      </c>
      <c r="AQ28" s="16">
        <f t="shared" si="10"/>
        <v>0</v>
      </c>
      <c r="AR28" s="16">
        <f t="shared" si="11"/>
        <v>0</v>
      </c>
      <c r="AS28" s="16">
        <f t="shared" si="12"/>
        <v>0</v>
      </c>
      <c r="AT28" s="16">
        <f t="shared" si="13"/>
        <v>0</v>
      </c>
      <c r="AU28" s="16" t="str">
        <f t="shared" si="28"/>
        <v>-</v>
      </c>
      <c r="AW28" s="16">
        <f t="shared" si="14"/>
        <v>0</v>
      </c>
      <c r="AX28" s="16">
        <f t="shared" si="15"/>
        <v>0</v>
      </c>
      <c r="AY28" s="16">
        <f t="shared" si="16"/>
        <v>0</v>
      </c>
      <c r="AZ28" s="16">
        <f t="shared" si="17"/>
        <v>0</v>
      </c>
      <c r="BA28" s="16" t="str">
        <f t="shared" si="18"/>
        <v>-</v>
      </c>
    </row>
    <row r="29" spans="2:53" ht="16.5" thickTop="1" thickBot="1" x14ac:dyDescent="0.3">
      <c r="C29" s="78" t="str">
        <f t="shared" si="29"/>
        <v>BM</v>
      </c>
      <c r="D29" s="75"/>
      <c r="E29" s="77"/>
      <c r="F29" s="76"/>
      <c r="G29" s="76"/>
      <c r="H29" s="73" t="str">
        <f t="shared" si="19"/>
        <v>N</v>
      </c>
      <c r="I29" s="69" t="str">
        <f t="shared" si="20"/>
        <v>N</v>
      </c>
      <c r="J29" s="70" t="str">
        <f t="shared" si="21"/>
        <v>-</v>
      </c>
      <c r="K29" s="71" t="str">
        <f t="shared" si="22"/>
        <v>-</v>
      </c>
      <c r="P29"/>
      <c r="Q29"/>
      <c r="AB29" s="16" t="b">
        <f t="shared" si="23"/>
        <v>0</v>
      </c>
      <c r="AC29" s="16" t="e">
        <f t="shared" si="4"/>
        <v>#VALUE!</v>
      </c>
      <c r="AD29" s="16" t="e">
        <f t="shared" si="5"/>
        <v>#VALUE!</v>
      </c>
      <c r="AE29" s="52" t="b">
        <f t="shared" si="24"/>
        <v>0</v>
      </c>
      <c r="AF29" s="52" t="b">
        <f t="shared" si="24"/>
        <v>0</v>
      </c>
      <c r="AG29" s="52" t="b">
        <f t="shared" si="6"/>
        <v>1</v>
      </c>
      <c r="AH29" s="52" t="b">
        <f t="shared" si="25"/>
        <v>0</v>
      </c>
      <c r="AI29" s="52" t="b">
        <f t="shared" si="7"/>
        <v>0</v>
      </c>
      <c r="AJ29" s="52" t="b">
        <f t="shared" si="8"/>
        <v>0</v>
      </c>
      <c r="AK29" s="52" t="b">
        <f t="shared" si="9"/>
        <v>0</v>
      </c>
      <c r="AL29" s="16">
        <f t="shared" si="30"/>
        <v>0</v>
      </c>
      <c r="AM29" s="52" t="b">
        <f t="shared" si="31"/>
        <v>0</v>
      </c>
      <c r="AN29" s="16">
        <f t="shared" si="26"/>
        <v>-1</v>
      </c>
      <c r="AO29" s="16" t="b">
        <f t="shared" si="27"/>
        <v>0</v>
      </c>
      <c r="AQ29" s="16">
        <f t="shared" si="10"/>
        <v>0</v>
      </c>
      <c r="AR29" s="16">
        <f t="shared" si="11"/>
        <v>0</v>
      </c>
      <c r="AS29" s="16">
        <f t="shared" si="12"/>
        <v>0</v>
      </c>
      <c r="AT29" s="16">
        <f t="shared" si="13"/>
        <v>0</v>
      </c>
      <c r="AU29" s="16" t="str">
        <f t="shared" si="28"/>
        <v>-</v>
      </c>
      <c r="AW29" s="16">
        <f t="shared" si="14"/>
        <v>0</v>
      </c>
      <c r="AX29" s="16">
        <f t="shared" si="15"/>
        <v>0</v>
      </c>
      <c r="AY29" s="16">
        <f t="shared" si="16"/>
        <v>0</v>
      </c>
      <c r="AZ29" s="16">
        <f t="shared" si="17"/>
        <v>0</v>
      </c>
      <c r="BA29" s="16" t="str">
        <f t="shared" si="18"/>
        <v>-</v>
      </c>
    </row>
    <row r="30" spans="2:53" ht="16.5" thickTop="1" thickBot="1" x14ac:dyDescent="0.3">
      <c r="C30" s="78" t="str">
        <f t="shared" si="29"/>
        <v>PM</v>
      </c>
      <c r="D30" s="75"/>
      <c r="E30" s="77"/>
      <c r="F30" s="76"/>
      <c r="G30" s="76"/>
      <c r="H30" s="73" t="str">
        <f t="shared" si="19"/>
        <v>N</v>
      </c>
      <c r="I30" s="69" t="str">
        <f t="shared" si="20"/>
        <v>N</v>
      </c>
      <c r="J30" s="70" t="str">
        <f t="shared" si="21"/>
        <v>-</v>
      </c>
      <c r="K30" s="71" t="str">
        <f t="shared" si="22"/>
        <v>-</v>
      </c>
      <c r="P30"/>
      <c r="Q30"/>
      <c r="AB30" s="16" t="b">
        <f t="shared" si="23"/>
        <v>1</v>
      </c>
      <c r="AC30" s="16" t="e">
        <f t="shared" si="4"/>
        <v>#VALUE!</v>
      </c>
      <c r="AD30" s="16" t="e">
        <f t="shared" si="5"/>
        <v>#VALUE!</v>
      </c>
      <c r="AE30" s="52" t="b">
        <f t="shared" si="24"/>
        <v>0</v>
      </c>
      <c r="AF30" s="52" t="b">
        <f t="shared" si="24"/>
        <v>0</v>
      </c>
      <c r="AG30" s="52" t="b">
        <f t="shared" si="6"/>
        <v>0</v>
      </c>
      <c r="AH30" s="52" t="b">
        <f t="shared" si="25"/>
        <v>0</v>
      </c>
      <c r="AI30" s="52" t="b">
        <f t="shared" si="7"/>
        <v>0</v>
      </c>
      <c r="AJ30" s="52" t="b">
        <f t="shared" si="8"/>
        <v>0</v>
      </c>
      <c r="AK30" s="52" t="b">
        <f t="shared" si="9"/>
        <v>0</v>
      </c>
      <c r="AL30" s="16">
        <f t="shared" si="30"/>
        <v>0</v>
      </c>
      <c r="AM30" s="52" t="b">
        <f t="shared" si="31"/>
        <v>0</v>
      </c>
      <c r="AN30" s="16">
        <f t="shared" si="26"/>
        <v>-1</v>
      </c>
      <c r="AO30" s="16" t="b">
        <f t="shared" si="27"/>
        <v>0</v>
      </c>
      <c r="AQ30" s="16">
        <f t="shared" si="10"/>
        <v>0</v>
      </c>
      <c r="AR30" s="16">
        <f t="shared" si="11"/>
        <v>0</v>
      </c>
      <c r="AS30" s="16">
        <f t="shared" si="12"/>
        <v>0</v>
      </c>
      <c r="AT30" s="16">
        <f t="shared" si="13"/>
        <v>0</v>
      </c>
      <c r="AU30" s="16" t="str">
        <f t="shared" si="28"/>
        <v>-</v>
      </c>
      <c r="AW30" s="16">
        <f t="shared" si="14"/>
        <v>0</v>
      </c>
      <c r="AX30" s="16">
        <f t="shared" si="15"/>
        <v>0</v>
      </c>
      <c r="AY30" s="16">
        <f t="shared" si="16"/>
        <v>0</v>
      </c>
      <c r="AZ30" s="16">
        <f t="shared" si="17"/>
        <v>0</v>
      </c>
      <c r="BA30" s="16" t="str">
        <f t="shared" si="18"/>
        <v>-</v>
      </c>
    </row>
    <row r="31" spans="2:53" ht="17.25" thickTop="1" thickBot="1" x14ac:dyDescent="0.3">
      <c r="B31" s="72" t="s">
        <v>256</v>
      </c>
      <c r="C31" s="78" t="str">
        <f t="shared" si="29"/>
        <v>BM</v>
      </c>
      <c r="D31" s="75"/>
      <c r="E31" s="77"/>
      <c r="F31" s="76"/>
      <c r="G31" s="76"/>
      <c r="H31" s="73" t="str">
        <f t="shared" si="19"/>
        <v>N</v>
      </c>
      <c r="I31" s="69" t="str">
        <f t="shared" si="20"/>
        <v>N</v>
      </c>
      <c r="J31" s="70" t="str">
        <f t="shared" si="21"/>
        <v>-</v>
      </c>
      <c r="K31" s="71" t="str">
        <f t="shared" si="22"/>
        <v>-</v>
      </c>
      <c r="P31"/>
      <c r="Q31"/>
      <c r="AB31" s="16" t="b">
        <f t="shared" si="23"/>
        <v>0</v>
      </c>
      <c r="AC31" s="16" t="e">
        <f t="shared" si="4"/>
        <v>#VALUE!</v>
      </c>
      <c r="AD31" s="16" t="e">
        <f t="shared" si="5"/>
        <v>#VALUE!</v>
      </c>
      <c r="AE31" s="52" t="b">
        <f t="shared" si="24"/>
        <v>0</v>
      </c>
      <c r="AF31" s="52" t="b">
        <f t="shared" si="24"/>
        <v>0</v>
      </c>
      <c r="AG31" s="52" t="b">
        <f t="shared" si="6"/>
        <v>1</v>
      </c>
      <c r="AH31" s="52" t="b">
        <f t="shared" si="25"/>
        <v>0</v>
      </c>
      <c r="AI31" s="52" t="b">
        <f t="shared" si="7"/>
        <v>0</v>
      </c>
      <c r="AJ31" s="52" t="b">
        <f t="shared" si="8"/>
        <v>0</v>
      </c>
      <c r="AK31" s="52" t="b">
        <f t="shared" si="9"/>
        <v>0</v>
      </c>
      <c r="AL31" s="16">
        <f t="shared" si="30"/>
        <v>0</v>
      </c>
      <c r="AM31" s="52" t="b">
        <f t="shared" si="31"/>
        <v>0</v>
      </c>
      <c r="AN31" s="16">
        <f t="shared" si="26"/>
        <v>-1</v>
      </c>
      <c r="AO31" s="16" t="b">
        <f t="shared" si="27"/>
        <v>0</v>
      </c>
      <c r="AQ31" s="16">
        <f t="shared" si="10"/>
        <v>0</v>
      </c>
      <c r="AR31" s="16">
        <f t="shared" si="11"/>
        <v>0</v>
      </c>
      <c r="AS31" s="16">
        <f t="shared" si="12"/>
        <v>0</v>
      </c>
      <c r="AT31" s="16">
        <f t="shared" si="13"/>
        <v>0</v>
      </c>
      <c r="AU31" s="16" t="str">
        <f t="shared" si="28"/>
        <v>-</v>
      </c>
      <c r="AW31" s="16">
        <f t="shared" si="14"/>
        <v>0</v>
      </c>
      <c r="AX31" s="16">
        <f t="shared" si="15"/>
        <v>0</v>
      </c>
      <c r="AY31" s="16">
        <f t="shared" si="16"/>
        <v>0</v>
      </c>
      <c r="AZ31" s="16">
        <f t="shared" si="17"/>
        <v>0</v>
      </c>
      <c r="BA31" s="16" t="str">
        <f t="shared" si="18"/>
        <v>-</v>
      </c>
    </row>
    <row r="32" spans="2:53" ht="15.75" thickTop="1" x14ac:dyDescent="0.25">
      <c r="P32" s="16"/>
      <c r="Q32" s="16"/>
      <c r="X32"/>
      <c r="Y32" s="1121"/>
      <c r="Z32" s="1121"/>
      <c r="AA32" s="1121"/>
    </row>
    <row r="33" spans="3:83" x14ac:dyDescent="0.25">
      <c r="P33" s="16"/>
      <c r="Q33" s="16"/>
      <c r="X33"/>
      <c r="Y33" s="1121"/>
      <c r="Z33" s="1121"/>
      <c r="AA33" s="1121"/>
    </row>
    <row r="34" spans="3:83" x14ac:dyDescent="0.25">
      <c r="X34"/>
      <c r="Y34" s="1121"/>
      <c r="Z34" s="1121"/>
      <c r="AA34" s="1121"/>
      <c r="AC34" s="51">
        <f ca="1">IF(AM22,J22,AD7)</f>
        <v>45646.416666666664</v>
      </c>
      <c r="AD34" s="16" t="s">
        <v>279</v>
      </c>
      <c r="AE34" s="16" t="s">
        <v>279</v>
      </c>
      <c r="AF34" s="16" t="s">
        <v>279</v>
      </c>
      <c r="AG34" s="16" t="s">
        <v>279</v>
      </c>
      <c r="AH34" s="16" t="s">
        <v>279</v>
      </c>
      <c r="AI34" s="51">
        <f ca="1">IF($AM$23,$J$23,AC34+6/24)</f>
        <v>45646.675000000003</v>
      </c>
      <c r="AJ34" s="16" t="s">
        <v>279</v>
      </c>
      <c r="AK34" s="16" t="s">
        <v>279</v>
      </c>
      <c r="AL34" s="16" t="s">
        <v>279</v>
      </c>
      <c r="AM34" s="16" t="s">
        <v>279</v>
      </c>
      <c r="AN34" s="16" t="s">
        <v>279</v>
      </c>
      <c r="AO34" s="51">
        <f ca="1">IF($AM$24,$J$24,AI34+6/24)</f>
        <v>45647.008333333331</v>
      </c>
      <c r="AP34" s="16" t="s">
        <v>279</v>
      </c>
      <c r="AQ34" s="16" t="s">
        <v>279</v>
      </c>
      <c r="AR34" s="16" t="s">
        <v>279</v>
      </c>
      <c r="AS34" s="16" t="s">
        <v>279</v>
      </c>
      <c r="AT34" s="16" t="s">
        <v>279</v>
      </c>
      <c r="AU34" s="51">
        <f ca="1">IF($AM$25,$J$25,AO34+6/24)</f>
        <v>45647.258333333331</v>
      </c>
      <c r="AV34" s="16" t="s">
        <v>279</v>
      </c>
      <c r="AW34" s="16" t="s">
        <v>279</v>
      </c>
      <c r="AX34" s="16" t="s">
        <v>279</v>
      </c>
      <c r="AY34" s="16" t="s">
        <v>279</v>
      </c>
      <c r="AZ34" s="16" t="s">
        <v>279</v>
      </c>
      <c r="BA34" s="51">
        <f ca="1">IF($AM$26,$J$26,AU34+6/24)</f>
        <v>45647.51666666667</v>
      </c>
      <c r="BB34" s="16" t="s">
        <v>279</v>
      </c>
      <c r="BC34" s="16" t="s">
        <v>279</v>
      </c>
      <c r="BD34" s="16" t="s">
        <v>279</v>
      </c>
      <c r="BE34" s="16" t="s">
        <v>279</v>
      </c>
      <c r="BF34" s="16" t="s">
        <v>279</v>
      </c>
      <c r="BG34" s="51">
        <f ca="1">IF($AM$27,$J$27,BA34+6/24)</f>
        <v>45647.76666666667</v>
      </c>
      <c r="BH34" s="16" t="s">
        <v>279</v>
      </c>
      <c r="BI34" s="16" t="s">
        <v>279</v>
      </c>
      <c r="BJ34" s="16" t="s">
        <v>279</v>
      </c>
      <c r="BK34" s="16" t="s">
        <v>279</v>
      </c>
      <c r="BL34" s="16" t="s">
        <v>279</v>
      </c>
      <c r="BM34" s="51">
        <f ca="1">IF($AM$28,$J$28,BG34+6/24)</f>
        <v>45648.01666666667</v>
      </c>
      <c r="BN34" s="16" t="s">
        <v>279</v>
      </c>
      <c r="BO34" s="16" t="s">
        <v>279</v>
      </c>
      <c r="BP34" s="16" t="s">
        <v>279</v>
      </c>
      <c r="BQ34" s="16" t="s">
        <v>279</v>
      </c>
      <c r="BR34" s="16" t="s">
        <v>279</v>
      </c>
      <c r="BS34" s="51">
        <f ca="1">IF($AM$29,$J$29,BM34+6/24)</f>
        <v>45648.26666666667</v>
      </c>
      <c r="BT34" s="16" t="s">
        <v>279</v>
      </c>
      <c r="BU34" s="16" t="s">
        <v>279</v>
      </c>
      <c r="BV34" s="16" t="s">
        <v>279</v>
      </c>
      <c r="BW34" s="16" t="s">
        <v>279</v>
      </c>
      <c r="BX34" s="16" t="s">
        <v>279</v>
      </c>
      <c r="BY34" s="51">
        <f ca="1">IF($AM$30,$J$30,BS34+6/24)</f>
        <v>45648.51666666667</v>
      </c>
      <c r="BZ34" s="16" t="s">
        <v>279</v>
      </c>
      <c r="CA34" s="16" t="s">
        <v>279</v>
      </c>
      <c r="CB34" s="16" t="s">
        <v>279</v>
      </c>
      <c r="CC34" s="16" t="s">
        <v>279</v>
      </c>
      <c r="CD34" s="16" t="s">
        <v>279</v>
      </c>
      <c r="CE34" s="51">
        <f ca="1">IF($AM$31,$J$31,BY34+6/24)</f>
        <v>45648.76666666667</v>
      </c>
    </row>
    <row r="35" spans="3:83" ht="18.75" x14ac:dyDescent="0.3">
      <c r="C35" s="1124" t="s">
        <v>300</v>
      </c>
      <c r="D35" s="1125"/>
      <c r="E35" s="1125"/>
      <c r="F35" s="1126"/>
      <c r="AB35" s="16" t="s">
        <v>278</v>
      </c>
      <c r="AC35" s="16">
        <f ca="1">IF(AM22,K22,0)</f>
        <v>9.56</v>
      </c>
      <c r="AD35" s="16">
        <v>1</v>
      </c>
      <c r="AE35" s="16">
        <v>2</v>
      </c>
      <c r="AF35" s="16">
        <v>3</v>
      </c>
      <c r="AG35" s="16">
        <v>4</v>
      </c>
      <c r="AH35" s="16">
        <v>5</v>
      </c>
      <c r="AI35" s="16">
        <f ca="1">IF($AM$23,$K$23,AC35)</f>
        <v>5</v>
      </c>
      <c r="AJ35" s="16">
        <v>1</v>
      </c>
      <c r="AK35" s="16">
        <v>2</v>
      </c>
      <c r="AL35" s="16">
        <v>3</v>
      </c>
      <c r="AM35" s="16">
        <v>4</v>
      </c>
      <c r="AN35" s="16">
        <v>5</v>
      </c>
      <c r="AO35" s="16">
        <f ca="1">IF($AM$24,$K$24,AI35)</f>
        <v>10.199999999999999</v>
      </c>
      <c r="AP35" s="16">
        <v>1</v>
      </c>
      <c r="AQ35" s="16">
        <v>2</v>
      </c>
      <c r="AR35" s="16">
        <v>3</v>
      </c>
      <c r="AS35" s="16">
        <v>4</v>
      </c>
      <c r="AT35" s="16">
        <v>5</v>
      </c>
      <c r="AU35" s="16">
        <f ca="1">IF($AM$25,$K$25,AO35)</f>
        <v>4.75</v>
      </c>
      <c r="AV35" s="16">
        <v>1</v>
      </c>
      <c r="AW35" s="16">
        <v>2</v>
      </c>
      <c r="AX35" s="16">
        <v>3</v>
      </c>
      <c r="AY35" s="16">
        <v>4</v>
      </c>
      <c r="AZ35" s="16">
        <v>5</v>
      </c>
      <c r="BA35" s="16">
        <f ca="1">IF($AM$26,$K$26,AU35)</f>
        <v>9.7200000000000006</v>
      </c>
      <c r="BB35" s="16">
        <v>1</v>
      </c>
      <c r="BC35" s="16">
        <v>2</v>
      </c>
      <c r="BD35" s="16">
        <v>3</v>
      </c>
      <c r="BE35" s="16">
        <v>4</v>
      </c>
      <c r="BF35" s="16">
        <v>5</v>
      </c>
      <c r="BG35" s="16">
        <f ca="1">IF($AM$27,$K$27,BA35)</f>
        <v>9.7200000000000006</v>
      </c>
      <c r="BH35" s="16">
        <v>1</v>
      </c>
      <c r="BI35" s="16">
        <v>2</v>
      </c>
      <c r="BJ35" s="16">
        <v>3</v>
      </c>
      <c r="BK35" s="16">
        <v>4</v>
      </c>
      <c r="BL35" s="16">
        <v>5</v>
      </c>
      <c r="BM35" s="16">
        <f ca="1">IF($AM$28,$K$28,BG35)</f>
        <v>9.7200000000000006</v>
      </c>
      <c r="BN35" s="16">
        <v>1</v>
      </c>
      <c r="BO35" s="16">
        <v>2</v>
      </c>
      <c r="BP35" s="16">
        <v>3</v>
      </c>
      <c r="BQ35" s="16">
        <v>4</v>
      </c>
      <c r="BR35" s="16">
        <v>5</v>
      </c>
      <c r="BS35" s="16">
        <f ca="1">IF($AM$29,$K$29,BM35)</f>
        <v>9.7200000000000006</v>
      </c>
      <c r="BT35" s="16">
        <v>1</v>
      </c>
      <c r="BU35" s="16">
        <v>2</v>
      </c>
      <c r="BV35" s="16">
        <v>3</v>
      </c>
      <c r="BW35" s="16">
        <v>4</v>
      </c>
      <c r="BX35" s="16">
        <v>5</v>
      </c>
      <c r="BY35" s="16">
        <f ca="1">IF($AM$30,$K$30,BS35)</f>
        <v>9.7200000000000006</v>
      </c>
      <c r="BZ35" s="16">
        <v>1</v>
      </c>
      <c r="CA35" s="16">
        <v>2</v>
      </c>
      <c r="CB35" s="16">
        <v>3</v>
      </c>
      <c r="CC35" s="16">
        <v>4</v>
      </c>
      <c r="CD35" s="16">
        <v>5</v>
      </c>
      <c r="CE35" s="16">
        <f ca="1">IF($AM$31,$K$31,BY35)</f>
        <v>9.7200000000000006</v>
      </c>
    </row>
    <row r="36" spans="3:83" x14ac:dyDescent="0.25">
      <c r="C36" s="16" t="s">
        <v>289</v>
      </c>
      <c r="D36" s="16">
        <v>5.01</v>
      </c>
      <c r="E36" s="16" t="s">
        <v>200</v>
      </c>
      <c r="AB36" s="16" t="s">
        <v>11</v>
      </c>
      <c r="AC36" s="51">
        <f ca="1">AC34</f>
        <v>45646.416666666664</v>
      </c>
      <c r="AD36" s="51">
        <f ca="1">AC36+(AI34-AC34)/6</f>
        <v>45646.459722222222</v>
      </c>
      <c r="AE36" s="51">
        <f ca="1">AD36+(AI34-AC34)/6</f>
        <v>45646.50277777778</v>
      </c>
      <c r="AF36" s="51">
        <f ca="1">AE36+(AI34-AC34)/6</f>
        <v>45646.545833333337</v>
      </c>
      <c r="AG36" s="51">
        <f ca="1">AF36+(AI34-AC34)/6</f>
        <v>45646.588888888895</v>
      </c>
      <c r="AH36" s="51">
        <f ca="1">AG36+(AI34-AC34)/6</f>
        <v>45646.631944444453</v>
      </c>
      <c r="AI36" s="51">
        <f ca="1">AI34</f>
        <v>45646.675000000003</v>
      </c>
      <c r="AJ36" s="51">
        <f ca="1">AI36+(AO34-AI34)/6</f>
        <v>45646.730555555558</v>
      </c>
      <c r="AK36" s="51">
        <f ca="1">AJ36+(AO34-AI34)/6</f>
        <v>45646.786111111112</v>
      </c>
      <c r="AL36" s="51">
        <f ca="1">AK36+(AO34-AI34)/6</f>
        <v>45646.841666666667</v>
      </c>
      <c r="AM36" s="51">
        <f ca="1">AL36+(AO34-AI34)/6</f>
        <v>45646.897222222222</v>
      </c>
      <c r="AN36" s="51">
        <f ca="1">AM36+(AO34-AI34)/6</f>
        <v>45646.952777777777</v>
      </c>
      <c r="AO36" s="51">
        <f ca="1">AO34</f>
        <v>45647.008333333331</v>
      </c>
      <c r="AP36" s="51">
        <f ca="1">AO36+(AU34-AO34)/6</f>
        <v>45647.049999999996</v>
      </c>
      <c r="AQ36" s="51">
        <f ca="1">AP36+(AU34-AO34)/6</f>
        <v>45647.09166666666</v>
      </c>
      <c r="AR36" s="51">
        <f ca="1">AQ36+(AU34-AO34)/6</f>
        <v>45647.133333333324</v>
      </c>
      <c r="AS36" s="51">
        <f ca="1">AR36+(AU34-AO34)/6</f>
        <v>45647.174999999988</v>
      </c>
      <c r="AT36" s="51">
        <f ca="1">AS36+(AU34-AO34)/6</f>
        <v>45647.216666666653</v>
      </c>
      <c r="AU36" s="51">
        <f ca="1">AU34</f>
        <v>45647.258333333331</v>
      </c>
      <c r="AV36" s="51">
        <f ca="1">AU36+(BA34-AU34)/6</f>
        <v>45647.301388888889</v>
      </c>
      <c r="AW36" s="51">
        <f ca="1">AV36+(BA34-AU34)/6</f>
        <v>45647.344444444447</v>
      </c>
      <c r="AX36" s="51">
        <f ca="1">AW36+(BA34-AU34)/6</f>
        <v>45647.387500000004</v>
      </c>
      <c r="AY36" s="51">
        <f ca="1">AX36+(BA34-AU34)/6</f>
        <v>45647.430555555562</v>
      </c>
      <c r="AZ36" s="51">
        <f ca="1">AY36+(BA34-AU34)/6</f>
        <v>45647.47361111112</v>
      </c>
      <c r="BA36" s="51">
        <f ca="1">BA34</f>
        <v>45647.51666666667</v>
      </c>
      <c r="BB36" s="51">
        <f ca="1">BA36+(BG34-BA34)/6</f>
        <v>45647.558333333334</v>
      </c>
      <c r="BC36" s="51">
        <f ca="1">BB36+(BG34-BA34)/6</f>
        <v>45647.6</v>
      </c>
      <c r="BD36" s="51">
        <f ca="1">BC36+(BG34-BA34)/6</f>
        <v>45647.641666666663</v>
      </c>
      <c r="BE36" s="51">
        <f ca="1">BD36+(BG34-BA34)/6</f>
        <v>45647.683333333327</v>
      </c>
      <c r="BF36" s="51">
        <f ca="1">BE36+(BG34-BA34)/6</f>
        <v>45647.724999999991</v>
      </c>
      <c r="BG36" s="51">
        <f ca="1">BG34</f>
        <v>45647.76666666667</v>
      </c>
      <c r="BH36" s="51">
        <f ca="1">BG36+(BM34-BG34)/6</f>
        <v>45647.808333333334</v>
      </c>
      <c r="BI36" s="51">
        <f ca="1">BH36+(BM34-BG34)/6</f>
        <v>45647.85</v>
      </c>
      <c r="BJ36" s="51">
        <f ca="1">BI36+(BM34-BG34)/6</f>
        <v>45647.891666666663</v>
      </c>
      <c r="BK36" s="51">
        <f ca="1">BJ36+(BM34-BG34)/6</f>
        <v>45647.933333333327</v>
      </c>
      <c r="BL36" s="51">
        <f ca="1">BK36+(BM34-BG34)/6</f>
        <v>45647.974999999991</v>
      </c>
      <c r="BM36" s="51">
        <f ca="1">BM34</f>
        <v>45648.01666666667</v>
      </c>
      <c r="BN36" s="51">
        <f ca="1">BM36+(BS34-BM34)/6</f>
        <v>45648.058333333334</v>
      </c>
      <c r="BO36" s="51">
        <f ca="1">BN36+(BS34-BM34)/6</f>
        <v>45648.1</v>
      </c>
      <c r="BP36" s="51">
        <f ca="1">BO36+(BS34-BM34)/6</f>
        <v>45648.141666666663</v>
      </c>
      <c r="BQ36" s="51">
        <f ca="1">BP36+(BS34-BM34)/6</f>
        <v>45648.183333333327</v>
      </c>
      <c r="BR36" s="51">
        <f ca="1">BQ36+(BS34-BM34)/6</f>
        <v>45648.224999999991</v>
      </c>
      <c r="BS36" s="51">
        <f ca="1">BS34</f>
        <v>45648.26666666667</v>
      </c>
      <c r="BT36" s="51">
        <f ca="1">BS36+(BY34-BS34)/6</f>
        <v>45648.308333333334</v>
      </c>
      <c r="BU36" s="51">
        <f ca="1">BT36+(BY34-BS34)/6</f>
        <v>45648.35</v>
      </c>
      <c r="BV36" s="51">
        <f ca="1">BU36+(BY34-BS34)/6</f>
        <v>45648.391666666663</v>
      </c>
      <c r="BW36" s="51">
        <f ca="1">BV36+(BY34-BS34)/6</f>
        <v>45648.433333333327</v>
      </c>
      <c r="BX36" s="51">
        <f ca="1">BW36+(BY34-BS34)/6</f>
        <v>45648.474999999991</v>
      </c>
      <c r="BY36" s="51">
        <f ca="1">BY34</f>
        <v>45648.51666666667</v>
      </c>
      <c r="BZ36" s="51">
        <f ca="1">BY36+(CE34-BY34)/6</f>
        <v>45648.558333333334</v>
      </c>
      <c r="CA36" s="51">
        <f ca="1">BZ36+(CE34-BY34)/6</f>
        <v>45648.6</v>
      </c>
      <c r="CB36" s="51">
        <f ca="1">CA36+(CE34-BY34)/6</f>
        <v>45648.641666666663</v>
      </c>
      <c r="CC36" s="51">
        <f ca="1">CB36+(CE34-BY34)/6</f>
        <v>45648.683333333327</v>
      </c>
      <c r="CD36" s="51">
        <f ca="1">CC36+(CE34-BY34)/6</f>
        <v>45648.724999999991</v>
      </c>
      <c r="CE36" s="51">
        <f ca="1">CE34</f>
        <v>45648.76666666667</v>
      </c>
    </row>
    <row r="37" spans="3:83" x14ac:dyDescent="0.25">
      <c r="C37" s="16" t="s">
        <v>301</v>
      </c>
      <c r="D37" s="53" t="s">
        <v>297</v>
      </c>
      <c r="AB37" s="16" t="s">
        <v>197</v>
      </c>
      <c r="AC37" s="16">
        <f ca="1">AC35</f>
        <v>9.56</v>
      </c>
      <c r="AD37" s="34">
        <f ca="1">AC37+(AI35-AC35)/12</f>
        <v>9.18</v>
      </c>
      <c r="AE37" s="34">
        <f ca="1">AC37+(AI35-AC35)*3/12</f>
        <v>8.42</v>
      </c>
      <c r="AF37" s="34">
        <f ca="1">AC37+(AI35-AC35)*6/12</f>
        <v>7.28</v>
      </c>
      <c r="AG37" s="34">
        <f ca="1">AC37+(AI35-AC35)*9/12</f>
        <v>6.1400000000000006</v>
      </c>
      <c r="AH37" s="34">
        <f ca="1">AC37+(AI35-AC35)*11/12</f>
        <v>5.38</v>
      </c>
      <c r="AI37" s="16">
        <f ca="1">AI35</f>
        <v>5</v>
      </c>
      <c r="AJ37" s="34">
        <f ca="1">AI37+(AO35-AI35)/12</f>
        <v>5.4333333333333336</v>
      </c>
      <c r="AK37" s="34">
        <f ca="1">AI37+(AO35-AI35)*3/12</f>
        <v>6.3</v>
      </c>
      <c r="AL37" s="34">
        <f ca="1">AI37+(AO35-AI35)*6/12</f>
        <v>7.6</v>
      </c>
      <c r="AM37" s="34">
        <f ca="1">AI37+(AO35-AI35)*9/12</f>
        <v>8.9</v>
      </c>
      <c r="AN37" s="34">
        <f ca="1">AI37+(AO35-AI35)*11/12</f>
        <v>9.7666666666666657</v>
      </c>
      <c r="AO37" s="16">
        <f ca="1">AO35</f>
        <v>10.199999999999999</v>
      </c>
      <c r="AP37" s="34">
        <f ca="1">AO37+(AU35-AO35)/12</f>
        <v>9.7458333333333336</v>
      </c>
      <c r="AQ37" s="34">
        <f ca="1">AO37+(AU35-AO35)*3/12</f>
        <v>8.8374999999999986</v>
      </c>
      <c r="AR37" s="34">
        <f ca="1">AO37+(AU35-AO35)*6/12</f>
        <v>7.4749999999999996</v>
      </c>
      <c r="AS37" s="34">
        <f ca="1">AO37+(AU35-AO35)*9/12</f>
        <v>6.1124999999999998</v>
      </c>
      <c r="AT37" s="34">
        <f ca="1">AO37+(AU35-AO35)*11/12</f>
        <v>5.2041666666666666</v>
      </c>
      <c r="AU37" s="16">
        <f ca="1">AU35</f>
        <v>4.75</v>
      </c>
      <c r="AV37" s="34">
        <f ca="1">AU37+(BA35-AU35)/12</f>
        <v>5.1641666666666666</v>
      </c>
      <c r="AW37" s="34">
        <f ca="1">AU37+(BA35-AU35)*3/12</f>
        <v>5.9924999999999997</v>
      </c>
      <c r="AX37" s="34">
        <f ca="1">AU37+(BA35-AU35)*6/12</f>
        <v>7.2350000000000003</v>
      </c>
      <c r="AY37" s="34">
        <f ca="1">AU37+(BA35-AU35)*9/12</f>
        <v>8.4775000000000009</v>
      </c>
      <c r="AZ37" s="34">
        <f ca="1">AU37+(BA35-AU35)*11/12</f>
        <v>9.3058333333333341</v>
      </c>
      <c r="BA37" s="16">
        <f ca="1">BA35</f>
        <v>9.7200000000000006</v>
      </c>
      <c r="BB37" s="34">
        <f ca="1">BA37+(BG35-BA35)/12</f>
        <v>9.7200000000000006</v>
      </c>
      <c r="BC37" s="34">
        <f ca="1">BA37+(BG35-BA35)*3/12</f>
        <v>9.7200000000000006</v>
      </c>
      <c r="BD37" s="34">
        <f ca="1">BA37+(BG35-BA35)*6/12</f>
        <v>9.7200000000000006</v>
      </c>
      <c r="BE37" s="34">
        <f ca="1">BA37+(BG35-BA35)*9/12</f>
        <v>9.7200000000000006</v>
      </c>
      <c r="BF37" s="34">
        <f ca="1">BA37+(BG35-BA35)*11/12</f>
        <v>9.7200000000000006</v>
      </c>
      <c r="BG37" s="16">
        <f ca="1">BG35</f>
        <v>9.7200000000000006</v>
      </c>
      <c r="BH37" s="34">
        <f ca="1">BG37+(BM35-BG35)/12</f>
        <v>9.7200000000000006</v>
      </c>
      <c r="BI37" s="34">
        <f ca="1">BG37+(BM35-BG35)*3/12</f>
        <v>9.7200000000000006</v>
      </c>
      <c r="BJ37" s="34">
        <f ca="1">BG37+(BM35-BG35)*6/12</f>
        <v>9.7200000000000006</v>
      </c>
      <c r="BK37" s="34">
        <f ca="1">BG37+(BM35-BG35)*9/12</f>
        <v>9.7200000000000006</v>
      </c>
      <c r="BL37" s="34">
        <f ca="1">BG37+(BM35-BG35)*11/12</f>
        <v>9.7200000000000006</v>
      </c>
      <c r="BM37" s="16">
        <f ca="1">BM35</f>
        <v>9.7200000000000006</v>
      </c>
      <c r="BN37" s="34">
        <f ca="1">BM37+(BS35-BM35)/12</f>
        <v>9.7200000000000006</v>
      </c>
      <c r="BO37" s="34">
        <f ca="1">BM37+(BS35-BM35)*3/12</f>
        <v>9.7200000000000006</v>
      </c>
      <c r="BP37" s="34">
        <f ca="1">BM37+(BS35-BM35)*6/12</f>
        <v>9.7200000000000006</v>
      </c>
      <c r="BQ37" s="34">
        <f ca="1">BM37+(BS35-BM35)*9/12</f>
        <v>9.7200000000000006</v>
      </c>
      <c r="BR37" s="34">
        <f ca="1">BM37+(BS35-BM35)*11/12</f>
        <v>9.7200000000000006</v>
      </c>
      <c r="BS37" s="16">
        <f ca="1">BS35</f>
        <v>9.7200000000000006</v>
      </c>
      <c r="BT37" s="34">
        <f ca="1">BS37+(BY35-BS35)/12</f>
        <v>9.7200000000000006</v>
      </c>
      <c r="BU37" s="34">
        <f ca="1">BS37+(BY35-BS35)*3/12</f>
        <v>9.7200000000000006</v>
      </c>
      <c r="BV37" s="34">
        <f ca="1">BS37+(BY35-BS35)*6/12</f>
        <v>9.7200000000000006</v>
      </c>
      <c r="BW37" s="34">
        <f ca="1">BS37+(BY35-BS35)*9/12</f>
        <v>9.7200000000000006</v>
      </c>
      <c r="BX37" s="34">
        <f ca="1">BS37+(BY35-BS35)*11/12</f>
        <v>9.7200000000000006</v>
      </c>
      <c r="BY37" s="16">
        <f ca="1">BY35</f>
        <v>9.7200000000000006</v>
      </c>
      <c r="BZ37" s="34">
        <f ca="1">BY37+(CE35-BY35)/12</f>
        <v>9.7200000000000006</v>
      </c>
      <c r="CA37" s="34">
        <f ca="1">BY37+(CE35-BY35)*3/12</f>
        <v>9.7200000000000006</v>
      </c>
      <c r="CB37" s="34">
        <f ca="1">BY37+(CE35-BY35)*6/12</f>
        <v>9.7200000000000006</v>
      </c>
      <c r="CC37" s="34">
        <f ca="1">BY37+(CE35-BY35)*9/12</f>
        <v>9.7200000000000006</v>
      </c>
      <c r="CD37" s="34">
        <f ca="1">BY37+(CE35-BY35)*11/12</f>
        <v>9.7200000000000006</v>
      </c>
      <c r="CE37" s="16">
        <f ca="1">CE35</f>
        <v>9.7200000000000006</v>
      </c>
    </row>
    <row r="38" spans="3:83" ht="15.75" x14ac:dyDescent="0.25">
      <c r="D38" s="1116" t="s">
        <v>302</v>
      </c>
      <c r="E38" s="1116"/>
    </row>
    <row r="39" spans="3:83" x14ac:dyDescent="0.25">
      <c r="D39" s="59" t="s">
        <v>11</v>
      </c>
      <c r="E39" s="67" t="s">
        <v>197</v>
      </c>
      <c r="F39" s="1127" t="s">
        <v>303</v>
      </c>
      <c r="G39" s="1122" t="s">
        <v>304</v>
      </c>
      <c r="H39" s="1123"/>
      <c r="AB39" s="16" t="s">
        <v>11</v>
      </c>
      <c r="AC39" s="51">
        <f ca="1">AC36</f>
        <v>45646.416666666664</v>
      </c>
      <c r="AD39" s="51">
        <f ca="1">IF(AND(ISNUMBER(AJ52),($D$36-E42)*($D$36-E40)&lt;0),AJ46,AC39+$AD$41)</f>
        <v>45646.67386695907</v>
      </c>
      <c r="AE39" s="51">
        <f ca="1">IF(AB48,IF(AND(ISNUMBER(AJ48),($D$36-E44)*($D$36-E42)&lt;0),AJ48,AD39+$AD$41),AD39+$AD$41)</f>
        <v>45646.676282051281</v>
      </c>
      <c r="AF39" s="51">
        <f ca="1">IF(AB50,IF(AND(ISNUMBER(AJ50),($D$36-E46)*($D$36-E44)&lt;0),AJ50,AE39+$AD$41),AE39+$AD$41)</f>
        <v>45647.234480122323</v>
      </c>
      <c r="AG39" s="51">
        <f ca="1">IF(AB52,IF(AND(ISNUMBER(AJ52),($D$36-E46)*($D$36-E48)&lt;0),AJ52,AF39+$AD$41),AF39+$AD$41)</f>
        <v>45647.285362173039</v>
      </c>
      <c r="AH39" s="51">
        <f ca="1">IF(AB54,IF(AND(ISNUMBER(AJ54),($D$36-E48)*($D$36-E50)&lt;0),AJ54,AG39+$AD$41),AG39+$AD$41)</f>
        <v>45647.52036217304</v>
      </c>
      <c r="AI39" s="51">
        <f ca="1">IF(AB56,IF(AND(ISNUMBER(AJ56),($D$36-E50)*($D$36-E52)&lt;0),AJ56,AH39+$AD$41),AH39+$AD$41)</f>
        <v>45647.75536217304</v>
      </c>
      <c r="AJ39" s="51">
        <f ca="1">IF(AB58,IF(AND(ISNUMBER(AJ58),($D$36-E52)*($D$36-E54)&lt;0),AJ58,AI39+$AD$41),AI39+$AD$41)</f>
        <v>45647.990362173041</v>
      </c>
      <c r="AK39" s="51">
        <f ca="1">IF(AB62,IF(AND(ISNUMBER(AJ60),($D$36-E54)*($D$36-E56)&lt;0),AJ60,AJ39+$AD$41),AJ39+$AD$41)</f>
        <v>45648.225362173042</v>
      </c>
      <c r="AL39" s="51">
        <f ca="1">IF(AB62,IF(AND(ISNUMBER(AJ62),($D$36-E56)*($D$36-E58)&lt;0),AJ62,AK39+$AD$41),AK39+$AD$41)</f>
        <v>45648.460362173042</v>
      </c>
      <c r="AM39" s="51">
        <f ca="1">CE36</f>
        <v>45648.76666666667</v>
      </c>
    </row>
    <row r="40" spans="3:83" x14ac:dyDescent="0.25">
      <c r="D40" s="58">
        <f ca="1">J22</f>
        <v>45646.416666666664</v>
      </c>
      <c r="E40" s="61">
        <f ca="1">K22</f>
        <v>9.56</v>
      </c>
      <c r="F40" s="1127"/>
      <c r="G40" s="36" t="s">
        <v>305</v>
      </c>
      <c r="H40" s="36" t="s">
        <v>1</v>
      </c>
      <c r="AB40" s="16" t="str">
        <f>CONCATENATE("Par Hauteur (",D36,"m)")</f>
        <v>Par Hauteur (5.01m)</v>
      </c>
      <c r="AC40" s="16">
        <f t="shared" ref="AC40:AM40" si="32">$D$36</f>
        <v>5.01</v>
      </c>
      <c r="AD40" s="16">
        <f t="shared" si="32"/>
        <v>5.01</v>
      </c>
      <c r="AE40" s="16">
        <f t="shared" si="32"/>
        <v>5.01</v>
      </c>
      <c r="AF40" s="16">
        <f t="shared" si="32"/>
        <v>5.01</v>
      </c>
      <c r="AG40" s="16">
        <f t="shared" si="32"/>
        <v>5.01</v>
      </c>
      <c r="AH40" s="16">
        <f t="shared" si="32"/>
        <v>5.01</v>
      </c>
      <c r="AI40" s="16">
        <f t="shared" si="32"/>
        <v>5.01</v>
      </c>
      <c r="AJ40" s="16">
        <f t="shared" si="32"/>
        <v>5.01</v>
      </c>
      <c r="AK40" s="16">
        <f t="shared" si="32"/>
        <v>5.01</v>
      </c>
      <c r="AL40" s="16">
        <f t="shared" si="32"/>
        <v>5.01</v>
      </c>
      <c r="AM40" s="16">
        <f t="shared" si="32"/>
        <v>5.01</v>
      </c>
    </row>
    <row r="41" spans="3:83" x14ac:dyDescent="0.25">
      <c r="D41" s="1134">
        <f ca="1">AJ46</f>
        <v>45646.67386695907</v>
      </c>
      <c r="E41" s="1135"/>
      <c r="F41" s="1136"/>
      <c r="G41" s="63" t="str">
        <f ca="1">IF(AS65,AJ65,"-")</f>
        <v>-</v>
      </c>
      <c r="H41" s="64" t="str">
        <f ca="1">IF(AS65,AL65,"Impossible")</f>
        <v>Impossible</v>
      </c>
      <c r="AC41" s="16" t="s">
        <v>307</v>
      </c>
      <c r="AD41" s="16">
        <f ca="1">(AM39-AC39)/10</f>
        <v>0.23500000000058208</v>
      </c>
    </row>
    <row r="42" spans="3:83" x14ac:dyDescent="0.25">
      <c r="D42" s="58">
        <f ca="1">J23</f>
        <v>45646.675000000003</v>
      </c>
      <c r="E42" s="45">
        <f ca="1">K23</f>
        <v>5</v>
      </c>
      <c r="F42" s="60"/>
      <c r="H42" s="51"/>
      <c r="AB42" s="16" t="str">
        <f>CONCATENATE("Par Heure (",D37,")")</f>
        <v>Par Heure (08:00)</v>
      </c>
      <c r="AC42" s="51">
        <f ca="1">AY65</f>
        <v>45647.333333333336</v>
      </c>
      <c r="AD42" s="51">
        <f ca="1">AY66</f>
        <v>45647.333333333336</v>
      </c>
      <c r="AE42" s="51">
        <f ca="1">AY67</f>
        <v>45647.333333333336</v>
      </c>
      <c r="AF42" s="51">
        <f ca="1">AY68</f>
        <v>45647.333333333336</v>
      </c>
    </row>
    <row r="43" spans="3:83" x14ac:dyDescent="0.25">
      <c r="D43" s="1131">
        <f ca="1">AJ48</f>
        <v>45646.676282051281</v>
      </c>
      <c r="E43" s="1132"/>
      <c r="F43" s="1133"/>
      <c r="G43" s="63" t="str">
        <f ca="1">IF(AS66,AJ66,"-")</f>
        <v>-</v>
      </c>
      <c r="H43" s="64" t="str">
        <f ca="1">IF(AS66,AL66,"Impossible")</f>
        <v>Impossible</v>
      </c>
      <c r="P43" s="16"/>
      <c r="Q43" s="16"/>
      <c r="AB43" s="16" t="s">
        <v>197</v>
      </c>
      <c r="AC43" s="16">
        <f ca="1">AW65</f>
        <v>5.7787365591939714</v>
      </c>
      <c r="AD43" s="16">
        <f ca="1">AW66</f>
        <v>5.7787365591939714</v>
      </c>
      <c r="AE43" s="16">
        <f ca="1">AW67</f>
        <v>5.7787365591939714</v>
      </c>
      <c r="AF43" s="16">
        <f ca="1">AW68</f>
        <v>5.7787365591939714</v>
      </c>
    </row>
    <row r="44" spans="3:83" x14ac:dyDescent="0.25">
      <c r="D44" s="58">
        <f ca="1">J24</f>
        <v>45647.008333333331</v>
      </c>
      <c r="E44" s="45">
        <f ca="1">K24</f>
        <v>10.199999999999999</v>
      </c>
      <c r="F44" s="60"/>
      <c r="H44" s="51"/>
      <c r="P44" s="16"/>
      <c r="Q44" s="16"/>
    </row>
    <row r="45" spans="3:83" x14ac:dyDescent="0.25">
      <c r="D45" s="1131">
        <f ca="1">AJ50</f>
        <v>45647.234480122323</v>
      </c>
      <c r="E45" s="1132"/>
      <c r="F45" s="1133"/>
      <c r="G45" s="63" t="str">
        <f ca="1">IF(AS67,AJ67,"-")</f>
        <v>-</v>
      </c>
      <c r="H45" s="64" t="str">
        <f ca="1">IF(AS67,AL67,"Impossible")</f>
        <v>Impossible</v>
      </c>
      <c r="P45" s="16"/>
      <c r="Q45" s="16"/>
      <c r="AB45" s="54" t="s">
        <v>306</v>
      </c>
      <c r="AC45" s="54" t="s">
        <v>283</v>
      </c>
      <c r="AD45" s="16" t="s">
        <v>284</v>
      </c>
      <c r="AE45" s="16" t="s">
        <v>287</v>
      </c>
      <c r="AF45" s="16" t="s">
        <v>285</v>
      </c>
      <c r="AG45" s="16" t="s">
        <v>286</v>
      </c>
      <c r="AH45" s="16" t="s">
        <v>288</v>
      </c>
      <c r="AI45" s="16" t="s">
        <v>290</v>
      </c>
      <c r="AJ45" s="16" t="s">
        <v>11</v>
      </c>
    </row>
    <row r="46" spans="3:83" x14ac:dyDescent="0.25">
      <c r="D46" s="58">
        <f ca="1">J25</f>
        <v>45647.258333333331</v>
      </c>
      <c r="E46" s="45">
        <f ca="1">K25</f>
        <v>4.75</v>
      </c>
      <c r="F46" s="60"/>
      <c r="H46" s="51"/>
      <c r="P46" s="16"/>
      <c r="Q46" s="16"/>
      <c r="AB46" s="16" t="b">
        <f ca="1">AND((ISNUMBER(E40)),(ISNUMBER(E42)))</f>
        <v>1</v>
      </c>
      <c r="AC46" s="54">
        <f ca="1">IF(AB46,E42-E40,"impossible")</f>
        <v>-4.5600000000000005</v>
      </c>
      <c r="AD46" s="54">
        <f ca="1">IF(AB46,(D42-D40)*24/6,"Impossible")</f>
        <v>1.0333333333546761</v>
      </c>
      <c r="AE46" s="54">
        <f ca="1">AC46/12</f>
        <v>-0.38000000000000006</v>
      </c>
      <c r="AF46" s="54">
        <f ca="1">$D$36-E40</f>
        <v>-4.5500000000000007</v>
      </c>
      <c r="AG46" s="54">
        <f ca="1">AF46/AE46</f>
        <v>11.973684210526315</v>
      </c>
      <c r="AH46" s="54">
        <f ca="1">IF(AG46&lt;1,AG46,IF(AG46&lt;3,1+(AG46-1)/2,IF(AG46&lt;6,2+(AG46-3)/3,IF(AG46&lt;9,3+(AG46-6)/3,IF(AG46&lt;11,4+(AG46-9)/2,5+(AG46-11))))))</f>
        <v>5.973684210526315</v>
      </c>
      <c r="AI46" s="55">
        <f ca="1">D40</f>
        <v>45646.416666666664</v>
      </c>
      <c r="AJ46" s="54">
        <f ca="1">IF(OR(AG46&gt;12,AG46&lt;0),"Impossible",D40+(AD46/24)*AH46)</f>
        <v>45646.67386695907</v>
      </c>
    </row>
    <row r="47" spans="3:83" x14ac:dyDescent="0.25">
      <c r="D47" s="1131">
        <f ca="1">AJ52</f>
        <v>45647.285362173039</v>
      </c>
      <c r="E47" s="1132"/>
      <c r="F47" s="1133"/>
      <c r="G47" s="63">
        <f ca="1">IF(AS68,AJ68,"-")</f>
        <v>5.7787365591939714</v>
      </c>
      <c r="H47" s="64">
        <f ca="1">IF(AS68,AL68,"Impossible")</f>
        <v>45647.333333333336</v>
      </c>
      <c r="P47" s="16"/>
      <c r="Q47" s="16"/>
    </row>
    <row r="48" spans="3:83" x14ac:dyDescent="0.25">
      <c r="D48" s="58">
        <f ca="1">J26</f>
        <v>45647.51666666667</v>
      </c>
      <c r="E48" s="45">
        <f ca="1">K26</f>
        <v>9.7200000000000006</v>
      </c>
      <c r="F48" s="60"/>
      <c r="H48" s="51"/>
      <c r="P48" s="16"/>
      <c r="Q48" s="16"/>
      <c r="AB48" s="16" t="b">
        <f ca="1">AND((ISNUMBER(E42)),(ISNUMBER(E44)))</f>
        <v>1</v>
      </c>
      <c r="AC48" s="54">
        <f ca="1">IF(AB48,E44-E42,"impossible")</f>
        <v>5.1999999999999993</v>
      </c>
      <c r="AD48" s="54">
        <f ca="1">IF(AB48,(D44-D42)*24/6,"Impossible")</f>
        <v>1.3333333333139308</v>
      </c>
      <c r="AE48" s="54">
        <f ca="1">AC48/12</f>
        <v>0.43333333333333329</v>
      </c>
      <c r="AF48" s="54">
        <f ca="1">$D$36-E42</f>
        <v>9.9999999999997868E-3</v>
      </c>
      <c r="AG48" s="54">
        <f ca="1">AF48/AE48</f>
        <v>2.3076923076922586E-2</v>
      </c>
      <c r="AH48" s="54">
        <f ca="1">IF(AG48&lt;1,AG48,IF(AG48&lt;3,1+(AG48-1)/2,IF(AG48&lt;6,2+(AG48-3)/3,IF(AG48&lt;9,3+(AG48-6)/3,IF(AG48&lt;11,4+(AG48-9)/2,5+(AG48-11))))))</f>
        <v>2.3076923076922586E-2</v>
      </c>
      <c r="AI48" s="55">
        <f ca="1">D42</f>
        <v>45646.675000000003</v>
      </c>
      <c r="AJ48" s="54">
        <f ca="1">IF(OR(AG48&gt;12,AG48&lt;0),"Impossible",D42+(AD48/24)*AH48)</f>
        <v>45646.676282051281</v>
      </c>
    </row>
    <row r="49" spans="4:51" x14ac:dyDescent="0.25">
      <c r="D49" s="1131" t="e">
        <f ca="1">AJ54</f>
        <v>#VALUE!</v>
      </c>
      <c r="E49" s="1132"/>
      <c r="F49" s="1133"/>
      <c r="G49" s="63" t="str">
        <f ca="1">IF(AS69,AJ69,"-")</f>
        <v>-</v>
      </c>
      <c r="H49" s="64" t="str">
        <f ca="1">IF(AS69,AL69,"Impossible")</f>
        <v>Impossible</v>
      </c>
      <c r="P49" s="16"/>
      <c r="Q49" s="16"/>
    </row>
    <row r="50" spans="4:51" x14ac:dyDescent="0.25">
      <c r="D50" s="58" t="str">
        <f>J27</f>
        <v>-</v>
      </c>
      <c r="E50" s="45" t="str">
        <f>K27</f>
        <v>-</v>
      </c>
      <c r="F50" s="60"/>
      <c r="H50" s="51"/>
      <c r="P50" s="16"/>
      <c r="Q50" s="16"/>
      <c r="AB50" s="16" t="b">
        <f ca="1">AND((ISNUMBER(E44)),(ISNUMBER(E46)))</f>
        <v>1</v>
      </c>
      <c r="AC50" s="54">
        <f ca="1">IF(AB50,E46-E44,"impossible")</f>
        <v>-5.4499999999999993</v>
      </c>
      <c r="AD50" s="54">
        <f ca="1">IF(AB50,(D46-D44)*24/6,"Impossible")</f>
        <v>1</v>
      </c>
      <c r="AE50" s="54">
        <f ca="1">AC50/12</f>
        <v>-0.45416666666666661</v>
      </c>
      <c r="AF50" s="54">
        <f ca="1">$D$36-E44</f>
        <v>-5.1899999999999995</v>
      </c>
      <c r="AG50" s="54">
        <f ca="1">AF50/AE50</f>
        <v>11.427522935779816</v>
      </c>
      <c r="AH50" s="54">
        <f ca="1">IF(AG50&lt;1,AG50,IF(AG50&lt;3,1+(AG50-1)/2,IF(AG50&lt;6,2+(AG50-3)/3,IF(AG50&lt;9,3+(AG50-6)/3,IF(AG50&lt;11,4+(AG50-9)/2,5+(AG50-11))))))</f>
        <v>5.427522935779816</v>
      </c>
      <c r="AI50" s="55">
        <f ca="1">D44</f>
        <v>45647.008333333331</v>
      </c>
      <c r="AJ50" s="54">
        <f ca="1">IF(OR(AG50&gt;12,AG50&lt;0),"Impossible",D44+(AD50/24)*AH50)</f>
        <v>45647.234480122323</v>
      </c>
    </row>
    <row r="51" spans="4:51" x14ac:dyDescent="0.25">
      <c r="D51" s="1131" t="e">
        <f>AJ56</f>
        <v>#VALUE!</v>
      </c>
      <c r="E51" s="1132"/>
      <c r="F51" s="1133"/>
      <c r="G51" s="63" t="e">
        <f>IF(AS70,AJ70,"-")</f>
        <v>#VALUE!</v>
      </c>
      <c r="H51" s="64" t="e">
        <f>IF(AS70,AL70,"Impossible")</f>
        <v>#VALUE!</v>
      </c>
      <c r="P51" s="16"/>
      <c r="Q51" s="16"/>
    </row>
    <row r="52" spans="4:51" x14ac:dyDescent="0.25">
      <c r="D52" s="58" t="str">
        <f>J28</f>
        <v>-</v>
      </c>
      <c r="E52" s="45" t="str">
        <f>K28</f>
        <v>-</v>
      </c>
      <c r="F52" s="60"/>
      <c r="H52" s="51"/>
      <c r="P52" s="16"/>
      <c r="Q52" s="16"/>
      <c r="AB52" s="16" t="b">
        <f ca="1">AND((ISNUMBER(E46)),(ISNUMBER(E48)))</f>
        <v>1</v>
      </c>
      <c r="AC52" s="54">
        <f ca="1">IF(AB52,E48-E46,"impossible")</f>
        <v>4.9700000000000006</v>
      </c>
      <c r="AD52" s="54">
        <f ca="1">IF(AB52,(D48-D46)*24/6,"Impossible")</f>
        <v>1.0333333333546761</v>
      </c>
      <c r="AE52" s="54">
        <f ca="1">AC52/12</f>
        <v>0.41416666666666674</v>
      </c>
      <c r="AF52" s="54">
        <f ca="1">$D$36-E46</f>
        <v>0.25999999999999979</v>
      </c>
      <c r="AG52" s="54">
        <f ca="1">AF52/AE52</f>
        <v>0.62776659959758485</v>
      </c>
      <c r="AH52" s="54">
        <f ca="1">IF(AG52&lt;1,AG52,IF(AG52&lt;3,1+(AG52-1)/2,IF(AG52&lt;6,2+(AG52-3)/3,IF(AG52&lt;9,3+(AG52-6)/3,IF(AG52&lt;11,4+(AG52-9)/2,5+(AG52-11))))))</f>
        <v>0.62776659959758485</v>
      </c>
      <c r="AI52" s="55">
        <f ca="1">D46</f>
        <v>45647.258333333331</v>
      </c>
      <c r="AJ52" s="54">
        <f ca="1">IF(OR(AG52&gt;12,AG52&lt;0),"Impossible",D46+(AD52/24)*AH52)</f>
        <v>45647.285362173039</v>
      </c>
    </row>
    <row r="53" spans="4:51" x14ac:dyDescent="0.25">
      <c r="D53" s="1131" t="e">
        <f>AJ58</f>
        <v>#VALUE!</v>
      </c>
      <c r="E53" s="1132"/>
      <c r="F53" s="1133"/>
      <c r="G53" s="63" t="e">
        <f>IF(AS71,AJ71,"-")</f>
        <v>#VALUE!</v>
      </c>
      <c r="H53" s="64" t="e">
        <f>IF(AS71,AL71,"Impossible")</f>
        <v>#VALUE!</v>
      </c>
      <c r="Q53" s="16"/>
    </row>
    <row r="54" spans="4:51" x14ac:dyDescent="0.25">
      <c r="D54" s="58" t="str">
        <f>J29</f>
        <v>-</v>
      </c>
      <c r="E54" s="45" t="str">
        <f>K29</f>
        <v>-</v>
      </c>
      <c r="F54" s="60"/>
      <c r="H54" s="51"/>
      <c r="O54"/>
      <c r="P54"/>
      <c r="Q54"/>
      <c r="R54"/>
      <c r="S54"/>
      <c r="T54"/>
      <c r="U54"/>
      <c r="V54"/>
      <c r="W54"/>
      <c r="X54"/>
      <c r="Y54"/>
      <c r="AB54" s="16" t="b">
        <f ca="1">AND((ISNUMBER(E48)),(ISNUMBER(E50)))</f>
        <v>0</v>
      </c>
      <c r="AC54" s="54" t="str">
        <f ca="1">IF(AB54,E50-E48,"impossible")</f>
        <v>impossible</v>
      </c>
      <c r="AD54" s="54" t="str">
        <f ca="1">IF(AB54,(D50-D48)*24/6,"Impossible")</f>
        <v>Impossible</v>
      </c>
      <c r="AE54" s="54" t="e">
        <f ca="1">AC54/12</f>
        <v>#VALUE!</v>
      </c>
      <c r="AF54" s="54">
        <f ca="1">$D$36-E48</f>
        <v>-4.7100000000000009</v>
      </c>
      <c r="AG54" s="54" t="e">
        <f ca="1">AF54/AE54</f>
        <v>#VALUE!</v>
      </c>
      <c r="AH54" s="54" t="e">
        <f ca="1">IF(AG54&lt;1,AG54,IF(AG54&lt;3,1+(AG54-1)/2,IF(AG54&lt;6,2+(AG54-3)/3,IF(AG54&lt;9,3+(AG54-6)/3,IF(AG54&lt;11,4+(AG54-9)/2,5+(AG54-11))))))</f>
        <v>#VALUE!</v>
      </c>
      <c r="AI54" s="55">
        <f ca="1">D48</f>
        <v>45647.51666666667</v>
      </c>
      <c r="AJ54" s="54" t="e">
        <f ca="1">IF(OR(AG54&gt;12,AG54&lt;0),"Impossible",D48+(AD54/24)*AH54)</f>
        <v>#VALUE!</v>
      </c>
    </row>
    <row r="55" spans="4:51" x14ac:dyDescent="0.25">
      <c r="D55" s="1131" t="str">
        <f>AJ60</f>
        <v>impossible</v>
      </c>
      <c r="E55" s="1132"/>
      <c r="F55" s="1133"/>
      <c r="G55" s="63" t="e">
        <f>IF(AS72,AJ72,"-")</f>
        <v>#VALUE!</v>
      </c>
      <c r="H55" s="64" t="e">
        <f>IF(AS72,AL72,"Impossible")</f>
        <v>#VALUE!</v>
      </c>
      <c r="O55"/>
      <c r="P55"/>
      <c r="Q55"/>
      <c r="R55"/>
      <c r="S55"/>
      <c r="T55"/>
      <c r="U55"/>
      <c r="V55"/>
      <c r="W55" s="41"/>
      <c r="X55"/>
      <c r="Y55"/>
    </row>
    <row r="56" spans="4:51" x14ac:dyDescent="0.25">
      <c r="D56" s="58" t="str">
        <f>J30</f>
        <v>-</v>
      </c>
      <c r="E56" s="45" t="str">
        <f>K30</f>
        <v>-</v>
      </c>
      <c r="F56" s="60"/>
      <c r="H56" s="51"/>
      <c r="O56"/>
      <c r="P56"/>
      <c r="Q56"/>
      <c r="R56"/>
      <c r="S56"/>
      <c r="T56"/>
      <c r="U56"/>
      <c r="V56"/>
      <c r="W56" s="41"/>
      <c r="X56"/>
      <c r="Y56"/>
      <c r="AB56" s="16" t="b">
        <f>AND((ISNUMBER(E50)),(ISNUMBER(E52)))</f>
        <v>0</v>
      </c>
      <c r="AC56" s="54" t="str">
        <f>IF(AB56,E52-E50,"impossible")</f>
        <v>impossible</v>
      </c>
      <c r="AD56" s="54" t="str">
        <f>IF(AB56,(D52-D50)*24/6,"Impossible")</f>
        <v>Impossible</v>
      </c>
      <c r="AE56" s="54" t="e">
        <f>AC56/12</f>
        <v>#VALUE!</v>
      </c>
      <c r="AF56" s="54" t="e">
        <f>$D$36-E50</f>
        <v>#VALUE!</v>
      </c>
      <c r="AG56" s="54" t="e">
        <f>AF56/AE56</f>
        <v>#VALUE!</v>
      </c>
      <c r="AH56" s="54" t="e">
        <f>IF(AG56&lt;1,AG56,IF(AG56&lt;3,1+(AG56-1)/2,IF(AG56&lt;6,2+(AG56-3)/3,IF(AG56&lt;9,3+(AG56-6)/3,IF(AG56&lt;11,4+(AG56-9)/2,5+(AG56-11))))))</f>
        <v>#VALUE!</v>
      </c>
      <c r="AI56" s="55" t="str">
        <f>D50</f>
        <v>-</v>
      </c>
      <c r="AJ56" s="54" t="e">
        <f>IF(OR(AG56&gt;12,AG56&lt;0),"Impossible",D50+(AD56/24)*AH56)</f>
        <v>#VALUE!</v>
      </c>
    </row>
    <row r="57" spans="4:51" x14ac:dyDescent="0.25">
      <c r="D57" s="1131" t="str">
        <f>AJ62</f>
        <v>impossible</v>
      </c>
      <c r="E57" s="1132"/>
      <c r="F57" s="1133"/>
      <c r="G57" s="63" t="str">
        <f>IF(AS63,AJ73,"-")</f>
        <v>-</v>
      </c>
      <c r="H57" s="64" t="str">
        <f>IF(AS63,AL63,"Impossible")</f>
        <v>Impossible</v>
      </c>
      <c r="O57"/>
      <c r="P57"/>
      <c r="Q57"/>
      <c r="R57"/>
      <c r="S57"/>
      <c r="T57"/>
      <c r="U57"/>
      <c r="V57"/>
      <c r="W57"/>
      <c r="X57"/>
      <c r="Y57"/>
    </row>
    <row r="58" spans="4:51" x14ac:dyDescent="0.25">
      <c r="D58" s="58" t="str">
        <f>J31</f>
        <v>-</v>
      </c>
      <c r="E58" s="45" t="str">
        <f>K31</f>
        <v>-</v>
      </c>
      <c r="O58"/>
      <c r="P58"/>
      <c r="Q58"/>
      <c r="R58"/>
      <c r="S58"/>
      <c r="T58"/>
      <c r="U58"/>
      <c r="V58"/>
      <c r="W58"/>
      <c r="X58"/>
      <c r="Y58"/>
      <c r="AB58" s="16" t="b">
        <f>AND((ISNUMBER(E52)),(ISNUMBER(E54)))</f>
        <v>0</v>
      </c>
      <c r="AC58" s="54" t="str">
        <f>IF(AB58,E54-E52,"impossible")</f>
        <v>impossible</v>
      </c>
      <c r="AD58" s="54" t="str">
        <f>IF(AB58,(D54-D52)*24/6,"Impossible")</f>
        <v>Impossible</v>
      </c>
      <c r="AE58" s="54" t="e">
        <f>AC58/12</f>
        <v>#VALUE!</v>
      </c>
      <c r="AF58" s="54" t="e">
        <f>$D$36-E52</f>
        <v>#VALUE!</v>
      </c>
      <c r="AG58" s="54" t="e">
        <f>AF58/AE58</f>
        <v>#VALUE!</v>
      </c>
      <c r="AH58" s="54" t="e">
        <f>IF(AG58&lt;1,AG58,IF(AG58&lt;3,1+(AG58-1)/2,IF(AG58&lt;6,2+(AG58-3)/3,IF(AG58&lt;9,3+(AG58-6)/3,IF(AG58&lt;11,4+(AG58-9)/2,5+(AG58-11))))))</f>
        <v>#VALUE!</v>
      </c>
      <c r="AI58" s="55" t="str">
        <f>D52</f>
        <v>-</v>
      </c>
      <c r="AJ58" s="54" t="e">
        <f>IF(OR(AG58&gt;12,AG58&lt;0),"Impossible",D52+(AD58/24)*AH58)</f>
        <v>#VALUE!</v>
      </c>
    </row>
    <row r="59" spans="4:51" x14ac:dyDescent="0.25">
      <c r="O59"/>
      <c r="P59"/>
      <c r="Q59"/>
      <c r="R59"/>
      <c r="S59"/>
      <c r="T59"/>
      <c r="U59"/>
      <c r="V59"/>
      <c r="W59"/>
      <c r="X59"/>
      <c r="Y59"/>
    </row>
    <row r="60" spans="4:51" x14ac:dyDescent="0.25">
      <c r="O60"/>
      <c r="P60"/>
      <c r="Q60"/>
      <c r="R60"/>
      <c r="S60"/>
      <c r="T60"/>
      <c r="U60"/>
      <c r="V60"/>
      <c r="W60"/>
      <c r="X60"/>
      <c r="Y60"/>
      <c r="AB60" s="16" t="b">
        <f>AND((ISNUMBER(E54)),(ISNUMBER(E56)))</f>
        <v>0</v>
      </c>
      <c r="AC60" s="54" t="str">
        <f>IF(AB60,E56-E54,"impossible")</f>
        <v>impossible</v>
      </c>
      <c r="AD60" s="54" t="str">
        <f>IF(AB60,(D56-D54)*24/6,"Impossible")</f>
        <v>Impossible</v>
      </c>
      <c r="AE60" s="54" t="e">
        <f>AC60/12</f>
        <v>#VALUE!</v>
      </c>
      <c r="AF60" s="54" t="e">
        <f>$D$36-E54</f>
        <v>#VALUE!</v>
      </c>
      <c r="AG60" s="54" t="e">
        <f>AF60/AE60</f>
        <v>#VALUE!</v>
      </c>
      <c r="AH60" s="54" t="e">
        <f>IF(AG60&lt;1,AG60,IF(AG60&lt;3,1+(AG60-1)/2,IF(AG60&lt;6,2+(AG60-3)/3,IF(AG60&lt;9,3+(AG60-6)/3,IF(AG60&lt;11,4+(AG60-9)/2,5+(AG60-11))))))</f>
        <v>#VALUE!</v>
      </c>
      <c r="AI60" s="55" t="str">
        <f>D54</f>
        <v>-</v>
      </c>
      <c r="AJ60" s="54" t="str">
        <f>IF(AB60,IF(OR(AG60&gt;12,AG60&lt;0),"Impossible",D54+(AD60/24)*AH60),"impossible")</f>
        <v>impossible</v>
      </c>
    </row>
    <row r="61" spans="4:51" x14ac:dyDescent="0.25">
      <c r="O61"/>
      <c r="P61"/>
      <c r="Q61"/>
      <c r="R61"/>
      <c r="S61"/>
      <c r="T61"/>
      <c r="U61"/>
      <c r="V61"/>
      <c r="W61"/>
      <c r="X61"/>
      <c r="Y61"/>
    </row>
    <row r="62" spans="4:51" x14ac:dyDescent="0.25">
      <c r="O62"/>
      <c r="P62"/>
      <c r="Q62"/>
      <c r="R62"/>
      <c r="S62"/>
      <c r="T62"/>
      <c r="U62"/>
      <c r="V62"/>
      <c r="W62"/>
      <c r="X62"/>
      <c r="Y62"/>
      <c r="AB62" s="16" t="b">
        <f>AND((ISNUMBER(E56)),(ISNUMBER(E58)))</f>
        <v>0</v>
      </c>
      <c r="AC62" s="54" t="str">
        <f>IF(AB62,E58-E56,"impossible")</f>
        <v>impossible</v>
      </c>
      <c r="AD62" s="54" t="str">
        <f>IF(AB62,(D58-D56)*24/6,"Impossible")</f>
        <v>Impossible</v>
      </c>
      <c r="AE62" s="54" t="e">
        <f>AC62/12</f>
        <v>#VALUE!</v>
      </c>
      <c r="AF62" s="54" t="e">
        <f>$D$36-E56</f>
        <v>#VALUE!</v>
      </c>
      <c r="AG62" s="54" t="e">
        <f>AF62/AE62</f>
        <v>#VALUE!</v>
      </c>
      <c r="AH62" s="54" t="e">
        <f>IF(AG62&lt;1,AG62,IF(AG62&lt;3,1+(AG62-1)/2,IF(AG62&lt;6,2+(AG62-3)/3,IF(AG62&lt;9,3+(AG62-6)/3,IF(AG62&lt;11,4+(AG62-9)/2,5+(AG62-11))))))</f>
        <v>#VALUE!</v>
      </c>
      <c r="AI62" s="55" t="str">
        <f>D56</f>
        <v>-</v>
      </c>
      <c r="AJ62" s="54" t="str">
        <f>IF(AB62,IF(OR(AG62&gt;12,AG62&lt;0),"Impossible",D56+(AD62/24)*AH62),"impossible")</f>
        <v>impossible</v>
      </c>
    </row>
    <row r="63" spans="4:51" x14ac:dyDescent="0.25">
      <c r="O63"/>
      <c r="P63"/>
      <c r="Q63"/>
      <c r="R63"/>
      <c r="S63"/>
      <c r="T63"/>
      <c r="U63"/>
      <c r="V63"/>
      <c r="W63"/>
      <c r="X63"/>
      <c r="Y63"/>
    </row>
    <row r="64" spans="4:51" x14ac:dyDescent="0.25">
      <c r="O64"/>
      <c r="P64"/>
      <c r="Q64"/>
      <c r="R64"/>
      <c r="S64"/>
      <c r="T64"/>
      <c r="U64"/>
      <c r="V64"/>
      <c r="W64"/>
      <c r="X64"/>
      <c r="Y64"/>
      <c r="AC64" s="56" t="s">
        <v>283</v>
      </c>
      <c r="AD64" s="56" t="s">
        <v>284</v>
      </c>
      <c r="AE64" s="56" t="s">
        <v>287</v>
      </c>
      <c r="AF64" s="56" t="s">
        <v>298</v>
      </c>
      <c r="AG64" s="56" t="s">
        <v>286</v>
      </c>
      <c r="AH64" s="56" t="s">
        <v>288</v>
      </c>
      <c r="AI64" s="56" t="s">
        <v>290</v>
      </c>
      <c r="AJ64" s="56" t="s">
        <v>11</v>
      </c>
      <c r="AK64" s="56" t="s">
        <v>291</v>
      </c>
      <c r="AL64" s="16" t="s">
        <v>292</v>
      </c>
      <c r="AN64" s="16" t="s">
        <v>271</v>
      </c>
      <c r="AO64" s="16" t="s">
        <v>101</v>
      </c>
      <c r="AP64" s="16" t="s">
        <v>272</v>
      </c>
      <c r="AQ64" s="16" t="s">
        <v>65</v>
      </c>
      <c r="AR64" s="16" t="s">
        <v>272</v>
      </c>
      <c r="AS64" s="16" t="s">
        <v>293</v>
      </c>
      <c r="AT64" s="16" t="s">
        <v>294</v>
      </c>
      <c r="AU64" s="16" t="s">
        <v>295</v>
      </c>
      <c r="AV64" s="16" t="s">
        <v>296</v>
      </c>
      <c r="AW64" s="16" t="s">
        <v>272</v>
      </c>
      <c r="AX64" s="16" t="s">
        <v>11</v>
      </c>
      <c r="AY64" s="16" t="s">
        <v>11</v>
      </c>
    </row>
    <row r="65" spans="15:51" x14ac:dyDescent="0.25">
      <c r="O65"/>
      <c r="P65"/>
      <c r="Q65"/>
      <c r="R65"/>
      <c r="S65"/>
      <c r="T65"/>
      <c r="U65"/>
      <c r="V65"/>
      <c r="W65"/>
      <c r="X65"/>
      <c r="Y65"/>
      <c r="AC65" s="16">
        <f ca="1">AC46</f>
        <v>-4.5600000000000005</v>
      </c>
      <c r="AD65" s="56">
        <f ca="1">AD46</f>
        <v>1.0333333333546761</v>
      </c>
      <c r="AE65" s="56">
        <f ca="1">AE46</f>
        <v>-0.38000000000000006</v>
      </c>
      <c r="AF65" s="57">
        <f ca="1">24*(AL65-D40)/AD65</f>
        <v>-1.9354838708151059</v>
      </c>
      <c r="AG65" s="56">
        <f t="shared" ref="AG65:AG73" ca="1" si="33">IF(AF65&lt;1,AF65,IF(AF65&lt;2,1+(AF65-1)*2,IF(AF65&lt;3,3+(AF65-2)*3,IF(AF65&lt;4,6+(AF65-3)*3,IF(AF65&lt;5,9+(AF65-4)*2,11+(AF65-5))))))</f>
        <v>-1.9354838708151059</v>
      </c>
      <c r="AH65" s="56">
        <f t="shared" ref="AH65:AH73" ca="1" si="34">AG65*AE65</f>
        <v>0.73548387090974032</v>
      </c>
      <c r="AI65" s="56"/>
      <c r="AJ65" s="56">
        <f ca="1">E40+AH65</f>
        <v>10.295483870909742</v>
      </c>
      <c r="AK65" s="56" t="str">
        <f ca="1">CONCATENATE(YEAR(D40),"/",MONTH(D40),"/",DAY(D40))</f>
        <v>2024/12/20</v>
      </c>
      <c r="AL65" s="56">
        <f t="shared" ref="AL65:AL72" ca="1" si="35">DATEVALUE(AK65)+AR65</f>
        <v>45646.333333333336</v>
      </c>
      <c r="AM65" s="56" t="str">
        <f t="shared" ref="AM65:AM72" si="36">$D$37</f>
        <v>08:00</v>
      </c>
      <c r="AN65" s="56" t="b">
        <f t="shared" ref="AN65:AN72" si="37">ISNUMBER(SEARCH("-",AM65,1))</f>
        <v>0</v>
      </c>
      <c r="AO65" s="56">
        <f t="shared" ref="AO65:AO72" si="38">IF(AN65,-1,1)</f>
        <v>1</v>
      </c>
      <c r="AP65" s="56">
        <f t="shared" ref="AP65:AP72" si="39">ABS(VALUE(LEFT($AM65,SEARCH(":",$AM65,1)-1)))</f>
        <v>8</v>
      </c>
      <c r="AQ65" s="56">
        <f t="shared" ref="AQ65:AQ72" si="40">ABS(VALUE(RIGHT($AM65,LEN($AM65)-SEARCH(":",$AM65,1))))</f>
        <v>0</v>
      </c>
      <c r="AR65" s="56">
        <f t="shared" ref="AR65:AR72" si="41">(AP65+AQ65/60)/24</f>
        <v>0.33333333333333331</v>
      </c>
      <c r="AS65" s="56" t="b">
        <f ca="1">AND(AL65&gt;AI46,AL65&lt;AI48)</f>
        <v>0</v>
      </c>
      <c r="AT65" s="56">
        <f t="shared" ref="AT65:AT72" ca="1" si="42">IF(AS65,1,0)</f>
        <v>0</v>
      </c>
      <c r="AU65" s="16">
        <f ca="1">MATCH(1,AT65:AT72,0)</f>
        <v>4</v>
      </c>
      <c r="AV65" s="16" t="b">
        <f ca="1">ISNUMBER(AU65)</f>
        <v>1</v>
      </c>
      <c r="AW65" s="16">
        <f ca="1">IF(AV65,INDEX($AJ$65:$AJ$73,AU65),0)</f>
        <v>5.7787365591939714</v>
      </c>
      <c r="AX65" s="16">
        <f ca="1">IF($AV65,INDEX($AL$65:$AL$74,$AU65),0)</f>
        <v>45647.333333333336</v>
      </c>
      <c r="AY65" s="51">
        <f ca="1">AX65</f>
        <v>45647.333333333336</v>
      </c>
    </row>
    <row r="66" spans="15:51" x14ac:dyDescent="0.25">
      <c r="O66"/>
      <c r="P66"/>
      <c r="Q66"/>
      <c r="R66"/>
      <c r="S66"/>
      <c r="T66"/>
      <c r="U66"/>
      <c r="V66"/>
      <c r="W66"/>
      <c r="X66"/>
      <c r="Y66"/>
      <c r="AC66" s="16">
        <f ca="1">AC48</f>
        <v>5.1999999999999993</v>
      </c>
      <c r="AD66" s="56">
        <f ca="1">AD48</f>
        <v>1.3333333333139308</v>
      </c>
      <c r="AE66" s="56">
        <f ca="1">AE48</f>
        <v>0.43333333333333329</v>
      </c>
      <c r="AF66" s="57">
        <f ca="1">24*(AL66-D42)/AD66</f>
        <v>-6.1500000000982258</v>
      </c>
      <c r="AG66" s="56">
        <f t="shared" ca="1" si="33"/>
        <v>-6.1500000000982258</v>
      </c>
      <c r="AH66" s="56">
        <f t="shared" ca="1" si="34"/>
        <v>-2.6650000000425642</v>
      </c>
      <c r="AI66" s="56"/>
      <c r="AJ66" s="56">
        <f ca="1">E42+AH66</f>
        <v>2.3349999999574358</v>
      </c>
      <c r="AK66" s="56" t="str">
        <f ca="1">CONCATENATE(YEAR(D42),"/",MONTH(D42),"/",DAY(D42))</f>
        <v>2024/12/20</v>
      </c>
      <c r="AL66" s="56">
        <f t="shared" ca="1" si="35"/>
        <v>45646.333333333336</v>
      </c>
      <c r="AM66" s="56" t="str">
        <f t="shared" si="36"/>
        <v>08:00</v>
      </c>
      <c r="AN66" s="56" t="b">
        <f t="shared" si="37"/>
        <v>0</v>
      </c>
      <c r="AO66" s="56">
        <f t="shared" si="38"/>
        <v>1</v>
      </c>
      <c r="AP66" s="56">
        <f t="shared" si="39"/>
        <v>8</v>
      </c>
      <c r="AQ66" s="56">
        <f t="shared" si="40"/>
        <v>0</v>
      </c>
      <c r="AR66" s="56">
        <f t="shared" si="41"/>
        <v>0.33333333333333331</v>
      </c>
      <c r="AS66" s="56" t="b">
        <f ca="1">AND(AL66&gt;AI48,AL66&lt;AI50)</f>
        <v>0</v>
      </c>
      <c r="AT66" s="56">
        <f t="shared" ca="1" si="42"/>
        <v>0</v>
      </c>
      <c r="AU66" s="16" t="e">
        <f ca="1">AU65+MATCH(1,INDEX(AT:AT,65+AU65):AT73,0)</f>
        <v>#N/A</v>
      </c>
      <c r="AV66" s="16" t="b">
        <f ca="1">ISNUMBER(AU66)</f>
        <v>0</v>
      </c>
      <c r="AW66" s="16">
        <f ca="1">IF(AV66,INDEX($AJ$65:$AJ$73,AU66),AW65)</f>
        <v>5.7787365591939714</v>
      </c>
      <c r="AX66" s="16">
        <f ca="1">IF($AV66,INDEX($AL$65:$AL$74,$AU66),AX65)</f>
        <v>45647.333333333336</v>
      </c>
      <c r="AY66" s="51">
        <f ca="1">AX66</f>
        <v>45647.333333333336</v>
      </c>
    </row>
    <row r="67" spans="15:51" x14ac:dyDescent="0.25">
      <c r="O67"/>
      <c r="P67"/>
      <c r="Q67"/>
      <c r="R67"/>
      <c r="S67"/>
      <c r="T67"/>
      <c r="U67"/>
      <c r="V67"/>
      <c r="W67"/>
      <c r="X67"/>
      <c r="Y67"/>
      <c r="AC67" s="16">
        <f ca="1">AC50</f>
        <v>-5.4499999999999993</v>
      </c>
      <c r="AD67" s="56">
        <f ca="1">AD50</f>
        <v>1</v>
      </c>
      <c r="AE67" s="56">
        <f ca="1">AE50</f>
        <v>-0.45416666666666661</v>
      </c>
      <c r="AF67" s="57">
        <f ca="1">24*(AL67-D44)/AD67</f>
        <v>7.8000000001047738</v>
      </c>
      <c r="AG67" s="56">
        <f t="shared" ca="1" si="33"/>
        <v>13.800000000104774</v>
      </c>
      <c r="AH67" s="56">
        <f t="shared" ca="1" si="34"/>
        <v>-6.2675000000475842</v>
      </c>
      <c r="AI67" s="56"/>
      <c r="AJ67" s="56">
        <f ca="1">E44+AH67</f>
        <v>3.9324999999524151</v>
      </c>
      <c r="AK67" s="56" t="str">
        <f ca="1">CONCATENATE(YEAR(D44),"/",MONTH(D44),"/",DAY(D44))</f>
        <v>2024/12/21</v>
      </c>
      <c r="AL67" s="56">
        <f t="shared" ca="1" si="35"/>
        <v>45647.333333333336</v>
      </c>
      <c r="AM67" s="56" t="str">
        <f t="shared" si="36"/>
        <v>08:00</v>
      </c>
      <c r="AN67" s="56" t="b">
        <f t="shared" si="37"/>
        <v>0</v>
      </c>
      <c r="AO67" s="56">
        <f t="shared" si="38"/>
        <v>1</v>
      </c>
      <c r="AP67" s="56">
        <f t="shared" si="39"/>
        <v>8</v>
      </c>
      <c r="AQ67" s="56">
        <f t="shared" si="40"/>
        <v>0</v>
      </c>
      <c r="AR67" s="56">
        <f t="shared" si="41"/>
        <v>0.33333333333333331</v>
      </c>
      <c r="AS67" s="56" t="b">
        <f ca="1">AND(AL67&gt;AI50,AL67&lt;AI52)</f>
        <v>0</v>
      </c>
      <c r="AT67" s="56">
        <f t="shared" ca="1" si="42"/>
        <v>0</v>
      </c>
      <c r="AU67" s="16" t="e">
        <f ca="1">AU66+MATCH(1,INDEX(AT:AT,65+AU66):AT74,0)</f>
        <v>#N/A</v>
      </c>
      <c r="AV67" s="16" t="b">
        <f ca="1">ISNUMBER(AU67)</f>
        <v>0</v>
      </c>
      <c r="AW67" s="16">
        <f ca="1">IF(AV67,INDEX($AJ$65:$AJ$73,AU67),AW66)</f>
        <v>5.7787365591939714</v>
      </c>
      <c r="AX67" s="16">
        <f ca="1">IF($AV67,INDEX($AL$46:$AL$63,$AU67),$AX66)</f>
        <v>45647.333333333336</v>
      </c>
      <c r="AY67" s="51">
        <f ca="1">AX67</f>
        <v>45647.333333333336</v>
      </c>
    </row>
    <row r="68" spans="15:51" x14ac:dyDescent="0.25">
      <c r="O68"/>
      <c r="P68"/>
      <c r="Q68"/>
      <c r="R68"/>
      <c r="S68"/>
      <c r="T68"/>
      <c r="U68"/>
      <c r="V68"/>
      <c r="W68"/>
      <c r="X68"/>
      <c r="Y68"/>
      <c r="AC68" s="16">
        <f ca="1">AC52</f>
        <v>4.9700000000000006</v>
      </c>
      <c r="AD68" s="56">
        <f ca="1">AD52</f>
        <v>1.0333333333546761</v>
      </c>
      <c r="AE68" s="56">
        <f ca="1">AE52</f>
        <v>0.41416666666666674</v>
      </c>
      <c r="AF68" s="57">
        <f ca="1">24*(AL68-D46)/AD68</f>
        <v>1.7419354839363832</v>
      </c>
      <c r="AG68" s="56">
        <f t="shared" ca="1" si="33"/>
        <v>2.4838709678727664</v>
      </c>
      <c r="AH68" s="56">
        <f t="shared" ca="1" si="34"/>
        <v>1.028736559193971</v>
      </c>
      <c r="AI68" s="56"/>
      <c r="AJ68" s="56">
        <f ca="1">E46+AH68</f>
        <v>5.7787365591939714</v>
      </c>
      <c r="AK68" s="56" t="str">
        <f ca="1">CONCATENATE(YEAR(D46),"/",MONTH(D46),"/",DAY(D46))</f>
        <v>2024/12/21</v>
      </c>
      <c r="AL68" s="56">
        <f t="shared" ca="1" si="35"/>
        <v>45647.333333333336</v>
      </c>
      <c r="AM68" s="56" t="str">
        <f t="shared" si="36"/>
        <v>08:00</v>
      </c>
      <c r="AN68" s="56" t="b">
        <f t="shared" si="37"/>
        <v>0</v>
      </c>
      <c r="AO68" s="56">
        <f t="shared" si="38"/>
        <v>1</v>
      </c>
      <c r="AP68" s="56">
        <f t="shared" si="39"/>
        <v>8</v>
      </c>
      <c r="AQ68" s="56">
        <f t="shared" si="40"/>
        <v>0</v>
      </c>
      <c r="AR68" s="56">
        <f t="shared" si="41"/>
        <v>0.33333333333333331</v>
      </c>
      <c r="AS68" s="56" t="b">
        <f ca="1">AND(AL68&gt;AI52,AL68&lt;AI54)</f>
        <v>1</v>
      </c>
      <c r="AT68" s="56">
        <f t="shared" ca="1" si="42"/>
        <v>1</v>
      </c>
      <c r="AU68" s="16" t="e">
        <f ca="1">AU67+MATCH(1,INDEX(AT:AT,65+AU67):AT75,0)</f>
        <v>#N/A</v>
      </c>
      <c r="AV68" s="16" t="b">
        <f ca="1">ISNUMBER(AU68)</f>
        <v>0</v>
      </c>
      <c r="AW68" s="16">
        <f ca="1">IF(AV68,INDEX($AJ$65:$AJ$73,AU68),AW67)</f>
        <v>5.7787365591939714</v>
      </c>
      <c r="AX68" s="16">
        <f ca="1">IF($AV68,INDEX($AL$46:$AL$63,$AU68),$AX67)</f>
        <v>45647.333333333336</v>
      </c>
      <c r="AY68" s="51">
        <f ca="1">AX68</f>
        <v>45647.333333333336</v>
      </c>
    </row>
    <row r="69" spans="15:51" x14ac:dyDescent="0.25">
      <c r="O69"/>
      <c r="P69"/>
      <c r="Q69"/>
      <c r="R69"/>
      <c r="S69"/>
      <c r="T69"/>
      <c r="U69"/>
      <c r="V69"/>
      <c r="W69"/>
      <c r="X69"/>
      <c r="Y69"/>
      <c r="AC69" s="16" t="str">
        <f ca="1">AC54</f>
        <v>impossible</v>
      </c>
      <c r="AD69" s="56" t="str">
        <f ca="1">AD54</f>
        <v>Impossible</v>
      </c>
      <c r="AE69" s="56" t="e">
        <f ca="1">AE54</f>
        <v>#VALUE!</v>
      </c>
      <c r="AF69" s="57" t="e">
        <f ca="1">24*(AL69-D48)/AD69</f>
        <v>#VALUE!</v>
      </c>
      <c r="AG69" s="56" t="e">
        <f t="shared" ca="1" si="33"/>
        <v>#VALUE!</v>
      </c>
      <c r="AH69" s="56" t="e">
        <f t="shared" ca="1" si="34"/>
        <v>#VALUE!</v>
      </c>
      <c r="AI69" s="56"/>
      <c r="AJ69" s="56" t="e">
        <f ca="1">E48+AH69</f>
        <v>#VALUE!</v>
      </c>
      <c r="AK69" s="56" t="str">
        <f ca="1">CONCATENATE(YEAR(D48),"/",MONTH(D48),"/",DAY(D48))</f>
        <v>2024/12/21</v>
      </c>
      <c r="AL69" s="56">
        <f t="shared" ca="1" si="35"/>
        <v>45647.333333333336</v>
      </c>
      <c r="AM69" s="56" t="str">
        <f t="shared" si="36"/>
        <v>08:00</v>
      </c>
      <c r="AN69" s="56" t="b">
        <f t="shared" si="37"/>
        <v>0</v>
      </c>
      <c r="AO69" s="56">
        <f t="shared" si="38"/>
        <v>1</v>
      </c>
      <c r="AP69" s="56">
        <f t="shared" si="39"/>
        <v>8</v>
      </c>
      <c r="AQ69" s="56">
        <f t="shared" si="40"/>
        <v>0</v>
      </c>
      <c r="AR69" s="56">
        <f t="shared" si="41"/>
        <v>0.33333333333333331</v>
      </c>
      <c r="AS69" s="56" t="b">
        <f ca="1">AND(AL69&gt;AI54,AL69&lt;AI56)</f>
        <v>0</v>
      </c>
      <c r="AT69" s="56">
        <f t="shared" ca="1" si="42"/>
        <v>0</v>
      </c>
    </row>
    <row r="70" spans="15:51" x14ac:dyDescent="0.25">
      <c r="O70"/>
      <c r="P70"/>
      <c r="Q70"/>
      <c r="R70"/>
      <c r="S70"/>
      <c r="T70"/>
      <c r="U70"/>
      <c r="V70"/>
      <c r="W70"/>
      <c r="X70"/>
      <c r="Y70"/>
      <c r="AC70" s="16" t="str">
        <f>AC56</f>
        <v>impossible</v>
      </c>
      <c r="AD70" s="56" t="str">
        <f>AD56</f>
        <v>Impossible</v>
      </c>
      <c r="AE70" s="56" t="e">
        <f>AE56</f>
        <v>#VALUE!</v>
      </c>
      <c r="AF70" s="57" t="e">
        <f>24*(AL70-D50)/AD70</f>
        <v>#VALUE!</v>
      </c>
      <c r="AG70" s="56" t="e">
        <f t="shared" si="33"/>
        <v>#VALUE!</v>
      </c>
      <c r="AH70" s="56" t="e">
        <f t="shared" si="34"/>
        <v>#VALUE!</v>
      </c>
      <c r="AI70" s="56"/>
      <c r="AJ70" s="56" t="e">
        <f>E50+AH70</f>
        <v>#VALUE!</v>
      </c>
      <c r="AK70" s="56" t="e">
        <f>CONCATENATE(YEAR(D50),"/",MONTH(D50),"/",DAY(D50))</f>
        <v>#VALUE!</v>
      </c>
      <c r="AL70" s="56" t="e">
        <f t="shared" si="35"/>
        <v>#VALUE!</v>
      </c>
      <c r="AM70" s="56" t="str">
        <f t="shared" si="36"/>
        <v>08:00</v>
      </c>
      <c r="AN70" s="56" t="b">
        <f t="shared" si="37"/>
        <v>0</v>
      </c>
      <c r="AO70" s="56">
        <f t="shared" si="38"/>
        <v>1</v>
      </c>
      <c r="AP70" s="56">
        <f t="shared" si="39"/>
        <v>8</v>
      </c>
      <c r="AQ70" s="56">
        <f t="shared" si="40"/>
        <v>0</v>
      </c>
      <c r="AR70" s="56">
        <f t="shared" si="41"/>
        <v>0.33333333333333331</v>
      </c>
      <c r="AS70" s="56" t="e">
        <f>AND(AL70&gt;AI56,AL70&lt;AI58)</f>
        <v>#VALUE!</v>
      </c>
      <c r="AT70" s="56" t="e">
        <f t="shared" si="42"/>
        <v>#VALUE!</v>
      </c>
    </row>
    <row r="71" spans="15:51" x14ac:dyDescent="0.25">
      <c r="O71"/>
      <c r="P71"/>
      <c r="Q71"/>
      <c r="R71"/>
      <c r="S71"/>
      <c r="T71"/>
      <c r="U71"/>
      <c r="V71"/>
      <c r="W71"/>
      <c r="X71"/>
      <c r="Y71"/>
      <c r="AC71" s="16" t="str">
        <f>AC58</f>
        <v>impossible</v>
      </c>
      <c r="AD71" s="56" t="str">
        <f>AD58</f>
        <v>Impossible</v>
      </c>
      <c r="AE71" s="56" t="e">
        <f>AE58</f>
        <v>#VALUE!</v>
      </c>
      <c r="AF71" s="57" t="e">
        <f>24*(AL71-D52)/AD71</f>
        <v>#VALUE!</v>
      </c>
      <c r="AG71" s="56" t="e">
        <f t="shared" si="33"/>
        <v>#VALUE!</v>
      </c>
      <c r="AH71" s="56" t="e">
        <f t="shared" si="34"/>
        <v>#VALUE!</v>
      </c>
      <c r="AI71" s="56"/>
      <c r="AJ71" s="56" t="e">
        <f>E52+AH71</f>
        <v>#VALUE!</v>
      </c>
      <c r="AK71" s="56" t="e">
        <f>CONCATENATE(YEAR(D52),"/",MONTH(D52),"/",DAY(D52))</f>
        <v>#VALUE!</v>
      </c>
      <c r="AL71" s="56" t="e">
        <f t="shared" si="35"/>
        <v>#VALUE!</v>
      </c>
      <c r="AM71" s="56" t="str">
        <f t="shared" si="36"/>
        <v>08:00</v>
      </c>
      <c r="AN71" s="56" t="b">
        <f t="shared" si="37"/>
        <v>0</v>
      </c>
      <c r="AO71" s="56">
        <f t="shared" si="38"/>
        <v>1</v>
      </c>
      <c r="AP71" s="56">
        <f t="shared" si="39"/>
        <v>8</v>
      </c>
      <c r="AQ71" s="56">
        <f t="shared" si="40"/>
        <v>0</v>
      </c>
      <c r="AR71" s="56">
        <f t="shared" si="41"/>
        <v>0.33333333333333331</v>
      </c>
      <c r="AS71" s="56" t="e">
        <f>AND(AL71&gt;AI58,AL71&lt;AI60)</f>
        <v>#VALUE!</v>
      </c>
      <c r="AT71" s="56" t="e">
        <f t="shared" si="42"/>
        <v>#VALUE!</v>
      </c>
    </row>
    <row r="72" spans="15:51" x14ac:dyDescent="0.25">
      <c r="O72"/>
      <c r="P72"/>
      <c r="Q72"/>
      <c r="R72"/>
      <c r="S72"/>
      <c r="T72"/>
      <c r="U72"/>
      <c r="V72"/>
      <c r="W72"/>
      <c r="X72"/>
      <c r="Y72"/>
      <c r="AC72" s="16" t="str">
        <f>AC60</f>
        <v>impossible</v>
      </c>
      <c r="AD72" s="56" t="str">
        <f>AD60</f>
        <v>Impossible</v>
      </c>
      <c r="AE72" s="56" t="e">
        <f>AE60</f>
        <v>#VALUE!</v>
      </c>
      <c r="AF72" s="57" t="e">
        <f>24*(AL72-D54)/AD72</f>
        <v>#VALUE!</v>
      </c>
      <c r="AG72" s="56" t="e">
        <f t="shared" si="33"/>
        <v>#VALUE!</v>
      </c>
      <c r="AH72" s="56" t="e">
        <f t="shared" si="34"/>
        <v>#VALUE!</v>
      </c>
      <c r="AI72" s="56"/>
      <c r="AJ72" s="56" t="e">
        <f>E54+AH72</f>
        <v>#VALUE!</v>
      </c>
      <c r="AK72" s="56" t="e">
        <f>CONCATENATE(YEAR(D54),"/",MONTH(D54),"/",DAY(D54))</f>
        <v>#VALUE!</v>
      </c>
      <c r="AL72" s="56" t="e">
        <f t="shared" si="35"/>
        <v>#VALUE!</v>
      </c>
      <c r="AM72" s="56" t="str">
        <f t="shared" si="36"/>
        <v>08:00</v>
      </c>
      <c r="AN72" s="56" t="b">
        <f t="shared" si="37"/>
        <v>0</v>
      </c>
      <c r="AO72" s="56">
        <f t="shared" si="38"/>
        <v>1</v>
      </c>
      <c r="AP72" s="56">
        <f t="shared" si="39"/>
        <v>8</v>
      </c>
      <c r="AQ72" s="56">
        <f t="shared" si="40"/>
        <v>0</v>
      </c>
      <c r="AR72" s="56">
        <f t="shared" si="41"/>
        <v>0.33333333333333331</v>
      </c>
      <c r="AS72" s="56" t="e">
        <f>AND(AL72&gt;AI60,AL72&lt;AI62)</f>
        <v>#VALUE!</v>
      </c>
      <c r="AT72" s="56" t="e">
        <f t="shared" si="42"/>
        <v>#VALUE!</v>
      </c>
    </row>
    <row r="73" spans="15:51" x14ac:dyDescent="0.25">
      <c r="O73"/>
      <c r="P73"/>
      <c r="Q73"/>
      <c r="R73"/>
      <c r="S73"/>
      <c r="T73"/>
      <c r="U73"/>
      <c r="V73"/>
      <c r="W73"/>
      <c r="X73"/>
      <c r="Y73"/>
      <c r="AC73" s="16" t="str">
        <f>AC62</f>
        <v>impossible</v>
      </c>
      <c r="AD73" s="56" t="str">
        <f>AD62</f>
        <v>Impossible</v>
      </c>
      <c r="AE73" s="56" t="e">
        <f>AE62</f>
        <v>#VALUE!</v>
      </c>
      <c r="AF73" s="57" t="e">
        <f>24*(AL63-D56)/AD73</f>
        <v>#VALUE!</v>
      </c>
      <c r="AG73" s="56" t="e">
        <f t="shared" si="33"/>
        <v>#VALUE!</v>
      </c>
      <c r="AH73" s="56" t="e">
        <f t="shared" si="34"/>
        <v>#VALUE!</v>
      </c>
      <c r="AI73" s="56"/>
      <c r="AJ73" s="56" t="e">
        <f>E56+AH73</f>
        <v>#VALUE!</v>
      </c>
    </row>
    <row r="74" spans="15:51" x14ac:dyDescent="0.25">
      <c r="O74"/>
      <c r="P74"/>
      <c r="Q74"/>
      <c r="R74"/>
      <c r="S74"/>
      <c r="T74"/>
      <c r="U74"/>
      <c r="V74"/>
      <c r="W74"/>
      <c r="X74"/>
      <c r="Y74"/>
    </row>
    <row r="75" spans="15:51" x14ac:dyDescent="0.25">
      <c r="O75"/>
      <c r="P75"/>
      <c r="Q75"/>
      <c r="R75"/>
      <c r="S75"/>
      <c r="T75"/>
      <c r="U75"/>
      <c r="V75"/>
      <c r="W75"/>
      <c r="X75"/>
      <c r="Y75"/>
    </row>
    <row r="76" spans="15:51" x14ac:dyDescent="0.25">
      <c r="O76"/>
      <c r="P76"/>
      <c r="Q76"/>
      <c r="R76"/>
      <c r="S76"/>
      <c r="T76"/>
      <c r="U76"/>
      <c r="V76"/>
      <c r="W76"/>
      <c r="X76"/>
      <c r="Y76"/>
    </row>
    <row r="77" spans="15:51" x14ac:dyDescent="0.25">
      <c r="O77"/>
      <c r="P77"/>
      <c r="Q77"/>
      <c r="R77"/>
      <c r="S77"/>
      <c r="T77"/>
      <c r="U77"/>
      <c r="V77"/>
      <c r="W77"/>
      <c r="X77"/>
      <c r="Y77"/>
    </row>
    <row r="78" spans="15:51" x14ac:dyDescent="0.25">
      <c r="O78"/>
      <c r="P78"/>
      <c r="Q78"/>
      <c r="R78"/>
      <c r="S78"/>
      <c r="T78"/>
      <c r="U78"/>
      <c r="V78"/>
      <c r="W78"/>
      <c r="X78"/>
      <c r="Y78"/>
    </row>
  </sheetData>
  <dataConsolidate link="1"/>
  <mergeCells count="31">
    <mergeCell ref="C20:G20"/>
    <mergeCell ref="H20:K20"/>
    <mergeCell ref="D55:F55"/>
    <mergeCell ref="D57:F57"/>
    <mergeCell ref="D47:F47"/>
    <mergeCell ref="D49:F49"/>
    <mergeCell ref="D51:F51"/>
    <mergeCell ref="D53:F53"/>
    <mergeCell ref="D45:F45"/>
    <mergeCell ref="D41:F41"/>
    <mergeCell ref="D43:F43"/>
    <mergeCell ref="Y32:AA32"/>
    <mergeCell ref="Y33:AA33"/>
    <mergeCell ref="Y34:AA34"/>
    <mergeCell ref="G39:H39"/>
    <mergeCell ref="C35:F35"/>
    <mergeCell ref="D38:E38"/>
    <mergeCell ref="F39:F40"/>
    <mergeCell ref="D15:D17"/>
    <mergeCell ref="F8:M8"/>
    <mergeCell ref="F9:I9"/>
    <mergeCell ref="J9:M9"/>
    <mergeCell ref="C1:F4"/>
    <mergeCell ref="G1:Y2"/>
    <mergeCell ref="G3:I4"/>
    <mergeCell ref="J3:L4"/>
    <mergeCell ref="F10:G10"/>
    <mergeCell ref="H10:I10"/>
    <mergeCell ref="J10:K10"/>
    <mergeCell ref="L10:M10"/>
    <mergeCell ref="D12:D14"/>
  </mergeCells>
  <conditionalFormatting sqref="H22:H31">
    <cfRule type="cellIs" dxfId="3" priority="6" operator="equal">
      <formula>"Y"</formula>
    </cfRule>
  </conditionalFormatting>
  <conditionalFormatting sqref="AE22:AK31">
    <cfRule type="cellIs" dxfId="2" priority="4" operator="equal">
      <formula>FALSE</formula>
    </cfRule>
  </conditionalFormatting>
  <conditionalFormatting sqref="AM22:AM31">
    <cfRule type="cellIs" dxfId="1" priority="3" operator="equal">
      <formula>FALSE</formula>
    </cfRule>
  </conditionalFormatting>
  <conditionalFormatting sqref="I22:I31">
    <cfRule type="cellIs" dxfId="0" priority="1" operator="equal">
      <formula>"Y"</formula>
    </cfRule>
  </conditionalFormatting>
  <dataValidations count="3">
    <dataValidation type="list" allowBlank="1" showInputMessage="1" showErrorMessage="1" sqref="D9" xr:uid="{00000000-0002-0000-0500-000000000000}">
      <formula1>$C$13:$C$18</formula1>
    </dataValidation>
    <dataValidation type="list" allowBlank="1" showInputMessage="1" showErrorMessage="1" sqref="C22" xr:uid="{00000000-0002-0000-0500-000002000000}">
      <formula1>$A$13:$A$14</formula1>
    </dataValidation>
    <dataValidation type="list" allowBlank="1" showInputMessage="1" showErrorMessage="1" sqref="D8" xr:uid="{00000000-0002-0000-0500-000001000000}">
      <formula1>$B$13:$B$16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3:T31"/>
  <sheetViews>
    <sheetView zoomScale="85" zoomScaleNormal="85" workbookViewId="0">
      <selection activeCell="D6" sqref="D6"/>
    </sheetView>
  </sheetViews>
  <sheetFormatPr baseColWidth="10" defaultColWidth="7.28515625" defaultRowHeight="15" x14ac:dyDescent="0.25"/>
  <cols>
    <col min="1" max="1" width="7.28515625" style="83"/>
    <col min="2" max="2" width="7.28515625" style="79"/>
    <col min="3" max="3" width="12.7109375" style="80" customWidth="1"/>
    <col min="4" max="4" width="15" style="81" customWidth="1"/>
    <col min="5" max="6" width="7.28515625" style="82"/>
    <col min="7" max="10" width="7.28515625" style="83"/>
    <col min="11" max="11" width="12.140625" style="86" customWidth="1"/>
    <col min="12" max="13" width="12.7109375" style="86" customWidth="1"/>
    <col min="14" max="14" width="15" style="86" customWidth="1"/>
    <col min="15" max="20" width="12.7109375" style="86" customWidth="1"/>
    <col min="21" max="16384" width="7.28515625" style="83"/>
  </cols>
  <sheetData>
    <row r="3" spans="2:20" x14ac:dyDescent="0.25">
      <c r="K3" s="84" t="s">
        <v>214</v>
      </c>
      <c r="L3" s="84" t="s">
        <v>221</v>
      </c>
      <c r="M3" s="84" t="s">
        <v>212</v>
      </c>
      <c r="N3" s="85" t="s">
        <v>224</v>
      </c>
      <c r="P3" s="84" t="s">
        <v>215</v>
      </c>
      <c r="Q3" s="84" t="s">
        <v>213</v>
      </c>
      <c r="R3" s="84" t="s">
        <v>216</v>
      </c>
      <c r="S3" s="84" t="s">
        <v>218</v>
      </c>
      <c r="T3" s="84" t="s">
        <v>196</v>
      </c>
    </row>
    <row r="4" spans="2:20" x14ac:dyDescent="0.25">
      <c r="B4" s="1137" t="s">
        <v>222</v>
      </c>
      <c r="C4" s="87" t="str">
        <f>Maree!D22</f>
        <v>2024/12/20</v>
      </c>
      <c r="D4" s="88" t="s">
        <v>327</v>
      </c>
      <c r="E4" s="94"/>
      <c r="F4" s="89">
        <f>Maree!G22</f>
        <v>9.56</v>
      </c>
      <c r="K4" s="90" t="b">
        <f t="shared" ref="K4:K16" si="0">AND(NOT(ISBLANK(E4)),ISNUMBER(E4), (E4&gt; 0))</f>
        <v>0</v>
      </c>
      <c r="L4" s="90" t="b">
        <f t="shared" ref="L4:L16" si="1">AND(NOT(ISBLANK(F4)),ISNUMBER(F4), (F4&gt; 0))</f>
        <v>1</v>
      </c>
      <c r="M4" s="90" t="b">
        <f>AND($L5,$L4,$K4,$F4&gt;$F5)</f>
        <v>0</v>
      </c>
      <c r="N4" s="90" t="b">
        <f>AND(NOT(ISBLANK(#REF!)),ISNUMBER(#REF!))</f>
        <v>0</v>
      </c>
      <c r="O4" s="91"/>
      <c r="P4" s="90" t="b">
        <f>IF(AND(M4,K4), TRUE, FALSE)</f>
        <v>0</v>
      </c>
      <c r="Q4" s="90" t="b">
        <f>IF(AND(M4,K4), IF(#REF!&gt;70,TRUE, FALSE), FALSE)</f>
        <v>0</v>
      </c>
      <c r="R4" s="90" t="b">
        <f>IF(P4,FALSE,IF(P5,TRUE, FALSE))</f>
        <v>0</v>
      </c>
      <c r="S4" s="90" t="b">
        <f>OR(R4,P4)</f>
        <v>0</v>
      </c>
      <c r="T4" s="90">
        <f>IF(P4,#REF!,IF(R4,#REF!,-1))</f>
        <v>-1</v>
      </c>
    </row>
    <row r="5" spans="2:20" x14ac:dyDescent="0.25">
      <c r="B5" s="1137"/>
      <c r="C5" s="87" t="str">
        <f>Maree!D23</f>
        <v>2024/12/20</v>
      </c>
      <c r="D5" s="88" t="str">
        <f>Maree!E23</f>
        <v>16:12</v>
      </c>
      <c r="E5" s="94">
        <f>Maree!F23</f>
        <v>0</v>
      </c>
      <c r="F5" s="89">
        <f>Maree!G23</f>
        <v>5</v>
      </c>
      <c r="K5" s="90" t="b">
        <f>AND(NOT(ISBLANK(E5)),ISNUMBER(E5), (E5&gt; 0))</f>
        <v>0</v>
      </c>
      <c r="L5" s="90" t="b">
        <f>AND(NOT(ISBLANK(F5)),ISNUMBER(F5), (F5&gt; 0))</f>
        <v>1</v>
      </c>
      <c r="M5" s="90" t="b">
        <f>AND($L6,$L5,$K5,$F5&gt;$F6)</f>
        <v>0</v>
      </c>
      <c r="N5" s="90" t="b">
        <f>AND(NOT(ISBLANK(#REF!)),ISNUMBER(#REF!))</f>
        <v>0</v>
      </c>
      <c r="O5" s="91"/>
      <c r="P5" s="91"/>
      <c r="Q5" s="91"/>
      <c r="R5" s="91"/>
      <c r="S5" s="91"/>
      <c r="T5" s="91"/>
    </row>
    <row r="6" spans="2:20" x14ac:dyDescent="0.25">
      <c r="B6" s="1138" t="s">
        <v>223</v>
      </c>
      <c r="C6" s="92" t="str">
        <f>Maree!D22</f>
        <v>2024/12/20</v>
      </c>
      <c r="D6" s="92" t="str">
        <f>Maree!E22</f>
        <v>10:00</v>
      </c>
      <c r="E6" s="95">
        <f>Maree!F22</f>
        <v>90</v>
      </c>
      <c r="F6" s="92">
        <f>Maree!G22</f>
        <v>9.56</v>
      </c>
      <c r="H6" s="93"/>
      <c r="K6" s="84" t="b">
        <f t="shared" si="0"/>
        <v>1</v>
      </c>
      <c r="L6" s="84" t="b">
        <f t="shared" si="1"/>
        <v>1</v>
      </c>
      <c r="M6" s="84" t="b">
        <f t="shared" ref="M6:M16" si="2">AND(L7,L6,E6,F6&gt;F7)</f>
        <v>1</v>
      </c>
      <c r="N6" s="84" t="b">
        <f>AND(NOT(ISBLANK(#REF!)),ISNUMBER(#REF!))</f>
        <v>0</v>
      </c>
      <c r="P6" s="84" t="b">
        <f>IF(AND(M6,K6), TRUE, FALSE)</f>
        <v>1</v>
      </c>
      <c r="Q6" s="84" t="e">
        <f>IF(AND(M6,K6), IF(#REF!&gt;70,TRUE, FALSE), FALSE)</f>
        <v>#REF!</v>
      </c>
      <c r="R6" s="84" t="b">
        <f>IF(P6,FALSE,IF(P7,TRUE, FALSE))</f>
        <v>0</v>
      </c>
      <c r="S6" s="84" t="b">
        <f>OR(R6,P6)</f>
        <v>1</v>
      </c>
      <c r="T6" s="84" t="e">
        <f>IF(P6,#REF!,IF(R6,#REF!,-1))</f>
        <v>#REF!</v>
      </c>
    </row>
    <row r="7" spans="2:20" x14ac:dyDescent="0.25">
      <c r="B7" s="1138"/>
      <c r="C7" s="92" t="str">
        <f>Maree!D23</f>
        <v>2024/12/20</v>
      </c>
      <c r="D7" s="92" t="str">
        <f>Maree!E23</f>
        <v>16:12</v>
      </c>
      <c r="E7" s="95">
        <f>Maree!F23</f>
        <v>0</v>
      </c>
      <c r="F7" s="92">
        <f>Maree!G23</f>
        <v>5</v>
      </c>
      <c r="K7" s="84" t="b">
        <f t="shared" si="0"/>
        <v>0</v>
      </c>
      <c r="L7" s="84" t="b">
        <f t="shared" si="1"/>
        <v>1</v>
      </c>
      <c r="M7" s="84" t="b">
        <f t="shared" si="2"/>
        <v>0</v>
      </c>
    </row>
    <row r="8" spans="2:20" x14ac:dyDescent="0.25">
      <c r="B8" s="1138"/>
      <c r="C8" s="92" t="str">
        <f>Maree!D24</f>
        <v>2024/12/21</v>
      </c>
      <c r="D8" s="92" t="str">
        <f>Maree!E24</f>
        <v>00:12:00</v>
      </c>
      <c r="E8" s="95">
        <f>Maree!F24</f>
        <v>50</v>
      </c>
      <c r="F8" s="92">
        <f>Maree!G24</f>
        <v>10.199999999999999</v>
      </c>
      <c r="K8" s="84" t="b">
        <f t="shared" si="0"/>
        <v>1</v>
      </c>
      <c r="L8" s="84" t="b">
        <f t="shared" si="1"/>
        <v>1</v>
      </c>
      <c r="M8" s="84" t="b">
        <f t="shared" si="2"/>
        <v>1</v>
      </c>
    </row>
    <row r="9" spans="2:20" x14ac:dyDescent="0.25">
      <c r="B9" s="1138"/>
      <c r="C9" s="92" t="str">
        <f>Maree!D25</f>
        <v>2024/12/21</v>
      </c>
      <c r="D9" s="92" t="str">
        <f>Maree!E25</f>
        <v>06:12</v>
      </c>
      <c r="E9" s="95">
        <f>Maree!F25</f>
        <v>0</v>
      </c>
      <c r="F9" s="92">
        <f>Maree!G25</f>
        <v>4.75</v>
      </c>
      <c r="K9" s="84" t="b">
        <f t="shared" si="0"/>
        <v>0</v>
      </c>
      <c r="L9" s="84" t="b">
        <f t="shared" si="1"/>
        <v>1</v>
      </c>
      <c r="M9" s="84" t="b">
        <f t="shared" si="2"/>
        <v>0</v>
      </c>
    </row>
    <row r="10" spans="2:20" x14ac:dyDescent="0.25">
      <c r="B10" s="1138"/>
      <c r="C10" s="92" t="str">
        <f>Maree!D26</f>
        <v>2024/12/21</v>
      </c>
      <c r="D10" s="92" t="str">
        <f>Maree!E26</f>
        <v>12:24</v>
      </c>
      <c r="E10" s="95">
        <f>Maree!F26</f>
        <v>80</v>
      </c>
      <c r="F10" s="92">
        <f>Maree!G26</f>
        <v>9.7200000000000006</v>
      </c>
      <c r="K10" s="84" t="b">
        <f t="shared" si="0"/>
        <v>1</v>
      </c>
      <c r="L10" s="84" t="b">
        <f t="shared" si="1"/>
        <v>1</v>
      </c>
      <c r="M10" s="84" t="b">
        <f t="shared" si="2"/>
        <v>0</v>
      </c>
    </row>
    <row r="11" spans="2:20" x14ac:dyDescent="0.25">
      <c r="B11" s="1138"/>
      <c r="C11" s="92">
        <f>Maree!D27</f>
        <v>0</v>
      </c>
      <c r="D11" s="92">
        <f>Maree!E27</f>
        <v>0</v>
      </c>
      <c r="E11" s="95">
        <f>Maree!F27</f>
        <v>0</v>
      </c>
      <c r="F11" s="92">
        <f>Maree!G27</f>
        <v>0</v>
      </c>
      <c r="K11" s="84" t="b">
        <f t="shared" si="0"/>
        <v>0</v>
      </c>
      <c r="L11" s="84" t="b">
        <f t="shared" si="1"/>
        <v>0</v>
      </c>
      <c r="M11" s="84" t="b">
        <f t="shared" si="2"/>
        <v>0</v>
      </c>
    </row>
    <row r="12" spans="2:20" x14ac:dyDescent="0.25">
      <c r="B12" s="1138"/>
      <c r="C12" s="92">
        <f>Maree!D28</f>
        <v>0</v>
      </c>
      <c r="D12" s="92">
        <f>Maree!E28</f>
        <v>0</v>
      </c>
      <c r="E12" s="95">
        <f>Maree!F28</f>
        <v>0</v>
      </c>
      <c r="F12" s="92">
        <f>Maree!G28</f>
        <v>0</v>
      </c>
      <c r="K12" s="84" t="b">
        <f t="shared" si="0"/>
        <v>0</v>
      </c>
      <c r="L12" s="84" t="b">
        <f t="shared" si="1"/>
        <v>0</v>
      </c>
      <c r="M12" s="84" t="b">
        <f t="shared" si="2"/>
        <v>0</v>
      </c>
    </row>
    <row r="13" spans="2:20" x14ac:dyDescent="0.25">
      <c r="B13" s="1138"/>
      <c r="C13" s="92">
        <f>Maree!D29</f>
        <v>0</v>
      </c>
      <c r="D13" s="92">
        <f>Maree!E29</f>
        <v>0</v>
      </c>
      <c r="E13" s="95">
        <f>Maree!F29</f>
        <v>0</v>
      </c>
      <c r="F13" s="92">
        <f>Maree!G29</f>
        <v>0</v>
      </c>
      <c r="K13" s="84" t="b">
        <f t="shared" si="0"/>
        <v>0</v>
      </c>
      <c r="L13" s="84" t="b">
        <f t="shared" si="1"/>
        <v>0</v>
      </c>
      <c r="M13" s="84" t="b">
        <f t="shared" si="2"/>
        <v>0</v>
      </c>
    </row>
    <row r="14" spans="2:20" x14ac:dyDescent="0.25">
      <c r="B14" s="1138"/>
      <c r="C14" s="92">
        <f>Maree!D30</f>
        <v>0</v>
      </c>
      <c r="D14" s="92">
        <f>Maree!E30</f>
        <v>0</v>
      </c>
      <c r="E14" s="95">
        <f>Maree!F30</f>
        <v>0</v>
      </c>
      <c r="F14" s="92">
        <f>Maree!G30</f>
        <v>0</v>
      </c>
      <c r="K14" s="84" t="b">
        <f t="shared" si="0"/>
        <v>0</v>
      </c>
      <c r="L14" s="84" t="b">
        <f t="shared" si="1"/>
        <v>0</v>
      </c>
      <c r="M14" s="84" t="b">
        <f t="shared" si="2"/>
        <v>0</v>
      </c>
    </row>
    <row r="15" spans="2:20" x14ac:dyDescent="0.25">
      <c r="B15" s="1138"/>
      <c r="C15" s="92">
        <f>Maree!D31</f>
        <v>0</v>
      </c>
      <c r="D15" s="92">
        <f>Maree!E31</f>
        <v>0</v>
      </c>
      <c r="E15" s="95">
        <f>Maree!F31</f>
        <v>0</v>
      </c>
      <c r="F15" s="92">
        <f>Maree!G31</f>
        <v>0</v>
      </c>
      <c r="K15" s="84" t="b">
        <f t="shared" si="0"/>
        <v>0</v>
      </c>
      <c r="L15" s="84" t="b">
        <f t="shared" si="1"/>
        <v>0</v>
      </c>
      <c r="M15" s="84" t="b">
        <f t="shared" si="2"/>
        <v>0</v>
      </c>
    </row>
    <row r="16" spans="2:20" x14ac:dyDescent="0.25">
      <c r="B16" s="1138"/>
      <c r="C16" s="92"/>
      <c r="D16" s="92"/>
      <c r="E16" s="92"/>
      <c r="F16" s="92"/>
      <c r="K16" s="84" t="b">
        <f t="shared" si="0"/>
        <v>0</v>
      </c>
      <c r="L16" s="84" t="b">
        <f t="shared" si="1"/>
        <v>0</v>
      </c>
      <c r="M16" s="84" t="b">
        <f t="shared" si="2"/>
        <v>0</v>
      </c>
    </row>
    <row r="17" spans="2:10" x14ac:dyDescent="0.25">
      <c r="B17" s="1138"/>
      <c r="C17" s="92"/>
      <c r="D17" s="92"/>
      <c r="E17" s="92"/>
      <c r="F17" s="92"/>
    </row>
    <row r="18" spans="2:10" x14ac:dyDescent="0.25">
      <c r="B18" s="1138"/>
      <c r="C18" s="92"/>
      <c r="D18" s="92"/>
      <c r="E18" s="92"/>
      <c r="F18" s="92"/>
    </row>
    <row r="30" spans="2:10" x14ac:dyDescent="0.25">
      <c r="E30" s="82">
        <f>18+46/60</f>
        <v>18.766666666666666</v>
      </c>
    </row>
    <row r="31" spans="2:10" x14ac:dyDescent="0.25">
      <c r="E31" s="82">
        <f>50/60</f>
        <v>0.83333333333333337</v>
      </c>
      <c r="F31" s="82">
        <f>E30-E31</f>
        <v>17.933333333333334</v>
      </c>
      <c r="G31" s="83">
        <f>F31/2</f>
        <v>8.9666666666666668</v>
      </c>
      <c r="H31" s="83">
        <f>INT(G31)</f>
        <v>8</v>
      </c>
      <c r="I31" s="83">
        <f>G31-H31</f>
        <v>0.96666666666666679</v>
      </c>
      <c r="J31" s="83">
        <f>I31*60</f>
        <v>58.000000000000007</v>
      </c>
    </row>
  </sheetData>
  <mergeCells count="2">
    <mergeCell ref="B4:B5"/>
    <mergeCell ref="B6:B1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Outils</vt:lpstr>
      <vt:lpstr>Droite de hauteur-soleil</vt:lpstr>
      <vt:lpstr>Meridienne Longiture a Estime</vt:lpstr>
      <vt:lpstr>Meridienne Longitude par paire</vt:lpstr>
      <vt:lpstr>Meridienne</vt:lpstr>
      <vt:lpstr>Droite de hauteur-lune</vt:lpstr>
      <vt:lpstr>Droite de hauteur-etoileplanete</vt:lpstr>
      <vt:lpstr>Latitude Polaire</vt:lpstr>
      <vt:lpstr>Nav</vt:lpstr>
      <vt:lpstr>Maree</vt:lpstr>
      <vt:lpstr>Maree-backend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2023-12-21T14:20:48Z</cp:lastPrinted>
  <dcterms:created xsi:type="dcterms:W3CDTF">2023-12-16T12:20:09Z</dcterms:created>
  <dcterms:modified xsi:type="dcterms:W3CDTF">2024-07-27T23:05:28Z</dcterms:modified>
</cp:coreProperties>
</file>