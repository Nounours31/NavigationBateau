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44A5F175-489A-4FFD-BF3E-7AB4B6447D4A}" xr6:coauthVersionLast="47" xr6:coauthVersionMax="47" xr10:uidLastSave="{00000000-0000-0000-0000-000000000000}"/>
  <bookViews>
    <workbookView xWindow="-120" yWindow="-120" windowWidth="29040" windowHeight="15840" tabRatio="804" activeTab="10" xr2:uid="{00000000-000D-0000-FFFF-FFFF00000000}"/>
  </bookViews>
  <sheets>
    <sheet name="Outils" sheetId="15" r:id="rId1"/>
    <sheet name="Droite de hauteur-soleil" sheetId="1" r:id="rId2"/>
    <sheet name="Droite de hauteur-lune" sheetId="11" r:id="rId3"/>
    <sheet name="Droite de hauteur-etoileplanete" sheetId="12" r:id="rId4"/>
    <sheet name="Meridienne" sheetId="13" r:id="rId5"/>
    <sheet name="Latitude Polaire" sheetId="10" r:id="rId6"/>
    <sheet name="Nav" sheetId="3" r:id="rId7"/>
    <sheet name="Maree" sheetId="4" r:id="rId8"/>
    <sheet name="Demo" sheetId="14" r:id="rId9"/>
    <sheet name="Sheet1" sheetId="6" r:id="rId10"/>
    <sheet name="Test" sheetId="2" r:id="rId11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1" i="2" l="1"/>
  <c r="P26" i="1"/>
  <c r="F7" i="15"/>
  <c r="F6" i="15"/>
  <c r="AD171" i="1" s="1"/>
  <c r="M146" i="3"/>
  <c r="M147" i="3" s="1"/>
  <c r="M141" i="3"/>
  <c r="M142" i="3" s="1"/>
  <c r="M136" i="3"/>
  <c r="AD108" i="11"/>
  <c r="F77" i="3"/>
  <c r="AC73" i="3" s="1"/>
  <c r="AF55" i="3"/>
  <c r="S125" i="3" a="1"/>
  <c r="F124" i="3" a="1"/>
  <c r="E7" i="1" a="1"/>
  <c r="D8" i="14" a="1"/>
  <c r="D6" i="14" a="1"/>
  <c r="D28" i="14" a="1"/>
  <c r="S127" i="3" a="1"/>
  <c r="F128" i="3" a="1"/>
  <c r="E69" i="3" a="1"/>
  <c r="D31" i="14" a="1"/>
  <c r="D15" i="14" a="1"/>
  <c r="D9" i="14" a="1"/>
  <c r="S131" i="3" a="1"/>
  <c r="D13" i="14" a="1"/>
  <c r="AB96" i="3" a="1"/>
  <c r="S123" i="3" a="1"/>
  <c r="F123" i="3" a="1"/>
  <c r="D26" i="14" a="1"/>
  <c r="N75" i="3" a="1"/>
  <c r="E71" i="3" a="1"/>
  <c r="D24" i="14" a="1"/>
  <c r="AB97" i="3" a="1"/>
  <c r="G170" i="1" a="1"/>
  <c r="D22" i="14" a="1"/>
  <c r="G169" i="1" a="1"/>
  <c r="S134" i="3" a="1"/>
  <c r="S130" i="3" a="1"/>
  <c r="F126" i="3" a="1"/>
  <c r="E39" i="3" a="1"/>
  <c r="D30" i="14" a="1"/>
  <c r="D7" i="14" a="1"/>
  <c r="D11" i="14" a="1"/>
  <c r="S124" i="3" a="1"/>
  <c r="S129" i="3" a="1"/>
  <c r="N79" i="3" a="1"/>
  <c r="S133" i="3" a="1"/>
  <c r="S128" i="3" a="1"/>
  <c r="F125" i="3" a="1"/>
  <c r="D25" i="14" a="1"/>
  <c r="D23" i="14" a="1"/>
  <c r="J16" i="1" a="1"/>
  <c r="D12" i="14" a="1"/>
  <c r="F127" i="3" a="1"/>
  <c r="S132" i="3" a="1"/>
  <c r="S126" i="3" a="1"/>
  <c r="F122" i="3" a="1"/>
  <c r="D14" i="14" a="1"/>
  <c r="D29" i="14" a="1"/>
  <c r="D27" i="14" a="1"/>
  <c r="D10" i="14" a="1"/>
  <c r="S122" i="3" a="1"/>
  <c r="AD170" i="1" l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D23" i="14"/>
  <c r="D29" i="14"/>
  <c r="D25" i="14"/>
  <c r="D26" i="14"/>
  <c r="D30" i="14"/>
  <c r="D24" i="14"/>
  <c r="D31" i="14"/>
  <c r="D28" i="14"/>
  <c r="D27" i="14"/>
  <c r="D22" i="14"/>
  <c r="D8" i="14"/>
  <c r="D10" i="14"/>
  <c r="D12" i="14"/>
  <c r="D14" i="14"/>
  <c r="D7" i="14"/>
  <c r="D11" i="14"/>
  <c r="D15" i="14"/>
  <c r="D9" i="14"/>
  <c r="D13" i="14"/>
  <c r="D6" i="14"/>
  <c r="AB96" i="3"/>
  <c r="I96" i="3" s="1"/>
  <c r="AB97" i="3"/>
  <c r="N79" i="3"/>
  <c r="N75" i="3"/>
  <c r="E71" i="3"/>
  <c r="E69" i="3"/>
  <c r="E39" i="3"/>
  <c r="AC33" i="3"/>
  <c r="AC32" i="3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V128" i="3" a="1"/>
  <c r="I123" i="3" a="1"/>
  <c r="G6" i="14" a="1"/>
  <c r="G13" i="14" a="1"/>
  <c r="S79" i="13" a="1"/>
  <c r="I15" i="14" a="1"/>
  <c r="I12" i="14" a="1"/>
  <c r="G36" i="13" a="1"/>
  <c r="I8" i="14" a="1"/>
  <c r="E9" i="14" a="1"/>
  <c r="AJ69" i="13" a="1"/>
  <c r="V131" i="3" a="1"/>
  <c r="G38" i="13" a="1"/>
  <c r="I9" i="14" a="1"/>
  <c r="AL35" i="13" a="1"/>
  <c r="V126" i="3" a="1"/>
  <c r="I128" i="3" a="1"/>
  <c r="G12" i="14" a="1"/>
  <c r="E25" i="14" a="1"/>
  <c r="E33" i="3" a="1"/>
  <c r="I6" i="14" a="1"/>
  <c r="G9" i="14" a="1"/>
  <c r="G14" i="14" a="1"/>
  <c r="AL37" i="13" a="1"/>
  <c r="I14" i="14" a="1"/>
  <c r="AJ67" i="13" a="1"/>
  <c r="S83" i="13" a="1"/>
  <c r="AL38" i="13" a="1"/>
  <c r="V134" i="3" a="1"/>
  <c r="V127" i="3" a="1"/>
  <c r="I124" i="3" a="1"/>
  <c r="G8" i="14" a="1"/>
  <c r="E13" i="14" a="1"/>
  <c r="E24" i="14" a="1"/>
  <c r="G15" i="14" a="1"/>
  <c r="J11" i="3" a="1"/>
  <c r="AK60" i="13" a="1"/>
  <c r="E30" i="14" a="1"/>
  <c r="O98" i="3" a="1"/>
  <c r="E8" i="14" a="1"/>
  <c r="G35" i="13" a="1"/>
  <c r="G7" i="14" a="1"/>
  <c r="N71" i="3" a="1"/>
  <c r="V133" i="3" a="1"/>
  <c r="V125" i="3" a="1"/>
  <c r="I127" i="3" a="1"/>
  <c r="E29" i="14" a="1"/>
  <c r="E10" i="14" a="1"/>
  <c r="G9" i="3" a="1"/>
  <c r="E23" i="14" a="1"/>
  <c r="E31" i="14" a="1"/>
  <c r="G11" i="14" a="1"/>
  <c r="AL36" i="13" a="1"/>
  <c r="G37" i="13" a="1"/>
  <c r="I11" i="14" a="1"/>
  <c r="I81" i="13" a="1"/>
  <c r="I125" i="3" a="1"/>
  <c r="E12" i="14" a="1"/>
  <c r="V132" i="3" a="1"/>
  <c r="V130" i="3" a="1"/>
  <c r="I122" i="3" a="1"/>
  <c r="E22" i="14" a="1"/>
  <c r="I13" i="14" a="1"/>
  <c r="E28" i="14" a="1"/>
  <c r="AK59" i="13" a="1"/>
  <c r="E35" i="3" a="1"/>
  <c r="S9" i="3" a="1"/>
  <c r="I7" i="14" a="1"/>
  <c r="I10" i="14" a="1"/>
  <c r="V129" i="3" a="1"/>
  <c r="I126" i="3" a="1"/>
  <c r="J9" i="13" a="1"/>
  <c r="E41" i="3" a="1"/>
  <c r="E7" i="14" a="1"/>
  <c r="E27" i="14" a="1"/>
  <c r="N69" i="3" a="1"/>
  <c r="E6" i="14" a="1"/>
  <c r="E11" i="14" a="1"/>
  <c r="G10" i="14" a="1"/>
  <c r="E15" i="14" a="1"/>
  <c r="V123" i="3" a="1"/>
  <c r="I77" i="13" a="1"/>
  <c r="V124" i="3" a="1"/>
  <c r="E26" i="14" a="1"/>
  <c r="E14" i="14" a="1"/>
  <c r="V122" i="3" a="1"/>
  <c r="V134" i="3" l="1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14" i="14"/>
  <c r="I8" i="14"/>
  <c r="I12" i="14"/>
  <c r="I10" i="14"/>
  <c r="I15" i="14"/>
  <c r="I7" i="14"/>
  <c r="I13" i="14"/>
  <c r="I11" i="14"/>
  <c r="I9" i="14"/>
  <c r="I6" i="14"/>
  <c r="G10" i="14"/>
  <c r="G13" i="14"/>
  <c r="G8" i="14"/>
  <c r="G15" i="14"/>
  <c r="G12" i="14"/>
  <c r="G11" i="14"/>
  <c r="G6" i="14"/>
  <c r="E6" i="14"/>
  <c r="G9" i="14"/>
  <c r="G7" i="14"/>
  <c r="G14" i="14"/>
  <c r="I97" i="3"/>
  <c r="AB98" i="3"/>
  <c r="I98" i="3" s="1"/>
  <c r="E27" i="14"/>
  <c r="E28" i="14"/>
  <c r="E31" i="14"/>
  <c r="E24" i="14"/>
  <c r="E30" i="14"/>
  <c r="E26" i="14"/>
  <c r="E25" i="14"/>
  <c r="E29" i="14"/>
  <c r="E22" i="14"/>
  <c r="E23" i="14"/>
  <c r="E11" i="14"/>
  <c r="E13" i="14"/>
  <c r="E8" i="14"/>
  <c r="E14" i="14"/>
  <c r="E12" i="14"/>
  <c r="E9" i="14"/>
  <c r="E15" i="14"/>
  <c r="E7" i="14"/>
  <c r="E10" i="14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U62" i="13" a="1"/>
  <c r="J9" i="3" a="1"/>
  <c r="N35" i="3" a="1"/>
  <c r="N41" i="3" a="1"/>
  <c r="N39" i="3" a="1"/>
  <c r="U60" i="13" a="1"/>
  <c r="P80" i="13" a="1"/>
  <c r="U70" i="13" a="1"/>
  <c r="P70" i="13" a="1"/>
  <c r="N33" i="3" a="1"/>
  <c r="P84" i="13" a="1"/>
  <c r="V9" i="3" a="1"/>
  <c r="AD61" i="3" l="1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J16" i="10" a="1"/>
  <c r="AD25" i="10" a="1"/>
  <c r="N101" i="10" a="1"/>
  <c r="AE46" i="10" a="1"/>
  <c r="AQ48" i="13" a="1"/>
  <c r="R125" i="13" a="1"/>
  <c r="J17" i="10" a="1"/>
  <c r="N125" i="13" a="1"/>
  <c r="AD54" i="10" a="1"/>
  <c r="AD30" i="10" a="1"/>
  <c r="R101" i="10" a="1"/>
  <c r="AD47" i="12" a="1"/>
  <c r="T37" i="13" a="1"/>
  <c r="AJ15" i="13" a="1"/>
  <c r="M74" i="13" a="1"/>
  <c r="U94" i="13" a="1"/>
  <c r="T35" i="13" a="1"/>
  <c r="AD8" i="10" a="1"/>
  <c r="AK109" i="13" a="1"/>
  <c r="T38" i="13" a="1"/>
  <c r="N39" i="10" a="1"/>
  <c r="T36" i="13" a="1"/>
  <c r="AD56" i="10" a="1"/>
  <c r="K26" i="13" a="1"/>
  <c r="AD35" i="10" a="1"/>
  <c r="AJ20" i="13" a="1"/>
  <c r="AD11" i="10" a="1"/>
  <c r="AE47" i="10" a="1"/>
  <c r="U70" i="10" a="1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N113" i="12" a="1"/>
  <c r="U69" i="10" a="1"/>
  <c r="S26" i="11" a="1"/>
  <c r="AD37" i="1" a="1"/>
  <c r="AE49" i="11" a="1"/>
  <c r="U47" i="10" a="1"/>
  <c r="AD57" i="11" a="1"/>
  <c r="AE68" i="1" a="1"/>
  <c r="P16" i="10" a="1"/>
  <c r="P57" i="10" a="1"/>
  <c r="AE88" i="10" a="1"/>
  <c r="J20" i="12" a="1"/>
  <c r="U82" i="12" a="1"/>
  <c r="R124" i="1" a="1"/>
  <c r="J16" i="12" a="1"/>
  <c r="N122" i="11" a="1"/>
  <c r="S26" i="12" a="1"/>
  <c r="O14" i="13" a="1"/>
  <c r="AE59" i="12" a="1"/>
  <c r="AE50" i="11" a="1"/>
  <c r="AD8" i="11" a="1"/>
  <c r="AD11" i="11" a="1"/>
  <c r="AE58" i="12" a="1"/>
  <c r="AD66" i="12" a="1"/>
  <c r="Q39" i="10" a="1"/>
  <c r="O29" i="10" a="1"/>
  <c r="R122" i="11" a="1"/>
  <c r="AE68" i="11" a="1"/>
  <c r="AD75" i="1" a="1"/>
  <c r="O124" i="1" a="1"/>
  <c r="U49" i="10" a="1"/>
  <c r="AD37" i="12" a="1"/>
  <c r="Q74" i="13" a="1"/>
  <c r="U57" i="10" a="1"/>
  <c r="P9" i="13" a="1"/>
  <c r="Q34" i="10" a="1"/>
  <c r="O19" i="13" a="1"/>
  <c r="J16" i="11" a="1"/>
  <c r="AD59" i="1" a="1"/>
  <c r="S30" i="11" a="1"/>
  <c r="AD57" i="1" a="1"/>
  <c r="AD11" i="12" a="1"/>
  <c r="J24" i="12" a="1"/>
  <c r="N51" i="12" a="1"/>
  <c r="AD68" i="12" a="1"/>
  <c r="U76" i="10" a="1"/>
  <c r="O26" i="13" a="1"/>
  <c r="J17" i="11" a="1"/>
  <c r="AD77" i="11" a="1"/>
  <c r="U91" i="11" a="1"/>
  <c r="AD8" i="12" a="1"/>
  <c r="Q46" i="12" a="1"/>
  <c r="AD77" i="1" a="1"/>
  <c r="J24" i="11" a="1"/>
  <c r="AD37" i="11" a="1"/>
  <c r="AD75" i="11" a="1"/>
  <c r="AE50" i="1" a="1"/>
  <c r="S30" i="12" a="1"/>
  <c r="AE67" i="11" a="1"/>
  <c r="AE67" i="1" a="1"/>
  <c r="AE49" i="1" a="1"/>
  <c r="AD42" i="1" a="1"/>
  <c r="J17" i="12" a="1"/>
  <c r="J28" i="11" a="1"/>
  <c r="J20" i="11" a="1"/>
  <c r="AD42" i="12" a="1"/>
  <c r="AD42" i="11" a="1"/>
  <c r="S30" i="1" a="1"/>
  <c r="O24" i="10" a="1"/>
  <c r="AD59" i="11" a="1"/>
  <c r="R113" i="12" a="1"/>
  <c r="J28" i="12" a="1"/>
  <c r="S26" i="1" a="1"/>
  <c r="AP48" i="13" l="1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T45" i="13" a="1"/>
  <c r="U52" i="1" a="1"/>
  <c r="G7" i="10" a="1"/>
  <c r="P69" i="12" a="1"/>
  <c r="G27" i="13" a="1"/>
  <c r="O36" i="12" a="1"/>
  <c r="U50" i="11" a="1"/>
  <c r="P78" i="11" a="1"/>
  <c r="U59" i="12" a="1"/>
  <c r="P20" i="11" a="1"/>
  <c r="L35" i="13" a="1"/>
  <c r="P60" i="1" a="1"/>
  <c r="P17" i="11" a="1"/>
  <c r="O36" i="11" a="1"/>
  <c r="O41" i="12" a="1"/>
  <c r="AE109" i="11" a="1"/>
  <c r="T48" i="13" a="1"/>
  <c r="U52" i="11" a="1"/>
  <c r="P27" i="12" a="1"/>
  <c r="U93" i="13" a="1"/>
  <c r="U86" i="10" a="1"/>
  <c r="L36" i="13" a="1"/>
  <c r="P20" i="12" a="1"/>
  <c r="L37" i="13" a="1"/>
  <c r="P16" i="1" a="1"/>
  <c r="L101" i="10" a="1"/>
  <c r="U68" i="1" a="1"/>
  <c r="U69" i="12" a="1"/>
  <c r="U68" i="11" a="1"/>
  <c r="Q51" i="12" a="1"/>
  <c r="J33" i="10" a="1"/>
  <c r="W101" i="10" a="1"/>
  <c r="E12" i="10" a="1"/>
  <c r="P16" i="12" a="1"/>
  <c r="U100" i="13" a="1"/>
  <c r="O41" i="11" a="1"/>
  <c r="O41" i="1" a="1"/>
  <c r="P60" i="11" a="1"/>
  <c r="U78" i="11" a="1"/>
  <c r="AE100" i="12" a="1"/>
  <c r="P27" i="11" a="1"/>
  <c r="O36" i="1" a="1"/>
  <c r="U110" i="13" a="1"/>
  <c r="P78" i="1" a="1"/>
  <c r="P31" i="11" a="1"/>
  <c r="W125" i="13" a="1"/>
  <c r="P16" i="11" a="1"/>
  <c r="U60" i="11" a="1"/>
  <c r="U78" i="1" a="1"/>
  <c r="P31" i="12" a="1"/>
  <c r="P17" i="12" a="1"/>
  <c r="U70" i="1" a="1"/>
  <c r="L38" i="13" a="1"/>
  <c r="U60" i="1" a="1"/>
  <c r="U50" i="1" a="1"/>
  <c r="U61" i="12" a="1"/>
  <c r="U70" i="11" a="1"/>
  <c r="AM51" i="13" l="1"/>
  <c r="AM52" i="13" s="1"/>
  <c r="O36" i="11"/>
  <c r="O41" i="11"/>
  <c r="F36" i="11"/>
  <c r="F41" i="11"/>
  <c r="I46" i="3"/>
  <c r="AD53" i="3"/>
  <c r="U49" i="3" s="1"/>
  <c r="I49" i="3"/>
  <c r="T48" i="13"/>
  <c r="T45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U88" i="12" a="1"/>
  <c r="L125" i="13" a="1"/>
  <c r="L46" i="3" a="1"/>
  <c r="W113" i="12" a="1"/>
  <c r="U97" i="11" a="1"/>
  <c r="U98" i="12" a="1"/>
  <c r="U81" i="12" a="1"/>
  <c r="L47" i="13" a="1"/>
  <c r="E12" i="11" a="1"/>
  <c r="G7" i="12" a="1"/>
  <c r="L45" i="13" a="1"/>
  <c r="W122" i="11" a="1"/>
  <c r="G28" i="13" a="1"/>
  <c r="U90" i="11" a="1"/>
  <c r="E49" i="3" a="1"/>
  <c r="L46" i="13" a="1"/>
  <c r="E46" i="3" a="1"/>
  <c r="U107" i="11" a="1"/>
  <c r="H108" i="10" a="1"/>
  <c r="W124" i="1" a="1"/>
  <c r="G7" i="11" a="1"/>
  <c r="H50" i="13" a="1"/>
  <c r="E12" i="12" a="1"/>
  <c r="F51" i="10" a="1"/>
  <c r="L49" i="3" a="1"/>
  <c r="L48" i="13" a="1"/>
  <c r="J18" i="12" a="1"/>
  <c r="L44" i="13" a="1"/>
  <c r="P48" i="13" a="1"/>
  <c r="J18" i="11" a="1"/>
  <c r="J17" i="1" a="1"/>
  <c r="F57" i="10" a="1"/>
  <c r="Q129" i="11" l="1"/>
  <c r="U129" i="11" s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AD90" i="11"/>
  <c r="L121" i="11"/>
  <c r="O114" i="11"/>
  <c r="J17" i="1"/>
  <c r="F54" i="11" a="1"/>
  <c r="G46" i="13" a="1"/>
  <c r="H52" i="13" a="1"/>
  <c r="F70" i="13" a="1"/>
  <c r="P18" i="11" a="1"/>
  <c r="G47" i="13" a="1"/>
  <c r="L113" i="12" a="1"/>
  <c r="G48" i="13" a="1"/>
  <c r="F64" i="13" a="1"/>
  <c r="F69" i="12" a="1"/>
  <c r="G44" i="13" a="1"/>
  <c r="G45" i="13" a="1"/>
  <c r="F78" i="11" a="1"/>
  <c r="P18" i="12" a="1"/>
  <c r="K45" i="11" a="1"/>
  <c r="L122" i="11" a="1"/>
  <c r="K45" i="12" a="1"/>
  <c r="F60" i="11" a="1"/>
  <c r="P17" i="1" a="1"/>
  <c r="F45" i="11" l="1"/>
  <c r="Q128" i="11" s="1"/>
  <c r="U128" i="11" s="1"/>
  <c r="F54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K60" i="2"/>
  <c r="N60" i="2" s="1"/>
  <c r="K59" i="2"/>
  <c r="N59" i="2" s="1"/>
  <c r="P59" i="2" s="1"/>
  <c r="I23" i="2" a="1"/>
  <c r="I50" i="2" a="1"/>
  <c r="I56" i="2" a="1"/>
  <c r="I24" i="2" a="1"/>
  <c r="I28" i="2" a="1"/>
  <c r="I39" i="2" a="1"/>
  <c r="I25" i="2" a="1"/>
  <c r="P21" i="12" a="1"/>
  <c r="U92" i="13" a="1"/>
  <c r="I42" i="2" a="1"/>
  <c r="I20" i="2" a="1"/>
  <c r="I60" i="2" a="1"/>
  <c r="I8" i="2" a="1"/>
  <c r="I30" i="2" a="1"/>
  <c r="I33" i="2" a="1"/>
  <c r="I21" i="2" a="1"/>
  <c r="I57" i="2" a="1"/>
  <c r="I54" i="2" a="1"/>
  <c r="I34" i="2" a="1"/>
  <c r="K55" i="13" a="1"/>
  <c r="I10" i="2" a="1"/>
  <c r="I41" i="2" a="1"/>
  <c r="I44" i="2" a="1"/>
  <c r="I59" i="2" a="1"/>
  <c r="I49" i="2" a="1"/>
  <c r="I55" i="2" a="1"/>
  <c r="P17" i="10" a="1"/>
  <c r="I37" i="2" a="1"/>
  <c r="I9" i="2" a="1"/>
  <c r="I48" i="2" a="1"/>
  <c r="I22" i="2" a="1"/>
  <c r="I43" i="2" a="1"/>
  <c r="I31" i="2" a="1"/>
  <c r="I29" i="2" a="1"/>
  <c r="I32" i="2" a="1"/>
  <c r="I58" i="2" a="1"/>
  <c r="I27" i="2" a="1"/>
  <c r="I36" i="2" a="1"/>
  <c r="I52" i="2" a="1"/>
  <c r="AD11" i="1" a="1"/>
  <c r="I47" i="2" a="1"/>
  <c r="AD8" i="1" a="1"/>
  <c r="I11" i="2" a="1"/>
  <c r="I35" i="2" a="1"/>
  <c r="P21" i="11" a="1"/>
  <c r="J20" i="1" a="1"/>
  <c r="I7" i="2" a="1"/>
  <c r="I6" i="2" a="1"/>
  <c r="I63" i="10" a="1"/>
  <c r="I26" i="2" a="1"/>
  <c r="I40" i="2" a="1"/>
  <c r="I46" i="2" a="1"/>
  <c r="I45" i="2" a="1"/>
  <c r="I4" i="2" a="1"/>
  <c r="I53" i="2" a="1"/>
  <c r="I51" i="2" a="1"/>
  <c r="U91" i="1" a="1"/>
  <c r="I38" i="2" a="1"/>
  <c r="I5" i="2" a="1"/>
  <c r="I12" i="2" a="1"/>
  <c r="Q140" i="11" l="1"/>
  <c r="U140" i="11" s="1"/>
  <c r="L63" i="1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52" i="2" a="1"/>
  <c r="J10" i="2" a="1"/>
  <c r="J59" i="2" a="1"/>
  <c r="J49" i="2" a="1"/>
  <c r="J58" i="2" a="1"/>
  <c r="J45" i="2" a="1"/>
  <c r="U96" i="13" a="1"/>
  <c r="J53" i="2" a="1"/>
  <c r="J26" i="2" a="1"/>
  <c r="J34" i="2" a="1"/>
  <c r="J24" i="2" a="1"/>
  <c r="J40" i="2" a="1"/>
  <c r="J6" i="2" a="1"/>
  <c r="J44" i="2" a="1"/>
  <c r="J36" i="2" a="1"/>
  <c r="J22" i="2" a="1"/>
  <c r="J41" i="2" a="1"/>
  <c r="J29" i="2" a="1"/>
  <c r="J37" i="2" a="1"/>
  <c r="U80" i="12" a="1"/>
  <c r="J32" i="2" a="1"/>
  <c r="J27" i="2" a="1"/>
  <c r="J48" i="2" a="1"/>
  <c r="J57" i="2" a="1"/>
  <c r="J25" i="2" a="1"/>
  <c r="J39" i="2" a="1"/>
  <c r="J47" i="2" a="1"/>
  <c r="J23" i="2" a="1"/>
  <c r="J5" i="2" a="1"/>
  <c r="J35" i="2" a="1"/>
  <c r="J30" i="2" a="1"/>
  <c r="J31" i="2" a="1"/>
  <c r="J9" i="2" a="1"/>
  <c r="J4" i="2" a="1"/>
  <c r="J7" i="2" a="1"/>
  <c r="J38" i="2" a="1"/>
  <c r="J46" i="2" a="1"/>
  <c r="J50" i="2" a="1"/>
  <c r="J8" i="2" a="1"/>
  <c r="U68" i="10" a="1"/>
  <c r="J54" i="2" a="1"/>
  <c r="J33" i="2" a="1"/>
  <c r="J21" i="2" a="1"/>
  <c r="J11" i="2" a="1"/>
  <c r="J28" i="2" a="1"/>
  <c r="J55" i="2" a="1"/>
  <c r="U127" i="13" a="1"/>
  <c r="J51" i="2" a="1"/>
  <c r="J43" i="2" a="1"/>
  <c r="J42" i="2" a="1"/>
  <c r="J56" i="2" a="1"/>
  <c r="U89" i="11" a="1"/>
  <c r="J20" i="2" a="1"/>
  <c r="P20" i="1" a="1"/>
  <c r="J60" i="2" a="1"/>
  <c r="J12" i="2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5" i="3"/>
  <c r="K16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O106" i="1"/>
  <c r="AD107" i="1" s="1"/>
  <c r="AD108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03" i="10" a="1"/>
  <c r="AE109" i="1" a="1"/>
  <c r="U124" i="11" a="1"/>
  <c r="U115" i="12" a="1"/>
  <c r="E12" i="1" a="1"/>
  <c r="U84" i="12" a="1"/>
  <c r="U101" i="13" a="1"/>
  <c r="U106" i="13" a="1"/>
  <c r="U72" i="10" a="1"/>
  <c r="U93" i="11" a="1"/>
  <c r="I7" i="1" a="1"/>
  <c r="AE109" i="1" l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L60" i="3" a="1"/>
  <c r="U103" i="11" a="1"/>
  <c r="J90" i="3" a="1"/>
  <c r="J28" i="1" a="1"/>
  <c r="E60" i="3" a="1"/>
  <c r="U77" i="10" a="1"/>
  <c r="U119" i="13" a="1"/>
  <c r="P84" i="3" a="1"/>
  <c r="U94" i="12" a="1"/>
  <c r="P86" i="3" a="1"/>
  <c r="I125" i="12" a="1"/>
  <c r="U98" i="11" a="1"/>
  <c r="U89" i="12" a="1"/>
  <c r="J89" i="3" a="1"/>
  <c r="V89" i="13" a="1"/>
  <c r="J24" i="1" a="1"/>
  <c r="J89" i="3" l="1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Y21" i="2" s="1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U107" i="12" a="1"/>
  <c r="I133" i="12" a="1"/>
  <c r="I142" i="11" a="1"/>
  <c r="I121" i="12" a="1"/>
  <c r="P31" i="1" a="1"/>
  <c r="U82" i="10" a="1"/>
  <c r="J89" i="13" a="1"/>
  <c r="I130" i="11" a="1"/>
  <c r="U116" i="11" a="1"/>
  <c r="V86" i="11" a="1"/>
  <c r="V77" i="12" a="1"/>
  <c r="P27" i="1" a="1"/>
  <c r="T21" i="2" l="1"/>
  <c r="V21" i="2" s="1"/>
  <c r="I130" i="1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V26" i="2" s="1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J65" i="10" a="1"/>
  <c r="U95" i="10" a="1"/>
  <c r="I134" i="11" a="1"/>
  <c r="Y65" i="10" a="1"/>
  <c r="W26" i="2" l="1"/>
  <c r="X26" i="2" s="1"/>
  <c r="AA26" i="2" s="1"/>
  <c r="U26" i="2"/>
  <c r="U21" i="2"/>
  <c r="I134" i="11"/>
  <c r="T133" i="11"/>
  <c r="V133" i="11" s="1"/>
  <c r="Z140" i="13"/>
  <c r="N138" i="13"/>
  <c r="J67" i="10"/>
  <c r="U95" i="10"/>
  <c r="Y65" i="10"/>
  <c r="J65" i="10"/>
  <c r="P115" i="10"/>
  <c r="V124" i="12"/>
  <c r="Y124" i="12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Z26" i="2" l="1"/>
  <c r="N140" i="13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E73" i="2"/>
  <c r="AH73" i="2" s="1"/>
  <c r="AG45" i="2"/>
  <c r="AG56" i="2"/>
  <c r="AG43" i="2"/>
  <c r="AD21" i="2"/>
  <c r="AB21" i="2"/>
  <c r="AE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31" i="1"/>
  <c r="AB9" i="2"/>
  <c r="AC9" i="2" s="1"/>
  <c r="AB10" i="2"/>
  <c r="AC10" i="2" s="1"/>
  <c r="F4" i="2"/>
  <c r="L124" i="1" a="1"/>
  <c r="U97" i="1" a="1"/>
  <c r="L124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L21" i="2" s="1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F25" i="2"/>
  <c r="F51" i="2"/>
  <c r="L51" i="2"/>
  <c r="F56" i="2"/>
  <c r="L56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F21" i="2" l="1"/>
  <c r="U107" i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J21" i="1" a="1"/>
  <c r="P18" i="1" a="1"/>
  <c r="J21" i="1" l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F54" i="1" l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Z89" i="2" l="1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K45" i="1" l="1"/>
  <c r="Q142" i="1"/>
  <c r="Q130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AK89" i="2" l="1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U89" i="1" a="1"/>
  <c r="I144" i="1" a="1"/>
  <c r="H120" i="10" l="1"/>
  <c r="I144" i="1"/>
  <c r="T152" i="1"/>
  <c r="M15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126" i="1" a="1"/>
  <c r="U93" i="1" a="1"/>
  <c r="T153" i="1" a="1"/>
  <c r="AD159" i="1" l="1"/>
  <c r="R163" i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D169" i="1" l="1"/>
  <c r="AG167" i="1"/>
  <c r="AM120" i="10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I136" i="1" a="1"/>
  <c r="U116" i="1" a="1"/>
  <c r="V8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7" i="1" s="1"/>
  <c r="AD162" i="1"/>
  <c r="AD163" i="1" s="1"/>
  <c r="S160" i="1" s="1"/>
  <c r="AD168" i="1" s="1"/>
  <c r="U160" i="1" a="1"/>
  <c r="U159" i="1" a="1"/>
  <c r="AG170" i="1" l="1"/>
  <c r="AG169" i="1"/>
  <c r="AG171" i="1" s="1"/>
  <c r="U160" i="1"/>
  <c r="U159" i="1"/>
  <c r="AD173" i="1" l="1"/>
  <c r="S169" i="1" s="1"/>
  <c r="AD174" i="1"/>
  <c r="S170" i="1" s="1"/>
  <c r="U169" i="1" a="1"/>
  <c r="U170" i="1" a="1"/>
  <c r="U170" i="1" l="1"/>
  <c r="U16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<sst xmlns="http://schemas.openxmlformats.org/spreadsheetml/2006/main" count="2102" uniqueCount="669">
  <si>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</si>
  <si>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</si>
  <si>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</si>
  <si>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</si>
  <si>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</si>
  <si>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</si>
  <si>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</si>
  <si>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</si>
  <si>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</si>
  <si>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</si>
  <si>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</si>
  <si>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</si>
  <si>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</si>
  <si>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</si>
  <si>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</si>
  <si>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</si>
  <si>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</si>
  <si>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</si>
  <si>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</si>
  <si>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</si>
  <si>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</si>
  <si>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</si>
  <si>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</si>
  <si>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</si>
  <si>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</si>
  <si>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</si>
  <si>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</si>
  <si>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</si>
  <si>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</si>
  <si>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</si>
  <si>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</si>
  <si>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</si>
  <si>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</si>
  <si>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</si>
  <si>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</si>
  <si>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</si>
  <si>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</si>
  <si>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</si>
  <si>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</si>
  <si>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</si>
  <si>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</si>
  <si>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</si>
  <si>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</si>
  <si>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</si>
  <si>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</si>
  <si>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</si>
  <si>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</si>
  <si>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</si>
  <si>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</si>
  <si>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</si>
  <si>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</si>
  <si>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</si>
  <si>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</si>
  <si>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</si>
  <si>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</si>
  <si>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</si>
  <si>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</si>
  <si>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</si>
  <si>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</si>
  <si>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</si>
  <si>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</si>
  <si>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</si>
  <si>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</si>
  <si>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</si>
  <si>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</si>
  <si>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</si>
  <si>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</si>
  <si>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</si>
  <si>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</si>
  <si>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</si>
  <si>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</si>
  <si>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</si>
  <si>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</si>
  <si>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</si>
  <si>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</si>
  <si>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</si>
  <si>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</si>
  <si>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</si>
  <si>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</si>
  <si>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</si>
  <si>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</si>
  <si>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</si>
  <si>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</si>
  <si>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</si>
  <si>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</si>
  <si>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</si>
  <si>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</si>
  <si>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</si>
  <si>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</si>
  <si>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</si>
  <si>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</si>
  <si>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</si>
  <si>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</si>
  <si>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</si>
  <si>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</si>
  <si>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</si>
  <si>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</si>
  <si>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</si>
  <si>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</si>
  <si>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</si>
  <si>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</si>
  <si>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</si>
  <si>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</si>
  <si>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</si>
  <si>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</si>
  <si>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</si>
  <si>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</si>
  <si>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</si>
  <si>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</si>
  <si>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</si>
  <si>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</si>
  <si>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</si>
  <si>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</si>
  <si>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</si>
  <si>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</si>
  <si>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</si>
  <si>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</si>
  <si>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</si>
  <si>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</si>
  <si>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</si>
  <si>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</si>
  <si>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</si>
  <si>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</si>
  <si>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</si>
  <si>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</si>
  <si>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</si>
  <si>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</si>
  <si>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</si>
  <si>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</si>
  <si>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</si>
  <si>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</si>
  <si>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</si>
  <si>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</si>
  <si>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</si>
  <si>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</si>
  <si>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</si>
  <si>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</si>
  <si>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</si>
  <si>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</si>
  <si>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</si>
  <si>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</si>
  <si>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</si>
  <si>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</si>
  <si>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</si>
  <si>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</si>
  <si>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</si>
  <si>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</si>
  <si>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</si>
  <si>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</si>
  <si>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</si>
  <si>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</si>
  <si>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</si>
  <si>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</si>
  <si>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</si>
  <si>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</si>
  <si>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</si>
  <si>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</si>
  <si>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</si>
  <si>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</si>
  <si>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</si>
  <si>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</si>
  <si>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</si>
  <si>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</si>
  <si>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</si>
  <si>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</si>
  <si>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</si>
  <si>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</si>
  <si>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</si>
  <si>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</si>
  <si>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</si>
  <si>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</si>
  <si>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</si>
  <si>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</si>
  <si>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</si>
  <si>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</si>
  <si>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</si>
  <si>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</si>
  <si>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</si>
  <si>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</si>
  <si>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</si>
  <si>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</si>
  <si>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</si>
  <si>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</si>
  <si>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</si>
  <si>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</si>
  <si>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</si>
  <si>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</si>
  <si>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</si>
  <si>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</si>
  <si>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</si>
  <si>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</si>
  <si>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</si>
  <si>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</si>
  <si>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</si>
  <si>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</si>
  <si>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</si>
  <si>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</si>
  <si>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</si>
  <si>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</si>
  <si>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</si>
  <si>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</si>
  <si>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</si>
  <si>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</si>
  <si>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</si>
  <si>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</si>
  <si>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</si>
  <si>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</si>
  <si>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</si>
  <si>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</si>
  <si>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</si>
  <si>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</si>
  <si>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</si>
  <si>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</si>
  <si>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</si>
  <si>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</si>
  <si>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</si>
  <si>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</si>
  <si>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</si>
  <si>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</si>
  <si>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</si>
  <si>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</si>
  <si>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</si>
  <si>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</si>
  <si>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</si>
  <si>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</si>
  <si>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</si>
  <si>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</si>
  <si>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</si>
  <si>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</si>
  <si>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</si>
  <si>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</si>
  <si>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</si>
  <si>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</si>
  <si>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</si>
  <si>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</si>
  <si>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</si>
  <si>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</si>
  <si>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</si>
  <si>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</si>
  <si>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</si>
  <si>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</si>
  <si>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</si>
  <si>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</si>
  <si>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</si>
  <si>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</si>
  <si>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</si>
  <si>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</si>
  <si>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</si>
  <si>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</si>
  <si>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</si>
  <si>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</si>
  <si>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</si>
  <si>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</si>
  <si>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</si>
  <si>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</si>
  <si>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</si>
  <si>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</si>
  <si>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</si>
  <si>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</si>
  <si>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</si>
  <si>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</si>
  <si>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</si>
  <si>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</si>
  <si>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</si>
  <si>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</si>
  <si>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</si>
  <si>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</si>
  <si>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</si>
  <si>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</si>
  <si>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</si>
  <si>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</si>
  <si>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</si>
  <si>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</si>
  <si>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</si>
  <si>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</si>
  <si>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</si>
  <si>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</si>
  <si>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</si>
  <si>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</si>
  <si>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</si>
  <si>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</si>
  <si>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</si>
  <si>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</si>
  <si>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</si>
  <si>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</si>
  <si>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</si>
  <si>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</si>
  <si>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</si>
  <si>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</si>
  <si>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</si>
  <si>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</si>
  <si>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</si>
  <si>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</si>
  <si>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</si>
  <si>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</si>
  <si>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</si>
  <si>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</si>
  <si>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</si>
  <si>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</si>
  <si>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</si>
  <si>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</si>
  <si>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</si>
  <si>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</si>
  <si>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</si>
  <si>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</si>
  <si>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</si>
  <si>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</si>
  <si>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</si>
  <si>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</si>
  <si>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</si>
  <si>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</si>
  <si>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</si>
  <si>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</si>
  <si>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</si>
  <si>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</si>
  <si>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</si>
  <si>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</si>
  <si>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</si>
  <si>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</si>
  <si>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</si>
  <si>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</si>
  <si>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</si>
  <si>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</si>
  <si>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</si>
  <si>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</si>
  <si>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</si>
  <si>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</si>
  <si>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</si>
  <si>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</si>
  <si>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</si>
  <si>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</si>
  <si>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</si>
  <si>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</si>
  <si>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</si>
  <si>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</si>
  <si>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</si>
  <si>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</si>
  <si>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</si>
  <si>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</si>
  <si>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</si>
  <si>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</si>
  <si>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</si>
  <si>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</si>
  <si>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</si>
  <si>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</si>
  <si>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</si>
  <si>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</si>
  <si>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</si>
  <si>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</si>
  <si>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</si>
  <si>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</si>
  <si>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</si>
  <si>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</si>
  <si>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</si>
  <si>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</si>
  <si>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</si>
  <si>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</si>
  <si>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</si>
  <si>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</si>
  <si>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</si>
  <si>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</si>
  <si>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</si>
  <si>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</si>
  <si>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</si>
  <si>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</si>
  <si>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</si>
  <si>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</si>
  <si>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</si>
  <si>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</si>
  <si>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</si>
  <si>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</si>
  <si>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</si>
  <si>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</si>
  <si>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</si>
  <si>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</si>
  <si>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</si>
  <si>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</si>
  <si>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</si>
  <si>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</si>
  <si>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</si>
  <si>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</si>
  <si>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</si>
  <si>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</si>
  <si>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</si>
  <si>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</si>
  <si>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</si>
  <si>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</si>
  <si>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</si>
  <si>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</si>
  <si>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</si>
  <si>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</si>
  <si>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</si>
  <si>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</si>
  <si>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</si>
  <si>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</si>
  <si>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</si>
  <si>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</si>
  <si>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</si>
  <si>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</si>
  <si>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</si>
  <si>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</si>
  <si>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</si>
  <si>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</si>
  <si>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</si>
  <si>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</si>
  <si>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</si>
  <si>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</si>
  <si>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</si>
  <si>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</si>
  <si>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</si>
  <si>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</si>
  <si>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</si>
  <si>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</si>
  <si>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</si>
  <si>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</si>
  <si>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</si>
  <si>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</si>
  <si>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</si>
  <si>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</si>
  <si>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</si>
  <si>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</si>
  <si>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</si>
  <si>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</si>
  <si>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</si>
  <si>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</si>
  <si>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</si>
  <si>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</si>
  <si>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</si>
  <si>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</si>
  <si>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</si>
  <si>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</si>
  <si>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</si>
  <si>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</si>
  <si>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</si>
  <si>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</si>
  <si>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</si>
  <si>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</si>
  <si>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</si>
  <si>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</si>
  <si>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</si>
  <si>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</si>
  <si>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</si>
  <si>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</si>
  <si>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</si>
  <si>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</si>
  <si>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</si>
  <si>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</si>
  <si>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</si>
  <si>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</si>
  <si>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</si>
  <si>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</si>
  <si>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</si>
  <si>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</si>
  <si>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</si>
  <si>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</si>
  <si>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</si>
  <si>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</si>
  <si>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</si>
  <si>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</si>
  <si>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</si>
  <si>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</si>
  <si>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</si>
  <si>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</si>
  <si>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</si>
  <si>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</si>
  <si>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</si>
  <si>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</si>
  <si>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</si>
  <si>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</si>
  <si>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</si>
  <si>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</si>
  <si>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</si>
  <si>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</si>
  <si>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</si>
  <si>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</si>
  <si>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</si>
  <si>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</si>
  <si>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</si>
  <si>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</si>
  <si>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</si>
  <si>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</si>
  <si>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</si>
  <si>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</si>
  <si>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</si>
  <si>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</si>
  <si>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</si>
  <si>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</si>
  <si>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</si>
  <si>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</si>
  <si>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</si>
  <si>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</si>
  <si>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</si>
  <si>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</si>
  <si>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</si>
  <si>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</si>
  <si>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</si>
  <si>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</si>
  <si>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</si>
  <si>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</si>
  <si>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</si>
  <si>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</si>
  <si>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</si>
  <si>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</si>
  <si>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</si>
  <si>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</si>
  <si>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</si>
  <si>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</si>
  <si>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</si>
  <si>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</si>
  <si>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</si>
  <si>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</si>
  <si>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</si>
  <si>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</si>
  <si>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</si>
  <si>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</si>
  <si>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</si>
  <si>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</si>
  <si>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</si>
  <si>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</si>
  <si>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</si>
  <si>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</si>
  <si>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</si>
  <si>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</si>
  <si>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</si>
  <si>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</si>
  <si>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</si>
  <si>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</si>
  <si>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</si>
  <si>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</si>
  <si>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</si>
  <si>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</si>
  <si>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</si>
  <si>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</si>
  <si>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</si>
  <si>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</si>
  <si>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</si>
  <si>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</si>
  <si>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</si>
  <si>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</si>
  <si>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</si>
  <si>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</si>
  <si>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</si>
  <si>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</si>
  <si>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</si>
  <si>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</si>
  <si>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10:20:25</t>
  </si>
  <si>
    <t>46°06</t>
  </si>
  <si>
    <t>7°05</t>
  </si>
  <si>
    <t>23°08.5</t>
  </si>
  <si>
    <t>23°08.3</t>
  </si>
  <si>
    <t>329°03.9</t>
  </si>
  <si>
    <t>344°03.8</t>
  </si>
  <si>
    <t>54°50.1</t>
  </si>
  <si>
    <t>1.3'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</si>
  <si>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</si>
  <si>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</si>
  <si>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</si>
  <si>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</si>
  <si>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</si>
  <si>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</si>
  <si>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</si>
  <si>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</si>
  <si>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</si>
  <si>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</si>
  <si>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</si>
  <si>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</si>
  <si>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</si>
  <si>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</si>
  <si>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</si>
  <si>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</si>
  <si>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</si>
  <si>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</si>
  <si>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</si>
  <si>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</si>
  <si>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</si>
  <si>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</si>
  <si>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</si>
  <si>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</si>
  <si>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</si>
  <si>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</si>
  <si>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</si>
  <si>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</si>
  <si>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</si>
  <si>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</si>
  <si>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</si>
  <si>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</si>
  <si>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</si>
  <si>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</si>
  <si>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</si>
  <si>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</si>
  <si>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</si>
  <si>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</si>
  <si>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</si>
  <si>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</si>
  <si>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</si>
  <si>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</si>
  <si>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</si>
  <si>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</si>
  <si>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</si>
  <si>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</si>
  <si>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</si>
  <si>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</si>
  <si>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</si>
  <si>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</si>
  <si>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</si>
  <si>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</si>
  <si>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</si>
  <si>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</si>
  <si>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</si>
  <si>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</si>
  <si>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</si>
  <si>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</si>
  <si>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t>Conversion Sexagedecimale -&gt; decimal</t>
  </si>
  <si>
    <t>0°25.5'</t>
  </si>
  <si>
    <t>Valeur en °</t>
  </si>
  <si>
    <t>Decimal</t>
  </si>
  <si>
    <t>Conversion heure -&gt; decimal</t>
  </si>
  <si>
    <t>00:00:00</t>
  </si>
  <si>
    <t>00:10:00</t>
  </si>
  <si>
    <t>Valeur en h</t>
  </si>
  <si>
    <t>-5°25'52"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</si>
  <si>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</si>
  <si>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</si>
  <si>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</si>
  <si>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</si>
  <si>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</si>
  <si>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</si>
  <si>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</si>
  <si>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</si>
  <si>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</si>
  <si>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</si>
  <si>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</si>
  <si>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</si>
  <si>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</si>
  <si>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</si>
  <si>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</si>
  <si>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</si>
  <si>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</si>
  <si>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</si>
  <si>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tan Direction1</t>
  </si>
  <si>
    <t>delta long</t>
  </si>
  <si>
    <t>sin Direction2</t>
  </si>
  <si>
    <t>cos Direction2</t>
  </si>
  <si>
    <t>y</t>
  </si>
  <si>
    <t>Lat intersection</t>
  </si>
  <si>
    <t>Long intersection</t>
  </si>
  <si>
    <t>A lat constante</t>
  </si>
  <si>
    <t xml:space="preserve">y si lat non constante </t>
  </si>
  <si>
    <t>y lat contante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</si>
  <si>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</si>
  <si>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</si>
  <si>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</si>
  <si>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</si>
  <si>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</si>
  <si>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</si>
  <si>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</si>
  <si>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</si>
  <si>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</si>
  <si>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</si>
  <si>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</si>
  <si>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</si>
  <si>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</si>
  <si>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</si>
  <si>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</si>
  <si>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,</t>
  </si>
  <si>
    <t>10:59:59,99</t>
  </si>
  <si>
    <t>2.980°</t>
  </si>
  <si>
    <t>2.999°</t>
  </si>
  <si>
    <t>10:59:59.98(10.9999)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</si>
</sst>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</numFmts>
  <fonts count="7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</fills>
  <borders count="1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1" fillId="19" borderId="0" applyNumberFormat="0" applyBorder="0" applyAlignment="0" applyProtection="0"/>
    <xf numFmtId="0" fontId="61" fillId="30" borderId="0" applyNumberFormat="0" applyBorder="0" applyAlignment="0" applyProtection="0"/>
    <xf numFmtId="0" fontId="7" fillId="31" borderId="0" applyNumberFormat="0" applyBorder="0" applyAlignment="0" applyProtection="0"/>
  </cellStyleXfs>
  <cellXfs count="1184">
    <xf numFmtId="0" fontId="0" fillId="0" borderId="0" xfId="0"/>
    <xf numFmtId="165" fontId="2" fillId="0" borderId="0" xfId="0" applyNumberFormat="1" applyFont="1"/>
    <xf numFmtId="0" fontId="13" fillId="13" borderId="0" xfId="6"/>
    <xf numFmtId="0" fontId="6" fillId="6" borderId="0" xfId="3"/>
    <xf numFmtId="0" fontId="1" fillId="2" borderId="1" xfId="1"/>
    <xf numFmtId="165" fontId="9" fillId="9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10" borderId="14" xfId="0" applyNumberFormat="1" applyFont="1" applyFill="1" applyBorder="1"/>
    <xf numFmtId="165" fontId="2" fillId="10" borderId="15" xfId="0" applyNumberFormat="1" applyFont="1" applyFill="1" applyBorder="1"/>
    <xf numFmtId="165" fontId="2" fillId="10" borderId="16" xfId="0" applyNumberFormat="1" applyFont="1" applyFill="1" applyBorder="1"/>
    <xf numFmtId="0" fontId="0" fillId="8" borderId="25" xfId="5" applyFont="1" applyProtection="1"/>
    <xf numFmtId="165" fontId="2" fillId="9" borderId="15" xfId="0" applyNumberFormat="1" applyFont="1" applyFill="1" applyBorder="1"/>
    <xf numFmtId="165" fontId="2" fillId="9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1" borderId="32" xfId="0" applyNumberFormat="1" applyFont="1" applyFill="1" applyBorder="1" applyAlignment="1">
      <alignment horizontal="center" vertical="center"/>
    </xf>
    <xf numFmtId="165" fontId="2" fillId="11" borderId="31" xfId="0" applyNumberFormat="1" applyFont="1" applyFill="1" applyBorder="1" applyAlignment="1">
      <alignment horizontal="center" vertical="center"/>
    </xf>
    <xf numFmtId="1" fontId="2" fillId="11" borderId="33" xfId="0" applyNumberFormat="1" applyFont="1" applyFill="1" applyBorder="1" applyAlignment="1">
      <alignment horizontal="center" vertical="center"/>
    </xf>
    <xf numFmtId="165" fontId="2" fillId="11" borderId="57" xfId="0" applyNumberFormat="1" applyFont="1" applyFill="1" applyBorder="1" applyAlignment="1">
      <alignment horizontal="center" vertical="center"/>
    </xf>
    <xf numFmtId="165" fontId="2" fillId="11" borderId="58" xfId="0" applyNumberFormat="1" applyFont="1" applyFill="1" applyBorder="1" applyAlignment="1">
      <alignment horizontal="center" vertical="center"/>
    </xf>
    <xf numFmtId="2" fontId="2" fillId="11" borderId="59" xfId="0" applyNumberFormat="1" applyFont="1" applyFill="1" applyBorder="1" applyAlignment="1">
      <alignment horizontal="center" vertical="center"/>
    </xf>
    <xf numFmtId="165" fontId="2" fillId="11" borderId="54" xfId="0" applyNumberFormat="1" applyFont="1" applyFill="1" applyBorder="1" applyAlignment="1">
      <alignment horizontal="center" vertical="center"/>
    </xf>
    <xf numFmtId="165" fontId="2" fillId="11" borderId="55" xfId="0" applyNumberFormat="1" applyFont="1" applyFill="1" applyBorder="1" applyAlignment="1">
      <alignment horizontal="center" vertical="center"/>
    </xf>
    <xf numFmtId="2" fontId="2" fillId="11" borderId="56" xfId="0" applyNumberFormat="1" applyFont="1" applyFill="1" applyBorder="1" applyAlignment="1">
      <alignment horizontal="center" vertical="center"/>
    </xf>
    <xf numFmtId="165" fontId="2" fillId="11" borderId="34" xfId="0" applyNumberFormat="1" applyFont="1" applyFill="1" applyBorder="1" applyAlignment="1">
      <alignment horizontal="center" vertical="center"/>
    </xf>
    <xf numFmtId="165" fontId="2" fillId="11" borderId="35" xfId="0" applyNumberFormat="1" applyFont="1" applyFill="1" applyBorder="1" applyAlignment="1">
      <alignment horizontal="center" vertical="center"/>
    </xf>
    <xf numFmtId="1" fontId="2" fillId="11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9" borderId="0" xfId="0" applyFont="1" applyFill="1"/>
    <xf numFmtId="0" fontId="2" fillId="17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2" fillId="13" borderId="2" xfId="6" applyFont="1" applyBorder="1" applyAlignment="1">
      <alignment horizontal="center" vertical="center"/>
    </xf>
    <xf numFmtId="0" fontId="20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4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3" fillId="13" borderId="2" xfId="6" applyFont="1" applyBorder="1" applyAlignment="1">
      <alignment horizontal="center"/>
    </xf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3" fillId="15" borderId="1" xfId="2" applyAlignment="1"/>
    <xf numFmtId="0" fontId="24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1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1" fontId="0" fillId="8" borderId="25" xfId="5" applyNumberFormat="1" applyFont="1" applyAlignment="1">
      <alignment horizontal="center"/>
    </xf>
    <xf numFmtId="0" fontId="25" fillId="8" borderId="25" xfId="5" applyFont="1" applyAlignment="1">
      <alignment horizontal="center" vertical="center"/>
    </xf>
    <xf numFmtId="0" fontId="28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0" fillId="6" borderId="0" xfId="3" applyFont="1"/>
    <xf numFmtId="171" fontId="30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5" fillId="8" borderId="94" xfId="5" applyFont="1" applyBorder="1" applyAlignment="1">
      <alignment horizontal="center" vertical="center"/>
    </xf>
    <xf numFmtId="0" fontId="25" fillId="7" borderId="24" xfId="4" applyFont="1" applyAlignment="1">
      <alignment horizontal="center"/>
    </xf>
    <xf numFmtId="0" fontId="25" fillId="25" borderId="24" xfId="4" applyFont="1" applyFill="1" applyAlignment="1">
      <alignment horizontal="center"/>
    </xf>
    <xf numFmtId="171" fontId="25" fillId="2" borderId="1" xfId="1" applyNumberFormat="1" applyFont="1" applyAlignment="1">
      <alignment horizontal="center"/>
    </xf>
    <xf numFmtId="0" fontId="25" fillId="2" borderId="1" xfId="1" applyFont="1" applyAlignment="1">
      <alignment horizontal="center"/>
    </xf>
    <xf numFmtId="0" fontId="23" fillId="13" borderId="5" xfId="6" applyFont="1" applyBorder="1" applyAlignment="1"/>
    <xf numFmtId="0" fontId="25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1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0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1" fillId="19" borderId="2" xfId="10" applyNumberFormat="1" applyBorder="1" applyAlignment="1" applyProtection="1">
      <alignment horizontal="center"/>
      <protection locked="0"/>
    </xf>
    <xf numFmtId="49" fontId="21" fillId="19" borderId="2" xfId="10" applyNumberFormat="1" applyBorder="1" applyAlignment="1" applyProtection="1">
      <alignment horizontal="center"/>
      <protection locked="0"/>
    </xf>
    <xf numFmtId="2" fontId="21" fillId="19" borderId="2" xfId="10" applyNumberFormat="1" applyBorder="1" applyAlignment="1" applyProtection="1">
      <alignment horizontal="center"/>
      <protection locked="0"/>
    </xf>
    <xf numFmtId="0" fontId="21" fillId="19" borderId="25" xfId="10" applyBorder="1" applyAlignment="1" applyProtection="1">
      <alignment horizontal="center" vertical="center"/>
      <protection locked="0"/>
    </xf>
    <xf numFmtId="0" fontId="21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1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0" fillId="0" borderId="0" xfId="0" applyFont="1" applyAlignment="1">
      <alignment horizontal="center" vertical="center"/>
    </xf>
    <xf numFmtId="0" fontId="32" fillId="2" borderId="1" xfId="1" applyFont="1" applyAlignment="1">
      <alignment horizontal="center" vertical="center"/>
    </xf>
    <xf numFmtId="0" fontId="32" fillId="2" borderId="1" xfId="1" applyFont="1"/>
    <xf numFmtId="0" fontId="35" fillId="2" borderId="40" xfId="7" applyFont="1"/>
    <xf numFmtId="0" fontId="36" fillId="0" borderId="0" xfId="0" applyFont="1"/>
    <xf numFmtId="20" fontId="37" fillId="15" borderId="1" xfId="2" applyNumberFormat="1" applyFont="1"/>
    <xf numFmtId="0" fontId="35" fillId="2" borderId="40" xfId="7" applyFont="1" applyAlignment="1">
      <alignment horizontal="center" vertical="center"/>
    </xf>
    <xf numFmtId="0" fontId="38" fillId="13" borderId="0" xfId="6" applyFont="1" applyAlignment="1">
      <alignment horizontal="center" vertical="center"/>
    </xf>
    <xf numFmtId="0" fontId="39" fillId="6" borderId="0" xfId="3" applyFont="1" applyAlignment="1">
      <alignment horizontal="center" vertical="center"/>
    </xf>
    <xf numFmtId="0" fontId="39" fillId="6" borderId="0" xfId="3" applyFont="1"/>
    <xf numFmtId="0" fontId="40" fillId="7" borderId="24" xfId="4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165" fontId="20" fillId="0" borderId="0" xfId="0" applyNumberFormat="1" applyFont="1" applyAlignment="1">
      <alignment horizontal="center" vertical="center"/>
    </xf>
    <xf numFmtId="0" fontId="41" fillId="15" borderId="53" xfId="8" applyFont="1" applyFill="1"/>
    <xf numFmtId="0" fontId="38" fillId="13" borderId="0" xfId="6" applyFont="1"/>
    <xf numFmtId="0" fontId="41" fillId="15" borderId="53" xfId="8" quotePrefix="1" applyFont="1" applyFill="1"/>
    <xf numFmtId="165" fontId="37" fillId="15" borderId="1" xfId="2" applyNumberFormat="1" applyFont="1" applyAlignment="1" applyProtection="1">
      <alignment vertical="center"/>
      <protection locked="0"/>
    </xf>
    <xf numFmtId="0" fontId="20" fillId="0" borderId="0" xfId="0" applyFont="1" applyAlignment="1">
      <alignment horizontal="left" vertical="top"/>
    </xf>
    <xf numFmtId="0" fontId="20" fillId="0" borderId="0" xfId="0" quotePrefix="1" applyFont="1" applyAlignment="1">
      <alignment horizontal="left" vertical="top"/>
    </xf>
    <xf numFmtId="0" fontId="37" fillId="15" borderId="1" xfId="2" applyFont="1"/>
    <xf numFmtId="0" fontId="43" fillId="8" borderId="25" xfId="5" applyFont="1" applyAlignment="1" applyProtection="1">
      <alignment horizontal="center"/>
    </xf>
    <xf numFmtId="165" fontId="20" fillId="0" borderId="0" xfId="0" applyNumberFormat="1" applyFont="1"/>
    <xf numFmtId="165" fontId="45" fillId="11" borderId="32" xfId="0" applyNumberFormat="1" applyFont="1" applyFill="1" applyBorder="1" applyAlignment="1">
      <alignment horizontal="center" vertical="center"/>
    </xf>
    <xf numFmtId="165" fontId="45" fillId="11" borderId="31" xfId="0" quotePrefix="1" applyNumberFormat="1" applyFont="1" applyFill="1" applyBorder="1" applyAlignment="1">
      <alignment horizontal="center" vertical="center"/>
    </xf>
    <xf numFmtId="1" fontId="45" fillId="11" borderId="33" xfId="0" applyNumberFormat="1" applyFont="1" applyFill="1" applyBorder="1" applyAlignment="1">
      <alignment horizontal="center" vertical="center"/>
    </xf>
    <xf numFmtId="2" fontId="20" fillId="0" borderId="0" xfId="0" applyNumberFormat="1" applyFont="1"/>
    <xf numFmtId="0" fontId="20" fillId="0" borderId="0" xfId="0" quotePrefix="1" applyFont="1" applyAlignment="1">
      <alignment horizontal="center" vertical="center"/>
    </xf>
    <xf numFmtId="165" fontId="45" fillId="11" borderId="34" xfId="0" applyNumberFormat="1" applyFont="1" applyFill="1" applyBorder="1" applyAlignment="1">
      <alignment horizontal="center" vertical="center"/>
    </xf>
    <xf numFmtId="165" fontId="45" fillId="11" borderId="35" xfId="0" applyNumberFormat="1" applyFont="1" applyFill="1" applyBorder="1" applyAlignment="1">
      <alignment horizontal="center" vertical="center"/>
    </xf>
    <xf numFmtId="1" fontId="45" fillId="11" borderId="36" xfId="0" applyNumberFormat="1" applyFont="1" applyFill="1" applyBorder="1" applyAlignment="1">
      <alignment horizontal="center" vertical="center"/>
    </xf>
    <xf numFmtId="165" fontId="20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5" fontId="37" fillId="15" borderId="1" xfId="2" applyNumberFormat="1" applyFont="1"/>
    <xf numFmtId="165" fontId="32" fillId="2" borderId="1" xfId="1" applyNumberFormat="1" applyFont="1" applyProtection="1"/>
    <xf numFmtId="165" fontId="45" fillId="8" borderId="25" xfId="5" applyNumberFormat="1" applyFont="1" applyProtection="1"/>
    <xf numFmtId="0" fontId="36" fillId="8" borderId="25" xfId="5" quotePrefix="1" applyFont="1" applyAlignment="1" applyProtection="1">
      <alignment horizontal="right"/>
    </xf>
    <xf numFmtId="165" fontId="45" fillId="9" borderId="0" xfId="0" applyNumberFormat="1" applyFont="1" applyFill="1"/>
    <xf numFmtId="165" fontId="45" fillId="0" borderId="0" xfId="0" applyNumberFormat="1" applyFont="1"/>
    <xf numFmtId="165" fontId="20" fillId="10" borderId="14" xfId="0" applyNumberFormat="1" applyFont="1" applyFill="1" applyBorder="1"/>
    <xf numFmtId="165" fontId="20" fillId="10" borderId="15" xfId="0" applyNumberFormat="1" applyFont="1" applyFill="1" applyBorder="1"/>
    <xf numFmtId="0" fontId="20" fillId="18" borderId="8" xfId="9" applyFont="1" applyBorder="1" applyAlignment="1" applyProtection="1">
      <alignment vertical="center"/>
    </xf>
    <xf numFmtId="0" fontId="20" fillId="18" borderId="9" xfId="9" applyFont="1" applyBorder="1" applyAlignment="1" applyProtection="1">
      <alignment vertical="center"/>
    </xf>
    <xf numFmtId="0" fontId="20" fillId="18" borderId="47" xfId="9" applyFont="1" applyBorder="1" applyAlignment="1" applyProtection="1">
      <alignment vertical="center"/>
    </xf>
    <xf numFmtId="0" fontId="20" fillId="18" borderId="10" xfId="9" applyFont="1" applyBorder="1" applyAlignment="1" applyProtection="1">
      <alignment vertical="center"/>
    </xf>
    <xf numFmtId="0" fontId="45" fillId="0" borderId="0" xfId="0" applyFont="1"/>
    <xf numFmtId="165" fontId="45" fillId="11" borderId="3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165" fontId="20" fillId="5" borderId="0" xfId="0" applyNumberFormat="1" applyFont="1" applyFill="1" applyAlignment="1">
      <alignment horizontal="left"/>
    </xf>
    <xf numFmtId="165" fontId="20" fillId="5" borderId="0" xfId="0" applyNumberFormat="1" applyFont="1" applyFill="1" applyAlignment="1">
      <alignment horizontal="center"/>
    </xf>
    <xf numFmtId="165" fontId="52" fillId="0" borderId="0" xfId="0" applyNumberFormat="1" applyFont="1" applyAlignment="1">
      <alignment horizontal="center" vertical="center"/>
    </xf>
    <xf numFmtId="165" fontId="51" fillId="8" borderId="25" xfId="5" applyNumberFormat="1" applyFont="1" applyProtection="1"/>
    <xf numFmtId="165" fontId="20" fillId="0" borderId="47" xfId="0" applyNumberFormat="1" applyFont="1" applyBorder="1"/>
    <xf numFmtId="165" fontId="20" fillId="0" borderId="47" xfId="0" quotePrefix="1" applyNumberFormat="1" applyFont="1" applyBorder="1"/>
    <xf numFmtId="165" fontId="20" fillId="0" borderId="0" xfId="0" quotePrefix="1" applyNumberFormat="1" applyFont="1"/>
    <xf numFmtId="165" fontId="20" fillId="0" borderId="46" xfId="0" quotePrefix="1" applyNumberFormat="1" applyFont="1" applyBorder="1"/>
    <xf numFmtId="2" fontId="38" fillId="13" borderId="0" xfId="6" applyNumberFormat="1" applyFont="1" applyProtection="1"/>
    <xf numFmtId="2" fontId="38" fillId="13" borderId="0" xfId="6" quotePrefix="1" applyNumberFormat="1" applyFont="1" applyProtection="1"/>
    <xf numFmtId="168" fontId="37" fillId="15" borderId="1" xfId="2" quotePrefix="1" applyNumberFormat="1" applyFont="1" applyProtection="1">
      <protection locked="0"/>
    </xf>
    <xf numFmtId="165" fontId="20" fillId="0" borderId="45" xfId="0" quotePrefix="1" applyNumberFormat="1" applyFont="1" applyBorder="1"/>
    <xf numFmtId="165" fontId="20" fillId="0" borderId="71" xfId="0" applyNumberFormat="1" applyFont="1" applyBorder="1" applyAlignment="1">
      <alignment horizontal="center"/>
    </xf>
    <xf numFmtId="165" fontId="20" fillId="10" borderId="71" xfId="0" applyNumberFormat="1" applyFont="1" applyFill="1" applyBorder="1"/>
    <xf numFmtId="165" fontId="20" fillId="0" borderId="0" xfId="0" quotePrefix="1" applyNumberFormat="1" applyFont="1" applyAlignment="1">
      <alignment horizontal="center"/>
    </xf>
    <xf numFmtId="168" fontId="32" fillId="2" borderId="5" xfId="1" applyNumberFormat="1" applyFont="1" applyBorder="1" applyAlignment="1" applyProtection="1"/>
    <xf numFmtId="165" fontId="32" fillId="2" borderId="6" xfId="1" applyNumberFormat="1" applyFont="1" applyBorder="1" applyAlignment="1" applyProtection="1"/>
    <xf numFmtId="169" fontId="32" fillId="2" borderId="5" xfId="1" applyNumberFormat="1" applyFont="1" applyBorder="1" applyAlignment="1" applyProtection="1"/>
    <xf numFmtId="165" fontId="45" fillId="11" borderId="114" xfId="0" applyNumberFormat="1" applyFont="1" applyFill="1" applyBorder="1" applyAlignment="1">
      <alignment horizontal="center" vertical="center"/>
    </xf>
    <xf numFmtId="165" fontId="45" fillId="11" borderId="2" xfId="0" quotePrefix="1" applyNumberFormat="1" applyFont="1" applyFill="1" applyBorder="1" applyAlignment="1">
      <alignment horizontal="center" vertical="center"/>
    </xf>
    <xf numFmtId="1" fontId="45" fillId="11" borderId="2" xfId="0" applyNumberFormat="1" applyFont="1" applyFill="1" applyBorder="1" applyAlignment="1">
      <alignment horizontal="center" vertical="center"/>
    </xf>
    <xf numFmtId="2" fontId="54" fillId="11" borderId="115" xfId="0" applyNumberFormat="1" applyFont="1" applyFill="1" applyBorder="1" applyAlignment="1">
      <alignment horizontal="center"/>
    </xf>
    <xf numFmtId="165" fontId="45" fillId="11" borderId="35" xfId="0" quotePrefix="1" applyNumberFormat="1" applyFont="1" applyFill="1" applyBorder="1" applyAlignment="1">
      <alignment horizontal="center" vertical="center"/>
    </xf>
    <xf numFmtId="1" fontId="45" fillId="11" borderId="35" xfId="0" applyNumberFormat="1" applyFont="1" applyFill="1" applyBorder="1" applyAlignment="1">
      <alignment horizontal="center" vertical="center"/>
    </xf>
    <xf numFmtId="2" fontId="54" fillId="11" borderId="36" xfId="0" applyNumberFormat="1" applyFont="1" applyFill="1" applyBorder="1" applyAlignment="1">
      <alignment horizontal="center"/>
    </xf>
    <xf numFmtId="168" fontId="38" fillId="13" borderId="5" xfId="6" applyNumberFormat="1" applyFont="1" applyBorder="1" applyAlignment="1" applyProtection="1"/>
    <xf numFmtId="165" fontId="6" fillId="6" borderId="15" xfId="3" applyNumberFormat="1" applyBorder="1" applyAlignment="1" applyProtection="1"/>
    <xf numFmtId="165" fontId="20" fillId="0" borderId="0" xfId="0" applyNumberFormat="1" applyFont="1" applyAlignment="1">
      <alignment horizontal="center"/>
    </xf>
    <xf numFmtId="165" fontId="20" fillId="28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/>
    <xf numFmtId="0" fontId="25" fillId="14" borderId="2" xfId="0" applyFont="1" applyFill="1" applyBorder="1" applyAlignment="1">
      <alignment horizontal="right"/>
    </xf>
    <xf numFmtId="0" fontId="25" fillId="14" borderId="2" xfId="0" applyFont="1" applyFill="1" applyBorder="1" applyAlignment="1">
      <alignment horizontal="center"/>
    </xf>
    <xf numFmtId="0" fontId="0" fillId="14" borderId="2" xfId="0" quotePrefix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2" fillId="2" borderId="6" xfId="1" quotePrefix="1" applyFont="1" applyBorder="1" applyProtection="1"/>
    <xf numFmtId="0" fontId="0" fillId="8" borderId="25" xfId="5" quotePrefix="1" applyFont="1" applyProtection="1"/>
    <xf numFmtId="165" fontId="20" fillId="10" borderId="22" xfId="0" applyNumberFormat="1" applyFont="1" applyFill="1" applyBorder="1"/>
    <xf numFmtId="165" fontId="45" fillId="0" borderId="0" xfId="0" applyNumberFormat="1" applyFont="1" applyAlignment="1">
      <alignment horizontal="right"/>
    </xf>
    <xf numFmtId="2" fontId="20" fillId="11" borderId="74" xfId="0" applyNumberFormat="1" applyFont="1" applyFill="1" applyBorder="1"/>
    <xf numFmtId="2" fontId="20" fillId="11" borderId="73" xfId="0" applyNumberFormat="1" applyFont="1" applyFill="1" applyBorder="1"/>
    <xf numFmtId="165" fontId="20" fillId="0" borderId="0" xfId="0" applyNumberFormat="1" applyFont="1" applyAlignment="1">
      <alignment horizontal="right"/>
    </xf>
    <xf numFmtId="165" fontId="56" fillId="13" borderId="2" xfId="6" applyNumberFormat="1" applyFont="1" applyBorder="1" applyAlignment="1" applyProtection="1">
      <alignment vertical="center"/>
    </xf>
    <xf numFmtId="0" fontId="56" fillId="13" borderId="0" xfId="6" applyFont="1" applyProtection="1"/>
    <xf numFmtId="0" fontId="59" fillId="6" borderId="0" xfId="3" applyFont="1" applyProtection="1"/>
    <xf numFmtId="0" fontId="58" fillId="2" borderId="40" xfId="7" applyFont="1" applyProtection="1"/>
    <xf numFmtId="165" fontId="20" fillId="11" borderId="118" xfId="0" applyNumberFormat="1" applyFont="1" applyFill="1" applyBorder="1" applyAlignment="1">
      <alignment horizontal="center" vertical="center"/>
    </xf>
    <xf numFmtId="165" fontId="20" fillId="11" borderId="11" xfId="0" quotePrefix="1" applyNumberFormat="1" applyFont="1" applyFill="1" applyBorder="1" applyAlignment="1">
      <alignment horizontal="center" vertical="center"/>
    </xf>
    <xf numFmtId="1" fontId="20" fillId="11" borderId="11" xfId="0" applyNumberFormat="1" applyFont="1" applyFill="1" applyBorder="1" applyAlignment="1">
      <alignment horizontal="center" vertical="center"/>
    </xf>
    <xf numFmtId="165" fontId="20" fillId="11" borderId="80" xfId="0" applyNumberFormat="1" applyFont="1" applyFill="1" applyBorder="1" applyAlignment="1">
      <alignment horizontal="center" vertical="center"/>
    </xf>
    <xf numFmtId="165" fontId="20" fillId="11" borderId="71" xfId="0" quotePrefix="1" applyNumberFormat="1" applyFont="1" applyFill="1" applyBorder="1" applyAlignment="1">
      <alignment horizontal="center" vertical="center"/>
    </xf>
    <xf numFmtId="1" fontId="20" fillId="11" borderId="71" xfId="0" applyNumberFormat="1" applyFont="1" applyFill="1" applyBorder="1" applyAlignment="1">
      <alignment horizontal="center" vertical="center"/>
    </xf>
    <xf numFmtId="165" fontId="20" fillId="3" borderId="15" xfId="0" applyNumberFormat="1" applyFont="1" applyFill="1" applyBorder="1"/>
    <xf numFmtId="165" fontId="32" fillId="3" borderId="1" xfId="1" applyNumberFormat="1" applyFont="1" applyFill="1" applyProtection="1"/>
    <xf numFmtId="165" fontId="1" fillId="3" borderId="1" xfId="1" applyNumberFormat="1" applyFill="1" applyProtection="1"/>
    <xf numFmtId="165" fontId="40" fillId="7" borderId="130" xfId="4" applyNumberFormat="1" applyFont="1" applyBorder="1" applyAlignment="1" applyProtection="1"/>
    <xf numFmtId="0" fontId="0" fillId="3" borderId="0" xfId="0" applyFill="1"/>
    <xf numFmtId="0" fontId="20" fillId="0" borderId="0" xfId="0" applyFont="1"/>
    <xf numFmtId="0" fontId="20" fillId="0" borderId="0" xfId="0" quotePrefix="1" applyFont="1"/>
    <xf numFmtId="0" fontId="20" fillId="8" borderId="25" xfId="5" applyFont="1" applyAlignment="1" applyProtection="1">
      <alignment horizontal="center" vertical="center"/>
    </xf>
    <xf numFmtId="165" fontId="20" fillId="10" borderId="16" xfId="0" applyNumberFormat="1" applyFont="1" applyFill="1" applyBorder="1"/>
    <xf numFmtId="165" fontId="20" fillId="11" borderId="32" xfId="0" applyNumberFormat="1" applyFont="1" applyFill="1" applyBorder="1" applyAlignment="1">
      <alignment horizontal="center" vertical="center"/>
    </xf>
    <xf numFmtId="165" fontId="20" fillId="11" borderId="31" xfId="0" applyNumberFormat="1" applyFont="1" applyFill="1" applyBorder="1" applyAlignment="1">
      <alignment horizontal="center" vertical="center"/>
    </xf>
    <xf numFmtId="1" fontId="20" fillId="11" borderId="33" xfId="0" applyNumberFormat="1" applyFont="1" applyFill="1" applyBorder="1" applyAlignment="1">
      <alignment horizontal="center" vertical="center"/>
    </xf>
    <xf numFmtId="165" fontId="20" fillId="11" borderId="34" xfId="0" applyNumberFormat="1" applyFont="1" applyFill="1" applyBorder="1" applyAlignment="1">
      <alignment horizontal="center" vertical="center"/>
    </xf>
    <xf numFmtId="165" fontId="20" fillId="11" borderId="35" xfId="0" applyNumberFormat="1" applyFont="1" applyFill="1" applyBorder="1" applyAlignment="1">
      <alignment horizontal="center" vertical="center"/>
    </xf>
    <xf numFmtId="1" fontId="20" fillId="11" borderId="36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2" fontId="56" fillId="13" borderId="0" xfId="6" applyNumberFormat="1" applyFont="1" applyProtection="1"/>
    <xf numFmtId="2" fontId="56" fillId="13" borderId="0" xfId="6" quotePrefix="1" applyNumberFormat="1" applyFont="1" applyProtection="1"/>
    <xf numFmtId="168" fontId="33" fillId="15" borderId="1" xfId="2" quotePrefix="1" applyNumberFormat="1" applyFont="1" applyProtection="1">
      <protection locked="0"/>
    </xf>
    <xf numFmtId="165" fontId="20" fillId="11" borderId="2" xfId="0" quotePrefix="1" applyNumberFormat="1" applyFont="1" applyFill="1" applyBorder="1" applyAlignment="1">
      <alignment horizontal="center" vertical="center"/>
    </xf>
    <xf numFmtId="1" fontId="20" fillId="11" borderId="2" xfId="0" applyNumberFormat="1" applyFont="1" applyFill="1" applyBorder="1" applyAlignment="1">
      <alignment horizontal="center" vertical="center"/>
    </xf>
    <xf numFmtId="165" fontId="20" fillId="11" borderId="35" xfId="0" quotePrefix="1" applyNumberFormat="1" applyFont="1" applyFill="1" applyBorder="1" applyAlignment="1">
      <alignment horizontal="center" vertical="center"/>
    </xf>
    <xf numFmtId="1" fontId="20" fillId="11" borderId="35" xfId="0" applyNumberFormat="1" applyFont="1" applyFill="1" applyBorder="1" applyAlignment="1">
      <alignment horizontal="center" vertical="center"/>
    </xf>
    <xf numFmtId="165" fontId="20" fillId="11" borderId="114" xfId="0" applyNumberFormat="1" applyFont="1" applyFill="1" applyBorder="1" applyAlignment="1">
      <alignment horizontal="center" vertical="center"/>
    </xf>
    <xf numFmtId="165" fontId="59" fillId="3" borderId="0" xfId="3" applyNumberFormat="1" applyFont="1" applyFill="1" applyProtection="1"/>
    <xf numFmtId="165" fontId="59" fillId="3" borderId="15" xfId="3" applyNumberFormat="1" applyFont="1" applyFill="1" applyBorder="1" applyAlignment="1" applyProtection="1"/>
    <xf numFmtId="0" fontId="34" fillId="2" borderId="1" xfId="1" applyFont="1" applyProtection="1"/>
    <xf numFmtId="165" fontId="59" fillId="28" borderId="15" xfId="3" applyNumberFormat="1" applyFont="1" applyFill="1" applyBorder="1" applyAlignment="1" applyProtection="1"/>
    <xf numFmtId="165" fontId="59" fillId="28" borderId="22" xfId="3" applyNumberFormat="1" applyFont="1" applyFill="1" applyBorder="1" applyAlignment="1" applyProtection="1"/>
    <xf numFmtId="0" fontId="34" fillId="2" borderId="1" xfId="1" applyFont="1" applyAlignment="1" applyProtection="1">
      <alignment horizontal="center" vertical="center"/>
    </xf>
    <xf numFmtId="166" fontId="59" fillId="3" borderId="0" xfId="3" applyNumberFormat="1" applyFont="1" applyFill="1" applyProtection="1"/>
    <xf numFmtId="0" fontId="20" fillId="3" borderId="0" xfId="0" applyFont="1" applyFill="1"/>
    <xf numFmtId="0" fontId="34" fillId="2" borderId="1" xfId="1" applyFont="1"/>
    <xf numFmtId="0" fontId="20" fillId="14" borderId="2" xfId="0" applyFont="1" applyFill="1" applyBorder="1"/>
    <xf numFmtId="165" fontId="59" fillId="3" borderId="16" xfId="3" applyNumberFormat="1" applyFont="1" applyFill="1" applyBorder="1" applyAlignment="1" applyProtection="1"/>
    <xf numFmtId="0" fontId="59" fillId="3" borderId="0" xfId="3" applyFont="1" applyFill="1" applyProtection="1"/>
    <xf numFmtId="0" fontId="20" fillId="8" borderId="25" xfId="5" quotePrefix="1" applyFont="1" applyProtection="1"/>
    <xf numFmtId="0" fontId="20" fillId="8" borderId="25" xfId="5" applyFont="1" applyProtection="1"/>
    <xf numFmtId="0" fontId="20" fillId="29" borderId="0" xfId="0" applyFont="1" applyFill="1"/>
    <xf numFmtId="165" fontId="59" fillId="6" borderId="14" xfId="3" applyNumberFormat="1" applyFont="1" applyBorder="1" applyAlignment="1" applyProtection="1">
      <alignment horizontal="center" vertical="center"/>
    </xf>
    <xf numFmtId="165" fontId="59" fillId="6" borderId="15" xfId="3" applyNumberFormat="1" applyFont="1" applyBorder="1" applyAlignment="1" applyProtection="1">
      <alignment horizontal="center" vertical="center"/>
    </xf>
    <xf numFmtId="165" fontId="59" fillId="6" borderId="16" xfId="3" applyNumberFormat="1" applyFont="1" applyBorder="1" applyAlignment="1" applyProtection="1">
      <alignment horizontal="center" vertical="center"/>
    </xf>
    <xf numFmtId="0" fontId="64" fillId="2" borderId="1" xfId="1" applyFont="1" applyProtection="1"/>
    <xf numFmtId="1" fontId="64" fillId="2" borderId="1" xfId="1" applyNumberFormat="1" applyFont="1" applyAlignment="1" applyProtection="1">
      <alignment horizontal="center" vertical="center"/>
    </xf>
    <xf numFmtId="165" fontId="62" fillId="7" borderId="15" xfId="4" applyNumberFormat="1" applyFont="1" applyBorder="1" applyAlignment="1" applyProtection="1">
      <alignment horizontal="left"/>
    </xf>
    <xf numFmtId="165" fontId="62" fillId="7" borderId="0" xfId="4" applyNumberFormat="1" applyFont="1" applyBorder="1" applyAlignment="1" applyProtection="1">
      <alignment horizontal="center"/>
    </xf>
    <xf numFmtId="165" fontId="64" fillId="2" borderId="1" xfId="1" applyNumberFormat="1" applyFont="1" applyProtection="1"/>
    <xf numFmtId="0" fontId="64" fillId="2" borderId="1" xfId="1" quotePrefix="1" applyFont="1" applyProtection="1"/>
    <xf numFmtId="0" fontId="64" fillId="2" borderId="6" xfId="1" quotePrefix="1" applyFont="1" applyBorder="1" applyProtection="1"/>
    <xf numFmtId="165" fontId="59" fillId="6" borderId="58" xfId="3" applyNumberFormat="1" applyFont="1" applyBorder="1" applyAlignment="1" applyProtection="1">
      <alignment horizontal="center" vertical="center"/>
    </xf>
    <xf numFmtId="165" fontId="59" fillId="6" borderId="59" xfId="3" applyNumberFormat="1" applyFont="1" applyBorder="1" applyAlignment="1" applyProtection="1">
      <alignment horizontal="center" vertical="center"/>
    </xf>
    <xf numFmtId="165" fontId="59" fillId="6" borderId="57" xfId="3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vertical="center"/>
    </xf>
    <xf numFmtId="165" fontId="20" fillId="31" borderId="4" xfId="12" applyNumberFormat="1" applyFont="1" applyBorder="1" applyAlignment="1" applyProtection="1">
      <alignment vertical="center"/>
    </xf>
    <xf numFmtId="165" fontId="20" fillId="31" borderId="10" xfId="12" applyNumberFormat="1" applyFont="1" applyBorder="1" applyAlignment="1" applyProtection="1">
      <alignment vertical="center"/>
    </xf>
    <xf numFmtId="165" fontId="20" fillId="31" borderId="12" xfId="12" applyNumberFormat="1" applyFont="1" applyBorder="1" applyAlignment="1" applyProtection="1">
      <alignment vertical="center"/>
    </xf>
    <xf numFmtId="0" fontId="20" fillId="33" borderId="2" xfId="0" applyFont="1" applyFill="1" applyBorder="1" applyAlignment="1">
      <alignment horizontal="center" vertical="center"/>
    </xf>
    <xf numFmtId="165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165" fontId="59" fillId="3" borderId="0" xfId="3" applyNumberFormat="1" applyFont="1" applyFill="1" applyAlignment="1" applyProtection="1">
      <alignment vertical="center"/>
    </xf>
    <xf numFmtId="49" fontId="20" fillId="0" borderId="0" xfId="0" applyNumberFormat="1" applyFont="1"/>
    <xf numFmtId="0" fontId="20" fillId="33" borderId="2" xfId="0" quotePrefix="1" applyFont="1" applyFill="1" applyBorder="1" applyAlignment="1">
      <alignment horizontal="center"/>
    </xf>
    <xf numFmtId="1" fontId="34" fillId="2" borderId="1" xfId="1" applyNumberFormat="1" applyFont="1"/>
    <xf numFmtId="165" fontId="34" fillId="2" borderId="1" xfId="1" applyNumberFormat="1" applyFont="1"/>
    <xf numFmtId="0" fontId="34" fillId="2" borderId="1" xfId="1" applyFont="1" applyAlignment="1" applyProtection="1">
      <alignment horizontal="center"/>
    </xf>
    <xf numFmtId="165" fontId="34" fillId="2" borderId="1" xfId="1" applyNumberFormat="1" applyFont="1" applyAlignment="1" applyProtection="1">
      <alignment horizontal="center"/>
    </xf>
    <xf numFmtId="1" fontId="34" fillId="2" borderId="1" xfId="1" applyNumberFormat="1" applyFont="1" applyAlignment="1" applyProtection="1">
      <alignment horizontal="center"/>
    </xf>
    <xf numFmtId="0" fontId="34" fillId="2" borderId="1" xfId="1" applyFont="1" applyAlignment="1">
      <alignment horizontal="center"/>
    </xf>
    <xf numFmtId="0" fontId="34" fillId="2" borderId="13" xfId="1" applyFont="1" applyBorder="1" applyAlignment="1" applyProtection="1">
      <alignment horizontal="center" vertical="center"/>
    </xf>
    <xf numFmtId="0" fontId="20" fillId="18" borderId="7" xfId="9" applyFont="1" applyBorder="1" applyAlignment="1" applyProtection="1">
      <alignment vertical="center" wrapText="1"/>
    </xf>
    <xf numFmtId="0" fontId="20" fillId="18" borderId="8" xfId="9" applyFont="1" applyBorder="1" applyAlignment="1" applyProtection="1">
      <alignment vertical="center" wrapText="1"/>
    </xf>
    <xf numFmtId="0" fontId="34" fillId="37" borderId="1" xfId="1" applyFont="1" applyFill="1" applyAlignment="1" applyProtection="1">
      <alignment horizontal="center" vertical="center"/>
    </xf>
    <xf numFmtId="0" fontId="34" fillId="37" borderId="1" xfId="1" applyFont="1" applyFill="1" applyAlignment="1" applyProtection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69" fillId="17" borderId="0" xfId="0" applyFont="1" applyFill="1"/>
    <xf numFmtId="0" fontId="17" fillId="6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5" fontId="2" fillId="28" borderId="15" xfId="0" applyNumberFormat="1" applyFont="1" applyFill="1" applyBorder="1"/>
    <xf numFmtId="165" fontId="5" fillId="28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5" fontId="0" fillId="0" borderId="0" xfId="0" applyNumberFormat="1"/>
    <xf numFmtId="0" fontId="0" fillId="9" borderId="0" xfId="0" applyFill="1"/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6" fillId="6" borderId="0" xfId="3" applyBorder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0" fillId="8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0" fontId="29" fillId="12" borderId="2" xfId="0" applyFont="1" applyFill="1" applyBorder="1" applyAlignment="1">
      <alignment horizontal="center"/>
    </xf>
    <xf numFmtId="0" fontId="29" fillId="39" borderId="2" xfId="0" applyFont="1" applyFill="1" applyBorder="1" applyAlignment="1">
      <alignment horizontal="center"/>
    </xf>
    <xf numFmtId="0" fontId="20" fillId="0" borderId="2" xfId="0" quotePrefix="1" applyFont="1" applyBorder="1"/>
    <xf numFmtId="0" fontId="20" fillId="0" borderId="2" xfId="0" applyFont="1" applyBorder="1"/>
    <xf numFmtId="0" fontId="29" fillId="38" borderId="2" xfId="0" applyFont="1" applyFill="1" applyBorder="1" applyAlignment="1">
      <alignment horizontal="center"/>
    </xf>
    <xf numFmtId="21" fontId="20" fillId="0" borderId="2" xfId="0" quotePrefix="1" applyNumberFormat="1" applyFont="1" applyBorder="1"/>
    <xf numFmtId="0" fontId="20" fillId="40" borderId="0" xfId="0" applyFont="1" applyFill="1"/>
    <xf numFmtId="165" fontId="6" fillId="35" borderId="15" xfId="3" applyNumberFormat="1" applyFill="1" applyBorder="1" applyAlignment="1" applyProtection="1"/>
    <xf numFmtId="165" fontId="20" fillId="35" borderId="15" xfId="0" applyNumberFormat="1" applyFont="1" applyFill="1" applyBorder="1" applyAlignment="1">
      <alignment horizontal="center"/>
    </xf>
    <xf numFmtId="165" fontId="20" fillId="35" borderId="15" xfId="0" applyNumberFormat="1" applyFont="1" applyFill="1" applyBorder="1"/>
    <xf numFmtId="165" fontId="20" fillId="10" borderId="0" xfId="0" applyNumberFormat="1" applyFont="1" applyFill="1"/>
    <xf numFmtId="0" fontId="36" fillId="10" borderId="0" xfId="0" applyFont="1" applyFill="1"/>
    <xf numFmtId="165" fontId="20" fillId="0" borderId="2" xfId="0" quotePrefix="1" applyNumberFormat="1" applyFont="1" applyBorder="1"/>
    <xf numFmtId="165" fontId="20" fillId="10" borderId="2" xfId="0" applyNumberFormat="1" applyFont="1" applyFill="1" applyBorder="1"/>
    <xf numFmtId="165" fontId="20" fillId="10" borderId="2" xfId="0" quotePrefix="1" applyNumberFormat="1" applyFont="1" applyFill="1" applyBorder="1"/>
    <xf numFmtId="168" fontId="37" fillId="15" borderId="13" xfId="2" quotePrefix="1" applyNumberFormat="1" applyFont="1" applyBorder="1" applyAlignment="1" applyProtection="1">
      <alignment horizontal="center"/>
      <protection locked="0"/>
    </xf>
    <xf numFmtId="165" fontId="20" fillId="0" borderId="0" xfId="5" quotePrefix="1" applyNumberFormat="1" applyFont="1" applyFill="1" applyBorder="1" applyAlignment="1" applyProtection="1"/>
    <xf numFmtId="165" fontId="29" fillId="41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20" fillId="8" borderId="25" xfId="5" applyFont="1" applyAlignment="1">
      <alignment vertical="center"/>
    </xf>
    <xf numFmtId="0" fontId="20" fillId="8" borderId="2" xfId="5" applyFont="1" applyBorder="1" applyAlignment="1">
      <alignment vertical="center"/>
    </xf>
    <xf numFmtId="165" fontId="20" fillId="8" borderId="25" xfId="5" applyNumberFormat="1" applyFont="1" applyProtection="1"/>
    <xf numFmtId="0" fontId="0" fillId="42" borderId="14" xfId="0" applyFill="1" applyBorder="1"/>
    <xf numFmtId="0" fontId="0" fillId="42" borderId="15" xfId="0" applyFill="1" applyBorder="1"/>
    <xf numFmtId="0" fontId="0" fillId="42" borderId="16" xfId="0" applyFill="1" applyBorder="1"/>
    <xf numFmtId="165" fontId="3" fillId="15" borderId="1" xfId="2" applyNumberFormat="1" applyAlignment="1" applyProtection="1"/>
    <xf numFmtId="165" fontId="20" fillId="9" borderId="15" xfId="0" applyNumberFormat="1" applyFont="1" applyFill="1" applyBorder="1"/>
    <xf numFmtId="0" fontId="20" fillId="9" borderId="0" xfId="0" applyFont="1" applyFill="1"/>
    <xf numFmtId="0" fontId="2" fillId="37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9" fillId="0" borderId="0" xfId="0" applyFont="1"/>
    <xf numFmtId="47" fontId="20" fillId="0" borderId="0" xfId="0" applyNumberFormat="1" applyFont="1" applyAlignment="1">
      <alignment horizontal="center" vertical="center"/>
    </xf>
    <xf numFmtId="165" fontId="44" fillId="6" borderId="57" xfId="3" applyNumberFormat="1" applyFont="1" applyBorder="1" applyAlignment="1" applyProtection="1">
      <alignment horizontal="center" vertical="center"/>
    </xf>
    <xf numFmtId="165" fontId="44" fillId="6" borderId="58" xfId="3" applyNumberFormat="1" applyFont="1" applyBorder="1" applyAlignment="1" applyProtection="1">
      <alignment horizontal="center" vertical="center"/>
    </xf>
    <xf numFmtId="165" fontId="44" fillId="6" borderId="59" xfId="3" applyNumberFormat="1" applyFont="1" applyBorder="1" applyAlignment="1" applyProtection="1">
      <alignment horizontal="center" vertical="center"/>
    </xf>
    <xf numFmtId="0" fontId="0" fillId="14" borderId="2" xfId="0" applyFill="1" applyBorder="1" applyAlignment="1">
      <alignment horizontal="center" vertical="center"/>
    </xf>
    <xf numFmtId="165" fontId="20" fillId="18" borderId="0" xfId="9" applyNumberFormat="1" applyFont="1" applyAlignment="1" applyProtection="1">
      <alignment horizontal="center"/>
    </xf>
    <xf numFmtId="165" fontId="20" fillId="18" borderId="39" xfId="9" applyNumberFormat="1" applyFont="1" applyBorder="1" applyAlignment="1" applyProtection="1">
      <alignment horizontal="center"/>
    </xf>
    <xf numFmtId="165" fontId="37" fillId="15" borderId="13" xfId="2" applyNumberFormat="1" applyFont="1" applyBorder="1" applyAlignment="1" applyProtection="1">
      <alignment horizontal="center" vertical="center"/>
      <protection locked="0"/>
    </xf>
    <xf numFmtId="165" fontId="37" fillId="15" borderId="1" xfId="2" applyNumberFormat="1" applyFont="1" applyAlignment="1" applyProtection="1">
      <alignment horizontal="center" vertical="center"/>
      <protection locked="0"/>
    </xf>
    <xf numFmtId="165" fontId="37" fillId="15" borderId="18" xfId="2" applyNumberFormat="1" applyFont="1" applyBorder="1" applyAlignment="1" applyProtection="1">
      <alignment horizontal="center" vertical="center"/>
      <protection locked="0"/>
    </xf>
    <xf numFmtId="165" fontId="37" fillId="15" borderId="3" xfId="2" applyNumberFormat="1" applyFont="1" applyBorder="1" applyAlignment="1" applyProtection="1">
      <alignment horizontal="center" vertical="center"/>
      <protection locked="0"/>
    </xf>
    <xf numFmtId="165" fontId="20" fillId="18" borderId="2" xfId="9" applyNumberFormat="1" applyFont="1" applyBorder="1" applyAlignment="1" applyProtection="1">
      <alignment horizontal="center" vertical="center"/>
    </xf>
    <xf numFmtId="165" fontId="20" fillId="18" borderId="2" xfId="9" applyNumberFormat="1" applyFont="1" applyBorder="1" applyAlignment="1" applyProtection="1">
      <alignment horizontal="center" vertical="center" wrapText="1"/>
    </xf>
    <xf numFmtId="0" fontId="20" fillId="33" borderId="10" xfId="9" applyFont="1" applyFill="1" applyBorder="1" applyAlignment="1" applyProtection="1">
      <alignment horizontal="right"/>
    </xf>
    <xf numFmtId="0" fontId="20" fillId="33" borderId="11" xfId="9" applyFont="1" applyFill="1" applyBorder="1" applyAlignment="1" applyProtection="1">
      <alignment horizontal="right"/>
    </xf>
    <xf numFmtId="0" fontId="20" fillId="33" borderId="12" xfId="9" applyFont="1" applyFill="1" applyBorder="1" applyAlignment="1" applyProtection="1">
      <alignment horizontal="right"/>
    </xf>
    <xf numFmtId="0" fontId="20" fillId="18" borderId="2" xfId="9" applyFont="1" applyBorder="1" applyAlignment="1" applyProtection="1">
      <alignment horizontal="right"/>
    </xf>
    <xf numFmtId="165" fontId="32" fillId="2" borderId="5" xfId="1" applyNumberFormat="1" applyFont="1" applyBorder="1" applyAlignment="1" applyProtection="1">
      <alignment horizontal="center"/>
    </xf>
    <xf numFmtId="165" fontId="32" fillId="2" borderId="23" xfId="1" applyNumberFormat="1" applyFont="1" applyBorder="1" applyAlignment="1" applyProtection="1">
      <alignment horizontal="center"/>
    </xf>
    <xf numFmtId="165" fontId="32" fillId="2" borderId="6" xfId="1" applyNumberFormat="1" applyFont="1" applyBorder="1" applyAlignment="1" applyProtection="1">
      <alignment horizontal="center"/>
    </xf>
    <xf numFmtId="165" fontId="44" fillId="6" borderId="14" xfId="3" applyNumberFormat="1" applyFont="1" applyBorder="1" applyAlignment="1" applyProtection="1">
      <alignment horizontal="center" vertical="center"/>
    </xf>
    <xf numFmtId="165" fontId="44" fillId="6" borderId="15" xfId="3" applyNumberFormat="1" applyFont="1" applyBorder="1" applyAlignment="1" applyProtection="1">
      <alignment horizontal="center" vertical="center"/>
    </xf>
    <xf numFmtId="165" fontId="44" fillId="6" borderId="16" xfId="3" applyNumberFormat="1" applyFont="1" applyBorder="1" applyAlignment="1" applyProtection="1">
      <alignment horizontal="center" vertical="center"/>
    </xf>
    <xf numFmtId="0" fontId="20" fillId="26" borderId="30" xfId="9" applyFont="1" applyFill="1" applyBorder="1" applyAlignment="1" applyProtection="1">
      <alignment horizontal="right"/>
    </xf>
    <xf numFmtId="0" fontId="20" fillId="18" borderId="7" xfId="9" applyFont="1" applyBorder="1" applyAlignment="1" applyProtection="1">
      <alignment horizontal="center" vertical="center" wrapText="1"/>
    </xf>
    <xf numFmtId="0" fontId="20" fillId="18" borderId="8" xfId="9" applyFont="1" applyBorder="1" applyAlignment="1" applyProtection="1">
      <alignment horizontal="center" vertical="center" wrapText="1"/>
    </xf>
    <xf numFmtId="0" fontId="20" fillId="18" borderId="0" xfId="9" applyFont="1" applyBorder="1" applyAlignment="1" applyProtection="1">
      <alignment horizontal="right" vertical="center"/>
    </xf>
    <xf numFmtId="165" fontId="38" fillId="13" borderId="2" xfId="6" quotePrefix="1" applyNumberFormat="1" applyFont="1" applyBorder="1" applyAlignment="1" applyProtection="1">
      <alignment horizontal="center"/>
    </xf>
    <xf numFmtId="165" fontId="38" fillId="13" borderId="2" xfId="6" applyNumberFormat="1" applyFont="1" applyBorder="1" applyAlignment="1" applyProtection="1">
      <alignment horizontal="center"/>
    </xf>
    <xf numFmtId="165" fontId="20" fillId="10" borderId="15" xfId="0" applyNumberFormat="1" applyFont="1" applyFill="1" applyBorder="1" applyAlignment="1">
      <alignment horizontal="center"/>
    </xf>
    <xf numFmtId="165" fontId="40" fillId="7" borderId="24" xfId="4" applyNumberFormat="1" applyFont="1" applyAlignment="1" applyProtection="1">
      <alignment horizontal="center"/>
    </xf>
    <xf numFmtId="165" fontId="40" fillId="7" borderId="103" xfId="4" applyNumberFormat="1" applyFont="1" applyBorder="1" applyAlignment="1" applyProtection="1">
      <alignment horizontal="center"/>
    </xf>
    <xf numFmtId="165" fontId="40" fillId="7" borderId="41" xfId="4" applyNumberFormat="1" applyFont="1" applyBorder="1" applyAlignment="1" applyProtection="1">
      <alignment horizontal="center"/>
    </xf>
    <xf numFmtId="165" fontId="40" fillId="7" borderId="42" xfId="4" applyNumberFormat="1" applyFont="1" applyBorder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165" fontId="40" fillId="7" borderId="24" xfId="4" applyNumberFormat="1" applyFont="1" applyAlignment="1" applyProtection="1">
      <alignment horizontal="center" vertical="center"/>
    </xf>
    <xf numFmtId="0" fontId="40" fillId="7" borderId="24" xfId="4" applyFont="1" applyAlignment="1" applyProtection="1">
      <alignment horizontal="center" vertical="center"/>
    </xf>
    <xf numFmtId="0" fontId="20" fillId="33" borderId="2" xfId="9" applyFont="1" applyFill="1" applyBorder="1" applyAlignment="1" applyProtection="1">
      <alignment horizontal="right"/>
    </xf>
    <xf numFmtId="165" fontId="32" fillId="2" borderId="13" xfId="1" applyNumberFormat="1" applyFont="1" applyBorder="1" applyAlignment="1" applyProtection="1">
      <alignment horizontal="center" vertical="center"/>
    </xf>
    <xf numFmtId="165" fontId="32" fillId="2" borderId="1" xfId="1" applyNumberFormat="1" applyFont="1" applyAlignment="1" applyProtection="1">
      <alignment horizontal="center" vertic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20" fillId="10" borderId="113" xfId="0" applyNumberFormat="1" applyFont="1" applyFill="1" applyBorder="1" applyAlignment="1">
      <alignment horizontal="center"/>
    </xf>
    <xf numFmtId="165" fontId="20" fillId="8" borderId="116" xfId="5" applyNumberFormat="1" applyFont="1" applyBorder="1" applyAlignment="1" applyProtection="1">
      <alignment horizontal="center"/>
    </xf>
    <xf numFmtId="165" fontId="20" fillId="8" borderId="31" xfId="5" applyNumberFormat="1" applyFont="1" applyBorder="1" applyAlignment="1" applyProtection="1">
      <alignment horizontal="center"/>
    </xf>
    <xf numFmtId="0" fontId="53" fillId="6" borderId="5" xfId="3" applyFont="1" applyBorder="1" applyAlignment="1" applyProtection="1">
      <alignment horizontal="center" vertical="center"/>
    </xf>
    <xf numFmtId="0" fontId="53" fillId="6" borderId="23" xfId="3" applyFont="1" applyBorder="1" applyAlignment="1" applyProtection="1">
      <alignment horizontal="center" vertical="center"/>
    </xf>
    <xf numFmtId="0" fontId="53" fillId="6" borderId="6" xfId="3" applyFont="1" applyBorder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/>
    </xf>
    <xf numFmtId="165" fontId="32" fillId="2" borderId="8" xfId="1" applyNumberFormat="1" applyFont="1" applyBorder="1" applyAlignment="1" applyProtection="1">
      <alignment horizontal="right" vertical="center"/>
    </xf>
    <xf numFmtId="165" fontId="32" fillId="2" borderId="11" xfId="1" applyNumberFormat="1" applyFont="1" applyBorder="1" applyAlignment="1" applyProtection="1">
      <alignment horizontal="right" vertical="center"/>
    </xf>
    <xf numFmtId="0" fontId="43" fillId="8" borderId="82" xfId="5" applyFont="1" applyBorder="1" applyAlignment="1" applyProtection="1">
      <alignment horizontal="center"/>
    </xf>
    <xf numFmtId="164" fontId="20" fillId="18" borderId="2" xfId="9" applyNumberFormat="1" applyFont="1" applyBorder="1" applyAlignment="1" applyProtection="1">
      <alignment horizontal="center" vertical="center" wrapText="1"/>
    </xf>
    <xf numFmtId="0" fontId="29" fillId="20" borderId="30" xfId="9" applyFont="1" applyFill="1" applyBorder="1" applyAlignment="1" applyProtection="1">
      <alignment horizontal="right"/>
    </xf>
    <xf numFmtId="165" fontId="32" fillId="2" borderId="44" xfId="1" applyNumberFormat="1" applyFont="1" applyBorder="1" applyAlignment="1" applyProtection="1">
      <alignment horizontal="center"/>
    </xf>
    <xf numFmtId="165" fontId="32" fillId="2" borderId="38" xfId="1" applyNumberFormat="1" applyFont="1" applyBorder="1" applyAlignment="1" applyProtection="1">
      <alignment horizontal="center"/>
    </xf>
    <xf numFmtId="165" fontId="32" fillId="2" borderId="3" xfId="1" applyNumberFormat="1" applyFont="1" applyBorder="1" applyAlignment="1" applyProtection="1">
      <alignment horizontal="center"/>
    </xf>
    <xf numFmtId="165" fontId="51" fillId="8" borderId="85" xfId="5" applyNumberFormat="1" applyFont="1" applyBorder="1" applyAlignment="1" applyProtection="1">
      <alignment horizontal="center"/>
    </xf>
    <xf numFmtId="165" fontId="51" fillId="8" borderId="0" xfId="5" applyNumberFormat="1" applyFont="1" applyBorder="1" applyAlignment="1" applyProtection="1">
      <alignment horizontal="center"/>
    </xf>
    <xf numFmtId="0" fontId="40" fillId="7" borderId="24" xfId="4" applyFont="1" applyAlignment="1" applyProtection="1">
      <alignment horizontal="center"/>
    </xf>
    <xf numFmtId="165" fontId="32" fillId="2" borderId="29" xfId="1" applyNumberFormat="1" applyFont="1" applyBorder="1" applyAlignment="1" applyProtection="1">
      <alignment horizontal="center"/>
    </xf>
    <xf numFmtId="165" fontId="32" fillId="2" borderId="129" xfId="1" applyNumberFormat="1" applyFont="1" applyBorder="1" applyAlignment="1" applyProtection="1">
      <alignment horizontal="center"/>
    </xf>
    <xf numFmtId="165" fontId="32" fillId="2" borderId="15" xfId="1" applyNumberFormat="1" applyFont="1" applyBorder="1" applyAlignment="1" applyProtection="1">
      <alignment horizontal="center"/>
    </xf>
    <xf numFmtId="165" fontId="32" fillId="2" borderId="113" xfId="1" applyNumberFormat="1" applyFont="1" applyBorder="1" applyAlignment="1" applyProtection="1">
      <alignment horizontal="center"/>
    </xf>
    <xf numFmtId="165" fontId="40" fillId="7" borderId="130" xfId="4" applyNumberFormat="1" applyFont="1" applyBorder="1" applyAlignment="1" applyProtection="1">
      <alignment horizontal="left"/>
    </xf>
    <xf numFmtId="165" fontId="20" fillId="18" borderId="7" xfId="9" applyNumberFormat="1" applyFont="1" applyBorder="1" applyAlignment="1" applyProtection="1">
      <alignment horizontal="center" vertical="center"/>
    </xf>
    <xf numFmtId="165" fontId="20" fillId="18" borderId="8" xfId="9" applyNumberFormat="1" applyFont="1" applyBorder="1" applyAlignment="1" applyProtection="1">
      <alignment horizontal="center" vertical="center"/>
    </xf>
    <xf numFmtId="165" fontId="20" fillId="18" borderId="9" xfId="9" applyNumberFormat="1" applyFont="1" applyBorder="1" applyAlignment="1" applyProtection="1">
      <alignment horizontal="center" vertical="center"/>
    </xf>
    <xf numFmtId="165" fontId="20" fillId="18" borderId="10" xfId="9" applyNumberFormat="1" applyFont="1" applyBorder="1" applyAlignment="1" applyProtection="1">
      <alignment horizontal="center" vertical="center"/>
    </xf>
    <xf numFmtId="165" fontId="20" fillId="18" borderId="11" xfId="9" applyNumberFormat="1" applyFont="1" applyBorder="1" applyAlignment="1" applyProtection="1">
      <alignment horizontal="center" vertical="center"/>
    </xf>
    <xf numFmtId="165" fontId="20" fillId="18" borderId="12" xfId="9" applyNumberFormat="1" applyFont="1" applyBorder="1" applyAlignment="1" applyProtection="1">
      <alignment horizontal="center" vertical="center"/>
    </xf>
    <xf numFmtId="165" fontId="37" fillId="15" borderId="19" xfId="2" applyNumberFormat="1" applyFont="1" applyBorder="1" applyAlignment="1" applyProtection="1">
      <alignment horizontal="center" vertical="center"/>
      <protection locked="0"/>
    </xf>
    <xf numFmtId="165" fontId="37" fillId="15" borderId="20" xfId="2" applyNumberFormat="1" applyFont="1" applyBorder="1" applyAlignment="1" applyProtection="1">
      <alignment horizontal="center" vertical="center"/>
      <protection locked="0"/>
    </xf>
    <xf numFmtId="165" fontId="37" fillId="15" borderId="21" xfId="2" applyNumberFormat="1" applyFont="1" applyBorder="1" applyAlignment="1" applyProtection="1">
      <alignment horizontal="center" vertical="center"/>
      <protection locked="0"/>
    </xf>
    <xf numFmtId="165" fontId="37" fillId="15" borderId="17" xfId="2" applyNumberFormat="1" applyFont="1" applyBorder="1" applyAlignment="1" applyProtection="1">
      <alignment horizontal="center" vertical="center"/>
      <protection locked="0"/>
    </xf>
    <xf numFmtId="165" fontId="37" fillId="15" borderId="45" xfId="2" applyNumberFormat="1" applyFont="1" applyBorder="1" applyAlignment="1" applyProtection="1">
      <alignment horizontal="center" vertical="center"/>
      <protection locked="0"/>
    </xf>
    <xf numFmtId="165" fontId="37" fillId="15" borderId="104" xfId="2" applyNumberFormat="1" applyFont="1" applyBorder="1" applyAlignment="1" applyProtection="1">
      <alignment horizontal="center" vertical="center"/>
      <protection locked="0"/>
    </xf>
    <xf numFmtId="165" fontId="37" fillId="15" borderId="8" xfId="2" applyNumberFormat="1" applyFont="1" applyBorder="1" applyAlignment="1" applyProtection="1">
      <alignment horizontal="center" vertical="center"/>
      <protection locked="0"/>
    </xf>
    <xf numFmtId="165" fontId="37" fillId="15" borderId="105" xfId="2" applyNumberFormat="1" applyFont="1" applyBorder="1" applyAlignment="1" applyProtection="1">
      <alignment horizontal="center" vertical="center"/>
      <protection locked="0"/>
    </xf>
    <xf numFmtId="0" fontId="37" fillId="15" borderId="17" xfId="2" applyFont="1" applyBorder="1" applyAlignment="1" applyProtection="1">
      <alignment horizontal="center" vertical="center"/>
      <protection locked="0"/>
    </xf>
    <xf numFmtId="0" fontId="37" fillId="15" borderId="45" xfId="2" applyFont="1" applyBorder="1" applyAlignment="1" applyProtection="1">
      <alignment horizontal="center" vertical="center"/>
      <protection locked="0"/>
    </xf>
    <xf numFmtId="0" fontId="37" fillId="15" borderId="18" xfId="2" applyFont="1" applyBorder="1" applyAlignment="1" applyProtection="1">
      <alignment horizontal="center" vertical="center"/>
      <protection locked="0"/>
    </xf>
    <xf numFmtId="165" fontId="20" fillId="18" borderId="7" xfId="9" applyNumberFormat="1" applyFont="1" applyBorder="1" applyAlignment="1" applyProtection="1">
      <alignment horizontal="center" wrapText="1"/>
    </xf>
    <xf numFmtId="165" fontId="20" fillId="18" borderId="8" xfId="9" applyNumberFormat="1" applyFont="1" applyBorder="1" applyAlignment="1" applyProtection="1">
      <alignment horizontal="center" wrapText="1"/>
    </xf>
    <xf numFmtId="165" fontId="20" fillId="18" borderId="9" xfId="9" applyNumberFormat="1" applyFont="1" applyBorder="1" applyAlignment="1" applyProtection="1">
      <alignment horizontal="center" wrapText="1"/>
    </xf>
    <xf numFmtId="165" fontId="20" fillId="18" borderId="10" xfId="9" applyNumberFormat="1" applyFont="1" applyBorder="1" applyAlignment="1" applyProtection="1">
      <alignment horizontal="center" wrapText="1"/>
    </xf>
    <xf numFmtId="165" fontId="20" fillId="18" borderId="11" xfId="9" applyNumberFormat="1" applyFont="1" applyBorder="1" applyAlignment="1" applyProtection="1">
      <alignment horizontal="center" wrapText="1"/>
    </xf>
    <xf numFmtId="165" fontId="20" fillId="18" borderId="12" xfId="9" applyNumberFormat="1" applyFont="1" applyBorder="1" applyAlignment="1" applyProtection="1">
      <alignment horizontal="center" wrapText="1"/>
    </xf>
    <xf numFmtId="165" fontId="37" fillId="15" borderId="108" xfId="2" applyNumberFormat="1" applyFont="1" applyBorder="1" applyAlignment="1" applyProtection="1">
      <alignment horizontal="center" vertical="center"/>
      <protection locked="0"/>
    </xf>
    <xf numFmtId="49" fontId="37" fillId="15" borderId="104" xfId="2" quotePrefix="1" applyNumberFormat="1" applyFont="1" applyBorder="1" applyAlignment="1" applyProtection="1">
      <alignment horizontal="center" vertical="center"/>
      <protection locked="0"/>
    </xf>
    <xf numFmtId="49" fontId="37" fillId="15" borderId="8" xfId="2" quotePrefix="1" applyNumberFormat="1" applyFont="1" applyBorder="1" applyAlignment="1" applyProtection="1">
      <alignment horizontal="center" vertical="center"/>
      <protection locked="0"/>
    </xf>
    <xf numFmtId="49" fontId="37" fillId="15" borderId="27" xfId="2" quotePrefix="1" applyNumberFormat="1" applyFont="1" applyBorder="1" applyAlignment="1" applyProtection="1">
      <alignment horizontal="center" vertical="center"/>
      <protection locked="0"/>
    </xf>
    <xf numFmtId="49" fontId="37" fillId="15" borderId="17" xfId="2" quotePrefix="1" applyNumberFormat="1" applyFont="1" applyBorder="1" applyAlignment="1" applyProtection="1">
      <alignment horizontal="center" vertical="center"/>
      <protection locked="0"/>
    </xf>
    <xf numFmtId="49" fontId="37" fillId="15" borderId="45" xfId="2" quotePrefix="1" applyNumberFormat="1" applyFont="1" applyBorder="1" applyAlignment="1" applyProtection="1">
      <alignment horizontal="center" vertical="center"/>
      <protection locked="0"/>
    </xf>
    <xf numFmtId="49" fontId="37" fillId="15" borderId="112" xfId="2" quotePrefix="1" applyNumberFormat="1" applyFont="1" applyBorder="1" applyAlignment="1" applyProtection="1">
      <alignment horizontal="center" vertical="center"/>
      <protection locked="0"/>
    </xf>
    <xf numFmtId="165" fontId="37" fillId="15" borderId="29" xfId="2" applyNumberFormat="1" applyFont="1" applyBorder="1" applyAlignment="1" applyProtection="1">
      <alignment horizontal="center" vertical="center"/>
      <protection locked="0"/>
    </xf>
    <xf numFmtId="49" fontId="37" fillId="15" borderId="19" xfId="2" quotePrefix="1" applyNumberFormat="1" applyFont="1" applyBorder="1" applyAlignment="1" applyProtection="1">
      <alignment horizontal="center" vertical="center"/>
      <protection locked="0"/>
    </xf>
    <xf numFmtId="49" fontId="37" fillId="15" borderId="20" xfId="2" quotePrefix="1" applyNumberFormat="1" applyFont="1" applyBorder="1" applyAlignment="1" applyProtection="1">
      <alignment horizontal="center" vertical="center"/>
      <protection locked="0"/>
    </xf>
    <xf numFmtId="49" fontId="37" fillId="15" borderId="111" xfId="2" quotePrefix="1" applyNumberFormat="1" applyFont="1" applyBorder="1" applyAlignment="1" applyProtection="1">
      <alignment horizontal="center" vertical="center"/>
      <protection locked="0"/>
    </xf>
    <xf numFmtId="165" fontId="39" fillId="6" borderId="15" xfId="3" applyNumberFormat="1" applyFont="1" applyBorder="1" applyAlignment="1" applyProtection="1">
      <alignment horizontal="center"/>
    </xf>
    <xf numFmtId="0" fontId="37" fillId="15" borderId="128" xfId="2" applyFont="1" applyBorder="1" applyAlignment="1" applyProtection="1">
      <alignment horizontal="center" vertical="center"/>
      <protection locked="0"/>
    </xf>
    <xf numFmtId="0" fontId="36" fillId="14" borderId="2" xfId="0" applyFont="1" applyFill="1" applyBorder="1" applyAlignment="1">
      <alignment horizontal="left" vertical="center"/>
    </xf>
    <xf numFmtId="0" fontId="36" fillId="14" borderId="30" xfId="0" applyFont="1" applyFill="1" applyBorder="1" applyAlignment="1">
      <alignment horizontal="left" vertical="center"/>
    </xf>
    <xf numFmtId="165" fontId="32" fillId="2" borderId="1" xfId="1" applyNumberFormat="1" applyFont="1" applyAlignment="1" applyProtection="1">
      <alignment horizontal="center"/>
    </xf>
    <xf numFmtId="0" fontId="32" fillId="2" borderId="1" xfId="1" applyFont="1" applyAlignment="1" applyProtection="1">
      <alignment horizontal="center"/>
    </xf>
    <xf numFmtId="0" fontId="20" fillId="18" borderId="0" xfId="9" applyFont="1" applyBorder="1" applyAlignment="1" applyProtection="1">
      <alignment horizontal="right" vertical="center" wrapText="1"/>
    </xf>
    <xf numFmtId="0" fontId="20" fillId="18" borderId="4" xfId="9" applyFont="1" applyBorder="1" applyAlignment="1" applyProtection="1">
      <alignment horizontal="right" vertical="center" wrapText="1"/>
    </xf>
    <xf numFmtId="0" fontId="20" fillId="18" borderId="11" xfId="9" applyFont="1" applyBorder="1" applyAlignment="1" applyProtection="1">
      <alignment horizontal="right" vertical="center" wrapText="1"/>
    </xf>
    <xf numFmtId="0" fontId="20" fillId="18" borderId="12" xfId="9" applyFont="1" applyBorder="1" applyAlignment="1" applyProtection="1">
      <alignment horizontal="right" vertical="center" wrapText="1"/>
    </xf>
    <xf numFmtId="49" fontId="37" fillId="15" borderId="18" xfId="2" quotePrefix="1" applyNumberFormat="1" applyFont="1" applyBorder="1" applyAlignment="1" applyProtection="1">
      <alignment horizontal="center"/>
      <protection locked="0"/>
    </xf>
    <xf numFmtId="49" fontId="37" fillId="15" borderId="13" xfId="2" applyNumberFormat="1" applyFont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</xf>
    <xf numFmtId="0" fontId="37" fillId="15" borderId="23" xfId="2" applyFont="1" applyBorder="1" applyAlignment="1" applyProtection="1">
      <alignment horizontal="center"/>
    </xf>
    <xf numFmtId="0" fontId="37" fillId="15" borderId="6" xfId="2" applyFont="1" applyBorder="1" applyAlignment="1" applyProtection="1">
      <alignment horizontal="center"/>
    </xf>
    <xf numFmtId="165" fontId="32" fillId="2" borderId="127" xfId="1" applyNumberFormat="1" applyFont="1" applyBorder="1" applyAlignment="1" applyProtection="1">
      <alignment horizontal="center"/>
    </xf>
    <xf numFmtId="0" fontId="20" fillId="18" borderId="7" xfId="9" applyFont="1" applyBorder="1" applyAlignment="1" applyProtection="1">
      <alignment horizontal="right" vertical="center"/>
    </xf>
    <xf numFmtId="0" fontId="20" fillId="18" borderId="8" xfId="9" applyFont="1" applyBorder="1" applyAlignment="1" applyProtection="1">
      <alignment horizontal="right" vertical="center"/>
    </xf>
    <xf numFmtId="0" fontId="20" fillId="18" borderId="9" xfId="9" applyFont="1" applyBorder="1" applyAlignment="1" applyProtection="1">
      <alignment horizontal="right" vertical="center"/>
    </xf>
    <xf numFmtId="0" fontId="20" fillId="18" borderId="47" xfId="9" applyFont="1" applyBorder="1" applyAlignment="1" applyProtection="1">
      <alignment horizontal="right" vertical="center"/>
    </xf>
    <xf numFmtId="0" fontId="20" fillId="18" borderId="4" xfId="9" applyFont="1" applyBorder="1" applyAlignment="1" applyProtection="1">
      <alignment horizontal="right" vertical="center"/>
    </xf>
    <xf numFmtId="0" fontId="20" fillId="18" borderId="10" xfId="9" applyFont="1" applyBorder="1" applyAlignment="1" applyProtection="1">
      <alignment horizontal="right" vertical="center"/>
    </xf>
    <xf numFmtId="0" fontId="20" fillId="18" borderId="11" xfId="9" applyFont="1" applyBorder="1" applyAlignment="1" applyProtection="1">
      <alignment horizontal="right" vertical="center"/>
    </xf>
    <xf numFmtId="0" fontId="20" fillId="18" borderId="12" xfId="9" applyFont="1" applyBorder="1" applyAlignment="1" applyProtection="1">
      <alignment horizontal="right" vertical="center"/>
    </xf>
    <xf numFmtId="165" fontId="32" fillId="2" borderId="7" xfId="1" applyNumberFormat="1" applyFont="1" applyBorder="1" applyAlignment="1" applyProtection="1">
      <alignment horizontal="center" vertical="center"/>
    </xf>
    <xf numFmtId="165" fontId="32" fillId="2" borderId="8" xfId="1" applyNumberFormat="1" applyFont="1" applyBorder="1" applyAlignment="1" applyProtection="1">
      <alignment horizontal="center" vertical="center"/>
    </xf>
    <xf numFmtId="165" fontId="32" fillId="2" borderId="9" xfId="1" applyNumberFormat="1" applyFont="1" applyBorder="1" applyAlignment="1" applyProtection="1">
      <alignment horizontal="center" vertical="center"/>
    </xf>
    <xf numFmtId="165" fontId="32" fillId="2" borderId="47" xfId="1" applyNumberFormat="1" applyFont="1" applyBorder="1" applyAlignment="1" applyProtection="1">
      <alignment horizontal="center" vertical="center"/>
    </xf>
    <xf numFmtId="165" fontId="32" fillId="2" borderId="0" xfId="1" applyNumberFormat="1" applyFont="1" applyBorder="1" applyAlignment="1" applyProtection="1">
      <alignment horizontal="center" vertical="center"/>
    </xf>
    <xf numFmtId="165" fontId="32" fillId="2" borderId="4" xfId="1" applyNumberFormat="1" applyFont="1" applyBorder="1" applyAlignment="1" applyProtection="1">
      <alignment horizontal="center" vertical="center"/>
    </xf>
    <xf numFmtId="165" fontId="32" fillId="2" borderId="46" xfId="1" applyNumberFormat="1" applyFont="1" applyBorder="1" applyAlignment="1" applyProtection="1">
      <alignment horizontal="center" vertical="center"/>
    </xf>
    <xf numFmtId="165" fontId="32" fillId="2" borderId="45" xfId="1" applyNumberFormat="1" applyFont="1" applyBorder="1" applyAlignment="1" applyProtection="1">
      <alignment horizontal="center" vertical="center"/>
    </xf>
    <xf numFmtId="165" fontId="32" fillId="2" borderId="48" xfId="1" applyNumberFormat="1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  <protection locked="0"/>
    </xf>
    <xf numFmtId="0" fontId="37" fillId="15" borderId="8" xfId="2" quotePrefix="1" applyFont="1" applyBorder="1" applyAlignment="1" applyProtection="1">
      <alignment horizontal="center" vertical="center"/>
      <protection locked="0"/>
    </xf>
    <xf numFmtId="0" fontId="37" fillId="15" borderId="47" xfId="2" quotePrefix="1" applyFont="1" applyBorder="1" applyAlignment="1" applyProtection="1">
      <alignment horizontal="center" vertical="center"/>
      <protection locked="0"/>
    </xf>
    <xf numFmtId="0" fontId="37" fillId="15" borderId="0" xfId="2" quotePrefix="1" applyFont="1" applyBorder="1" applyAlignment="1" applyProtection="1">
      <alignment horizontal="center" vertical="center"/>
      <protection locked="0"/>
    </xf>
    <xf numFmtId="0" fontId="37" fillId="15" borderId="10" xfId="2" quotePrefix="1" applyFont="1" applyBorder="1" applyAlignment="1" applyProtection="1">
      <alignment horizontal="center" vertical="center"/>
      <protection locked="0"/>
    </xf>
    <xf numFmtId="0" fontId="37" fillId="15" borderId="11" xfId="2" quotePrefix="1" applyFont="1" applyBorder="1" applyAlignment="1" applyProtection="1">
      <alignment horizontal="center" vertical="center"/>
      <protection locked="0"/>
    </xf>
    <xf numFmtId="0" fontId="49" fillId="6" borderId="2" xfId="3" applyFont="1" applyBorder="1" applyAlignment="1" applyProtection="1">
      <alignment horizontal="center" vertical="center"/>
    </xf>
    <xf numFmtId="49" fontId="37" fillId="15" borderId="31" xfId="2" quotePrefix="1" applyNumberFormat="1" applyFont="1" applyBorder="1" applyAlignment="1" applyProtection="1">
      <alignment horizontal="center" vertical="center"/>
      <protection locked="0"/>
    </xf>
    <xf numFmtId="1" fontId="37" fillId="15" borderId="13" xfId="2" applyNumberFormat="1" applyFont="1" applyBorder="1" applyAlignment="1" applyProtection="1">
      <alignment horizontal="center" vertical="center"/>
      <protection locked="0"/>
    </xf>
    <xf numFmtId="1" fontId="37" fillId="15" borderId="17" xfId="2" applyNumberFormat="1" applyFont="1" applyBorder="1" applyAlignment="1" applyProtection="1">
      <alignment horizontal="center" vertical="center"/>
      <protection locked="0"/>
    </xf>
    <xf numFmtId="0" fontId="32" fillId="2" borderId="44" xfId="1" applyFont="1" applyBorder="1" applyAlignment="1" applyProtection="1">
      <alignment horizontal="center"/>
    </xf>
    <xf numFmtId="0" fontId="32" fillId="2" borderId="38" xfId="1" applyFont="1" applyBorder="1" applyAlignment="1" applyProtection="1">
      <alignment horizontal="center"/>
    </xf>
    <xf numFmtId="0" fontId="32" fillId="2" borderId="3" xfId="1" applyFont="1" applyBorder="1" applyAlignment="1" applyProtection="1">
      <alignment horizontal="center"/>
    </xf>
    <xf numFmtId="165" fontId="39" fillId="6" borderId="2" xfId="3" applyNumberFormat="1" applyFont="1" applyBorder="1" applyAlignment="1" applyProtection="1">
      <alignment horizontal="center"/>
    </xf>
    <xf numFmtId="165" fontId="37" fillId="15" borderId="110" xfId="2" applyNumberFormat="1" applyFont="1" applyBorder="1" applyAlignment="1" applyProtection="1">
      <alignment horizontal="center" vertical="center"/>
      <protection locked="0"/>
    </xf>
    <xf numFmtId="165" fontId="37" fillId="15" borderId="0" xfId="2" applyNumberFormat="1" applyFont="1" applyBorder="1" applyAlignment="1" applyProtection="1">
      <alignment horizontal="center" vertical="center"/>
      <protection locked="0"/>
    </xf>
    <xf numFmtId="165" fontId="37" fillId="15" borderId="39" xfId="2" applyNumberFormat="1" applyFont="1" applyBorder="1" applyAlignment="1" applyProtection="1">
      <alignment horizontal="center" vertical="center"/>
      <protection locked="0"/>
    </xf>
    <xf numFmtId="0" fontId="37" fillId="15" borderId="19" xfId="2" quotePrefix="1" applyFont="1" applyBorder="1" applyAlignment="1" applyProtection="1">
      <alignment horizontal="center"/>
      <protection locked="0"/>
    </xf>
    <xf numFmtId="0" fontId="37" fillId="15" borderId="20" xfId="2" applyFont="1" applyBorder="1" applyAlignment="1" applyProtection="1">
      <alignment horizontal="center"/>
      <protection locked="0"/>
    </xf>
    <xf numFmtId="0" fontId="37" fillId="15" borderId="21" xfId="2" applyFont="1" applyBorder="1" applyAlignment="1" applyProtection="1">
      <alignment horizontal="center"/>
      <protection locked="0"/>
    </xf>
    <xf numFmtId="164" fontId="20" fillId="18" borderId="100" xfId="9" applyNumberFormat="1" applyFont="1" applyBorder="1" applyAlignment="1" applyProtection="1">
      <alignment horizontal="center" vertical="center" wrapText="1"/>
    </xf>
    <xf numFmtId="164" fontId="20" fillId="18" borderId="101" xfId="9" applyNumberFormat="1" applyFont="1" applyBorder="1" applyAlignment="1" applyProtection="1">
      <alignment horizontal="center" vertical="center" wrapText="1"/>
    </xf>
    <xf numFmtId="164" fontId="20" fillId="18" borderId="102" xfId="9" applyNumberFormat="1" applyFont="1" applyBorder="1" applyAlignment="1" applyProtection="1">
      <alignment horizontal="center" vertical="center" wrapText="1"/>
    </xf>
    <xf numFmtId="164" fontId="20" fillId="18" borderId="10" xfId="9" applyNumberFormat="1" applyFont="1" applyBorder="1" applyAlignment="1" applyProtection="1">
      <alignment horizontal="center" vertical="center" wrapText="1"/>
    </xf>
    <xf numFmtId="164" fontId="20" fillId="18" borderId="11" xfId="9" applyNumberFormat="1" applyFont="1" applyBorder="1" applyAlignment="1" applyProtection="1">
      <alignment horizontal="center" vertical="center" wrapText="1"/>
    </xf>
    <xf numFmtId="164" fontId="20" fillId="18" borderId="12" xfId="9" applyNumberFormat="1" applyFont="1" applyBorder="1" applyAlignment="1" applyProtection="1">
      <alignment horizontal="center" vertical="center" wrapText="1"/>
    </xf>
    <xf numFmtId="0" fontId="37" fillId="15" borderId="2" xfId="2" applyFont="1" applyBorder="1" applyAlignment="1" applyProtection="1">
      <alignment horizontal="center"/>
      <protection locked="0"/>
    </xf>
    <xf numFmtId="0" fontId="32" fillId="2" borderId="1" xfId="1" applyFont="1" applyAlignment="1" applyProtection="1">
      <alignment horizontal="center" vertical="center"/>
    </xf>
    <xf numFmtId="0" fontId="20" fillId="18" borderId="1" xfId="9" applyFont="1" applyBorder="1" applyAlignment="1" applyProtection="1">
      <alignment horizontal="center" vertical="center"/>
    </xf>
    <xf numFmtId="165" fontId="40" fillId="7" borderId="51" xfId="4" applyNumberFormat="1" applyFont="1" applyBorder="1" applyAlignment="1" applyProtection="1">
      <alignment horizontal="center"/>
    </xf>
    <xf numFmtId="0" fontId="37" fillId="15" borderId="1" xfId="2" quotePrefix="1" applyFont="1" applyAlignment="1" applyProtection="1">
      <alignment horizontal="center"/>
      <protection locked="0"/>
    </xf>
    <xf numFmtId="0" fontId="37" fillId="15" borderId="1" xfId="2" applyFont="1" applyAlignment="1" applyProtection="1">
      <alignment horizontal="center"/>
      <protection locked="0"/>
    </xf>
    <xf numFmtId="165" fontId="37" fillId="15" borderId="1" xfId="2" quotePrefix="1" applyNumberFormat="1" applyFont="1" applyAlignment="1" applyProtection="1">
      <alignment horizontal="center" vertical="center"/>
      <protection locked="0"/>
    </xf>
    <xf numFmtId="165" fontId="50" fillId="16" borderId="41" xfId="4" applyNumberFormat="1" applyFont="1" applyFill="1" applyBorder="1" applyAlignment="1" applyProtection="1">
      <alignment horizontal="center"/>
    </xf>
    <xf numFmtId="165" fontId="50" fillId="16" borderId="42" xfId="4" applyNumberFormat="1" applyFont="1" applyFill="1" applyBorder="1" applyAlignment="1" applyProtection="1">
      <alignment horizontal="center"/>
    </xf>
    <xf numFmtId="0" fontId="39" fillId="6" borderId="2" xfId="3" applyFont="1" applyBorder="1" applyAlignment="1" applyProtection="1">
      <alignment horizontal="center"/>
    </xf>
    <xf numFmtId="49" fontId="37" fillId="15" borderId="13" xfId="2" quotePrefix="1" applyNumberFormat="1" applyFont="1" applyBorder="1" applyAlignment="1" applyProtection="1">
      <alignment horizontal="center" vertical="center"/>
      <protection locked="0"/>
    </xf>
    <xf numFmtId="1" fontId="37" fillId="15" borderId="1" xfId="2" quotePrefix="1" applyNumberFormat="1" applyFont="1" applyAlignment="1" applyProtection="1">
      <alignment horizontal="center"/>
      <protection locked="0"/>
    </xf>
    <xf numFmtId="1" fontId="37" fillId="15" borderId="1" xfId="2" applyNumberFormat="1" applyFont="1" applyAlignment="1" applyProtection="1">
      <alignment horizontal="center"/>
      <protection locked="0"/>
    </xf>
    <xf numFmtId="165" fontId="20" fillId="18" borderId="1" xfId="9" applyNumberFormat="1" applyFont="1" applyBorder="1" applyAlignment="1" applyProtection="1">
      <alignment horizontal="center" vertical="center"/>
    </xf>
    <xf numFmtId="0" fontId="36" fillId="0" borderId="0" xfId="0" applyFont="1"/>
    <xf numFmtId="165" fontId="20" fillId="18" borderId="2" xfId="9" applyNumberFormat="1" applyFont="1" applyBorder="1" applyAlignment="1" applyProtection="1">
      <alignment horizontal="center" wrapText="1"/>
    </xf>
    <xf numFmtId="49" fontId="37" fillId="15" borderId="13" xfId="2" applyNumberFormat="1" applyFont="1" applyBorder="1" applyAlignment="1" applyProtection="1">
      <alignment horizontal="center" vertical="center"/>
      <protection locked="0"/>
    </xf>
    <xf numFmtId="49" fontId="37" fillId="15" borderId="1" xfId="2" applyNumberFormat="1" applyFont="1" applyAlignment="1" applyProtection="1">
      <alignment horizontal="center" vertical="center"/>
      <protection locked="0"/>
    </xf>
    <xf numFmtId="49" fontId="37" fillId="15" borderId="1" xfId="2" quotePrefix="1" applyNumberFormat="1" applyFont="1" applyAlignment="1" applyProtection="1">
      <alignment horizontal="center" vertical="center"/>
      <protection locked="0"/>
    </xf>
    <xf numFmtId="165" fontId="37" fillId="15" borderId="13" xfId="2" quotePrefix="1" applyNumberFormat="1" applyFont="1" applyBorder="1" applyAlignment="1" applyProtection="1">
      <alignment horizontal="center" vertical="center"/>
      <protection locked="0"/>
    </xf>
    <xf numFmtId="0" fontId="32" fillId="2" borderId="9" xfId="1" quotePrefix="1" applyFont="1" applyBorder="1" applyAlignment="1" applyProtection="1">
      <alignment horizontal="left" vertical="center"/>
    </xf>
    <xf numFmtId="0" fontId="32" fillId="2" borderId="12" xfId="1" quotePrefix="1" applyFont="1" applyBorder="1" applyAlignment="1" applyProtection="1">
      <alignment horizontal="left" vertical="center"/>
    </xf>
    <xf numFmtId="0" fontId="39" fillId="6" borderId="10" xfId="3" applyFont="1" applyBorder="1" applyAlignment="1" applyProtection="1">
      <alignment horizontal="center"/>
    </xf>
    <xf numFmtId="0" fontId="39" fillId="6" borderId="11" xfId="3" applyFont="1" applyBorder="1" applyAlignment="1" applyProtection="1">
      <alignment horizontal="center"/>
    </xf>
    <xf numFmtId="0" fontId="39" fillId="6" borderId="12" xfId="3" applyFont="1" applyBorder="1" applyAlignment="1" applyProtection="1">
      <alignment horizontal="center"/>
    </xf>
    <xf numFmtId="165" fontId="38" fillId="13" borderId="7" xfId="6" applyNumberFormat="1" applyFont="1" applyBorder="1" applyAlignment="1" applyProtection="1">
      <alignment horizontal="center" vertical="center"/>
    </xf>
    <xf numFmtId="165" fontId="38" fillId="13" borderId="9" xfId="6" applyNumberFormat="1" applyFont="1" applyBorder="1" applyAlignment="1" applyProtection="1">
      <alignment horizontal="center" vertical="center"/>
    </xf>
    <xf numFmtId="165" fontId="38" fillId="13" borderId="10" xfId="6" applyNumberFormat="1" applyFont="1" applyBorder="1" applyAlignment="1" applyProtection="1">
      <alignment horizontal="center" vertical="center"/>
    </xf>
    <xf numFmtId="165" fontId="38" fillId="13" borderId="12" xfId="6" applyNumberFormat="1" applyFont="1" applyBorder="1" applyAlignment="1" applyProtection="1">
      <alignment horizontal="center" vertical="center"/>
    </xf>
    <xf numFmtId="165" fontId="38" fillId="13" borderId="15" xfId="6" applyNumberFormat="1" applyFont="1" applyBorder="1" applyAlignment="1" applyProtection="1">
      <alignment horizontal="center"/>
    </xf>
    <xf numFmtId="165" fontId="37" fillId="15" borderId="37" xfId="2" quotePrefix="1" applyNumberFormat="1" applyFont="1" applyBorder="1" applyAlignment="1" applyProtection="1">
      <alignment horizontal="center"/>
      <protection locked="0"/>
    </xf>
    <xf numFmtId="165" fontId="37" fillId="15" borderId="3" xfId="2" quotePrefix="1" applyNumberFormat="1" applyFont="1" applyBorder="1" applyAlignment="1" applyProtection="1">
      <alignment horizontal="center"/>
      <protection locked="0"/>
    </xf>
    <xf numFmtId="0" fontId="0" fillId="8" borderId="148" xfId="5" quotePrefix="1" applyFont="1" applyBorder="1" applyAlignment="1" applyProtection="1">
      <alignment horizontal="center"/>
    </xf>
    <xf numFmtId="0" fontId="0" fillId="8" borderId="149" xfId="5" quotePrefix="1" applyFont="1" applyBorder="1" applyAlignment="1" applyProtection="1">
      <alignment horizontal="center"/>
    </xf>
    <xf numFmtId="165" fontId="37" fillId="15" borderId="104" xfId="2" quotePrefix="1" applyNumberFormat="1" applyFont="1" applyBorder="1" applyAlignment="1" applyProtection="1">
      <alignment horizontal="center" vertical="center"/>
      <protection locked="0"/>
    </xf>
    <xf numFmtId="165" fontId="37" fillId="15" borderId="8" xfId="2" quotePrefix="1" applyNumberFormat="1" applyFont="1" applyBorder="1" applyAlignment="1" applyProtection="1">
      <alignment horizontal="center" vertical="center"/>
      <protection locked="0"/>
    </xf>
    <xf numFmtId="165" fontId="37" fillId="15" borderId="105" xfId="2" quotePrefix="1" applyNumberFormat="1" applyFont="1" applyBorder="1" applyAlignment="1" applyProtection="1">
      <alignment horizontal="center" vertical="center"/>
      <protection locked="0"/>
    </xf>
    <xf numFmtId="165" fontId="37" fillId="15" borderId="106" xfId="2" quotePrefix="1" applyNumberFormat="1" applyFont="1" applyBorder="1" applyAlignment="1" applyProtection="1">
      <alignment horizontal="center" vertical="center"/>
      <protection locked="0"/>
    </xf>
    <xf numFmtId="165" fontId="37" fillId="15" borderId="65" xfId="2" quotePrefix="1" applyNumberFormat="1" applyFont="1" applyBorder="1" applyAlignment="1" applyProtection="1">
      <alignment horizontal="center" vertical="center"/>
      <protection locked="0"/>
    </xf>
    <xf numFmtId="165" fontId="37" fillId="15" borderId="107" xfId="2" quotePrefix="1" applyNumberFormat="1" applyFont="1" applyBorder="1" applyAlignment="1" applyProtection="1">
      <alignment horizontal="center" vertical="center"/>
      <protection locked="0"/>
    </xf>
    <xf numFmtId="165" fontId="20" fillId="18" borderId="7" xfId="9" applyNumberFormat="1" applyFont="1" applyBorder="1" applyAlignment="1" applyProtection="1">
      <alignment horizontal="center" vertical="center" wrapText="1"/>
    </xf>
    <xf numFmtId="165" fontId="20" fillId="18" borderId="8" xfId="9" applyNumberFormat="1" applyFont="1" applyBorder="1" applyAlignment="1" applyProtection="1">
      <alignment horizontal="center" vertical="center" wrapText="1"/>
    </xf>
    <xf numFmtId="165" fontId="20" fillId="18" borderId="9" xfId="9" applyNumberFormat="1" applyFont="1" applyBorder="1" applyAlignment="1" applyProtection="1">
      <alignment horizontal="center" vertical="center" wrapText="1"/>
    </xf>
    <xf numFmtId="165" fontId="20" fillId="18" borderId="10" xfId="9" applyNumberFormat="1" applyFont="1" applyBorder="1" applyAlignment="1" applyProtection="1">
      <alignment horizontal="center" vertical="center" wrapText="1"/>
    </xf>
    <xf numFmtId="165" fontId="20" fillId="18" borderId="11" xfId="9" applyNumberFormat="1" applyFont="1" applyBorder="1" applyAlignment="1" applyProtection="1">
      <alignment horizontal="center" vertical="center" wrapText="1"/>
    </xf>
    <xf numFmtId="165" fontId="20" fillId="18" borderId="12" xfId="9" applyNumberFormat="1" applyFont="1" applyBorder="1" applyAlignment="1" applyProtection="1">
      <alignment horizontal="center" vertical="center" wrapText="1"/>
    </xf>
    <xf numFmtId="165" fontId="51" fillId="8" borderId="22" xfId="5" applyNumberFormat="1" applyFont="1" applyBorder="1" applyAlignment="1" applyProtection="1">
      <alignment horizontal="center"/>
    </xf>
    <xf numFmtId="0" fontId="38" fillId="13" borderId="5" xfId="6" applyFont="1" applyBorder="1" applyAlignment="1" applyProtection="1">
      <alignment horizontal="left"/>
    </xf>
    <xf numFmtId="0" fontId="38" fillId="13" borderId="23" xfId="6" applyFont="1" applyBorder="1" applyAlignment="1" applyProtection="1">
      <alignment horizontal="left"/>
    </xf>
    <xf numFmtId="0" fontId="38" fillId="13" borderId="6" xfId="6" applyFont="1" applyBorder="1" applyAlignment="1" applyProtection="1">
      <alignment horizontal="left"/>
    </xf>
    <xf numFmtId="165" fontId="39" fillId="6" borderId="31" xfId="3" applyNumberFormat="1" applyFont="1" applyBorder="1" applyAlignment="1" applyProtection="1">
      <alignment horizontal="center"/>
    </xf>
    <xf numFmtId="165" fontId="32" fillId="2" borderId="13" xfId="1" applyNumberFormat="1" applyFont="1" applyBorder="1" applyAlignment="1" applyProtection="1">
      <alignment horizontal="center"/>
    </xf>
    <xf numFmtId="0" fontId="43" fillId="8" borderId="25" xfId="5" applyFont="1" applyAlignment="1" applyProtection="1">
      <alignment horizontal="center"/>
    </xf>
    <xf numFmtId="0" fontId="43" fillId="8" borderId="84" xfId="5" applyFont="1" applyBorder="1" applyAlignment="1" applyProtection="1">
      <alignment horizontal="center"/>
    </xf>
    <xf numFmtId="165" fontId="38" fillId="13" borderId="1" xfId="6" quotePrefix="1" applyNumberFormat="1" applyFont="1" applyBorder="1" applyAlignment="1" applyProtection="1">
      <alignment horizontal="center"/>
    </xf>
    <xf numFmtId="165" fontId="38" fillId="13" borderId="1" xfId="6" applyNumberFormat="1" applyFont="1" applyBorder="1" applyAlignment="1" applyProtection="1">
      <alignment horizontal="center"/>
    </xf>
    <xf numFmtId="0" fontId="43" fillId="8" borderId="25" xfId="5" applyFont="1" applyProtection="1"/>
    <xf numFmtId="0" fontId="39" fillId="6" borderId="7" xfId="3" applyFont="1" applyBorder="1" applyAlignment="1" applyProtection="1">
      <alignment horizontal="center"/>
    </xf>
    <xf numFmtId="0" fontId="39" fillId="6" borderId="8" xfId="3" applyFont="1" applyBorder="1" applyAlignment="1" applyProtection="1">
      <alignment horizontal="center"/>
    </xf>
    <xf numFmtId="0" fontId="39" fillId="6" borderId="9" xfId="3" applyFont="1" applyBorder="1" applyAlignment="1" applyProtection="1">
      <alignment horizontal="center"/>
    </xf>
    <xf numFmtId="0" fontId="39" fillId="6" borderId="47" xfId="3" applyFont="1" applyBorder="1" applyAlignment="1" applyProtection="1">
      <alignment horizontal="center"/>
    </xf>
    <xf numFmtId="0" fontId="39" fillId="6" borderId="0" xfId="3" applyFont="1" applyBorder="1" applyAlignment="1" applyProtection="1">
      <alignment horizontal="center"/>
    </xf>
    <xf numFmtId="0" fontId="39" fillId="6" borderId="4" xfId="3" applyFont="1" applyBorder="1" applyAlignment="1" applyProtection="1">
      <alignment horizontal="center"/>
    </xf>
    <xf numFmtId="0" fontId="49" fillId="6" borderId="5" xfId="3" applyFont="1" applyBorder="1" applyAlignment="1" applyProtection="1">
      <alignment horizontal="center" vertical="center"/>
    </xf>
    <xf numFmtId="0" fontId="49" fillId="6" borderId="23" xfId="3" applyFont="1" applyBorder="1" applyAlignment="1" applyProtection="1">
      <alignment horizontal="center" vertical="center"/>
    </xf>
    <xf numFmtId="0" fontId="49" fillId="6" borderId="6" xfId="3" applyFont="1" applyBorder="1" applyAlignment="1" applyProtection="1">
      <alignment horizontal="center" vertical="center"/>
    </xf>
    <xf numFmtId="165" fontId="32" fillId="2" borderId="17" xfId="1" applyNumberFormat="1" applyFont="1" applyBorder="1" applyAlignment="1" applyProtection="1">
      <alignment horizontal="center"/>
    </xf>
    <xf numFmtId="165" fontId="32" fillId="2" borderId="45" xfId="1" applyNumberFormat="1" applyFont="1" applyBorder="1" applyAlignment="1" applyProtection="1">
      <alignment horizontal="center"/>
    </xf>
    <xf numFmtId="165" fontId="32" fillId="2" borderId="18" xfId="1" applyNumberFormat="1" applyFont="1" applyBorder="1" applyAlignment="1" applyProtection="1">
      <alignment horizontal="center"/>
    </xf>
    <xf numFmtId="165" fontId="44" fillId="6" borderId="7" xfId="3" applyNumberFormat="1" applyFont="1" applyBorder="1" applyAlignment="1" applyProtection="1">
      <alignment horizontal="center" vertical="center"/>
    </xf>
    <xf numFmtId="165" fontId="44" fillId="6" borderId="8" xfId="3" applyNumberFormat="1" applyFont="1" applyBorder="1" applyAlignment="1" applyProtection="1">
      <alignment horizontal="center" vertical="center"/>
    </xf>
    <xf numFmtId="165" fontId="44" fillId="6" borderId="47" xfId="3" applyNumberFormat="1" applyFont="1" applyBorder="1" applyAlignment="1" applyProtection="1">
      <alignment horizontal="center" vertical="center"/>
    </xf>
    <xf numFmtId="165" fontId="44" fillId="6" borderId="0" xfId="3" applyNumberFormat="1" applyFont="1" applyBorder="1" applyAlignment="1" applyProtection="1">
      <alignment horizontal="center" vertical="center"/>
    </xf>
    <xf numFmtId="165" fontId="44" fillId="6" borderId="10" xfId="3" applyNumberFormat="1" applyFont="1" applyBorder="1" applyAlignment="1" applyProtection="1">
      <alignment horizontal="center" vertical="center"/>
    </xf>
    <xf numFmtId="165" fontId="44" fillId="6" borderId="11" xfId="3" applyNumberFormat="1" applyFont="1" applyBorder="1" applyAlignment="1" applyProtection="1">
      <alignment horizontal="center" vertical="center"/>
    </xf>
    <xf numFmtId="165" fontId="39" fillId="6" borderId="43" xfId="3" applyNumberFormat="1" applyFont="1" applyBorder="1" applyAlignment="1" applyProtection="1">
      <alignment horizontal="right"/>
    </xf>
    <xf numFmtId="165" fontId="39" fillId="6" borderId="23" xfId="3" applyNumberFormat="1" applyFont="1" applyBorder="1" applyAlignment="1" applyProtection="1">
      <alignment horizontal="right"/>
    </xf>
    <xf numFmtId="165" fontId="39" fillId="6" borderId="6" xfId="3" applyNumberFormat="1" applyFont="1" applyBorder="1" applyAlignment="1" applyProtection="1">
      <alignment horizontal="right"/>
    </xf>
    <xf numFmtId="165" fontId="39" fillId="6" borderId="83" xfId="3" applyNumberFormat="1" applyFont="1" applyBorder="1" applyAlignment="1" applyProtection="1">
      <alignment horizontal="right"/>
    </xf>
    <xf numFmtId="165" fontId="39" fillId="6" borderId="11" xfId="3" applyNumberFormat="1" applyFont="1" applyBorder="1" applyAlignment="1" applyProtection="1">
      <alignment horizontal="right"/>
    </xf>
    <xf numFmtId="165" fontId="39" fillId="6" borderId="12" xfId="3" applyNumberFormat="1" applyFont="1" applyBorder="1" applyAlignment="1" applyProtection="1">
      <alignment horizontal="right"/>
    </xf>
    <xf numFmtId="0" fontId="36" fillId="3" borderId="5" xfId="0" applyFont="1" applyFill="1" applyBorder="1" applyAlignment="1">
      <alignment horizontal="center"/>
    </xf>
    <xf numFmtId="0" fontId="36" fillId="3" borderId="23" xfId="0" applyFont="1" applyFill="1" applyBorder="1" applyAlignment="1">
      <alignment horizontal="center"/>
    </xf>
    <xf numFmtId="0" fontId="36" fillId="3" borderId="6" xfId="0" applyFont="1" applyFill="1" applyBorder="1" applyAlignment="1">
      <alignment horizontal="center"/>
    </xf>
    <xf numFmtId="0" fontId="39" fillId="6" borderId="31" xfId="3" applyFont="1" applyBorder="1" applyAlignment="1" applyProtection="1">
      <alignment horizontal="center"/>
    </xf>
    <xf numFmtId="165" fontId="32" fillId="2" borderId="5" xfId="1" applyNumberFormat="1" applyFont="1" applyBorder="1" applyAlignment="1" applyProtection="1">
      <alignment horizontal="right"/>
    </xf>
    <xf numFmtId="0" fontId="32" fillId="2" borderId="23" xfId="1" applyFont="1" applyBorder="1" applyAlignment="1" applyProtection="1">
      <alignment horizontal="right"/>
    </xf>
    <xf numFmtId="2" fontId="38" fillId="13" borderId="0" xfId="6" quotePrefix="1" applyNumberFormat="1" applyFont="1" applyAlignment="1" applyProtection="1">
      <alignment horizontal="center"/>
    </xf>
    <xf numFmtId="2" fontId="38" fillId="13" borderId="39" xfId="6" quotePrefix="1" applyNumberFormat="1" applyFont="1" applyBorder="1" applyAlignment="1" applyProtection="1">
      <alignment horizontal="center"/>
    </xf>
    <xf numFmtId="0" fontId="0" fillId="8" borderId="85" xfId="5" quotePrefix="1" applyFont="1" applyBorder="1" applyAlignment="1" applyProtection="1">
      <alignment horizontal="center"/>
    </xf>
    <xf numFmtId="0" fontId="0" fillId="8" borderId="147" xfId="5" quotePrefix="1" applyFont="1" applyBorder="1" applyAlignment="1" applyProtection="1">
      <alignment horizontal="center"/>
    </xf>
    <xf numFmtId="165" fontId="38" fillId="13" borderId="5" xfId="6" applyNumberFormat="1" applyFont="1" applyBorder="1" applyAlignment="1" applyProtection="1">
      <alignment horizontal="center"/>
    </xf>
    <xf numFmtId="165" fontId="38" fillId="13" borderId="23" xfId="6" applyNumberFormat="1" applyFont="1" applyBorder="1" applyAlignment="1" applyProtection="1">
      <alignment horizontal="center"/>
    </xf>
    <xf numFmtId="165" fontId="38" fillId="13" borderId="6" xfId="6" applyNumberFormat="1" applyFont="1" applyBorder="1" applyAlignment="1" applyProtection="1">
      <alignment horizontal="center"/>
    </xf>
    <xf numFmtId="165" fontId="29" fillId="3" borderId="5" xfId="0" applyNumberFormat="1" applyFont="1" applyFill="1" applyBorder="1" applyAlignment="1">
      <alignment horizontal="center"/>
    </xf>
    <xf numFmtId="165" fontId="29" fillId="3" borderId="23" xfId="0" applyNumberFormat="1" applyFont="1" applyFill="1" applyBorder="1" applyAlignment="1">
      <alignment horizontal="center"/>
    </xf>
    <xf numFmtId="165" fontId="29" fillId="3" borderId="6" xfId="0" applyNumberFormat="1" applyFont="1" applyFill="1" applyBorder="1" applyAlignment="1">
      <alignment horizontal="center"/>
    </xf>
    <xf numFmtId="165" fontId="38" fillId="13" borderId="47" xfId="6" applyNumberFormat="1" applyFont="1" applyBorder="1" applyAlignment="1" applyProtection="1">
      <alignment horizontal="center" vertical="center"/>
    </xf>
    <xf numFmtId="165" fontId="44" fillId="6" borderId="9" xfId="3" applyNumberFormat="1" applyFont="1" applyBorder="1" applyAlignment="1" applyProtection="1">
      <alignment horizontal="center" vertical="center"/>
    </xf>
    <xf numFmtId="165" fontId="44" fillId="6" borderId="4" xfId="3" applyNumberFormat="1" applyFont="1" applyBorder="1" applyAlignment="1" applyProtection="1">
      <alignment horizontal="center" vertical="center"/>
    </xf>
    <xf numFmtId="165" fontId="44" fillId="6" borderId="12" xfId="3" applyNumberFormat="1" applyFont="1" applyBorder="1" applyAlignment="1" applyProtection="1">
      <alignment horizontal="center" vertical="center"/>
    </xf>
    <xf numFmtId="165" fontId="32" fillId="2" borderId="7" xfId="1" applyNumberFormat="1" applyFont="1" applyBorder="1" applyAlignment="1" applyProtection="1">
      <alignment horizontal="right" vertical="center"/>
    </xf>
    <xf numFmtId="165" fontId="32" fillId="2" borderId="10" xfId="1" applyNumberFormat="1" applyFont="1" applyBorder="1" applyAlignment="1" applyProtection="1">
      <alignment horizontal="right" vertical="center"/>
    </xf>
    <xf numFmtId="165" fontId="38" fillId="13" borderId="99" xfId="6" applyNumberFormat="1" applyFont="1" applyBorder="1" applyAlignment="1" applyProtection="1">
      <alignment horizontal="center"/>
    </xf>
    <xf numFmtId="169" fontId="32" fillId="2" borderId="5" xfId="1" applyNumberFormat="1" applyFont="1" applyBorder="1" applyAlignment="1" applyProtection="1">
      <alignment horizontal="center"/>
    </xf>
    <xf numFmtId="169" fontId="32" fillId="2" borderId="23" xfId="1" applyNumberFormat="1" applyFont="1" applyBorder="1" applyAlignment="1" applyProtection="1">
      <alignment horizontal="center"/>
    </xf>
    <xf numFmtId="165" fontId="20" fillId="8" borderId="87" xfId="5" applyNumberFormat="1" applyFont="1" applyBorder="1" applyAlignment="1" applyProtection="1">
      <alignment horizontal="left"/>
    </xf>
    <xf numFmtId="165" fontId="20" fillId="8" borderId="98" xfId="5" applyNumberFormat="1" applyFont="1" applyBorder="1" applyAlignment="1" applyProtection="1">
      <alignment horizontal="left"/>
    </xf>
    <xf numFmtId="165" fontId="20" fillId="8" borderId="86" xfId="5" applyNumberFormat="1" applyFont="1" applyBorder="1" applyAlignment="1" applyProtection="1">
      <alignment horizontal="left"/>
    </xf>
    <xf numFmtId="165" fontId="20" fillId="8" borderId="88" xfId="5" applyNumberFormat="1" applyFont="1" applyBorder="1" applyAlignment="1" applyProtection="1">
      <alignment horizontal="left"/>
    </xf>
    <xf numFmtId="165" fontId="20" fillId="8" borderId="96" xfId="5" applyNumberFormat="1" applyFont="1" applyBorder="1" applyAlignment="1" applyProtection="1">
      <alignment horizontal="left"/>
    </xf>
    <xf numFmtId="165" fontId="20" fillId="8" borderId="97" xfId="5" applyNumberFormat="1" applyFont="1" applyBorder="1" applyAlignment="1" applyProtection="1">
      <alignment horizontal="left"/>
    </xf>
    <xf numFmtId="165" fontId="20" fillId="8" borderId="94" xfId="5" applyNumberFormat="1" applyFont="1" applyBorder="1" applyAlignment="1" applyProtection="1">
      <alignment horizontal="center"/>
    </xf>
    <xf numFmtId="165" fontId="20" fillId="8" borderId="95" xfId="5" applyNumberFormat="1" applyFont="1" applyBorder="1" applyAlignment="1" applyProtection="1">
      <alignment horizontal="center"/>
    </xf>
    <xf numFmtId="165" fontId="20" fillId="8" borderId="92" xfId="5" applyNumberFormat="1" applyFont="1" applyBorder="1" applyAlignment="1" applyProtection="1">
      <alignment horizontal="center"/>
    </xf>
    <xf numFmtId="165" fontId="20" fillId="8" borderId="93" xfId="5" applyNumberFormat="1" applyFont="1" applyBorder="1" applyAlignment="1" applyProtection="1">
      <alignment horizontal="center"/>
    </xf>
    <xf numFmtId="165" fontId="20" fillId="0" borderId="0" xfId="0" applyNumberFormat="1" applyFont="1" applyAlignment="1">
      <alignment horizontal="center"/>
    </xf>
    <xf numFmtId="165" fontId="48" fillId="21" borderId="0" xfId="0" applyNumberFormat="1" applyFont="1" applyFill="1" applyAlignment="1">
      <alignment horizontal="center" vertical="center"/>
    </xf>
    <xf numFmtId="165" fontId="20" fillId="18" borderId="10" xfId="9" applyNumberFormat="1" applyFont="1" applyBorder="1" applyAlignment="1" applyProtection="1">
      <alignment horizontal="center"/>
    </xf>
    <xf numFmtId="165" fontId="20" fillId="18" borderId="12" xfId="9" applyNumberFormat="1" applyFont="1" applyBorder="1" applyAlignment="1" applyProtection="1">
      <alignment horizontal="center"/>
    </xf>
    <xf numFmtId="165" fontId="20" fillId="18" borderId="47" xfId="9" applyNumberFormat="1" applyFont="1" applyBorder="1" applyAlignment="1" applyProtection="1">
      <alignment horizontal="center" vertical="center"/>
    </xf>
    <xf numFmtId="165" fontId="20" fillId="18" borderId="4" xfId="9" applyNumberFormat="1" applyFont="1" applyBorder="1" applyAlignment="1" applyProtection="1">
      <alignment horizontal="center" vertical="center"/>
    </xf>
    <xf numFmtId="165" fontId="32" fillId="2" borderId="20" xfId="1" applyNumberFormat="1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</xf>
    <xf numFmtId="0" fontId="37" fillId="15" borderId="0" xfId="2" quotePrefix="1" applyFont="1" applyBorder="1" applyAlignment="1" applyProtection="1">
      <alignment horizontal="center" vertical="center"/>
    </xf>
    <xf numFmtId="165" fontId="47" fillId="21" borderId="0" xfId="0" applyNumberFormat="1" applyFont="1" applyFill="1" applyAlignment="1">
      <alignment horizontal="center" vertical="center"/>
    </xf>
    <xf numFmtId="165" fontId="51" fillId="10" borderId="15" xfId="0" applyNumberFormat="1" applyFont="1" applyFill="1" applyBorder="1" applyAlignment="1">
      <alignment horizontal="center"/>
    </xf>
    <xf numFmtId="0" fontId="20" fillId="18" borderId="39" xfId="9" applyFont="1" applyBorder="1" applyAlignment="1" applyProtection="1">
      <alignment horizontal="right" vertical="center"/>
    </xf>
    <xf numFmtId="0" fontId="37" fillId="15" borderId="13" xfId="2" applyFont="1" applyBorder="1" applyAlignment="1" applyProtection="1">
      <alignment horizontal="center" vertical="center"/>
      <protection locked="0"/>
    </xf>
    <xf numFmtId="165" fontId="20" fillId="10" borderId="2" xfId="0" applyNumberFormat="1" applyFont="1" applyFill="1" applyBorder="1" applyAlignment="1">
      <alignment horizontal="left"/>
    </xf>
    <xf numFmtId="165" fontId="20" fillId="0" borderId="2" xfId="0" applyNumberFormat="1" applyFont="1" applyBorder="1" applyAlignment="1">
      <alignment horizontal="left"/>
    </xf>
    <xf numFmtId="165" fontId="20" fillId="0" borderId="0" xfId="0" quotePrefix="1" applyNumberFormat="1" applyFont="1" applyAlignment="1">
      <alignment horizontal="center" vertical="center"/>
    </xf>
    <xf numFmtId="167" fontId="32" fillId="2" borderId="5" xfId="1" applyNumberFormat="1" applyFont="1" applyBorder="1" applyAlignment="1" applyProtection="1">
      <alignment horizontal="center" vertical="center"/>
    </xf>
    <xf numFmtId="167" fontId="32" fillId="2" borderId="23" xfId="1" applyNumberFormat="1" applyFont="1" applyBorder="1" applyAlignment="1" applyProtection="1">
      <alignment horizontal="center" vertical="center"/>
    </xf>
    <xf numFmtId="167" fontId="32" fillId="2" borderId="6" xfId="1" applyNumberFormat="1" applyFont="1" applyBorder="1" applyAlignment="1" applyProtection="1">
      <alignment horizontal="center" vertical="center"/>
    </xf>
    <xf numFmtId="0" fontId="37" fillId="15" borderId="119" xfId="2" quotePrefix="1" applyFont="1" applyBorder="1" applyAlignment="1" applyProtection="1">
      <alignment horizontal="center"/>
      <protection locked="0"/>
    </xf>
    <xf numFmtId="0" fontId="37" fillId="15" borderId="120" xfId="2" quotePrefix="1" applyFont="1" applyBorder="1" applyAlignment="1" applyProtection="1">
      <alignment horizontal="center"/>
      <protection locked="0"/>
    </xf>
    <xf numFmtId="0" fontId="37" fillId="15" borderId="121" xfId="2" quotePrefix="1" applyFont="1" applyBorder="1" applyAlignment="1" applyProtection="1">
      <alignment horizontal="center"/>
      <protection locked="0"/>
    </xf>
    <xf numFmtId="165" fontId="32" fillId="2" borderId="122" xfId="1" applyNumberFormat="1" applyFont="1" applyBorder="1" applyAlignment="1" applyProtection="1">
      <alignment horizontal="center"/>
    </xf>
    <xf numFmtId="165" fontId="32" fillId="2" borderId="120" xfId="1" applyNumberFormat="1" applyFont="1" applyBorder="1" applyAlignment="1" applyProtection="1">
      <alignment horizontal="center"/>
    </xf>
    <xf numFmtId="165" fontId="32" fillId="2" borderId="123" xfId="1" applyNumberFormat="1" applyFont="1" applyBorder="1" applyAlignment="1" applyProtection="1">
      <alignment horizontal="center"/>
    </xf>
    <xf numFmtId="0" fontId="29" fillId="20" borderId="124" xfId="9" applyFont="1" applyFill="1" applyBorder="1" applyAlignment="1" applyProtection="1">
      <alignment horizontal="right"/>
    </xf>
    <xf numFmtId="0" fontId="29" fillId="20" borderId="125" xfId="9" applyFont="1" applyFill="1" applyBorder="1" applyAlignment="1" applyProtection="1">
      <alignment horizontal="right"/>
    </xf>
    <xf numFmtId="0" fontId="29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5" fontId="37" fillId="15" borderId="109" xfId="2" applyNumberFormat="1" applyFont="1" applyBorder="1" applyAlignment="1" applyProtection="1">
      <alignment horizontal="center" vertical="center"/>
      <protection locked="0"/>
    </xf>
    <xf numFmtId="165" fontId="39" fillId="6" borderId="2" xfId="3" applyNumberFormat="1" applyFont="1" applyBorder="1" applyAlignment="1" applyProtection="1">
      <alignment horizontal="right"/>
    </xf>
    <xf numFmtId="165" fontId="20" fillId="8" borderId="25" xfId="5" applyNumberFormat="1" applyFont="1" applyAlignment="1" applyProtection="1">
      <alignment horizontal="left" vertical="center"/>
    </xf>
    <xf numFmtId="165" fontId="3" fillId="15" borderId="1" xfId="2" applyNumberFormat="1" applyAlignment="1" applyProtection="1">
      <alignment horizontal="center"/>
      <protection locked="0"/>
    </xf>
    <xf numFmtId="165" fontId="8" fillId="7" borderId="24" xfId="4" applyNumberFormat="1" applyAlignment="1" applyProtection="1">
      <alignment horizontal="center"/>
    </xf>
    <xf numFmtId="165" fontId="20" fillId="41" borderId="2" xfId="0" applyNumberFormat="1" applyFont="1" applyFill="1" applyBorder="1" applyAlignment="1">
      <alignment horizontal="center" vertical="center"/>
    </xf>
    <xf numFmtId="165" fontId="29" fillId="41" borderId="2" xfId="0" applyNumberFormat="1" applyFont="1" applyFill="1" applyBorder="1" applyAlignment="1">
      <alignment horizontal="center" vertical="center"/>
    </xf>
    <xf numFmtId="165" fontId="20" fillId="0" borderId="11" xfId="0" applyNumberFormat="1" applyFont="1" applyBorder="1" applyAlignment="1">
      <alignment horizontal="center"/>
    </xf>
    <xf numFmtId="165" fontId="20" fillId="8" borderId="89" xfId="5" quotePrefix="1" applyNumberFormat="1" applyFont="1" applyBorder="1" applyAlignment="1" applyProtection="1">
      <alignment horizontal="left"/>
    </xf>
    <xf numFmtId="165" fontId="20" fillId="8" borderId="90" xfId="5" quotePrefix="1" applyNumberFormat="1" applyFont="1" applyBorder="1" applyAlignment="1" applyProtection="1">
      <alignment horizontal="left"/>
    </xf>
    <xf numFmtId="165" fontId="20" fillId="8" borderId="91" xfId="5" quotePrefix="1" applyNumberFormat="1" applyFont="1" applyBorder="1" applyAlignment="1" applyProtection="1">
      <alignment horizontal="left"/>
    </xf>
    <xf numFmtId="165" fontId="32" fillId="2" borderId="11" xfId="1" applyNumberFormat="1" applyFont="1" applyBorder="1" applyAlignment="1" applyProtection="1">
      <alignment horizontal="center" vertical="center"/>
    </xf>
    <xf numFmtId="165" fontId="32" fillId="2" borderId="12" xfId="1" applyNumberFormat="1" applyFont="1" applyBorder="1" applyAlignment="1" applyProtection="1">
      <alignment horizontal="center" vertical="center"/>
    </xf>
    <xf numFmtId="165" fontId="40" fillId="7" borderId="42" xfId="4" applyNumberFormat="1" applyFont="1" applyBorder="1" applyAlignment="1" applyProtection="1">
      <alignment horizontal="center" vertical="center"/>
    </xf>
    <xf numFmtId="165" fontId="32" fillId="2" borderId="2" xfId="1" applyNumberFormat="1" applyFont="1" applyBorder="1" applyAlignment="1" applyProtection="1">
      <alignment horizontal="center" vertical="center"/>
    </xf>
    <xf numFmtId="165" fontId="20" fillId="8" borderId="2" xfId="5" quotePrefix="1" applyNumberFormat="1" applyFont="1" applyBorder="1" applyAlignment="1" applyProtection="1">
      <alignment horizontal="left"/>
    </xf>
    <xf numFmtId="165" fontId="20" fillId="8" borderId="2" xfId="5" applyNumberFormat="1" applyFont="1" applyBorder="1" applyAlignment="1" applyProtection="1">
      <alignment horizontal="left"/>
    </xf>
    <xf numFmtId="165" fontId="20" fillId="8" borderId="2" xfId="5" applyNumberFormat="1" applyFont="1" applyBorder="1" applyAlignment="1" applyProtection="1">
      <alignment horizontal="center"/>
    </xf>
    <xf numFmtId="165" fontId="29" fillId="41" borderId="2" xfId="0" applyNumberFormat="1" applyFont="1" applyFill="1" applyBorder="1" applyAlignment="1">
      <alignment horizontal="left" vertical="center"/>
    </xf>
    <xf numFmtId="0" fontId="0" fillId="8" borderId="25" xfId="5" quotePrefix="1" applyFont="1" applyAlignment="1" applyProtection="1">
      <alignment horizontal="center"/>
    </xf>
    <xf numFmtId="165" fontId="37" fillId="15" borderId="1" xfId="2" quotePrefix="1" applyNumberFormat="1" applyFont="1" applyAlignment="1" applyProtection="1">
      <alignment horizontal="center"/>
      <protection locked="0"/>
    </xf>
    <xf numFmtId="165" fontId="37" fillId="15" borderId="27" xfId="2" quotePrefix="1" applyNumberFormat="1" applyFont="1" applyBorder="1" applyAlignment="1" applyProtection="1">
      <alignment horizontal="center" vertical="center"/>
      <protection locked="0"/>
    </xf>
    <xf numFmtId="165" fontId="37" fillId="15" borderId="17" xfId="2" quotePrefix="1" applyNumberFormat="1" applyFont="1" applyBorder="1" applyAlignment="1" applyProtection="1">
      <alignment horizontal="center" vertical="center"/>
      <protection locked="0"/>
    </xf>
    <xf numFmtId="165" fontId="37" fillId="15" borderId="45" xfId="2" quotePrefix="1" applyNumberFormat="1" applyFont="1" applyBorder="1" applyAlignment="1" applyProtection="1">
      <alignment horizontal="center" vertical="center"/>
      <protection locked="0"/>
    </xf>
    <xf numFmtId="165" fontId="37" fillId="15" borderId="112" xfId="2" quotePrefix="1" applyNumberFormat="1" applyFont="1" applyBorder="1" applyAlignment="1" applyProtection="1">
      <alignment horizontal="center" vertical="center"/>
      <protection locked="0"/>
    </xf>
    <xf numFmtId="165" fontId="37" fillId="15" borderId="19" xfId="2" quotePrefix="1" applyNumberFormat="1" applyFont="1" applyBorder="1" applyAlignment="1" applyProtection="1">
      <alignment horizontal="center" vertical="center"/>
      <protection locked="0"/>
    </xf>
    <xf numFmtId="165" fontId="37" fillId="15" borderId="20" xfId="2" quotePrefix="1" applyNumberFormat="1" applyFont="1" applyBorder="1" applyAlignment="1" applyProtection="1">
      <alignment horizontal="center" vertical="center"/>
      <protection locked="0"/>
    </xf>
    <xf numFmtId="165" fontId="37" fillId="15" borderId="111" xfId="2" quotePrefix="1" applyNumberFormat="1" applyFont="1" applyBorder="1" applyAlignment="1" applyProtection="1">
      <alignment horizontal="center" vertical="center"/>
      <protection locked="0"/>
    </xf>
    <xf numFmtId="165" fontId="55" fillId="26" borderId="1" xfId="1" applyNumberFormat="1" applyFont="1" applyFill="1" applyAlignment="1" applyProtection="1">
      <alignment horizontal="center"/>
    </xf>
    <xf numFmtId="0" fontId="55" fillId="26" borderId="1" xfId="1" applyFont="1" applyFill="1" applyAlignment="1" applyProtection="1">
      <alignment horizontal="center"/>
    </xf>
    <xf numFmtId="165" fontId="37" fillId="27" borderId="19" xfId="2" quotePrefix="1" applyNumberFormat="1" applyFont="1" applyFill="1" applyBorder="1" applyAlignment="1" applyProtection="1">
      <alignment horizontal="center"/>
      <protection locked="0"/>
    </xf>
    <xf numFmtId="0" fontId="37" fillId="27" borderId="20" xfId="2" applyFont="1" applyFill="1" applyBorder="1" applyAlignment="1" applyProtection="1">
      <alignment horizontal="center"/>
      <protection locked="0"/>
    </xf>
    <xf numFmtId="0" fontId="37" fillId="27" borderId="21" xfId="2" applyFont="1" applyFill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  <protection locked="0"/>
    </xf>
    <xf numFmtId="0" fontId="37" fillId="15" borderId="23" xfId="2" applyFont="1" applyBorder="1" applyAlignment="1" applyProtection="1">
      <alignment horizontal="center"/>
      <protection locked="0"/>
    </xf>
    <xf numFmtId="0" fontId="37" fillId="15" borderId="6" xfId="2" applyFont="1" applyBorder="1" applyAlignment="1" applyProtection="1">
      <alignment horizontal="center"/>
      <protection locked="0"/>
    </xf>
    <xf numFmtId="0" fontId="20" fillId="18" borderId="10" xfId="9" applyFont="1" applyBorder="1" applyAlignment="1" applyProtection="1">
      <alignment horizontal="right"/>
    </xf>
    <xf numFmtId="0" fontId="20" fillId="18" borderId="11" xfId="9" applyFont="1" applyBorder="1" applyAlignment="1" applyProtection="1">
      <alignment horizontal="right"/>
    </xf>
    <xf numFmtId="0" fontId="20" fillId="18" borderId="12" xfId="9" applyFont="1" applyBorder="1" applyAlignment="1" applyProtection="1">
      <alignment horizontal="right"/>
    </xf>
    <xf numFmtId="165" fontId="37" fillId="15" borderId="18" xfId="2" quotePrefix="1" applyNumberFormat="1" applyFont="1" applyBorder="1" applyAlignment="1" applyProtection="1">
      <alignment horizontal="center"/>
      <protection locked="0"/>
    </xf>
    <xf numFmtId="165" fontId="37" fillId="15" borderId="13" xfId="2" applyNumberFormat="1" applyFont="1" applyBorder="1" applyAlignment="1" applyProtection="1">
      <alignment horizontal="center"/>
      <protection locked="0"/>
    </xf>
    <xf numFmtId="165" fontId="39" fillId="6" borderId="22" xfId="3" applyNumberFormat="1" applyFont="1" applyBorder="1" applyAlignment="1" applyProtection="1">
      <alignment horizontal="center"/>
    </xf>
    <xf numFmtId="165" fontId="38" fillId="13" borderId="22" xfId="6" applyNumberFormat="1" applyFont="1" applyBorder="1" applyAlignment="1" applyProtection="1">
      <alignment horizontal="center"/>
    </xf>
    <xf numFmtId="165" fontId="20" fillId="18" borderId="0" xfId="9" applyNumberFormat="1" applyFont="1" applyBorder="1" applyAlignment="1" applyProtection="1">
      <alignment horizontal="center"/>
    </xf>
    <xf numFmtId="0" fontId="0" fillId="8" borderId="2" xfId="5" applyFont="1" applyBorder="1" applyAlignment="1">
      <alignment horizontal="center" vertical="center"/>
    </xf>
    <xf numFmtId="0" fontId="40" fillId="7" borderId="42" xfId="4" applyFont="1" applyBorder="1" applyAlignment="1" applyProtection="1">
      <alignment horizontal="center" vertical="center"/>
    </xf>
    <xf numFmtId="165" fontId="37" fillId="15" borderId="2" xfId="2" quotePrefix="1" applyNumberFormat="1" applyFont="1" applyBorder="1" applyAlignment="1" applyProtection="1">
      <alignment horizontal="center" vertical="center"/>
      <protection locked="0"/>
    </xf>
    <xf numFmtId="165" fontId="37" fillId="15" borderId="2" xfId="2" applyNumberFormat="1" applyFont="1" applyBorder="1" applyAlignment="1" applyProtection="1">
      <alignment horizontal="center" vertical="center"/>
      <protection locked="0"/>
    </xf>
    <xf numFmtId="165" fontId="40" fillId="7" borderId="63" xfId="4" applyNumberFormat="1" applyFont="1" applyBorder="1" applyAlignment="1" applyProtection="1">
      <alignment horizontal="center" vertical="center"/>
    </xf>
    <xf numFmtId="165" fontId="40" fillId="7" borderId="64" xfId="4" applyNumberFormat="1" applyFont="1" applyBorder="1" applyAlignment="1" applyProtection="1">
      <alignment horizontal="center" vertical="center"/>
    </xf>
    <xf numFmtId="165" fontId="40" fillId="7" borderId="65" xfId="4" applyNumberFormat="1" applyFont="1" applyBorder="1" applyAlignment="1" applyProtection="1">
      <alignment horizontal="center" vertical="center"/>
    </xf>
    <xf numFmtId="165" fontId="40" fillId="7" borderId="66" xfId="4" applyNumberFormat="1" applyFont="1" applyBorder="1" applyAlignment="1" applyProtection="1">
      <alignment horizontal="center" vertical="center"/>
    </xf>
    <xf numFmtId="0" fontId="20" fillId="0" borderId="0" xfId="0" applyFont="1"/>
    <xf numFmtId="165" fontId="64" fillId="2" borderId="1" xfId="1" applyNumberFormat="1" applyFont="1" applyAlignment="1" applyProtection="1">
      <alignment horizontal="center"/>
    </xf>
    <xf numFmtId="0" fontId="64" fillId="2" borderId="1" xfId="1" applyFont="1" applyAlignment="1" applyProtection="1">
      <alignment horizontal="center"/>
    </xf>
    <xf numFmtId="165" fontId="33" fillId="15" borderId="22" xfId="2" quotePrefix="1" applyNumberFormat="1" applyFont="1" applyBorder="1" applyAlignment="1" applyProtection="1">
      <alignment horizontal="center" vertical="center"/>
      <protection locked="0"/>
    </xf>
    <xf numFmtId="165" fontId="33" fillId="15" borderId="62" xfId="2" quotePrefix="1" applyNumberFormat="1" applyFont="1" applyBorder="1" applyAlignment="1" applyProtection="1">
      <alignment horizontal="center" vertical="center"/>
      <protection locked="0"/>
    </xf>
    <xf numFmtId="165" fontId="33" fillId="15" borderId="45" xfId="2" quotePrefix="1" applyNumberFormat="1" applyFont="1" applyBorder="1" applyAlignment="1" applyProtection="1">
      <alignment horizontal="center" vertical="center"/>
      <protection locked="0"/>
    </xf>
    <xf numFmtId="165" fontId="33" fillId="15" borderId="18" xfId="2" quotePrefix="1" applyNumberFormat="1" applyFont="1" applyBorder="1" applyAlignment="1" applyProtection="1">
      <alignment horizontal="center" vertical="center"/>
      <protection locked="0"/>
    </xf>
    <xf numFmtId="165" fontId="33" fillId="8" borderId="25" xfId="5" applyNumberFormat="1" applyFont="1" applyAlignment="1" applyProtection="1">
      <alignment horizontal="center" vertical="center"/>
      <protection locked="0"/>
    </xf>
    <xf numFmtId="0" fontId="62" fillId="7" borderId="137" xfId="4" applyFont="1" applyBorder="1" applyAlignment="1" applyProtection="1">
      <alignment horizontal="center" vertical="center"/>
    </xf>
    <xf numFmtId="0" fontId="62" fillId="7" borderId="63" xfId="4" applyFont="1" applyBorder="1" applyAlignment="1" applyProtection="1">
      <alignment horizontal="center" vertical="center"/>
    </xf>
    <xf numFmtId="0" fontId="62" fillId="7" borderId="64" xfId="4" applyFont="1" applyBorder="1" applyAlignment="1" applyProtection="1">
      <alignment horizontal="center" vertical="center"/>
    </xf>
    <xf numFmtId="0" fontId="62" fillId="7" borderId="138" xfId="4" applyFont="1" applyBorder="1" applyAlignment="1" applyProtection="1">
      <alignment horizontal="center" vertical="center"/>
    </xf>
    <xf numFmtId="0" fontId="62" fillId="7" borderId="65" xfId="4" applyFont="1" applyBorder="1" applyAlignment="1" applyProtection="1">
      <alignment horizontal="center" vertical="center"/>
    </xf>
    <xf numFmtId="0" fontId="62" fillId="7" borderId="66" xfId="4" applyFont="1" applyBorder="1" applyAlignment="1" applyProtection="1">
      <alignment horizontal="center" vertical="center"/>
    </xf>
    <xf numFmtId="0" fontId="20" fillId="8" borderId="25" xfId="5" quotePrefix="1" applyFont="1" applyAlignment="1" applyProtection="1">
      <alignment horizontal="center"/>
    </xf>
    <xf numFmtId="165" fontId="62" fillId="7" borderId="103" xfId="4" applyNumberFormat="1" applyFont="1" applyBorder="1" applyAlignment="1" applyProtection="1">
      <alignment horizontal="center"/>
    </xf>
    <xf numFmtId="165" fontId="62" fillId="7" borderId="41" xfId="4" applyNumberFormat="1" applyFont="1" applyBorder="1" applyAlignment="1" applyProtection="1">
      <alignment horizontal="center"/>
    </xf>
    <xf numFmtId="165" fontId="62" fillId="7" borderId="42" xfId="4" applyNumberFormat="1" applyFont="1" applyBorder="1" applyAlignment="1" applyProtection="1">
      <alignment horizontal="center"/>
    </xf>
    <xf numFmtId="0" fontId="20" fillId="3" borderId="5" xfId="0" applyFont="1" applyFill="1" applyBorder="1" applyAlignment="1">
      <alignment horizontal="center"/>
    </xf>
    <xf numFmtId="0" fontId="20" fillId="3" borderId="23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5" fontId="64" fillId="2" borderId="3" xfId="1" applyNumberFormat="1" applyFont="1" applyBorder="1" applyAlignment="1" applyProtection="1">
      <alignment horizontal="center"/>
    </xf>
    <xf numFmtId="165" fontId="56" fillId="13" borderId="47" xfId="6" applyNumberFormat="1" applyFont="1" applyBorder="1" applyAlignment="1" applyProtection="1">
      <alignment horizontal="center" vertical="center"/>
    </xf>
    <xf numFmtId="165" fontId="56" fillId="13" borderId="2" xfId="6" applyNumberFormat="1" applyFont="1" applyBorder="1" applyAlignment="1" applyProtection="1">
      <alignment horizontal="center"/>
    </xf>
    <xf numFmtId="165" fontId="56" fillId="13" borderId="5" xfId="6" applyNumberFormat="1" applyFont="1" applyBorder="1" applyAlignment="1" applyProtection="1">
      <alignment horizontal="center"/>
    </xf>
    <xf numFmtId="165" fontId="56" fillId="13" borderId="23" xfId="6" applyNumberFormat="1" applyFont="1" applyBorder="1" applyAlignment="1" applyProtection="1">
      <alignment horizontal="center"/>
    </xf>
    <xf numFmtId="165" fontId="56" fillId="13" borderId="6" xfId="6" applyNumberFormat="1" applyFont="1" applyBorder="1" applyAlignment="1" applyProtection="1">
      <alignment horizontal="center"/>
    </xf>
    <xf numFmtId="165" fontId="62" fillId="7" borderId="24" xfId="4" applyNumberFormat="1" applyFont="1" applyAlignment="1" applyProtection="1">
      <alignment horizontal="center"/>
    </xf>
    <xf numFmtId="165" fontId="67" fillId="6" borderId="7" xfId="3" applyNumberFormat="1" applyFont="1" applyBorder="1" applyAlignment="1" applyProtection="1">
      <alignment horizontal="center" vertical="center"/>
    </xf>
    <xf numFmtId="165" fontId="67" fillId="6" borderId="8" xfId="3" applyNumberFormat="1" applyFont="1" applyBorder="1" applyAlignment="1" applyProtection="1">
      <alignment horizontal="center" vertical="center"/>
    </xf>
    <xf numFmtId="165" fontId="67" fillId="6" borderId="47" xfId="3" applyNumberFormat="1" applyFont="1" applyBorder="1" applyAlignment="1" applyProtection="1">
      <alignment horizontal="center" vertical="center"/>
    </xf>
    <xf numFmtId="165" fontId="67" fillId="6" borderId="0" xfId="3" applyNumberFormat="1" applyFont="1" applyBorder="1" applyAlignment="1" applyProtection="1">
      <alignment horizontal="center" vertical="center"/>
    </xf>
    <xf numFmtId="165" fontId="67" fillId="6" borderId="10" xfId="3" applyNumberFormat="1" applyFont="1" applyBorder="1" applyAlignment="1" applyProtection="1">
      <alignment horizontal="center" vertical="center"/>
    </xf>
    <xf numFmtId="165" fontId="67" fillId="6" borderId="11" xfId="3" applyNumberFormat="1" applyFont="1" applyBorder="1" applyAlignment="1" applyProtection="1">
      <alignment horizontal="center" vertical="center"/>
    </xf>
    <xf numFmtId="165" fontId="64" fillId="2" borderId="2" xfId="1" applyNumberFormat="1" applyFont="1" applyBorder="1" applyAlignment="1" applyProtection="1">
      <alignment horizontal="center" vertical="center"/>
    </xf>
    <xf numFmtId="165" fontId="56" fillId="13" borderId="77" xfId="6" applyNumberFormat="1" applyFont="1" applyBorder="1" applyAlignment="1" applyProtection="1">
      <alignment horizontal="center" vertical="center"/>
    </xf>
    <xf numFmtId="0" fontId="20" fillId="14" borderId="2" xfId="0" applyFont="1" applyFill="1" applyBorder="1" applyAlignment="1">
      <alignment horizontal="left" vertical="center"/>
    </xf>
    <xf numFmtId="165" fontId="33" fillId="15" borderId="1" xfId="2" quotePrefix="1" applyNumberFormat="1" applyFont="1" applyAlignment="1" applyProtection="1">
      <alignment horizontal="center"/>
      <protection locked="0"/>
    </xf>
    <xf numFmtId="165" fontId="29" fillId="8" borderId="2" xfId="5" quotePrefix="1" applyNumberFormat="1" applyFont="1" applyBorder="1" applyAlignment="1" applyProtection="1">
      <alignment horizontal="left"/>
    </xf>
    <xf numFmtId="0" fontId="59" fillId="6" borderId="7" xfId="3" applyFont="1" applyBorder="1" applyAlignment="1" applyProtection="1">
      <alignment horizontal="center"/>
    </xf>
    <xf numFmtId="0" fontId="59" fillId="6" borderId="8" xfId="3" applyFont="1" applyBorder="1" applyAlignment="1" applyProtection="1">
      <alignment horizontal="center"/>
    </xf>
    <xf numFmtId="0" fontId="59" fillId="6" borderId="9" xfId="3" applyFont="1" applyBorder="1" applyAlignment="1" applyProtection="1">
      <alignment horizontal="center"/>
    </xf>
    <xf numFmtId="165" fontId="64" fillId="2" borderId="8" xfId="1" applyNumberFormat="1" applyFont="1" applyBorder="1" applyAlignment="1" applyProtection="1">
      <alignment horizontal="right" vertical="center"/>
    </xf>
    <xf numFmtId="165" fontId="64" fillId="2" borderId="11" xfId="1" applyNumberFormat="1" applyFont="1" applyBorder="1" applyAlignment="1" applyProtection="1">
      <alignment horizontal="right" vertical="center"/>
    </xf>
    <xf numFmtId="0" fontId="64" fillId="2" borderId="9" xfId="1" quotePrefix="1" applyFont="1" applyBorder="1" applyAlignment="1" applyProtection="1">
      <alignment horizontal="left" vertical="center"/>
    </xf>
    <xf numFmtId="0" fontId="64" fillId="2" borderId="12" xfId="1" quotePrefix="1" applyFont="1" applyBorder="1" applyAlignment="1" applyProtection="1">
      <alignment horizontal="left" vertical="center"/>
    </xf>
    <xf numFmtId="0" fontId="59" fillId="6" borderId="10" xfId="3" applyFont="1" applyBorder="1" applyAlignment="1" applyProtection="1">
      <alignment horizontal="center"/>
    </xf>
    <xf numFmtId="0" fontId="59" fillId="6" borderId="11" xfId="3" applyFont="1" applyBorder="1" applyAlignment="1" applyProtection="1">
      <alignment horizontal="center"/>
    </xf>
    <xf numFmtId="0" fontId="59" fillId="6" borderId="12" xfId="3" applyFont="1" applyBorder="1" applyAlignment="1" applyProtection="1">
      <alignment horizontal="center"/>
    </xf>
    <xf numFmtId="0" fontId="59" fillId="6" borderId="31" xfId="3" applyFont="1" applyBorder="1" applyAlignment="1" applyProtection="1">
      <alignment horizontal="center"/>
    </xf>
    <xf numFmtId="165" fontId="64" fillId="2" borderId="5" xfId="1" applyNumberFormat="1" applyFont="1" applyBorder="1" applyAlignment="1" applyProtection="1">
      <alignment horizontal="right"/>
    </xf>
    <xf numFmtId="0" fontId="64" fillId="2" borderId="23" xfId="1" applyFont="1" applyBorder="1" applyAlignment="1" applyProtection="1">
      <alignment horizontal="right"/>
    </xf>
    <xf numFmtId="1" fontId="33" fillId="15" borderId="1" xfId="2" quotePrefix="1" applyNumberFormat="1" applyFont="1" applyAlignment="1" applyProtection="1">
      <alignment horizontal="center"/>
      <protection locked="0"/>
    </xf>
    <xf numFmtId="1" fontId="33" fillId="15" borderId="1" xfId="2" applyNumberFormat="1" applyFont="1" applyAlignment="1" applyProtection="1">
      <alignment horizontal="center"/>
      <protection locked="0"/>
    </xf>
    <xf numFmtId="165" fontId="64" fillId="2" borderId="2" xfId="1" applyNumberFormat="1" applyFont="1" applyBorder="1" applyAlignment="1" applyProtection="1">
      <alignment horizontal="center"/>
    </xf>
    <xf numFmtId="0" fontId="56" fillId="13" borderId="5" xfId="6" applyFont="1" applyBorder="1" applyAlignment="1" applyProtection="1">
      <alignment horizontal="left"/>
    </xf>
    <xf numFmtId="0" fontId="56" fillId="13" borderId="23" xfId="6" applyFont="1" applyBorder="1" applyAlignment="1" applyProtection="1">
      <alignment horizontal="left"/>
    </xf>
    <xf numFmtId="0" fontId="56" fillId="13" borderId="6" xfId="6" applyFont="1" applyBorder="1" applyAlignment="1" applyProtection="1">
      <alignment horizontal="left"/>
    </xf>
    <xf numFmtId="165" fontId="56" fillId="13" borderId="7" xfId="6" applyNumberFormat="1" applyFont="1" applyBorder="1" applyAlignment="1" applyProtection="1">
      <alignment horizontal="center" vertical="center"/>
    </xf>
    <xf numFmtId="165" fontId="56" fillId="13" borderId="9" xfId="6" applyNumberFormat="1" applyFont="1" applyBorder="1" applyAlignment="1" applyProtection="1">
      <alignment horizontal="center" vertical="center"/>
    </xf>
    <xf numFmtId="165" fontId="56" fillId="13" borderId="10" xfId="6" applyNumberFormat="1" applyFont="1" applyBorder="1" applyAlignment="1" applyProtection="1">
      <alignment horizontal="center" vertical="center"/>
    </xf>
    <xf numFmtId="165" fontId="56" fillId="13" borderId="12" xfId="6" applyNumberFormat="1" applyFont="1" applyBorder="1" applyAlignment="1" applyProtection="1">
      <alignment horizontal="center" vertical="center"/>
    </xf>
    <xf numFmtId="165" fontId="64" fillId="2" borderId="7" xfId="1" applyNumberFormat="1" applyFont="1" applyBorder="1" applyAlignment="1" applyProtection="1">
      <alignment horizontal="right" vertical="center"/>
    </xf>
    <xf numFmtId="165" fontId="64" fillId="2" borderId="10" xfId="1" applyNumberFormat="1" applyFont="1" applyBorder="1" applyAlignment="1" applyProtection="1">
      <alignment horizontal="right" vertical="center"/>
    </xf>
    <xf numFmtId="0" fontId="59" fillId="6" borderId="47" xfId="3" applyFont="1" applyBorder="1" applyAlignment="1" applyProtection="1">
      <alignment horizontal="center"/>
    </xf>
    <xf numFmtId="0" fontId="59" fillId="6" borderId="0" xfId="3" applyFont="1" applyBorder="1" applyAlignment="1" applyProtection="1">
      <alignment horizontal="center"/>
    </xf>
    <xf numFmtId="0" fontId="59" fillId="6" borderId="4" xfId="3" applyFont="1" applyBorder="1" applyAlignment="1" applyProtection="1">
      <alignment horizontal="center"/>
    </xf>
    <xf numFmtId="165" fontId="59" fillId="6" borderId="83" xfId="3" applyNumberFormat="1" applyFont="1" applyBorder="1" applyAlignment="1" applyProtection="1">
      <alignment horizontal="right"/>
    </xf>
    <xf numFmtId="165" fontId="59" fillId="6" borderId="11" xfId="3" applyNumberFormat="1" applyFont="1" applyBorder="1" applyAlignment="1" applyProtection="1">
      <alignment horizontal="right"/>
    </xf>
    <xf numFmtId="165" fontId="59" fillId="6" borderId="12" xfId="3" applyNumberFormat="1" applyFont="1" applyBorder="1" applyAlignment="1" applyProtection="1">
      <alignment horizontal="right"/>
    </xf>
    <xf numFmtId="165" fontId="64" fillId="2" borderId="13" xfId="1" applyNumberFormat="1" applyFont="1" applyBorder="1" applyAlignment="1" applyProtection="1">
      <alignment horizontal="center"/>
    </xf>
    <xf numFmtId="165" fontId="59" fillId="6" borderId="43" xfId="3" applyNumberFormat="1" applyFont="1" applyBorder="1" applyAlignment="1" applyProtection="1">
      <alignment horizontal="right"/>
    </xf>
    <xf numFmtId="165" fontId="59" fillId="6" borderId="23" xfId="3" applyNumberFormat="1" applyFont="1" applyBorder="1" applyAlignment="1" applyProtection="1">
      <alignment horizontal="right"/>
    </xf>
    <xf numFmtId="165" fontId="59" fillId="6" borderId="6" xfId="3" applyNumberFormat="1" applyFont="1" applyBorder="1" applyAlignment="1" applyProtection="1">
      <alignment horizontal="right"/>
    </xf>
    <xf numFmtId="165" fontId="56" fillId="13" borderId="2" xfId="6" quotePrefix="1" applyNumberFormat="1" applyFont="1" applyBorder="1" applyAlignment="1" applyProtection="1">
      <alignment horizontal="center"/>
    </xf>
    <xf numFmtId="165" fontId="59" fillId="6" borderId="31" xfId="3" applyNumberFormat="1" applyFont="1" applyBorder="1" applyAlignment="1" applyProtection="1">
      <alignment horizontal="center"/>
    </xf>
    <xf numFmtId="0" fontId="51" fillId="8" borderId="82" xfId="5" applyFont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right"/>
    </xf>
    <xf numFmtId="165" fontId="64" fillId="2" borderId="44" xfId="1" applyNumberFormat="1" applyFont="1" applyBorder="1" applyAlignment="1" applyProtection="1">
      <alignment horizontal="center"/>
    </xf>
    <xf numFmtId="0" fontId="51" fillId="8" borderId="25" xfId="5" applyFont="1" applyProtection="1"/>
    <xf numFmtId="0" fontId="20" fillId="14" borderId="30" xfId="0" applyFont="1" applyFill="1" applyBorder="1" applyAlignment="1">
      <alignment horizontal="left" vertical="center"/>
    </xf>
    <xf numFmtId="165" fontId="64" fillId="2" borderId="29" xfId="1" applyNumberFormat="1" applyFont="1" applyBorder="1" applyAlignment="1" applyProtection="1">
      <alignment horizontal="center"/>
    </xf>
    <xf numFmtId="165" fontId="20" fillId="18" borderId="2" xfId="9" applyNumberFormat="1" applyFont="1" applyBorder="1" applyAlignment="1" applyProtection="1">
      <alignment horizontal="center"/>
    </xf>
    <xf numFmtId="0" fontId="29" fillId="2" borderId="5" xfId="1" applyNumberFormat="1" applyFont="1" applyBorder="1" applyAlignment="1" applyProtection="1">
      <alignment horizontal="center" vertical="center"/>
    </xf>
    <xf numFmtId="0" fontId="29" fillId="2" borderId="6" xfId="1" applyNumberFormat="1" applyFont="1" applyBorder="1" applyAlignment="1" applyProtection="1">
      <alignment horizontal="center" vertical="center"/>
    </xf>
    <xf numFmtId="165" fontId="64" fillId="2" borderId="127" xfId="1" applyNumberFormat="1" applyFont="1" applyBorder="1" applyAlignment="1" applyProtection="1">
      <alignment horizontal="center"/>
    </xf>
    <xf numFmtId="0" fontId="51" fillId="8" borderId="25" xfId="5" applyFont="1" applyAlignment="1" applyProtection="1">
      <alignment horizontal="center"/>
    </xf>
    <xf numFmtId="0" fontId="51" fillId="8" borderId="84" xfId="5" applyFont="1" applyBorder="1" applyAlignment="1" applyProtection="1">
      <alignment horizontal="center"/>
    </xf>
    <xf numFmtId="165" fontId="56" fillId="13" borderId="1" xfId="6" quotePrefix="1" applyNumberFormat="1" applyFont="1" applyBorder="1" applyAlignment="1" applyProtection="1">
      <alignment horizontal="center"/>
    </xf>
    <xf numFmtId="165" fontId="56" fillId="13" borderId="1" xfId="6" applyNumberFormat="1" applyFont="1" applyBorder="1" applyAlignment="1" applyProtection="1">
      <alignment horizontal="center"/>
    </xf>
    <xf numFmtId="167" fontId="64" fillId="2" borderId="5" xfId="1" applyNumberFormat="1" applyFont="1" applyBorder="1" applyAlignment="1" applyProtection="1">
      <alignment horizontal="center" vertical="center"/>
    </xf>
    <xf numFmtId="167" fontId="64" fillId="2" borderId="6" xfId="1" applyNumberFormat="1" applyFont="1" applyBorder="1" applyAlignment="1" applyProtection="1">
      <alignment horizontal="center" vertical="center"/>
    </xf>
    <xf numFmtId="0" fontId="66" fillId="6" borderId="2" xfId="3" applyFont="1" applyBorder="1" applyAlignment="1">
      <alignment horizontal="center" vertical="center"/>
    </xf>
    <xf numFmtId="0" fontId="66" fillId="6" borderId="5" xfId="3" applyFont="1" applyBorder="1" applyAlignment="1">
      <alignment horizontal="center" vertical="center"/>
    </xf>
    <xf numFmtId="165" fontId="20" fillId="0" borderId="6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68" fillId="11" borderId="1" xfId="1" applyFont="1" applyFill="1" applyAlignment="1">
      <alignment horizontal="center" vertical="center"/>
    </xf>
    <xf numFmtId="165" fontId="62" fillId="7" borderId="131" xfId="4" applyNumberFormat="1" applyFont="1" applyBorder="1" applyAlignment="1" applyProtection="1">
      <alignment horizontal="center" vertical="center"/>
    </xf>
    <xf numFmtId="165" fontId="62" fillId="7" borderId="22" xfId="4" applyNumberFormat="1" applyFont="1" applyBorder="1" applyAlignment="1" applyProtection="1">
      <alignment horizontal="center" vertical="center"/>
    </xf>
    <xf numFmtId="165" fontId="62" fillId="7" borderId="132" xfId="4" applyNumberFormat="1" applyFont="1" applyBorder="1" applyAlignment="1" applyProtection="1">
      <alignment horizontal="center" vertical="center"/>
    </xf>
    <xf numFmtId="165" fontId="62" fillId="7" borderId="10" xfId="4" applyNumberFormat="1" applyFont="1" applyBorder="1" applyAlignment="1" applyProtection="1">
      <alignment horizontal="center" vertical="center"/>
    </xf>
    <xf numFmtId="165" fontId="62" fillId="7" borderId="11" xfId="4" applyNumberFormat="1" applyFont="1" applyBorder="1" applyAlignment="1" applyProtection="1">
      <alignment horizontal="center" vertical="center"/>
    </xf>
    <xf numFmtId="165" fontId="62" fillId="7" borderId="12" xfId="4" applyNumberFormat="1" applyFont="1" applyBorder="1" applyAlignment="1" applyProtection="1">
      <alignment horizontal="center" vertical="center"/>
    </xf>
    <xf numFmtId="164" fontId="20" fillId="18" borderId="131" xfId="9" applyNumberFormat="1" applyFont="1" applyBorder="1" applyAlignment="1" applyProtection="1">
      <alignment horizontal="center" vertical="center" wrapText="1"/>
    </xf>
    <xf numFmtId="164" fontId="20" fillId="18" borderId="22" xfId="9" applyNumberFormat="1" applyFont="1" applyBorder="1" applyAlignment="1" applyProtection="1">
      <alignment horizontal="center" vertical="center" wrapText="1"/>
    </xf>
    <xf numFmtId="164" fontId="20" fillId="18" borderId="132" xfId="9" applyNumberFormat="1" applyFont="1" applyBorder="1" applyAlignment="1" applyProtection="1">
      <alignment horizontal="center" vertical="center" wrapText="1"/>
    </xf>
    <xf numFmtId="165" fontId="64" fillId="2" borderId="1" xfId="1" applyNumberFormat="1" applyFont="1" applyAlignment="1" applyProtection="1">
      <alignment horizontal="center" vertical="center"/>
    </xf>
    <xf numFmtId="0" fontId="64" fillId="2" borderId="1" xfId="1" applyFont="1" applyAlignment="1" applyProtection="1">
      <alignment horizontal="center" vertical="center"/>
    </xf>
    <xf numFmtId="165" fontId="33" fillId="15" borderId="1" xfId="2" applyNumberFormat="1" applyFont="1" applyAlignment="1" applyProtection="1">
      <alignment horizontal="center" vertical="center"/>
      <protection locked="0"/>
    </xf>
    <xf numFmtId="165" fontId="33" fillId="15" borderId="1" xfId="2" quotePrefix="1" applyNumberFormat="1" applyFont="1" applyAlignment="1" applyProtection="1">
      <alignment horizontal="center" vertical="center"/>
      <protection locked="0"/>
    </xf>
    <xf numFmtId="165" fontId="62" fillId="7" borderId="24" xfId="4" applyNumberFormat="1" applyFont="1" applyAlignment="1" applyProtection="1">
      <alignment horizontal="center" vertical="center"/>
    </xf>
    <xf numFmtId="165" fontId="64" fillId="2" borderId="21" xfId="1" applyNumberFormat="1" applyFont="1" applyBorder="1" applyAlignment="1" applyProtection="1">
      <alignment horizontal="center" vertical="center"/>
    </xf>
    <xf numFmtId="165" fontId="64" fillId="2" borderId="29" xfId="1" applyNumberFormat="1" applyFont="1" applyBorder="1" applyAlignment="1" applyProtection="1">
      <alignment horizontal="center" vertical="center"/>
    </xf>
    <xf numFmtId="165" fontId="20" fillId="8" borderId="86" xfId="5" applyNumberFormat="1" applyFont="1" applyBorder="1" applyAlignment="1" applyProtection="1">
      <alignment horizontal="center"/>
    </xf>
    <xf numFmtId="165" fontId="20" fillId="8" borderId="25" xfId="5" applyNumberFormat="1" applyFont="1" applyAlignment="1" applyProtection="1">
      <alignment horizontal="center"/>
    </xf>
    <xf numFmtId="0" fontId="20" fillId="3" borderId="30" xfId="0" applyFont="1" applyFill="1" applyBorder="1" applyAlignment="1">
      <alignment horizontal="center" vertical="center"/>
    </xf>
    <xf numFmtId="165" fontId="20" fillId="18" borderId="131" xfId="9" applyNumberFormat="1" applyFont="1" applyBorder="1" applyAlignment="1" applyProtection="1">
      <alignment horizontal="center" vertical="center" wrapText="1"/>
    </xf>
    <xf numFmtId="165" fontId="20" fillId="18" borderId="132" xfId="9" applyNumberFormat="1" applyFont="1" applyBorder="1" applyAlignment="1" applyProtection="1">
      <alignment horizontal="center" vertical="center"/>
    </xf>
    <xf numFmtId="1" fontId="33" fillId="15" borderId="2" xfId="2" applyNumberFormat="1" applyFont="1" applyBorder="1" applyAlignment="1" applyProtection="1">
      <alignment horizontal="center" vertical="center"/>
      <protection locked="0"/>
    </xf>
    <xf numFmtId="165" fontId="20" fillId="35" borderId="2" xfId="0" applyNumberFormat="1" applyFont="1" applyFill="1" applyBorder="1" applyAlignment="1">
      <alignment horizontal="center" vertical="center"/>
    </xf>
    <xf numFmtId="165" fontId="20" fillId="18" borderId="2" xfId="9" applyNumberFormat="1" applyFont="1" applyBorder="1" applyAlignment="1" applyProtection="1">
      <alignment horizontal="left" vertical="center"/>
    </xf>
    <xf numFmtId="165" fontId="20" fillId="0" borderId="2" xfId="0" applyNumberFormat="1" applyFont="1" applyBorder="1" applyAlignment="1">
      <alignment horizontal="center" vertical="center" wrapText="1"/>
    </xf>
    <xf numFmtId="165" fontId="20" fillId="0" borderId="2" xfId="0" applyNumberFormat="1" applyFont="1" applyBorder="1" applyAlignment="1">
      <alignment horizontal="center" vertical="center"/>
    </xf>
    <xf numFmtId="165" fontId="64" fillId="2" borderId="20" xfId="1" applyNumberFormat="1" applyFont="1" applyBorder="1" applyAlignment="1" applyProtection="1">
      <alignment horizontal="center" vertical="center"/>
    </xf>
    <xf numFmtId="165" fontId="64" fillId="2" borderId="0" xfId="1" applyNumberFormat="1" applyFont="1" applyBorder="1" applyAlignment="1" applyProtection="1">
      <alignment horizontal="center" vertical="center"/>
    </xf>
    <xf numFmtId="0" fontId="33" fillId="15" borderId="20" xfId="2" quotePrefix="1" applyFont="1" applyBorder="1" applyAlignment="1" applyProtection="1">
      <alignment horizontal="center" vertical="center"/>
    </xf>
    <xf numFmtId="0" fontId="33" fillId="15" borderId="0" xfId="2" quotePrefix="1" applyFont="1" applyBorder="1" applyAlignment="1" applyProtection="1">
      <alignment horizontal="center" vertical="center"/>
    </xf>
    <xf numFmtId="165" fontId="20" fillId="18" borderId="2" xfId="9" applyNumberFormat="1" applyFont="1" applyBorder="1" applyAlignment="1" applyProtection="1">
      <alignment horizontal="left"/>
    </xf>
    <xf numFmtId="165" fontId="20" fillId="18" borderId="30" xfId="9" applyNumberFormat="1" applyFont="1" applyBorder="1" applyAlignment="1" applyProtection="1">
      <alignment horizontal="left" vertical="center"/>
    </xf>
    <xf numFmtId="165" fontId="33" fillId="15" borderId="2" xfId="2" quotePrefix="1" applyNumberFormat="1" applyFont="1" applyBorder="1" applyAlignment="1" applyProtection="1">
      <alignment horizontal="center"/>
      <protection locked="0"/>
    </xf>
    <xf numFmtId="165" fontId="20" fillId="10" borderId="117" xfId="0" applyNumberFormat="1" applyFont="1" applyFill="1" applyBorder="1" applyAlignment="1">
      <alignment horizontal="left"/>
    </xf>
    <xf numFmtId="165" fontId="20" fillId="10" borderId="22" xfId="0" applyNumberFormat="1" applyFont="1" applyFill="1" applyBorder="1" applyAlignment="1">
      <alignment horizontal="left"/>
    </xf>
    <xf numFmtId="0" fontId="64" fillId="2" borderId="44" xfId="1" applyFont="1" applyBorder="1" applyAlignment="1" applyProtection="1">
      <alignment horizontal="center"/>
    </xf>
    <xf numFmtId="0" fontId="64" fillId="2" borderId="38" xfId="1" applyFont="1" applyBorder="1" applyAlignment="1" applyProtection="1">
      <alignment horizontal="center"/>
    </xf>
    <xf numFmtId="0" fontId="64" fillId="2" borderId="3" xfId="1" applyFont="1" applyBorder="1" applyAlignment="1" applyProtection="1">
      <alignment horizontal="center"/>
    </xf>
    <xf numFmtId="0" fontId="33" fillId="15" borderId="1" xfId="2" applyFont="1" applyAlignment="1" applyProtection="1">
      <alignment horizontal="center"/>
      <protection locked="0"/>
    </xf>
    <xf numFmtId="0" fontId="33" fillId="15" borderId="1" xfId="2" quotePrefix="1" applyFont="1" applyAlignment="1" applyProtection="1">
      <alignment horizontal="center"/>
      <protection locked="0"/>
    </xf>
    <xf numFmtId="49" fontId="33" fillId="15" borderId="2" xfId="2" quotePrefix="1" applyNumberFormat="1" applyFont="1" applyBorder="1" applyAlignment="1" applyProtection="1">
      <alignment horizontal="center"/>
    </xf>
    <xf numFmtId="49" fontId="33" fillId="15" borderId="2" xfId="2" applyNumberFormat="1" applyFont="1" applyBorder="1" applyAlignment="1" applyProtection="1">
      <alignment horizontal="center"/>
    </xf>
    <xf numFmtId="49" fontId="33" fillId="15" borderId="5" xfId="2" quotePrefix="1" applyNumberFormat="1" applyFont="1" applyBorder="1" applyAlignment="1" applyProtection="1">
      <alignment horizontal="center" vertical="center"/>
      <protection locked="0"/>
    </xf>
    <xf numFmtId="49" fontId="33" fillId="15" borderId="23" xfId="2" quotePrefix="1" applyNumberFormat="1" applyFont="1" applyBorder="1" applyAlignment="1" applyProtection="1">
      <alignment horizontal="center" vertical="center"/>
      <protection locked="0"/>
    </xf>
    <xf numFmtId="49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62" fillId="7" borderId="24" xfId="4" applyFont="1" applyAlignment="1" applyProtection="1">
      <alignment horizontal="center"/>
    </xf>
    <xf numFmtId="0" fontId="62" fillId="7" borderId="103" xfId="4" applyFont="1" applyBorder="1" applyAlignment="1" applyProtection="1">
      <alignment horizontal="center"/>
    </xf>
    <xf numFmtId="49" fontId="33" fillId="15" borderId="5" xfId="2" applyNumberFormat="1" applyFont="1" applyBorder="1" applyAlignment="1" applyProtection="1">
      <alignment horizontal="center" vertical="center"/>
      <protection locked="0"/>
    </xf>
    <xf numFmtId="49" fontId="33" fillId="15" borderId="23" xfId="2" applyNumberFormat="1" applyFont="1" applyBorder="1" applyAlignment="1" applyProtection="1">
      <alignment horizontal="center" vertical="center"/>
      <protection locked="0"/>
    </xf>
    <xf numFmtId="49" fontId="33" fillId="15" borderId="6" xfId="2" applyNumberFormat="1" applyFont="1" applyBorder="1" applyAlignment="1" applyProtection="1">
      <alignment horizontal="center" vertical="center"/>
      <protection locked="0"/>
    </xf>
    <xf numFmtId="167" fontId="59" fillId="6" borderId="2" xfId="3" applyNumberFormat="1" applyFont="1" applyBorder="1" applyAlignment="1" applyProtection="1">
      <alignment horizontal="center"/>
    </xf>
    <xf numFmtId="0" fontId="33" fillId="15" borderId="23" xfId="2" quotePrefix="1" applyNumberFormat="1" applyFont="1" applyBorder="1" applyAlignment="1" applyProtection="1">
      <alignment horizontal="center" vertical="center"/>
      <protection locked="0"/>
    </xf>
    <xf numFmtId="0" fontId="33" fillId="15" borderId="6" xfId="2" quotePrefix="1" applyNumberFormat="1" applyFont="1" applyBorder="1" applyAlignment="1" applyProtection="1">
      <alignment horizontal="center" vertical="center"/>
      <protection locked="0"/>
    </xf>
    <xf numFmtId="165" fontId="64" fillId="10" borderId="60" xfId="1" applyNumberFormat="1" applyFont="1" applyFill="1" applyBorder="1" applyAlignment="1" applyProtection="1">
      <alignment horizontal="center"/>
    </xf>
    <xf numFmtId="165" fontId="59" fillId="10" borderId="15" xfId="3" applyNumberFormat="1" applyFont="1" applyFill="1" applyBorder="1" applyAlignment="1" applyProtection="1">
      <alignment horizontal="center"/>
    </xf>
    <xf numFmtId="165" fontId="56" fillId="10" borderId="15" xfId="6" applyNumberFormat="1" applyFont="1" applyFill="1" applyBorder="1" applyAlignment="1" applyProtection="1">
      <alignment horizontal="center"/>
    </xf>
    <xf numFmtId="165" fontId="59" fillId="6" borderId="2" xfId="3" applyNumberFormat="1" applyFont="1" applyBorder="1" applyAlignment="1" applyProtection="1">
      <alignment horizontal="center"/>
    </xf>
    <xf numFmtId="0" fontId="33" fillId="15" borderId="128" xfId="2" applyFont="1" applyBorder="1" applyAlignment="1" applyProtection="1">
      <alignment horizontal="center" vertical="center"/>
      <protection locked="0"/>
    </xf>
    <xf numFmtId="165" fontId="62" fillId="7" borderId="103" xfId="4" applyNumberFormat="1" applyFont="1" applyBorder="1" applyAlignment="1" applyProtection="1">
      <alignment horizontal="center" vertical="center"/>
    </xf>
    <xf numFmtId="164" fontId="20" fillId="18" borderId="7" xfId="9" applyNumberFormat="1" applyFont="1" applyBorder="1" applyAlignment="1" applyProtection="1">
      <alignment horizontal="center" vertical="center" wrapText="1"/>
    </xf>
    <xf numFmtId="164" fontId="20" fillId="18" borderId="8" xfId="9" applyNumberFormat="1" applyFont="1" applyBorder="1" applyAlignment="1" applyProtection="1">
      <alignment horizontal="center" vertical="center" wrapText="1"/>
    </xf>
    <xf numFmtId="164" fontId="20" fillId="18" borderId="9" xfId="9" applyNumberFormat="1" applyFont="1" applyBorder="1" applyAlignment="1" applyProtection="1">
      <alignment horizontal="center" vertical="center" wrapText="1"/>
    </xf>
    <xf numFmtId="165" fontId="20" fillId="18" borderId="131" xfId="9" applyNumberFormat="1" applyFont="1" applyBorder="1" applyAlignment="1" applyProtection="1">
      <alignment horizontal="center" vertical="center"/>
    </xf>
    <xf numFmtId="0" fontId="62" fillId="7" borderId="5" xfId="4" quotePrefix="1" applyNumberFormat="1" applyFont="1" applyBorder="1" applyAlignment="1" applyProtection="1">
      <alignment horizontal="center" vertical="center"/>
      <protection locked="0"/>
    </xf>
    <xf numFmtId="0" fontId="62" fillId="7" borderId="23" xfId="4" quotePrefix="1" applyNumberFormat="1" applyFont="1" applyBorder="1" applyAlignment="1" applyProtection="1">
      <alignment horizontal="center" vertical="center"/>
      <protection locked="0"/>
    </xf>
    <xf numFmtId="0" fontId="62" fillId="7" borderId="6" xfId="4" quotePrefix="1" applyNumberFormat="1" applyFont="1" applyBorder="1" applyAlignment="1" applyProtection="1">
      <alignment horizontal="center" vertical="center"/>
      <protection locked="0"/>
    </xf>
    <xf numFmtId="165" fontId="29" fillId="32" borderId="1" xfId="1" applyNumberFormat="1" applyFont="1" applyFill="1" applyAlignment="1" applyProtection="1">
      <alignment horizontal="center" vertical="center" wrapText="1"/>
    </xf>
    <xf numFmtId="165" fontId="20" fillId="34" borderId="2" xfId="0" applyNumberFormat="1" applyFont="1" applyFill="1" applyBorder="1" applyAlignment="1">
      <alignment horizontal="center" vertical="center" wrapText="1"/>
    </xf>
    <xf numFmtId="165" fontId="20" fillId="34" borderId="5" xfId="0" applyNumberFormat="1" applyFont="1" applyFill="1" applyBorder="1" applyAlignment="1">
      <alignment horizontal="center" vertical="center" wrapText="1"/>
    </xf>
    <xf numFmtId="167" fontId="33" fillId="15" borderId="1" xfId="2" applyNumberFormat="1" applyFont="1" applyAlignment="1" applyProtection="1">
      <alignment horizontal="center"/>
    </xf>
    <xf numFmtId="167" fontId="33" fillId="15" borderId="37" xfId="2" applyNumberFormat="1" applyFont="1" applyBorder="1" applyAlignment="1" applyProtection="1">
      <alignment horizontal="center"/>
    </xf>
    <xf numFmtId="165" fontId="20" fillId="0" borderId="135" xfId="0" applyNumberFormat="1" applyFont="1" applyBorder="1" applyAlignment="1">
      <alignment horizontal="center" vertical="center" wrapText="1"/>
    </xf>
    <xf numFmtId="165" fontId="20" fillId="0" borderId="22" xfId="0" applyNumberFormat="1" applyFont="1" applyBorder="1" applyAlignment="1">
      <alignment horizontal="center" vertical="center" wrapText="1"/>
    </xf>
    <xf numFmtId="165" fontId="20" fillId="0" borderId="136" xfId="0" applyNumberFormat="1" applyFont="1" applyBorder="1" applyAlignment="1">
      <alignment horizontal="center" vertical="center" wrapText="1"/>
    </xf>
    <xf numFmtId="165" fontId="20" fillId="0" borderId="11" xfId="0" applyNumberFormat="1" applyFont="1" applyBorder="1" applyAlignment="1">
      <alignment horizontal="center" vertical="center" wrapText="1"/>
    </xf>
    <xf numFmtId="167" fontId="59" fillId="6" borderId="5" xfId="3" applyNumberFormat="1" applyFont="1" applyBorder="1" applyAlignment="1" applyProtection="1">
      <alignment horizontal="center"/>
    </xf>
    <xf numFmtId="167" fontId="59" fillId="6" borderId="6" xfId="3" applyNumberFormat="1" applyFont="1" applyBorder="1" applyAlignment="1" applyProtection="1">
      <alignment horizontal="center"/>
    </xf>
    <xf numFmtId="165" fontId="20" fillId="18" borderId="5" xfId="9" applyNumberFormat="1" applyFont="1" applyBorder="1" applyAlignment="1" applyProtection="1">
      <alignment horizontal="center"/>
    </xf>
    <xf numFmtId="165" fontId="20" fillId="18" borderId="6" xfId="9" applyNumberFormat="1" applyFont="1" applyBorder="1" applyAlignment="1" applyProtection="1">
      <alignment horizontal="center"/>
    </xf>
    <xf numFmtId="165" fontId="20" fillId="18" borderId="5" xfId="9" applyNumberFormat="1" applyFont="1" applyBorder="1" applyAlignment="1" applyProtection="1">
      <alignment horizontal="center" vertical="center"/>
    </xf>
    <xf numFmtId="165" fontId="20" fillId="18" borderId="6" xfId="9" applyNumberFormat="1" applyFont="1" applyBorder="1" applyAlignment="1" applyProtection="1">
      <alignment horizontal="center" vertical="center"/>
    </xf>
    <xf numFmtId="165" fontId="20" fillId="31" borderId="47" xfId="12" applyNumberFormat="1" applyFont="1" applyBorder="1" applyAlignment="1" applyProtection="1">
      <alignment horizontal="center" vertical="center"/>
    </xf>
    <xf numFmtId="165" fontId="20" fillId="31" borderId="4" xfId="12" applyNumberFormat="1" applyFont="1" applyBorder="1" applyAlignment="1" applyProtection="1">
      <alignment horizontal="center" vertical="center"/>
    </xf>
    <xf numFmtId="165" fontId="20" fillId="31" borderId="10" xfId="12" applyNumberFormat="1" applyFont="1" applyBorder="1" applyAlignment="1" applyProtection="1">
      <alignment horizontal="center" vertical="center"/>
    </xf>
    <xf numFmtId="165" fontId="20" fillId="31" borderId="12" xfId="12" applyNumberFormat="1" applyFont="1" applyBorder="1" applyAlignment="1" applyProtection="1">
      <alignment horizontal="center" vertical="center"/>
    </xf>
    <xf numFmtId="49" fontId="63" fillId="15" borderId="1" xfId="2" applyNumberFormat="1" applyFont="1" applyAlignment="1" applyProtection="1">
      <alignment horizontal="center" vertical="center"/>
    </xf>
    <xf numFmtId="49" fontId="63" fillId="15" borderId="1" xfId="2" quotePrefix="1" applyNumberFormat="1" applyFont="1" applyAlignment="1" applyProtection="1">
      <alignment horizontal="center" vertical="center"/>
    </xf>
    <xf numFmtId="0" fontId="54" fillId="6" borderId="7" xfId="3" applyFont="1" applyBorder="1" applyAlignment="1" applyProtection="1">
      <alignment horizontal="center" vertical="center"/>
    </xf>
    <xf numFmtId="0" fontId="54" fillId="6" borderId="8" xfId="3" applyFont="1" applyBorder="1" applyAlignment="1" applyProtection="1">
      <alignment horizontal="center" vertical="center"/>
    </xf>
    <xf numFmtId="0" fontId="54" fillId="6" borderId="9" xfId="3" applyFont="1" applyBorder="1" applyAlignment="1" applyProtection="1">
      <alignment horizontal="center" vertical="center"/>
    </xf>
    <xf numFmtId="0" fontId="54" fillId="6" borderId="5" xfId="3" applyFont="1" applyBorder="1" applyAlignment="1" applyProtection="1">
      <alignment horizontal="center" vertical="center"/>
    </xf>
    <xf numFmtId="0" fontId="54" fillId="6" borderId="23" xfId="3" applyFont="1" applyBorder="1" applyAlignment="1" applyProtection="1">
      <alignment horizontal="center" vertical="center"/>
    </xf>
    <xf numFmtId="0" fontId="54" fillId="6" borderId="6" xfId="3" applyFont="1" applyBorder="1" applyAlignment="1" applyProtection="1">
      <alignment horizontal="center" vertical="center"/>
    </xf>
    <xf numFmtId="165" fontId="62" fillId="7" borderId="133" xfId="4" applyNumberFormat="1" applyFont="1" applyBorder="1" applyAlignment="1" applyProtection="1">
      <alignment horizontal="left"/>
    </xf>
    <xf numFmtId="165" fontId="62" fillId="7" borderId="15" xfId="4" applyNumberFormat="1" applyFont="1" applyBorder="1" applyAlignment="1" applyProtection="1">
      <alignment horizontal="left"/>
    </xf>
    <xf numFmtId="165" fontId="62" fillId="7" borderId="134" xfId="4" applyNumberFormat="1" applyFont="1" applyBorder="1" applyAlignment="1" applyProtection="1">
      <alignment horizontal="left"/>
    </xf>
    <xf numFmtId="165" fontId="64" fillId="2" borderId="129" xfId="1" applyNumberFormat="1" applyFont="1" applyBorder="1" applyAlignment="1" applyProtection="1">
      <alignment horizontal="center"/>
    </xf>
    <xf numFmtId="165" fontId="64" fillId="2" borderId="15" xfId="1" applyNumberFormat="1" applyFont="1" applyBorder="1" applyAlignment="1" applyProtection="1">
      <alignment horizontal="center"/>
    </xf>
    <xf numFmtId="165" fontId="64" fillId="2" borderId="134" xfId="1" applyNumberFormat="1" applyFont="1" applyBorder="1" applyAlignment="1" applyProtection="1">
      <alignment horizontal="center"/>
    </xf>
    <xf numFmtId="165" fontId="29" fillId="36" borderId="47" xfId="11" applyNumberFormat="1" applyFont="1" applyFill="1" applyBorder="1" applyAlignment="1" applyProtection="1">
      <alignment horizontal="center" vertical="center"/>
    </xf>
    <xf numFmtId="165" fontId="29" fillId="36" borderId="0" xfId="11" applyNumberFormat="1" applyFont="1" applyFill="1" applyBorder="1" applyAlignment="1" applyProtection="1">
      <alignment horizontal="center" vertical="center"/>
    </xf>
    <xf numFmtId="165" fontId="29" fillId="36" borderId="4" xfId="11" applyNumberFormat="1" applyFont="1" applyFill="1" applyBorder="1" applyAlignment="1" applyProtection="1">
      <alignment horizontal="center" vertical="center"/>
    </xf>
    <xf numFmtId="164" fontId="29" fillId="32" borderId="110" xfId="1" applyNumberFormat="1" applyFont="1" applyFill="1" applyBorder="1" applyAlignment="1" applyProtection="1">
      <alignment horizontal="center" vertical="center" wrapText="1"/>
    </xf>
    <xf numFmtId="164" fontId="29" fillId="32" borderId="0" xfId="1" applyNumberFormat="1" applyFont="1" applyFill="1" applyBorder="1" applyAlignment="1" applyProtection="1">
      <alignment horizontal="center" vertical="center" wrapText="1"/>
    </xf>
    <xf numFmtId="164" fontId="29" fillId="32" borderId="75" xfId="1" applyNumberFormat="1" applyFont="1" applyFill="1" applyBorder="1" applyAlignment="1" applyProtection="1">
      <alignment horizontal="center" vertical="center" wrapText="1"/>
    </xf>
    <xf numFmtId="0" fontId="34" fillId="2" borderId="2" xfId="1" applyNumberFormat="1" applyFont="1" applyBorder="1" applyAlignment="1" applyProtection="1">
      <alignment horizontal="center" vertical="center"/>
      <protection locked="0"/>
    </xf>
    <xf numFmtId="0" fontId="65" fillId="19" borderId="2" xfId="10" applyFont="1" applyBorder="1" applyAlignment="1">
      <alignment horizontal="center" wrapText="1"/>
    </xf>
    <xf numFmtId="0" fontId="65" fillId="19" borderId="2" xfId="10" applyFont="1" applyBorder="1" applyAlignment="1">
      <alignment horizontal="center"/>
    </xf>
    <xf numFmtId="0" fontId="66" fillId="6" borderId="1" xfId="3" applyFont="1" applyBorder="1" applyAlignment="1">
      <alignment horizontal="center" vertical="center"/>
    </xf>
    <xf numFmtId="0" fontId="66" fillId="6" borderId="37" xfId="3" applyFont="1" applyBorder="1" applyAlignment="1">
      <alignment horizontal="center" vertical="center"/>
    </xf>
    <xf numFmtId="0" fontId="66" fillId="6" borderId="29" xfId="3" applyFont="1" applyBorder="1" applyAlignment="1">
      <alignment horizontal="center" vertical="center"/>
    </xf>
    <xf numFmtId="0" fontId="66" fillId="6" borderId="19" xfId="3" applyFont="1" applyBorder="1" applyAlignment="1">
      <alignment horizontal="center" vertical="center"/>
    </xf>
    <xf numFmtId="0" fontId="20" fillId="14" borderId="30" xfId="0" applyFont="1" applyFill="1" applyBorder="1" applyAlignment="1">
      <alignment horizontal="center" vertical="center"/>
    </xf>
    <xf numFmtId="0" fontId="20" fillId="14" borderId="31" xfId="0" applyFont="1" applyFill="1" applyBorder="1" applyAlignment="1">
      <alignment horizontal="center" vertical="center"/>
    </xf>
    <xf numFmtId="165" fontId="29" fillId="18" borderId="7" xfId="9" applyNumberFormat="1" applyFont="1" applyBorder="1" applyAlignment="1" applyProtection="1">
      <alignment horizontal="center" vertical="center"/>
    </xf>
    <xf numFmtId="165" fontId="29" fillId="18" borderId="8" xfId="9" applyNumberFormat="1" applyFont="1" applyBorder="1" applyAlignment="1" applyProtection="1">
      <alignment horizontal="center" vertical="center"/>
    </xf>
    <xf numFmtId="165" fontId="29" fillId="18" borderId="9" xfId="9" applyNumberFormat="1" applyFont="1" applyBorder="1" applyAlignment="1" applyProtection="1">
      <alignment horizontal="center" vertical="center"/>
    </xf>
    <xf numFmtId="165" fontId="29" fillId="18" borderId="10" xfId="9" applyNumberFormat="1" applyFont="1" applyBorder="1" applyAlignment="1" applyProtection="1">
      <alignment horizontal="center" vertical="center"/>
    </xf>
    <xf numFmtId="165" fontId="29" fillId="18" borderId="11" xfId="9" applyNumberFormat="1" applyFont="1" applyBorder="1" applyAlignment="1" applyProtection="1">
      <alignment horizontal="center" vertical="center"/>
    </xf>
    <xf numFmtId="165" fontId="29" fillId="18" borderId="12" xfId="9" applyNumberFormat="1" applyFont="1" applyBorder="1" applyAlignment="1" applyProtection="1">
      <alignment horizontal="center" vertical="center"/>
    </xf>
    <xf numFmtId="0" fontId="20" fillId="18" borderId="5" xfId="9" applyFont="1" applyBorder="1" applyAlignment="1" applyProtection="1">
      <alignment horizontal="center"/>
    </xf>
    <xf numFmtId="0" fontId="20" fillId="18" borderId="23" xfId="9" applyFont="1" applyBorder="1" applyAlignment="1" applyProtection="1">
      <alignment horizontal="center"/>
    </xf>
    <xf numFmtId="0" fontId="20" fillId="18" borderId="0" xfId="9" applyFont="1" applyBorder="1" applyAlignment="1" applyProtection="1">
      <alignment horizontal="center" vertical="center" wrapText="1"/>
    </xf>
    <xf numFmtId="0" fontId="20" fillId="18" borderId="11" xfId="9" applyFont="1" applyBorder="1" applyAlignment="1" applyProtection="1">
      <alignment horizontal="center" vertical="center" wrapText="1"/>
    </xf>
    <xf numFmtId="0" fontId="20" fillId="18" borderId="7" xfId="9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horizontal="center" vertical="center"/>
    </xf>
    <xf numFmtId="0" fontId="20" fillId="18" borderId="47" xfId="9" applyFont="1" applyBorder="1" applyAlignment="1" applyProtection="1">
      <alignment horizontal="center" vertical="center"/>
    </xf>
    <xf numFmtId="0" fontId="20" fillId="18" borderId="0" xfId="9" applyFont="1" applyBorder="1" applyAlignment="1" applyProtection="1">
      <alignment horizontal="center" vertical="center"/>
    </xf>
    <xf numFmtId="0" fontId="20" fillId="18" borderId="10" xfId="9" applyFont="1" applyBorder="1" applyAlignment="1" applyProtection="1">
      <alignment horizontal="center" vertical="center"/>
    </xf>
    <xf numFmtId="0" fontId="20" fillId="18" borderId="11" xfId="9" applyFont="1" applyBorder="1" applyAlignment="1" applyProtection="1">
      <alignment horizontal="center" vertical="center"/>
    </xf>
    <xf numFmtId="165" fontId="20" fillId="10" borderId="125" xfId="0" applyNumberFormat="1" applyFont="1" applyFill="1" applyBorder="1" applyAlignment="1">
      <alignment horizontal="center"/>
    </xf>
    <xf numFmtId="165" fontId="8" fillId="7" borderId="103" xfId="4" applyNumberFormat="1" applyBorder="1" applyAlignment="1" applyProtection="1">
      <alignment horizontal="center"/>
    </xf>
    <xf numFmtId="165" fontId="8" fillId="7" borderId="41" xfId="4" applyNumberFormat="1" applyBorder="1" applyAlignment="1" applyProtection="1">
      <alignment horizontal="center"/>
    </xf>
    <xf numFmtId="165" fontId="8" fillId="7" borderId="42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  <protection locked="0"/>
    </xf>
    <xf numFmtId="0" fontId="0" fillId="8" borderId="2" xfId="5" applyFont="1" applyBorder="1" applyAlignment="1" applyProtection="1">
      <alignment horizontal="center" vertical="center"/>
    </xf>
    <xf numFmtId="165" fontId="51" fillId="8" borderId="2" xfId="5" applyNumberFormat="1" applyFont="1" applyBorder="1" applyAlignment="1" applyProtection="1">
      <alignment horizontal="center"/>
    </xf>
    <xf numFmtId="165" fontId="30" fillId="6" borderId="117" xfId="3" applyNumberFormat="1" applyFont="1" applyBorder="1" applyAlignment="1" applyProtection="1">
      <alignment horizontal="center" vertical="center"/>
    </xf>
    <xf numFmtId="165" fontId="30" fillId="6" borderId="22" xfId="3" applyNumberFormat="1" applyFont="1" applyBorder="1" applyAlignment="1" applyProtection="1">
      <alignment horizontal="center" vertical="center"/>
    </xf>
    <xf numFmtId="165" fontId="30" fillId="6" borderId="67" xfId="3" applyNumberFormat="1" applyFont="1" applyBorder="1" applyAlignment="1" applyProtection="1">
      <alignment horizontal="center" vertical="center"/>
    </xf>
    <xf numFmtId="165" fontId="30" fillId="6" borderId="7" xfId="3" applyNumberFormat="1" applyFont="1" applyBorder="1" applyAlignment="1" applyProtection="1">
      <alignment horizontal="center" vertical="center"/>
    </xf>
    <xf numFmtId="165" fontId="30" fillId="6" borderId="8" xfId="3" applyNumberFormat="1" applyFont="1" applyBorder="1" applyAlignment="1" applyProtection="1">
      <alignment horizontal="center" vertical="center"/>
    </xf>
    <xf numFmtId="165" fontId="30" fillId="6" borderId="47" xfId="3" applyNumberFormat="1" applyFont="1" applyBorder="1" applyAlignment="1" applyProtection="1">
      <alignment horizontal="center" vertical="center"/>
    </xf>
    <xf numFmtId="165" fontId="30" fillId="6" borderId="0" xfId="3" applyNumberFormat="1" applyFont="1" applyBorder="1" applyAlignment="1" applyProtection="1">
      <alignment horizontal="center" vertical="center"/>
    </xf>
    <xf numFmtId="165" fontId="30" fillId="6" borderId="10" xfId="3" applyNumberFormat="1" applyFont="1" applyBorder="1" applyAlignment="1" applyProtection="1">
      <alignment horizontal="center" vertical="center"/>
    </xf>
    <xf numFmtId="165" fontId="30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57" fillId="7" borderId="24" xfId="4" applyNumberFormat="1" applyFont="1" applyAlignment="1" applyProtection="1">
      <alignment horizontal="center"/>
    </xf>
    <xf numFmtId="165" fontId="30" fillId="6" borderId="7" xfId="3" applyNumberFormat="1" applyFont="1" applyBorder="1" applyAlignment="1" applyProtection="1">
      <alignment horizontal="center" vertical="center" wrapText="1"/>
    </xf>
    <xf numFmtId="0" fontId="20" fillId="0" borderId="0" xfId="0" quotePrefix="1" applyFont="1"/>
    <xf numFmtId="165" fontId="34" fillId="2" borderId="2" xfId="1" applyNumberFormat="1" applyFont="1" applyBorder="1" applyAlignment="1" applyProtection="1">
      <alignment horizontal="center" vertical="center"/>
    </xf>
    <xf numFmtId="165" fontId="60" fillId="7" borderId="24" xfId="4" applyNumberFormat="1" applyFont="1" applyAlignment="1" applyProtection="1">
      <alignment horizontal="center"/>
    </xf>
    <xf numFmtId="165" fontId="51" fillId="8" borderId="2" xfId="5" quotePrefix="1" applyNumberFormat="1" applyFont="1" applyBorder="1" applyAlignment="1" applyProtection="1">
      <alignment horizontal="center"/>
    </xf>
    <xf numFmtId="165" fontId="17" fillId="6" borderId="2" xfId="3" applyNumberFormat="1" applyFont="1" applyBorder="1" applyAlignment="1" applyProtection="1">
      <alignment horizontal="center" vertical="center"/>
    </xf>
    <xf numFmtId="165" fontId="19" fillId="7" borderId="2" xfId="4" applyNumberFormat="1" applyFont="1" applyBorder="1" applyAlignment="1" applyProtection="1">
      <alignment horizontal="center" vertical="center"/>
    </xf>
    <xf numFmtId="165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0" fillId="6" borderId="2" xfId="3" applyFont="1" applyBorder="1" applyAlignment="1">
      <alignment horizontal="center" vertical="center"/>
    </xf>
    <xf numFmtId="165" fontId="70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25" xfId="5" applyFont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165" fontId="19" fillId="7" borderId="63" xfId="4" applyNumberFormat="1" applyFont="1" applyBorder="1" applyAlignment="1" applyProtection="1">
      <alignment horizontal="center" vertical="center"/>
    </xf>
    <xf numFmtId="165" fontId="19" fillId="7" borderId="64" xfId="4" applyNumberFormat="1" applyFont="1" applyBorder="1" applyAlignment="1" applyProtection="1">
      <alignment horizontal="center" vertical="center"/>
    </xf>
    <xf numFmtId="165" fontId="19" fillId="7" borderId="65" xfId="4" applyNumberFormat="1" applyFont="1" applyBorder="1" applyAlignment="1" applyProtection="1">
      <alignment horizontal="center" vertical="center"/>
    </xf>
    <xf numFmtId="165" fontId="19" fillId="7" borderId="66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62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5" borderId="29" xfId="2" applyNumberFormat="1" applyFont="1" applyBorder="1" applyAlignment="1" applyProtection="1">
      <alignment horizontal="center" vertical="center"/>
      <protection locked="0"/>
    </xf>
    <xf numFmtId="165" fontId="4" fillId="15" borderId="72" xfId="2" applyNumberFormat="1" applyFont="1" applyBorder="1" applyAlignment="1" applyProtection="1">
      <alignment horizontal="center" vertical="center"/>
      <protection locked="0"/>
    </xf>
    <xf numFmtId="165" fontId="4" fillId="15" borderId="19" xfId="2" quotePrefix="1" applyNumberFormat="1" applyFont="1" applyBorder="1" applyAlignment="1" applyProtection="1">
      <alignment horizontal="center" vertical="center"/>
      <protection locked="0"/>
    </xf>
    <xf numFmtId="165" fontId="4" fillId="15" borderId="20" xfId="2" quotePrefix="1" applyNumberFormat="1" applyFont="1" applyBorder="1" applyAlignment="1" applyProtection="1">
      <alignment horizontal="center" vertical="center"/>
      <protection locked="0"/>
    </xf>
    <xf numFmtId="165" fontId="4" fillId="15" borderId="69" xfId="2" quotePrefix="1" applyNumberFormat="1" applyFont="1" applyBorder="1" applyAlignment="1" applyProtection="1">
      <alignment horizontal="center" vertical="center"/>
      <protection locked="0"/>
    </xf>
    <xf numFmtId="165" fontId="4" fillId="15" borderId="70" xfId="2" quotePrefix="1" applyNumberFormat="1" applyFont="1" applyBorder="1" applyAlignment="1" applyProtection="1">
      <alignment horizontal="center" vertical="center"/>
      <protection locked="0"/>
    </xf>
    <xf numFmtId="165" fontId="4" fillId="15" borderId="71" xfId="2" quotePrefix="1" applyNumberFormat="1" applyFont="1" applyBorder="1" applyAlignment="1" applyProtection="1">
      <alignment horizontal="center" vertical="center"/>
      <protection locked="0"/>
    </xf>
    <xf numFmtId="165" fontId="4" fillId="15" borderId="73" xfId="2" quotePrefix="1" applyNumberFormat="1" applyFont="1" applyBorder="1" applyAlignment="1" applyProtection="1">
      <alignment horizontal="center" vertical="center"/>
      <protection locked="0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165" fontId="27" fillId="21" borderId="0" xfId="0" applyNumberFormat="1" applyFont="1" applyFill="1" applyAlignment="1">
      <alignment horizontal="center" vertical="center"/>
    </xf>
    <xf numFmtId="165" fontId="26" fillId="21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5" fontId="19" fillId="7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5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165" fontId="2" fillId="8" borderId="25" xfId="5" applyNumberFormat="1" applyFont="1" applyAlignment="1" applyProtection="1">
      <alignment horizontal="center" vertical="center"/>
    </xf>
    <xf numFmtId="0" fontId="18" fillId="3" borderId="2" xfId="3" applyFont="1" applyFill="1" applyBorder="1" applyAlignment="1">
      <alignment horizont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5" fontId="5" fillId="2" borderId="76" xfId="1" applyNumberFormat="1" applyFont="1" applyBorder="1" applyAlignment="1" applyProtection="1">
      <alignment horizontal="center" vertical="center"/>
    </xf>
    <xf numFmtId="165" fontId="5" fillId="2" borderId="78" xfId="1" applyNumberFormat="1" applyFont="1" applyBorder="1" applyAlignment="1" applyProtection="1">
      <alignment horizontal="center" vertical="center"/>
    </xf>
    <xf numFmtId="165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9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5" fontId="19" fillId="7" borderId="24" xfId="4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165" fontId="18" fillId="6" borderId="14" xfId="3" applyNumberFormat="1" applyFont="1" applyBorder="1" applyAlignment="1" applyProtection="1">
      <alignment horizontal="center" vertical="center"/>
    </xf>
    <xf numFmtId="165" fontId="18" fillId="6" borderId="15" xfId="3" applyNumberFormat="1" applyFont="1" applyBorder="1" applyAlignment="1" applyProtection="1">
      <alignment horizontal="center" vertical="center"/>
    </xf>
    <xf numFmtId="165" fontId="18" fillId="6" borderId="16" xfId="3" applyNumberFormat="1" applyFont="1" applyBorder="1" applyAlignment="1" applyProtection="1">
      <alignment horizontal="center" vertical="center"/>
    </xf>
    <xf numFmtId="165" fontId="5" fillId="8" borderId="140" xfId="5" applyNumberFormat="1" applyFont="1" applyBorder="1" applyAlignment="1" applyProtection="1">
      <alignment horizontal="center" vertical="center"/>
    </xf>
    <xf numFmtId="165" fontId="5" fillId="8" borderId="142" xfId="5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5" fontId="4" fillId="15" borderId="60" xfId="2" applyNumberFormat="1" applyFont="1" applyBorder="1" applyAlignment="1" applyProtection="1">
      <alignment horizontal="center" vertical="center"/>
      <protection locked="0"/>
    </xf>
    <xf numFmtId="165" fontId="4" fillId="15" borderId="13" xfId="2" applyNumberFormat="1" applyFont="1" applyBorder="1" applyAlignment="1" applyProtection="1">
      <alignment horizontal="center" vertical="center"/>
      <protection locked="0"/>
    </xf>
    <xf numFmtId="165" fontId="4" fillId="15" borderId="61" xfId="2" quotePrefix="1" applyNumberFormat="1" applyFont="1" applyBorder="1" applyAlignment="1" applyProtection="1">
      <alignment horizontal="center" vertical="center"/>
      <protection locked="0"/>
    </xf>
    <xf numFmtId="165" fontId="4" fillId="15" borderId="22" xfId="2" quotePrefix="1" applyNumberFormat="1" applyFont="1" applyBorder="1" applyAlignment="1" applyProtection="1">
      <alignment horizontal="center" vertical="center"/>
      <protection locked="0"/>
    </xf>
    <xf numFmtId="165" fontId="4" fillId="15" borderId="67" xfId="2" quotePrefix="1" applyNumberFormat="1" applyFont="1" applyBorder="1" applyAlignment="1" applyProtection="1">
      <alignment horizontal="center" vertical="center"/>
      <protection locked="0"/>
    </xf>
    <xf numFmtId="165" fontId="4" fillId="15" borderId="17" xfId="2" quotePrefix="1" applyNumberFormat="1" applyFont="1" applyBorder="1" applyAlignment="1" applyProtection="1">
      <alignment horizontal="center" vertical="center"/>
      <protection locked="0"/>
    </xf>
    <xf numFmtId="165" fontId="4" fillId="15" borderId="45" xfId="2" quotePrefix="1" applyNumberFormat="1" applyFont="1" applyBorder="1" applyAlignment="1" applyProtection="1">
      <alignment horizontal="center" vertical="center"/>
      <protection locked="0"/>
    </xf>
    <xf numFmtId="165" fontId="4" fillId="15" borderId="68" xfId="2" quotePrefix="1" applyNumberFormat="1" applyFont="1" applyBorder="1" applyAlignment="1" applyProtection="1">
      <alignment horizontal="center" vertical="center"/>
      <protection locked="0"/>
    </xf>
    <xf numFmtId="165" fontId="18" fillId="6" borderId="2" xfId="3" applyNumberFormat="1" applyFont="1" applyBorder="1" applyAlignment="1" applyProtection="1">
      <alignment horizontal="center"/>
    </xf>
    <xf numFmtId="0" fontId="63" fillId="15" borderId="1" xfId="2" applyFont="1" applyAlignment="1" applyProtection="1">
      <alignment horizontal="center" vertical="center"/>
    </xf>
    <xf numFmtId="165" fontId="34" fillId="2" borderId="1" xfId="1" applyNumberFormat="1" applyFont="1" applyAlignment="1" applyProtection="1">
      <alignment horizontal="center" vertical="center"/>
    </xf>
    <xf numFmtId="0" fontId="57" fillId="7" borderId="24" xfId="4" applyFont="1" applyAlignment="1" applyProtection="1">
      <alignment horizont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20" fontId="33" fillId="15" borderId="37" xfId="2" quotePrefix="1" applyNumberFormat="1" applyFont="1" applyBorder="1" applyAlignment="1" applyProtection="1">
      <alignment horizontal="center" vertical="center"/>
      <protection locked="0"/>
    </xf>
    <xf numFmtId="20" fontId="33" fillId="15" borderId="38" xfId="2" quotePrefix="1" applyNumberFormat="1" applyFont="1" applyBorder="1" applyAlignment="1" applyProtection="1">
      <alignment horizontal="center" vertical="center"/>
      <protection locked="0"/>
    </xf>
    <xf numFmtId="20" fontId="33" fillId="15" borderId="3" xfId="2" quotePrefix="1" applyNumberFormat="1" applyFont="1" applyBorder="1" applyAlignment="1" applyProtection="1">
      <alignment horizontal="center" vertical="center"/>
      <protection locked="0"/>
    </xf>
    <xf numFmtId="165" fontId="64" fillId="2" borderId="37" xfId="1" applyNumberFormat="1" applyFont="1" applyBorder="1" applyAlignment="1" applyProtection="1">
      <alignment horizontal="center" vertical="center"/>
    </xf>
    <xf numFmtId="165" fontId="64" fillId="2" borderId="38" xfId="1" applyNumberFormat="1" applyFont="1" applyBorder="1" applyAlignment="1" applyProtection="1">
      <alignment horizontal="center" vertical="center"/>
    </xf>
    <xf numFmtId="165" fontId="64" fillId="2" borderId="150" xfId="1" applyNumberFormat="1" applyFont="1" applyBorder="1" applyAlignment="1" applyProtection="1">
      <alignment horizontal="center" vertical="center"/>
    </xf>
    <xf numFmtId="165" fontId="62" fillId="7" borderId="41" xfId="4" applyNumberFormat="1" applyFont="1" applyBorder="1" applyAlignment="1" applyProtection="1">
      <alignment horizontal="center" vertical="center"/>
    </xf>
    <xf numFmtId="165" fontId="62" fillId="7" borderId="42" xfId="4" applyNumberFormat="1" applyFont="1" applyBorder="1" applyAlignment="1" applyProtection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19" fillId="7" borderId="0" xfId="4" applyNumberFormat="1" applyFont="1" applyBorder="1" applyAlignment="1" applyProtection="1">
      <alignment horizontal="center" vertical="center"/>
    </xf>
    <xf numFmtId="165" fontId="19" fillId="7" borderId="75" xfId="4" applyNumberFormat="1" applyFont="1" applyBorder="1" applyAlignment="1" applyProtection="1">
      <alignment horizontal="center" vertical="center"/>
    </xf>
    <xf numFmtId="20" fontId="33" fillId="15" borderId="7" xfId="2" quotePrefix="1" applyNumberFormat="1" applyFont="1" applyBorder="1" applyAlignment="1" applyProtection="1">
      <alignment horizontal="center" vertical="center"/>
      <protection locked="0"/>
    </xf>
    <xf numFmtId="20" fontId="33" fillId="15" borderId="8" xfId="2" quotePrefix="1" applyNumberFormat="1" applyFont="1" applyBorder="1" applyAlignment="1" applyProtection="1">
      <alignment horizontal="center" vertical="center"/>
      <protection locked="0"/>
    </xf>
    <xf numFmtId="20" fontId="33" fillId="15" borderId="9" xfId="2" quotePrefix="1" applyNumberFormat="1" applyFont="1" applyBorder="1" applyAlignment="1" applyProtection="1">
      <alignment horizontal="center" vertical="center"/>
      <protection locked="0"/>
    </xf>
    <xf numFmtId="165" fontId="64" fillId="2" borderId="7" xfId="1" applyNumberFormat="1" applyFont="1" applyBorder="1" applyAlignment="1" applyProtection="1">
      <alignment horizontal="center" vertical="center"/>
    </xf>
    <xf numFmtId="165" fontId="64" fillId="2" borderId="8" xfId="1" applyNumberFormat="1" applyFont="1" applyBorder="1" applyAlignment="1" applyProtection="1">
      <alignment horizontal="center" vertical="center"/>
    </xf>
    <xf numFmtId="165" fontId="64" fillId="2" borderId="27" xfId="1" applyNumberFormat="1" applyFont="1" applyBorder="1" applyAlignment="1" applyProtection="1">
      <alignment horizontal="center" vertical="center"/>
    </xf>
    <xf numFmtId="0" fontId="63" fillId="15" borderId="5" xfId="2" applyFont="1" applyBorder="1" applyAlignment="1" applyProtection="1">
      <alignment horizontal="center" vertical="center"/>
    </xf>
    <xf numFmtId="0" fontId="63" fillId="15" borderId="23" xfId="2" applyFont="1" applyBorder="1" applyAlignment="1" applyProtection="1">
      <alignment horizontal="center" vertical="center"/>
    </xf>
    <xf numFmtId="0" fontId="63" fillId="15" borderId="6" xfId="2" applyFont="1" applyBorder="1" applyAlignment="1" applyProtection="1">
      <alignment horizontal="center" vertical="center"/>
    </xf>
    <xf numFmtId="165" fontId="34" fillId="2" borderId="5" xfId="1" applyNumberFormat="1" applyFont="1" applyBorder="1" applyAlignment="1" applyProtection="1">
      <alignment horizontal="center" vertical="center"/>
    </xf>
    <xf numFmtId="165" fontId="34" fillId="2" borderId="23" xfId="1" applyNumberFormat="1" applyFont="1" applyBorder="1" applyAlignment="1" applyProtection="1">
      <alignment horizontal="center" vertical="center"/>
    </xf>
    <xf numFmtId="165" fontId="34" fillId="2" borderId="26" xfId="1" applyNumberFormat="1" applyFont="1" applyBorder="1" applyAlignment="1" applyProtection="1">
      <alignment horizontal="center" vertical="center"/>
    </xf>
    <xf numFmtId="0" fontId="2" fillId="37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4" fillId="13" borderId="2" xfId="6" applyFont="1" applyBorder="1" applyAlignment="1">
      <alignment horizontal="center"/>
    </xf>
    <xf numFmtId="0" fontId="25" fillId="7" borderId="42" xfId="4" applyFont="1" applyBorder="1" applyAlignment="1">
      <alignment horizontal="center"/>
    </xf>
    <xf numFmtId="0" fontId="25" fillId="7" borderId="24" xfId="4" applyFont="1" applyAlignment="1">
      <alignment horizontal="center"/>
    </xf>
    <xf numFmtId="171" fontId="29" fillId="24" borderId="85" xfId="1" applyNumberFormat="1" applyFont="1" applyFill="1" applyBorder="1" applyAlignment="1"/>
    <xf numFmtId="171" fontId="29" fillId="24" borderId="0" xfId="1" applyNumberFormat="1" applyFont="1" applyFill="1" applyBorder="1" applyAlignment="1"/>
    <xf numFmtId="171" fontId="29" fillId="24" borderId="39" xfId="1" applyNumberFormat="1" applyFont="1" applyFill="1" applyBorder="1" applyAlignment="1"/>
    <xf numFmtId="171" fontId="29" fillId="24" borderId="85" xfId="1" applyNumberFormat="1" applyFont="1" applyFill="1" applyBorder="1" applyAlignment="1">
      <alignment horizontal="right"/>
    </xf>
    <xf numFmtId="171" fontId="29" fillId="24" borderId="0" xfId="1" applyNumberFormat="1" applyFont="1" applyFill="1" applyBorder="1" applyAlignment="1">
      <alignment horizontal="right"/>
    </xf>
    <xf numFmtId="171" fontId="29" fillId="24" borderId="39" xfId="1" applyNumberFormat="1" applyFont="1" applyFill="1" applyBorder="1" applyAlignment="1">
      <alignment horizontal="right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4" fillId="13" borderId="5" xfId="6" applyFont="1" applyBorder="1" applyAlignment="1">
      <alignment horizontal="center"/>
    </xf>
    <xf numFmtId="0" fontId="24" fillId="13" borderId="23" xfId="6" applyFont="1" applyBorder="1" applyAlignment="1">
      <alignment horizontal="center"/>
    </xf>
    <xf numFmtId="0" fontId="24" fillId="13" borderId="6" xfId="6" applyFont="1" applyBorder="1" applyAlignment="1">
      <alignment horizontal="center"/>
    </xf>
    <xf numFmtId="0" fontId="23" fillId="13" borderId="2" xfId="6" applyFont="1" applyBorder="1" applyAlignment="1">
      <alignment horizontal="center" vertical="center"/>
    </xf>
    <xf numFmtId="0" fontId="10" fillId="6" borderId="2" xfId="3" applyFont="1" applyBorder="1" applyAlignment="1">
      <alignment horizontal="center" vertic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4" fillId="13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21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33" fillId="15" borderId="37" xfId="2" quotePrefix="1" applyFont="1" applyBorder="1" applyAlignment="1">
      <alignment horizontal="center" vertical="center"/>
    </xf>
    <xf numFmtId="0" fontId="33" fillId="15" borderId="38" xfId="2" quotePrefix="1" applyFont="1" applyBorder="1" applyAlignment="1">
      <alignment horizontal="center" vertical="center"/>
    </xf>
    <xf numFmtId="0" fontId="33" fillId="15" borderId="3" xfId="2" quotePrefix="1" applyFont="1" applyBorder="1" applyAlignment="1">
      <alignment horizontal="center" vertical="center"/>
    </xf>
    <xf numFmtId="165" fontId="34" fillId="2" borderId="37" xfId="1" applyNumberFormat="1" applyFont="1" applyBorder="1" applyAlignment="1">
      <alignment horizontal="center" vertical="center"/>
    </xf>
    <xf numFmtId="165" fontId="34" fillId="2" borderId="38" xfId="1" applyNumberFormat="1" applyFont="1" applyBorder="1" applyAlignment="1">
      <alignment horizontal="center" vertical="center"/>
    </xf>
    <xf numFmtId="165" fontId="34" fillId="2" borderId="3" xfId="1" applyNumberFormat="1" applyFont="1" applyBorder="1" applyAlignment="1">
      <alignment horizontal="center" vertical="center"/>
    </xf>
    <xf numFmtId="20" fontId="33" fillId="15" borderId="37" xfId="2" quotePrefix="1" applyNumberFormat="1" applyFont="1" applyBorder="1" applyAlignment="1">
      <alignment horizontal="center" vertical="center"/>
    </xf>
    <xf numFmtId="20" fontId="33" fillId="15" borderId="38" xfId="2" quotePrefix="1" applyNumberFormat="1" applyFont="1" applyBorder="1" applyAlignment="1">
      <alignment horizontal="center" vertical="center"/>
    </xf>
    <xf numFmtId="20" fontId="33" fillId="15" borderId="3" xfId="2" quotePrefix="1" applyNumberFormat="1" applyFont="1" applyBorder="1" applyAlignment="1">
      <alignment horizontal="center" vertical="center"/>
    </xf>
    <xf numFmtId="0" fontId="33" fillId="12" borderId="37" xfId="2" quotePrefix="1" applyFont="1" applyFill="1" applyBorder="1" applyAlignment="1">
      <alignment horizontal="center" vertical="center"/>
    </xf>
    <xf numFmtId="0" fontId="33" fillId="12" borderId="38" xfId="2" quotePrefix="1" applyFont="1" applyFill="1" applyBorder="1" applyAlignment="1">
      <alignment horizontal="center" vertical="center"/>
    </xf>
    <xf numFmtId="0" fontId="33" fillId="12" borderId="3" xfId="2" quotePrefix="1" applyFont="1" applyFill="1" applyBorder="1" applyAlignment="1">
      <alignment horizontal="center" vertical="center"/>
    </xf>
    <xf numFmtId="0" fontId="33" fillId="15" borderId="38" xfId="2" applyFont="1" applyBorder="1" applyAlignment="1">
      <alignment horizontal="center" vertical="center"/>
    </xf>
    <xf numFmtId="0" fontId="33" fillId="15" borderId="3" xfId="2" applyFont="1" applyBorder="1" applyAlignment="1">
      <alignment horizontal="center" vertical="center"/>
    </xf>
    <xf numFmtId="49" fontId="33" fillId="15" borderId="37" xfId="2" quotePrefix="1" applyNumberFormat="1" applyFont="1" applyBorder="1" applyAlignment="1">
      <alignment horizontal="center" vertical="center"/>
    </xf>
    <xf numFmtId="49" fontId="33" fillId="15" borderId="38" xfId="2" quotePrefix="1" applyNumberFormat="1" applyFont="1" applyBorder="1" applyAlignment="1">
      <alignment horizontal="center" vertical="center"/>
    </xf>
    <xf numFmtId="49" fontId="33" fillId="15" borderId="3" xfId="2" quotePrefix="1" applyNumberFormat="1" applyFont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0" fontId="33" fillId="15" borderId="1" xfId="2" applyFont="1" applyAlignment="1">
      <alignment horizontal="center" vertical="center"/>
    </xf>
    <xf numFmtId="165" fontId="34" fillId="2" borderId="1" xfId="1" applyNumberFormat="1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0" fontId="40" fillId="7" borderId="24" xfId="4" applyFont="1" applyAlignment="1">
      <alignment horizontal="center" vertical="center"/>
    </xf>
    <xf numFmtId="0" fontId="40" fillId="7" borderId="81" xfId="4" applyFont="1" applyBorder="1" applyAlignment="1">
      <alignment horizontal="center" vertical="center" wrapText="1"/>
    </xf>
    <xf numFmtId="0" fontId="40" fillId="7" borderId="52" xfId="4" applyFont="1" applyBorder="1" applyAlignment="1">
      <alignment horizontal="center" vertical="center" wrapText="1"/>
    </xf>
    <xf numFmtId="0" fontId="40" fillId="7" borderId="51" xfId="4" applyFont="1" applyBorder="1" applyAlignment="1">
      <alignment horizontal="center" vertical="center" wrapText="1"/>
    </xf>
    <xf numFmtId="0" fontId="42" fillId="0" borderId="2" xfId="0" applyFont="1" applyBorder="1" applyAlignment="1">
      <alignment horizontal="right"/>
    </xf>
    <xf numFmtId="0" fontId="42" fillId="0" borderId="10" xfId="0" applyFont="1" applyBorder="1" applyAlignment="1">
      <alignment horizontal="right"/>
    </xf>
    <xf numFmtId="0" fontId="42" fillId="0" borderId="11" xfId="0" applyFont="1" applyBorder="1" applyAlignment="1">
      <alignment horizontal="right"/>
    </xf>
    <xf numFmtId="0" fontId="42" fillId="0" borderId="12" xfId="0" applyFont="1" applyBorder="1" applyAlignment="1">
      <alignment horizontal="right"/>
    </xf>
    <xf numFmtId="0" fontId="42" fillId="0" borderId="30" xfId="0" applyFont="1" applyBorder="1" applyAlignment="1">
      <alignment horizontal="right"/>
    </xf>
    <xf numFmtId="165" fontId="32" fillId="2" borderId="21" xfId="1" applyNumberFormat="1" applyFont="1" applyBorder="1" applyAlignment="1" applyProtection="1">
      <alignment horizontal="center"/>
    </xf>
    <xf numFmtId="0" fontId="32" fillId="2" borderId="29" xfId="1" applyFont="1" applyBorder="1" applyAlignment="1" applyProtection="1">
      <alignment horizontal="center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47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165" fontId="32" fillId="2" borderId="49" xfId="1" applyNumberFormat="1" applyFont="1" applyBorder="1" applyAlignment="1" applyProtection="1">
      <alignment horizontal="center" vertical="center"/>
    </xf>
    <xf numFmtId="165" fontId="32" fillId="2" borderId="50" xfId="1" applyNumberFormat="1" applyFont="1" applyBorder="1" applyAlignment="1" applyProtection="1">
      <alignment horizontal="center" vertical="center"/>
    </xf>
  </cellXfs>
  <cellStyles count="13">
    <cellStyle name="20 % - Accent5" xfId="12" builtinId="46"/>
    <cellStyle name="60 % - Accent5" xfId="9" builtinId="48" customBuiltin="1"/>
    <cellStyle name="Accent1" xfId="11" builtinId="29"/>
    <cellStyle name="Calcul" xfId="1" builtinId="22" customBuiltin="1"/>
    <cellStyle name="Cellule liée" xfId="8" builtinId="24"/>
    <cellStyle name="Entrée" xfId="2" builtinId="20" customBuiltin="1"/>
    <cellStyle name="Insatisfaisant" xfId="10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66FF66"/>
      <color rgb="FFC5FFC5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147</xdr:row>
      <xdr:rowOff>161925</xdr:rowOff>
    </xdr:from>
    <xdr:to>
      <xdr:col>35</xdr:col>
      <xdr:colOff>567884</xdr:colOff>
      <xdr:row>157</xdr:row>
      <xdr:rowOff>12191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4:F7"/>
  <sheetViews>
    <sheetView workbookViewId="0">
      <selection activeCell="C9" sqref="C9"/>
    </sheetView>
  </sheetViews>
  <sheetFormatPr baseColWidth="10" defaultRowHeight="15" x14ac:dyDescent="0.25"/>
  <sheetData>
    <row r="4" spans="3:6" ht="15.75" thickBot="1" x14ac:dyDescent="0.3"/>
    <row r="5" spans="3:6" x14ac:dyDescent="0.25">
      <c r="C5" s="350" t="s">
        <v>186</v>
      </c>
      <c r="D5" s="351"/>
      <c r="E5" s="351"/>
      <c r="F5" s="352"/>
    </row>
    <row r="6" spans="3:6" x14ac:dyDescent="0.25">
      <c r="C6" s="162" t="s">
        <v>79</v>
      </c>
      <c r="D6" s="163" t="s">
        <v>166</v>
      </c>
      <c r="E6" s="164" t="s">
        <v>385</v>
      </c>
      <c r="F6" s="165">
        <f>PI()/180</f>
        <v>1.7453292519943295E-2</v>
      </c>
    </row>
    <row r="7" spans="3:6" ht="15.75" thickBot="1" x14ac:dyDescent="0.3">
      <c r="C7" s="124" t="s">
        <v>168</v>
      </c>
      <c r="D7" s="166" t="s">
        <v>166</v>
      </c>
      <c r="E7" s="167" t="s">
        <v>386</v>
      </c>
      <c r="F7" s="168">
        <f>180/PI()</f>
        <v>57.295779513082323</v>
      </c>
    </row>
  </sheetData>
  <mergeCells count="1">
    <mergeCell ref="C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zoomScaleNormal="100" workbookViewId="0">
      <selection activeCell="A13" sqref="A13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7" max="16384" width="5.140625" style="118"/>
  </cols>
  <sheetData>
    <row r="1" spans="2:66" ht="17.25" customHeight="1" x14ac:dyDescent="0.25">
      <c r="C1" s="634" t="s">
        <v>311</v>
      </c>
      <c r="D1" s="634"/>
      <c r="E1" s="634"/>
      <c r="F1" s="634"/>
      <c r="G1" s="626" t="s">
        <v>312</v>
      </c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</row>
    <row r="2" spans="2:66" ht="17.25" customHeight="1" x14ac:dyDescent="0.25">
      <c r="C2" s="634"/>
      <c r="D2" s="634"/>
      <c r="E2" s="634"/>
      <c r="F2" s="634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</row>
    <row r="3" spans="2:66" ht="17.25" customHeight="1" x14ac:dyDescent="0.25">
      <c r="C3" s="634"/>
      <c r="D3" s="634"/>
      <c r="E3" s="634"/>
      <c r="F3" s="634"/>
      <c r="G3" s="631" t="s">
        <v>316</v>
      </c>
      <c r="H3" s="631"/>
      <c r="I3" s="631"/>
      <c r="J3" s="632" t="s">
        <v>315</v>
      </c>
      <c r="K3" s="632"/>
      <c r="L3" s="632"/>
      <c r="N3" s="659" t="s">
        <v>623</v>
      </c>
      <c r="O3" s="659"/>
      <c r="P3" s="659"/>
      <c r="Q3" s="660" t="s">
        <v>442</v>
      </c>
      <c r="R3" s="660"/>
      <c r="S3" s="660"/>
    </row>
    <row r="4" spans="2:66" ht="17.25" customHeight="1" x14ac:dyDescent="0.25">
      <c r="C4" s="634"/>
      <c r="D4" s="634"/>
      <c r="E4" s="634"/>
      <c r="F4" s="634"/>
      <c r="G4" s="478"/>
      <c r="H4" s="478"/>
      <c r="I4" s="478"/>
      <c r="J4" s="633"/>
      <c r="K4" s="633"/>
      <c r="L4" s="633"/>
      <c r="N4" s="659"/>
      <c r="O4" s="659"/>
      <c r="P4" s="659"/>
      <c r="Q4" s="660"/>
      <c r="R4" s="660"/>
      <c r="S4" s="660"/>
    </row>
    <row r="6" spans="2:66" ht="17.25" customHeight="1" thickBot="1" x14ac:dyDescent="0.3"/>
    <row r="7" spans="2:66" ht="17.25" customHeight="1" thickBot="1" x14ac:dyDescent="0.3">
      <c r="B7" s="135" t="s">
        <v>1</v>
      </c>
      <c r="C7" s="136"/>
      <c r="D7" s="136"/>
      <c r="E7" s="323" t="str" cm="1">
        <f t="array" ref="E7">dateDecimale2txt(dateConvert2Decimal(E8))</f>
        <v>2025/6/30 [YYYY/MM/DD]</v>
      </c>
      <c r="F7" s="323"/>
      <c r="G7" s="324"/>
      <c r="H7" s="325"/>
      <c r="I7" s="323" t="str" cm="1">
        <f t="array" ref="I7">heureDecimal2Txt(E11)</f>
        <v>10:20:25.00(10.3402)</v>
      </c>
      <c r="J7" s="323"/>
      <c r="K7" s="323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212"/>
      <c r="AB7" s="174"/>
    </row>
    <row r="8" spans="2:66" ht="17.25" customHeight="1" x14ac:dyDescent="0.25">
      <c r="C8" s="627" t="s">
        <v>2</v>
      </c>
      <c r="D8" s="628"/>
      <c r="E8" s="460" t="s">
        <v>624</v>
      </c>
      <c r="F8" s="461"/>
      <c r="G8" s="461"/>
      <c r="H8" s="171"/>
      <c r="I8" s="661"/>
      <c r="J8" s="661"/>
      <c r="K8" s="661"/>
      <c r="L8" s="661"/>
      <c r="M8" s="661"/>
      <c r="N8" s="661"/>
      <c r="O8" s="661"/>
      <c r="AC8" s="6" t="s">
        <v>405</v>
      </c>
      <c r="AD8" s="6" cm="1">
        <f t="array" ref="AD8">heureConvert2Decimal(I11)</f>
        <v>10.340277777777779</v>
      </c>
    </row>
    <row r="9" spans="2:66" ht="17.25" customHeight="1" thickBot="1" x14ac:dyDescent="0.3">
      <c r="C9" s="416" t="s">
        <v>12</v>
      </c>
      <c r="D9" s="418"/>
      <c r="E9" s="416" t="s">
        <v>3</v>
      </c>
      <c r="F9" s="417"/>
      <c r="G9" s="417"/>
      <c r="H9" s="418"/>
      <c r="I9" s="403" t="s">
        <v>625</v>
      </c>
      <c r="J9" s="403"/>
      <c r="K9" s="403"/>
      <c r="L9" s="403" t="s">
        <v>621</v>
      </c>
      <c r="M9" s="403"/>
      <c r="N9" s="403"/>
      <c r="O9" s="403"/>
      <c r="P9" s="403"/>
      <c r="Q9" s="403" t="s">
        <v>622</v>
      </c>
      <c r="R9" s="403"/>
      <c r="S9" s="403"/>
      <c r="T9" s="403"/>
      <c r="U9" s="403"/>
      <c r="V9" s="503" t="s">
        <v>266</v>
      </c>
      <c r="W9" s="504"/>
      <c r="X9" s="504"/>
      <c r="Y9" s="505"/>
      <c r="AB9" s="175"/>
      <c r="AC9" s="6" t="s">
        <v>406</v>
      </c>
      <c r="AD9" s="179">
        <f>L11</f>
        <v>0</v>
      </c>
    </row>
    <row r="10" spans="2:66" ht="17.25" customHeight="1" x14ac:dyDescent="0.25">
      <c r="C10" s="629"/>
      <c r="D10" s="630"/>
      <c r="E10" s="419"/>
      <c r="F10" s="420"/>
      <c r="G10" s="420"/>
      <c r="H10" s="421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506"/>
      <c r="W10" s="507"/>
      <c r="X10" s="507"/>
      <c r="Y10" s="508"/>
      <c r="AC10" s="6" t="s">
        <v>407</v>
      </c>
      <c r="AD10" s="6">
        <f>Q11/3600</f>
        <v>0</v>
      </c>
    </row>
    <row r="11" spans="2:66" ht="17.25" customHeight="1" thickBot="1" x14ac:dyDescent="0.3">
      <c r="C11" s="419"/>
      <c r="D11" s="421"/>
      <c r="E11" s="641">
        <f>AD8+AD9+AD10+AD11</f>
        <v>10.340277777777779</v>
      </c>
      <c r="F11" s="642"/>
      <c r="G11" s="642"/>
      <c r="H11" s="643"/>
      <c r="I11" s="519" t="s">
        <v>545</v>
      </c>
      <c r="J11" s="519"/>
      <c r="K11" s="519"/>
      <c r="L11" s="491">
        <v>0</v>
      </c>
      <c r="M11" s="491"/>
      <c r="N11" s="491"/>
      <c r="O11" s="491"/>
      <c r="P11" s="491"/>
      <c r="Q11" s="491">
        <v>0</v>
      </c>
      <c r="R11" s="491"/>
      <c r="S11" s="491"/>
      <c r="T11" s="491"/>
      <c r="U11" s="492"/>
      <c r="V11" s="490" t="s">
        <v>265</v>
      </c>
      <c r="W11" s="490"/>
      <c r="X11" s="490"/>
      <c r="Y11" s="490"/>
      <c r="AC11" s="6" t="s">
        <v>37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118"/>
      <c r="E12" s="383" t="str" cm="1">
        <f t="array" ref="E12">heureDecimal2Txt(E11)</f>
        <v>10:20:25.00(10.3402)</v>
      </c>
      <c r="F12" s="384"/>
      <c r="G12" s="384"/>
      <c r="H12" s="38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ht="17.25" customHeight="1" thickTop="1" thickBot="1" x14ac:dyDescent="0.3"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</row>
    <row r="14" spans="2:66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</row>
    <row r="15" spans="2:66" ht="18" customHeight="1" thickBot="1" x14ac:dyDescent="0.3">
      <c r="B15"/>
      <c r="C15" s="650" t="s">
        <v>409</v>
      </c>
      <c r="D15" s="651"/>
      <c r="E15" s="651"/>
      <c r="F15" s="651"/>
      <c r="G15" s="651"/>
      <c r="H15" s="651"/>
      <c r="I15" s="652"/>
      <c r="J15" s="653" t="s">
        <v>411</v>
      </c>
      <c r="K15" s="653"/>
      <c r="L15" s="653"/>
      <c r="M15" s="653"/>
      <c r="N15" s="653"/>
      <c r="O15" s="653"/>
      <c r="P15"/>
      <c r="Q15"/>
      <c r="R15"/>
      <c r="S15"/>
      <c r="T15"/>
      <c r="U15"/>
      <c r="V15"/>
      <c r="W15"/>
      <c r="X15"/>
      <c r="Y15"/>
      <c r="Z15"/>
      <c r="AA15"/>
      <c r="AC15" s="180" t="s">
        <v>410</v>
      </c>
      <c r="AD15" s="180" t="s">
        <v>411</v>
      </c>
    </row>
    <row r="16" spans="2:66" ht="18" customHeight="1" thickTop="1" thickBot="1" x14ac:dyDescent="0.3">
      <c r="B16" s="101"/>
      <c r="C16" s="650" t="s">
        <v>305</v>
      </c>
      <c r="D16" s="651"/>
      <c r="E16" s="651"/>
      <c r="F16" s="651"/>
      <c r="G16" s="651"/>
      <c r="H16" s="651"/>
      <c r="I16" s="652"/>
      <c r="J16" s="647" cm="1">
        <f t="array" ref="J16">angleConvert2Decimal(M16)</f>
        <v>0.9</v>
      </c>
      <c r="K16" s="648"/>
      <c r="L16" s="649"/>
      <c r="M16" s="644" t="s">
        <v>179</v>
      </c>
      <c r="N16" s="645"/>
      <c r="O16" s="646"/>
      <c r="P16" s="380" t="str" cm="1">
        <f t="array" ref="P16">angleDecimal2Txt(J16)</f>
        <v>+00°54.00 (+00.9000) [+00°54'00.00]</v>
      </c>
      <c r="Q16" s="381"/>
      <c r="R16" s="381"/>
      <c r="S16" s="381"/>
      <c r="T16" s="381"/>
      <c r="U16" s="381"/>
      <c r="V16" s="381"/>
      <c r="W16" s="381"/>
      <c r="X16" s="382"/>
      <c r="Y16" s="101"/>
    </row>
    <row r="17" spans="2:34" ht="18" customHeight="1" thickTop="1" thickBot="1" x14ac:dyDescent="0.3">
      <c r="C17" s="404" t="s">
        <v>304</v>
      </c>
      <c r="D17" s="404"/>
      <c r="E17" s="404"/>
      <c r="F17" s="404"/>
      <c r="G17" s="404"/>
      <c r="H17" s="404"/>
      <c r="I17" s="404"/>
      <c r="J17" s="405" cm="1">
        <f t="array" ref="J17">angleConvert2Decimal(M17)</f>
        <v>33.4</v>
      </c>
      <c r="K17" s="406"/>
      <c r="L17" s="407"/>
      <c r="M17" s="500" t="s">
        <v>511</v>
      </c>
      <c r="N17" s="501"/>
      <c r="O17" s="502"/>
      <c r="P17" s="379" t="str" cm="1">
        <f t="array" ref="P17">angleDecimal2Txt(J17)</f>
        <v>+33°24.00 (+33.3999) [+33°24'00.00]</v>
      </c>
      <c r="Q17" s="379"/>
      <c r="R17" s="379"/>
      <c r="S17" s="379"/>
      <c r="T17" s="379"/>
      <c r="U17" s="379"/>
      <c r="V17" s="379"/>
      <c r="W17" s="379"/>
      <c r="X17" s="379"/>
      <c r="Y17" s="101"/>
    </row>
    <row r="18" spans="2:34" ht="18" customHeight="1" thickTop="1" thickBot="1" x14ac:dyDescent="0.3">
      <c r="C18" s="404" t="s">
        <v>314</v>
      </c>
      <c r="D18" s="404"/>
      <c r="E18" s="404"/>
      <c r="F18" s="404"/>
      <c r="G18" s="404"/>
      <c r="H18" s="404"/>
      <c r="I18" s="404"/>
      <c r="J18" s="405" cm="1">
        <f t="array" ref="J18">angleConvert2Decimal(M18)</f>
        <v>16.25</v>
      </c>
      <c r="K18" s="406"/>
      <c r="L18" s="407"/>
      <c r="M18" s="500">
        <f>(J17-J16)/2</f>
        <v>16.25</v>
      </c>
      <c r="N18" s="501"/>
      <c r="O18" s="502"/>
      <c r="P18" s="379" t="str" cm="1">
        <f t="array" ref="P18">angleDecimal2Txt(J18)</f>
        <v>+16°15.00 (+16.2500) [+16°15'00.00]</v>
      </c>
      <c r="Q18" s="379"/>
      <c r="R18" s="379"/>
      <c r="S18" s="379"/>
      <c r="T18" s="379"/>
      <c r="U18" s="379"/>
      <c r="V18" s="379"/>
      <c r="W18" s="379"/>
      <c r="X18" s="379"/>
      <c r="Y18" s="101"/>
    </row>
    <row r="19" spans="2:34" ht="18" customHeight="1" thickTop="1" thickBot="1" x14ac:dyDescent="0.3">
      <c r="C19" s="388" t="s">
        <v>22</v>
      </c>
      <c r="D19" s="388"/>
      <c r="E19" s="388"/>
      <c r="F19" s="388"/>
      <c r="G19" s="388"/>
      <c r="H19" s="388"/>
      <c r="I19" s="388"/>
      <c r="J19" s="493">
        <f>M19</f>
        <v>2</v>
      </c>
      <c r="K19" s="494"/>
      <c r="L19" s="495"/>
      <c r="M19" s="514">
        <v>2</v>
      </c>
      <c r="N19" s="514"/>
      <c r="O19" s="514"/>
      <c r="P19" s="101"/>
      <c r="Q19" s="101"/>
      <c r="R19" s="101"/>
      <c r="S19" s="101"/>
      <c r="T19" s="101"/>
      <c r="U19" s="101"/>
      <c r="V19" s="101"/>
      <c r="W19" s="101"/>
      <c r="X19" s="101"/>
      <c r="Y19" s="101"/>
    </row>
    <row r="20" spans="2:34" ht="18" customHeight="1" thickTop="1" thickBot="1" x14ac:dyDescent="0.3">
      <c r="B20" s="101"/>
      <c r="C20" s="362" t="s">
        <v>23</v>
      </c>
      <c r="D20" s="363"/>
      <c r="E20" s="363"/>
      <c r="F20" s="363"/>
      <c r="G20" s="363"/>
      <c r="H20" s="363"/>
      <c r="I20" s="364"/>
      <c r="J20" s="454" cm="1">
        <f t="array" ref="J20">angleConvert2Decimal(M20)</f>
        <v>0</v>
      </c>
      <c r="K20" s="455"/>
      <c r="L20" s="455"/>
      <c r="M20" s="513" t="s">
        <v>553</v>
      </c>
      <c r="N20" s="514"/>
      <c r="O20" s="514"/>
      <c r="P20" s="379" t="str" cm="1">
        <f t="array" ref="P20">angleDecimal2Txt(J20)</f>
        <v>+00°00.00 (+00.0000) [+00°00'00.00]</v>
      </c>
      <c r="Q20" s="379"/>
      <c r="R20" s="379"/>
      <c r="S20" s="379"/>
      <c r="T20" s="379"/>
      <c r="U20" s="379"/>
      <c r="V20" s="379"/>
      <c r="W20" s="379"/>
      <c r="X20" s="379"/>
      <c r="Y20" s="101"/>
    </row>
    <row r="21" spans="2:34" ht="18" customHeight="1" thickTop="1" thickBot="1" x14ac:dyDescent="0.3">
      <c r="C21" s="372" t="s">
        <v>33</v>
      </c>
      <c r="D21" s="372"/>
      <c r="E21" s="372"/>
      <c r="F21" s="372"/>
      <c r="G21" s="372"/>
      <c r="H21" s="372"/>
      <c r="I21" s="372"/>
      <c r="J21" s="454" cm="1">
        <f t="array" ref="J21">IF(J15=AC15,J18,angleConvert2Decimal(M21))</f>
        <v>54.835000000000001</v>
      </c>
      <c r="K21" s="455"/>
      <c r="L21" s="455"/>
      <c r="M21" s="513" t="s">
        <v>552</v>
      </c>
      <c r="N21" s="514"/>
      <c r="O21" s="514"/>
      <c r="P21" s="379" t="str" cm="1">
        <f t="array" ref="P21">angleDecimal2Txt(J21)</f>
        <v>+54°50.10 (+54.8350) [+54°50'06.00]</v>
      </c>
      <c r="Q21" s="379"/>
      <c r="R21" s="379"/>
      <c r="S21" s="379"/>
      <c r="T21" s="379"/>
      <c r="U21" s="379"/>
      <c r="V21" s="379"/>
      <c r="W21" s="379"/>
      <c r="X21" s="379"/>
      <c r="Y21" s="101"/>
    </row>
    <row r="22" spans="2:34" ht="18" customHeight="1" thickTop="1" x14ac:dyDescent="0.25">
      <c r="C22" s="365" t="s">
        <v>38</v>
      </c>
      <c r="D22" s="365"/>
      <c r="E22" s="365"/>
      <c r="F22" s="365"/>
      <c r="G22" s="365"/>
      <c r="H22" s="365"/>
      <c r="I22" s="365"/>
      <c r="J22" s="366" t="str">
        <f>M22</f>
        <v>Soleil</v>
      </c>
      <c r="K22" s="367"/>
      <c r="L22" s="368"/>
      <c r="M22" s="462" t="s">
        <v>39</v>
      </c>
      <c r="N22" s="463"/>
      <c r="O22" s="464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AG22" s="118"/>
      <c r="AH22" s="118"/>
    </row>
    <row r="23" spans="2:34" ht="18" customHeight="1" x14ac:dyDescent="0.25">
      <c r="C23" s="365" t="s">
        <v>128</v>
      </c>
      <c r="D23" s="365"/>
      <c r="E23" s="365"/>
      <c r="F23" s="365"/>
      <c r="G23" s="365"/>
      <c r="H23" s="365"/>
      <c r="I23" s="365"/>
      <c r="J23" s="399" t="str">
        <f>M23</f>
        <v>BordInf</v>
      </c>
      <c r="K23" s="399"/>
      <c r="L23" s="399"/>
      <c r="M23" s="509" t="s">
        <v>129</v>
      </c>
      <c r="N23" s="509"/>
      <c r="O23" s="50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</row>
    <row r="24" spans="2:34" ht="17.25" customHeight="1" x14ac:dyDescent="0.25">
      <c r="C24" s="373" t="s">
        <v>389</v>
      </c>
      <c r="D24" s="374"/>
      <c r="E24" s="137"/>
      <c r="F24" s="137"/>
      <c r="G24" s="137"/>
      <c r="H24" s="137"/>
      <c r="I24" s="138"/>
      <c r="J24" s="474" cm="1">
        <f t="array" ref="J24">angleConvert2Decimal(M24)</f>
        <v>0</v>
      </c>
      <c r="K24" s="475"/>
      <c r="L24" s="476"/>
      <c r="M24" s="483" t="str">
        <f>P26</f>
        <v>0.173'</v>
      </c>
      <c r="N24" s="484"/>
      <c r="O24" s="484"/>
      <c r="P24" s="489" t="s">
        <v>175</v>
      </c>
      <c r="Q24" s="489"/>
      <c r="R24" s="489"/>
      <c r="S24" s="101"/>
      <c r="T24" s="101"/>
      <c r="U24" s="101"/>
      <c r="V24" s="101"/>
      <c r="W24" s="101"/>
      <c r="X24" s="101"/>
      <c r="Y24" s="101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</row>
    <row r="25" spans="2:34" ht="17.25" customHeight="1" thickBot="1" x14ac:dyDescent="0.3">
      <c r="C25" s="139"/>
      <c r="D25" s="456" t="s">
        <v>390</v>
      </c>
      <c r="E25" s="456"/>
      <c r="F25" s="456"/>
      <c r="G25" s="456"/>
      <c r="H25" s="456"/>
      <c r="I25" s="457"/>
      <c r="J25" s="477"/>
      <c r="K25" s="478"/>
      <c r="L25" s="479"/>
      <c r="M25" s="485"/>
      <c r="N25" s="486"/>
      <c r="O25" s="486"/>
      <c r="P25" s="489"/>
      <c r="Q25" s="489"/>
      <c r="R25" s="489"/>
      <c r="S25" s="101"/>
      <c r="T25" s="101"/>
      <c r="U25" s="101"/>
      <c r="V25" s="101"/>
      <c r="W25" s="101"/>
      <c r="X25" s="101"/>
      <c r="Y25" s="101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</row>
    <row r="26" spans="2:34" ht="17.25" customHeight="1" thickTop="1" thickBot="1" x14ac:dyDescent="0.3">
      <c r="C26" s="139"/>
      <c r="D26" s="456"/>
      <c r="E26" s="456"/>
      <c r="F26" s="456"/>
      <c r="G26" s="456"/>
      <c r="H26" s="456"/>
      <c r="I26" s="457"/>
      <c r="J26" s="477"/>
      <c r="K26" s="478"/>
      <c r="L26" s="479"/>
      <c r="M26" s="485"/>
      <c r="N26" s="486"/>
      <c r="O26" s="486"/>
      <c r="P26" s="518" t="str">
        <f>HLOOKUP(M22,AD23:AF25,2,FALSE)</f>
        <v>0.173'</v>
      </c>
      <c r="Q26" s="518"/>
      <c r="R26" s="518"/>
      <c r="S26" s="516" t="str" cm="1">
        <f t="array" ref="S26">angleDecimal2Txt(angleConvert2Decimal(P26))</f>
        <v>+00°00.00 (+00.0000) [+00°00'00.00]</v>
      </c>
      <c r="T26" s="516"/>
      <c r="U26" s="516"/>
      <c r="V26" s="516"/>
      <c r="W26" s="516"/>
      <c r="X26" s="517"/>
      <c r="Y26" s="101"/>
    </row>
    <row r="27" spans="2:34" ht="17.25" customHeight="1" thickTop="1" thickBot="1" x14ac:dyDescent="0.3">
      <c r="C27" s="140"/>
      <c r="D27" s="458"/>
      <c r="E27" s="458"/>
      <c r="F27" s="458"/>
      <c r="G27" s="458"/>
      <c r="H27" s="458"/>
      <c r="I27" s="459"/>
      <c r="J27" s="480"/>
      <c r="K27" s="481"/>
      <c r="L27" s="482"/>
      <c r="M27" s="487"/>
      <c r="N27" s="488"/>
      <c r="O27" s="488"/>
      <c r="P27" s="512" t="str" cm="1">
        <f t="array" ref="P27">angleDecimal2Txt(J24)</f>
        <v>+00°00.00 (+00.0000) [+00°00'00.00]</v>
      </c>
      <c r="Q27" s="512"/>
      <c r="R27" s="512"/>
      <c r="S27" s="379"/>
      <c r="T27" s="379"/>
      <c r="U27" s="379"/>
      <c r="V27" s="379"/>
      <c r="W27" s="379"/>
      <c r="X27" s="379"/>
      <c r="Y27" s="101"/>
      <c r="AC27" s="181" t="s">
        <v>176</v>
      </c>
      <c r="AD27" s="182" t="s">
        <v>129</v>
      </c>
      <c r="AE27" s="182" t="s">
        <v>434</v>
      </c>
      <c r="AF27" s="182" t="s">
        <v>130</v>
      </c>
    </row>
    <row r="28" spans="2:34" ht="17.25" customHeight="1" thickTop="1" x14ac:dyDescent="0.25">
      <c r="C28" s="466" t="s">
        <v>180</v>
      </c>
      <c r="D28" s="467"/>
      <c r="E28" s="467"/>
      <c r="F28" s="467"/>
      <c r="G28" s="467"/>
      <c r="H28" s="467"/>
      <c r="I28" s="468"/>
      <c r="J28" s="474" cm="1">
        <f t="array" ref="J28">angleConvert2Decimal(M28)</f>
        <v>0.53333333333333333</v>
      </c>
      <c r="K28" s="475"/>
      <c r="L28" s="476"/>
      <c r="M28" s="483" t="str">
        <f>P30</f>
        <v>32'</v>
      </c>
      <c r="N28" s="484"/>
      <c r="O28" s="484"/>
      <c r="P28" s="489" t="s">
        <v>175</v>
      </c>
      <c r="Q28" s="489"/>
      <c r="R28" s="489"/>
      <c r="S28" s="101"/>
      <c r="T28" s="101"/>
      <c r="U28" s="101"/>
      <c r="V28" s="101"/>
      <c r="W28" s="101"/>
      <c r="X28" s="101"/>
      <c r="Y28" s="101"/>
      <c r="AC28" s="181" t="s">
        <v>435</v>
      </c>
      <c r="AD28" s="184">
        <v>0.5</v>
      </c>
      <c r="AE28" s="184">
        <v>-0.5</v>
      </c>
      <c r="AF28" s="184">
        <v>0</v>
      </c>
    </row>
    <row r="29" spans="2:34" ht="17.25" customHeight="1" thickBot="1" x14ac:dyDescent="0.3">
      <c r="C29" s="469"/>
      <c r="D29" s="375"/>
      <c r="E29" s="375"/>
      <c r="F29" s="375"/>
      <c r="G29" s="375"/>
      <c r="H29" s="375"/>
      <c r="I29" s="470"/>
      <c r="J29" s="477"/>
      <c r="K29" s="478"/>
      <c r="L29" s="479"/>
      <c r="M29" s="485"/>
      <c r="N29" s="486"/>
      <c r="O29" s="486"/>
      <c r="P29" s="489"/>
      <c r="Q29" s="489"/>
      <c r="R29" s="489"/>
      <c r="S29" s="101"/>
      <c r="T29" s="101"/>
      <c r="U29" s="101"/>
      <c r="V29" s="101"/>
      <c r="W29" s="101"/>
      <c r="X29" s="101"/>
      <c r="Y29" s="101"/>
    </row>
    <row r="30" spans="2:34" ht="17.25" customHeight="1" thickTop="1" thickBot="1" x14ac:dyDescent="0.3">
      <c r="C30" s="469"/>
      <c r="D30" s="375"/>
      <c r="E30" s="375"/>
      <c r="F30" s="375"/>
      <c r="G30" s="375"/>
      <c r="H30" s="375"/>
      <c r="I30" s="470"/>
      <c r="J30" s="477"/>
      <c r="K30" s="478"/>
      <c r="L30" s="479"/>
      <c r="M30" s="485"/>
      <c r="N30" s="486"/>
      <c r="O30" s="486"/>
      <c r="P30" s="518" t="str">
        <f>HLOOKUP(M22,AD23:AF25,3,FALSE)</f>
        <v>32'</v>
      </c>
      <c r="Q30" s="518"/>
      <c r="R30" s="518"/>
      <c r="S30" s="516" t="str" cm="1">
        <f t="array" ref="S30">angleDecimal2Txt(angleConvert2Decimal(P30))</f>
        <v>+00°32.00 (+00.5333) [+00°32'00.00]</v>
      </c>
      <c r="T30" s="516"/>
      <c r="U30" s="516"/>
      <c r="V30" s="516"/>
      <c r="W30" s="516"/>
      <c r="X30" s="517"/>
      <c r="Y30" s="101"/>
    </row>
    <row r="31" spans="2:34" ht="17.25" customHeight="1" thickTop="1" thickBot="1" x14ac:dyDescent="0.3">
      <c r="C31" s="471"/>
      <c r="D31" s="472"/>
      <c r="E31" s="472"/>
      <c r="F31" s="472"/>
      <c r="G31" s="472"/>
      <c r="H31" s="472"/>
      <c r="I31" s="473"/>
      <c r="J31" s="480"/>
      <c r="K31" s="481"/>
      <c r="L31" s="482"/>
      <c r="M31" s="487"/>
      <c r="N31" s="488"/>
      <c r="O31" s="488"/>
      <c r="P31" s="512" t="str" cm="1">
        <f t="array" ref="P31">angleDecimal2Txt(J28)</f>
        <v>+00°32.00 (+00.5333) [+00°32'00.00]</v>
      </c>
      <c r="Q31" s="512"/>
      <c r="R31" s="512"/>
      <c r="S31" s="379"/>
      <c r="T31" s="379"/>
      <c r="U31" s="379"/>
      <c r="V31" s="379"/>
      <c r="W31" s="379"/>
      <c r="X31" s="379"/>
      <c r="Y31" s="101"/>
    </row>
    <row r="32" spans="2:34" ht="17.25" customHeight="1" thickTop="1" thickBot="1" x14ac:dyDescent="0.3"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</row>
    <row r="33" spans="1:66" ht="17.25" customHeight="1" thickBot="1" x14ac:dyDescent="0.3">
      <c r="B33" s="135" t="s">
        <v>468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</row>
    <row r="34" spans="1:66" ht="17.25" customHeight="1" x14ac:dyDescent="0.25">
      <c r="C34" s="101"/>
      <c r="D34" s="101"/>
      <c r="E34" s="522" t="s">
        <v>8</v>
      </c>
      <c r="F34" s="522"/>
      <c r="G34" s="522"/>
      <c r="H34" s="522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22"/>
      <c r="F35" s="522"/>
      <c r="G35" s="522"/>
      <c r="H35" s="522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369" t="s">
        <v>42</v>
      </c>
      <c r="B36" s="370"/>
      <c r="C36" s="371"/>
      <c r="D36" s="101"/>
      <c r="E36" s="101"/>
      <c r="F36" s="390">
        <f>AD37</f>
        <v>46.1</v>
      </c>
      <c r="G36" s="510"/>
      <c r="H36" s="510"/>
      <c r="I36" s="357" t="s">
        <v>4</v>
      </c>
      <c r="J36" s="515" t="s">
        <v>546</v>
      </c>
      <c r="K36" s="357"/>
      <c r="L36" s="357"/>
      <c r="M36" s="357"/>
      <c r="N36" s="357"/>
      <c r="O36" s="386" t="str" cm="1">
        <f t="array" ref="O36">angleDecimal2Txt(F36)</f>
        <v>+46°06.00 (+46.1000) [+46°06'00.00]</v>
      </c>
      <c r="P36" s="386"/>
      <c r="Q36" s="386"/>
      <c r="R36" s="386"/>
      <c r="S36" s="386"/>
      <c r="T36" s="386"/>
      <c r="U36" s="386"/>
      <c r="V36" s="386"/>
      <c r="W36" s="386"/>
      <c r="X36" s="386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10"/>
      <c r="G37" s="510"/>
      <c r="H37" s="510"/>
      <c r="I37" s="357"/>
      <c r="J37" s="357"/>
      <c r="K37" s="357"/>
      <c r="L37" s="357"/>
      <c r="M37" s="357"/>
      <c r="N37" s="357"/>
      <c r="O37" s="386"/>
      <c r="P37" s="386"/>
      <c r="Q37" s="386"/>
      <c r="R37" s="386"/>
      <c r="S37" s="386"/>
      <c r="T37" s="386"/>
      <c r="U37" s="386"/>
      <c r="V37" s="386"/>
      <c r="W37" s="386"/>
      <c r="X37" s="386"/>
      <c r="Y37" s="101"/>
      <c r="Z37" s="101"/>
      <c r="AC37" s="6" t="s">
        <v>413</v>
      </c>
      <c r="AD37" s="6" cm="1">
        <f t="array" ref="AD37">angleConvert2Decimal(J36)*AD36</f>
        <v>46.1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11" t="s">
        <v>9</v>
      </c>
      <c r="F39" s="511"/>
      <c r="G39" s="511"/>
      <c r="H39" s="51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11"/>
      <c r="F40" s="511"/>
      <c r="G40" s="511"/>
      <c r="H40" s="51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390">
        <f>AD42</f>
        <v>-7.083333333333333</v>
      </c>
      <c r="G41" s="510"/>
      <c r="H41" s="510"/>
      <c r="I41" s="357" t="s">
        <v>7</v>
      </c>
      <c r="J41" s="515" t="s">
        <v>547</v>
      </c>
      <c r="K41" s="357"/>
      <c r="L41" s="357"/>
      <c r="M41" s="357"/>
      <c r="N41" s="357"/>
      <c r="O41" s="386" t="str" cm="1">
        <f t="array" ref="O41">angleDecimal2Txt(F41)</f>
        <v>-07°05.00 (-07.0833) [-07°05'00.00]</v>
      </c>
      <c r="P41" s="386"/>
      <c r="Q41" s="386"/>
      <c r="R41" s="386"/>
      <c r="S41" s="386"/>
      <c r="T41" s="386"/>
      <c r="U41" s="386"/>
      <c r="V41" s="386"/>
      <c r="W41" s="386"/>
      <c r="X41" s="386"/>
      <c r="Y41" s="101"/>
      <c r="Z41" s="101"/>
      <c r="AC41" s="6" t="s">
        <v>414</v>
      </c>
      <c r="AD41" s="6">
        <f>VLOOKUP(I41,B38:C39,2)</f>
        <v>-1</v>
      </c>
    </row>
    <row r="42" spans="1:66" ht="17.25" customHeight="1" thickTop="1" thickBot="1" x14ac:dyDescent="0.3">
      <c r="C42" s="101"/>
      <c r="D42" s="101"/>
      <c r="E42" s="101"/>
      <c r="F42" s="510"/>
      <c r="G42" s="510"/>
      <c r="H42" s="510"/>
      <c r="I42" s="357"/>
      <c r="J42" s="357"/>
      <c r="K42" s="357"/>
      <c r="L42" s="357"/>
      <c r="M42" s="357"/>
      <c r="N42" s="357"/>
      <c r="O42" s="386"/>
      <c r="P42" s="386"/>
      <c r="Q42" s="386"/>
      <c r="R42" s="386"/>
      <c r="S42" s="386"/>
      <c r="T42" s="386"/>
      <c r="U42" s="386"/>
      <c r="V42" s="386"/>
      <c r="W42" s="386"/>
      <c r="X42" s="386"/>
      <c r="Y42" s="101"/>
      <c r="Z42" s="101"/>
      <c r="AC42" s="6" t="s">
        <v>415</v>
      </c>
      <c r="AD42" s="6" cm="1">
        <f t="array" ref="AD42">angleConvert2Decimal(J41)*AD41</f>
        <v>-7.083333333333333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465">
        <f>IF(G46=AD46,F50,F58)</f>
        <v>23.140532407407406</v>
      </c>
      <c r="G45" s="465"/>
      <c r="H45" s="465"/>
      <c r="I45" s="136"/>
      <c r="J45" s="136"/>
      <c r="K45" s="136" t="str" cm="1">
        <f t="array" ref="K45">angleDecimal2Txt(F45)</f>
        <v>+23°08.43 (+23.1405) [+23°08'25.91]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375" t="s">
        <v>44</v>
      </c>
      <c r="D46" s="375"/>
      <c r="E46" s="375"/>
      <c r="F46" s="375"/>
      <c r="G46" s="637" t="s">
        <v>11</v>
      </c>
      <c r="H46" s="637"/>
      <c r="I46" s="637"/>
      <c r="AB46" s="177"/>
      <c r="AC46" s="353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353"/>
      <c r="AD47" s="180" t="s">
        <v>17</v>
      </c>
      <c r="AF47" s="118"/>
      <c r="AG47" s="118"/>
    </row>
    <row r="48" spans="1:66" ht="17.25" customHeight="1" x14ac:dyDescent="0.25">
      <c r="F48" s="360" t="s">
        <v>10</v>
      </c>
      <c r="G48" s="360"/>
      <c r="H48" s="360"/>
      <c r="I48" s="360" t="s">
        <v>13</v>
      </c>
      <c r="J48" s="360"/>
      <c r="K48" s="360"/>
      <c r="L48" s="360"/>
      <c r="M48" s="361" t="s">
        <v>14</v>
      </c>
      <c r="N48" s="361"/>
      <c r="O48" s="361"/>
      <c r="P48" s="524" t="s">
        <v>18</v>
      </c>
      <c r="Q48" s="524"/>
      <c r="R48" s="524"/>
      <c r="S48" s="524"/>
      <c r="T48" s="524"/>
      <c r="U48" s="101"/>
      <c r="AD48" s="185" t="s">
        <v>146</v>
      </c>
      <c r="AE48" s="6" t="s">
        <v>426</v>
      </c>
    </row>
    <row r="49" spans="1:35" ht="17.25" customHeight="1" thickBot="1" x14ac:dyDescent="0.3">
      <c r="F49" s="360"/>
      <c r="G49" s="360"/>
      <c r="H49" s="360"/>
      <c r="I49" s="360"/>
      <c r="J49" s="360"/>
      <c r="K49" s="360"/>
      <c r="L49" s="360"/>
      <c r="M49" s="361"/>
      <c r="N49" s="361"/>
      <c r="O49" s="361"/>
      <c r="P49" s="524"/>
      <c r="Q49" s="524"/>
      <c r="R49" s="524"/>
      <c r="S49" s="524"/>
      <c r="T49" s="524"/>
      <c r="U49" s="101"/>
      <c r="AC49" s="6" t="s">
        <v>416</v>
      </c>
      <c r="AD49" s="6">
        <f>VLOOKUP(P50,$A$38:$C$39,3)</f>
        <v>1</v>
      </c>
      <c r="AE49" s="6" cm="1">
        <f t="array" ref="AE49">AD49*angleConvert2Decimal(Q50)</f>
        <v>23.141666666666666</v>
      </c>
    </row>
    <row r="50" spans="1:35" ht="17.25" customHeight="1" thickTop="1" thickBot="1" x14ac:dyDescent="0.3">
      <c r="E50" s="118"/>
      <c r="F50" s="389">
        <f>IF(G46=AD47,"---",AD54)</f>
        <v>23.140532407407406</v>
      </c>
      <c r="G50" s="389"/>
      <c r="H50" s="389"/>
      <c r="I50" s="356">
        <f>E11</f>
        <v>10.340277777777779</v>
      </c>
      <c r="J50" s="356"/>
      <c r="K50" s="356"/>
      <c r="L50" s="356"/>
      <c r="M50" s="358">
        <v>10</v>
      </c>
      <c r="N50" s="356"/>
      <c r="O50" s="356"/>
      <c r="P50" s="356" t="s">
        <v>4</v>
      </c>
      <c r="Q50" s="519" t="s">
        <v>548</v>
      </c>
      <c r="R50" s="525"/>
      <c r="S50" s="525"/>
      <c r="T50" s="525"/>
      <c r="U50" s="386" t="str" cm="1">
        <f t="array" ref="U50">angleDecimal2Txt(AE49)</f>
        <v>+23°08.50 (+23.1416) [+23°08'30.00]</v>
      </c>
      <c r="V50" s="387"/>
      <c r="W50" s="387"/>
      <c r="X50" s="387"/>
      <c r="Y50" s="387"/>
      <c r="AC50" s="6" t="s">
        <v>417</v>
      </c>
      <c r="AD50" s="6">
        <f>VLOOKUP(P52,$A$38:$C$39,3)</f>
        <v>1</v>
      </c>
      <c r="AE50" s="6" cm="1">
        <f t="array" ref="AE50">AD50*angleConvert2Decimal(Q52)</f>
        <v>23.138333333333332</v>
      </c>
    </row>
    <row r="51" spans="1:35" ht="17.25" customHeight="1" thickTop="1" thickBot="1" x14ac:dyDescent="0.3">
      <c r="F51" s="390"/>
      <c r="G51" s="390"/>
      <c r="H51" s="390"/>
      <c r="I51" s="357"/>
      <c r="J51" s="357"/>
      <c r="K51" s="357"/>
      <c r="L51" s="357"/>
      <c r="M51" s="359"/>
      <c r="N51" s="357"/>
      <c r="O51" s="357"/>
      <c r="P51" s="357"/>
      <c r="Q51" s="526"/>
      <c r="R51" s="526"/>
      <c r="S51" s="526"/>
      <c r="T51" s="526"/>
      <c r="U51" s="387"/>
      <c r="V51" s="387"/>
      <c r="W51" s="387"/>
      <c r="X51" s="387"/>
      <c r="Y51" s="387"/>
      <c r="AC51" s="6" t="s">
        <v>47</v>
      </c>
      <c r="AD51" s="8">
        <f>AE50-AE49</f>
        <v>-3.3333333333338544E-3</v>
      </c>
    </row>
    <row r="52" spans="1:35" ht="17.25" customHeight="1" thickTop="1" thickBot="1" x14ac:dyDescent="0.3">
      <c r="F52" s="390"/>
      <c r="G52" s="390"/>
      <c r="H52" s="390"/>
      <c r="I52" s="357"/>
      <c r="J52" s="357"/>
      <c r="K52" s="357"/>
      <c r="L52" s="357"/>
      <c r="M52" s="359">
        <v>11</v>
      </c>
      <c r="N52" s="357"/>
      <c r="O52" s="357"/>
      <c r="P52" s="357" t="s">
        <v>4</v>
      </c>
      <c r="Q52" s="527" t="s">
        <v>549</v>
      </c>
      <c r="R52" s="526"/>
      <c r="S52" s="526"/>
      <c r="T52" s="526"/>
      <c r="U52" s="386" t="str" cm="1">
        <f t="array" ref="U52">angleDecimal2Txt((AE50))</f>
        <v>+23°08.30 (+23.1383) [+23°08'18.00]</v>
      </c>
      <c r="V52" s="387"/>
      <c r="W52" s="387"/>
      <c r="X52" s="387"/>
      <c r="Y52" s="387"/>
      <c r="AC52" s="6" t="s">
        <v>419</v>
      </c>
      <c r="AD52" s="8">
        <f>M52-M50</f>
        <v>1</v>
      </c>
      <c r="AE52" s="118"/>
      <c r="AF52" s="118"/>
      <c r="AG52" s="118"/>
      <c r="AH52" s="118"/>
    </row>
    <row r="53" spans="1:35" ht="17.25" customHeight="1" thickTop="1" thickBot="1" x14ac:dyDescent="0.3">
      <c r="F53" s="390"/>
      <c r="G53" s="390"/>
      <c r="H53" s="390"/>
      <c r="I53" s="357"/>
      <c r="J53" s="357"/>
      <c r="K53" s="357"/>
      <c r="L53" s="357"/>
      <c r="M53" s="359"/>
      <c r="N53" s="357"/>
      <c r="O53" s="357"/>
      <c r="P53" s="357"/>
      <c r="Q53" s="526"/>
      <c r="R53" s="526"/>
      <c r="S53" s="526"/>
      <c r="T53" s="526"/>
      <c r="U53" s="387"/>
      <c r="V53" s="387"/>
      <c r="W53" s="387"/>
      <c r="X53" s="387"/>
      <c r="Y53" s="387"/>
      <c r="AC53" s="6" t="s">
        <v>48</v>
      </c>
      <c r="AD53" s="8">
        <f>I50-M50</f>
        <v>0.34027777777777857</v>
      </c>
      <c r="AI53" s="42"/>
    </row>
    <row r="54" spans="1:35" ht="17.25" customHeight="1" thickTop="1" thickBot="1" x14ac:dyDescent="0.3">
      <c r="F54" s="379" t="str" cm="1">
        <f t="array" ref="F54">angleDecimal2Txt(F50)</f>
        <v>+23°08.43 (+23.1405) [+23°08'25.91]</v>
      </c>
      <c r="G54" s="379"/>
      <c r="H54" s="379"/>
      <c r="I54" s="379"/>
      <c r="J54" s="379"/>
      <c r="K54" s="379"/>
      <c r="AA54" s="101"/>
      <c r="AC54" s="6" t="s">
        <v>46</v>
      </c>
      <c r="AD54" s="6">
        <f>AE49+(AD51/AD52)*AD53</f>
        <v>23.140532407407406</v>
      </c>
    </row>
    <row r="55" spans="1:35" ht="17.25" customHeight="1" thickTop="1" x14ac:dyDescent="0.25">
      <c r="C55" s="144" t="s">
        <v>17</v>
      </c>
      <c r="D55" s="144"/>
      <c r="E55" s="145"/>
      <c r="F55" s="145"/>
      <c r="G55" s="101"/>
      <c r="H55" s="101"/>
      <c r="I55" s="101"/>
      <c r="AA55" s="101"/>
    </row>
    <row r="56" spans="1:35" ht="17.25" customHeight="1" x14ac:dyDescent="0.25">
      <c r="C56" s="101"/>
      <c r="D56" s="101"/>
      <c r="E56" s="101"/>
      <c r="F56" s="360" t="s">
        <v>10</v>
      </c>
      <c r="G56" s="360"/>
      <c r="H56" s="360"/>
      <c r="I56" s="360" t="s">
        <v>13</v>
      </c>
      <c r="J56" s="360"/>
      <c r="K56" s="360"/>
      <c r="L56" s="360"/>
      <c r="M56" s="361" t="s">
        <v>14</v>
      </c>
      <c r="N56" s="361"/>
      <c r="O56" s="361"/>
      <c r="P56" s="524" t="s">
        <v>19</v>
      </c>
      <c r="Q56" s="524"/>
      <c r="R56" s="524"/>
      <c r="S56" s="524"/>
      <c r="T56" s="524"/>
      <c r="U56" s="524" t="s">
        <v>310</v>
      </c>
      <c r="V56" s="524"/>
      <c r="W56" s="524"/>
      <c r="X56" s="524"/>
      <c r="Y56" s="524"/>
      <c r="AA56" s="101"/>
      <c r="AC56" s="6" t="s">
        <v>421</v>
      </c>
      <c r="AD56" s="6">
        <f>VLOOKUP(P58,$A$38:$C$39,3)</f>
        <v>-1</v>
      </c>
    </row>
    <row r="57" spans="1:35" ht="17.25" customHeight="1" x14ac:dyDescent="0.25">
      <c r="F57" s="360"/>
      <c r="G57" s="360"/>
      <c r="H57" s="360"/>
      <c r="I57" s="360"/>
      <c r="J57" s="360"/>
      <c r="K57" s="360"/>
      <c r="L57" s="360"/>
      <c r="M57" s="361"/>
      <c r="N57" s="361"/>
      <c r="O57" s="361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101"/>
      <c r="AA57" s="101"/>
      <c r="AC57" s="6" t="s">
        <v>422</v>
      </c>
      <c r="AD57" s="6" cm="1">
        <f t="array" ref="AD57">angleConvert2Decimal(Q58)*AD56</f>
        <v>-12.24</v>
      </c>
    </row>
    <row r="58" spans="1:35" ht="17.25" customHeight="1" x14ac:dyDescent="0.25">
      <c r="E58" s="118"/>
      <c r="F58" s="389" t="str">
        <f>IF(G46=AD47,AD60,"---")</f>
        <v>---</v>
      </c>
      <c r="G58" s="389"/>
      <c r="H58" s="389"/>
      <c r="I58" s="356">
        <f>E11</f>
        <v>10.340277777777779</v>
      </c>
      <c r="J58" s="356"/>
      <c r="K58" s="356"/>
      <c r="L58" s="356"/>
      <c r="M58" s="358">
        <v>0</v>
      </c>
      <c r="N58" s="356"/>
      <c r="O58" s="356"/>
      <c r="P58" s="356" t="s">
        <v>5</v>
      </c>
      <c r="Q58" s="528" t="s">
        <v>302</v>
      </c>
      <c r="R58" s="356"/>
      <c r="S58" s="356"/>
      <c r="T58" s="356"/>
      <c r="U58" s="356" t="s">
        <v>4</v>
      </c>
      <c r="V58" s="528" t="s">
        <v>248</v>
      </c>
      <c r="W58" s="356"/>
      <c r="X58" s="356"/>
      <c r="Y58" s="356"/>
      <c r="Z58" s="101"/>
      <c r="AC58" s="6" t="s">
        <v>423</v>
      </c>
      <c r="AD58" s="6">
        <f>VLOOKUP(U58,$A$38:$C$39,3)</f>
        <v>1</v>
      </c>
    </row>
    <row r="59" spans="1:35" ht="17.25" customHeight="1" collapsed="1" thickBot="1" x14ac:dyDescent="0.3">
      <c r="F59" s="390"/>
      <c r="G59" s="390"/>
      <c r="H59" s="390"/>
      <c r="I59" s="357"/>
      <c r="J59" s="357"/>
      <c r="K59" s="357"/>
      <c r="L59" s="357"/>
      <c r="M59" s="359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101"/>
      <c r="AC59" s="6" t="s">
        <v>424</v>
      </c>
      <c r="AD59" s="6" cm="1">
        <f t="array" ref="AD59">angleConvert2Decimal(V58)*AD58</f>
        <v>1.6E-2</v>
      </c>
    </row>
    <row r="60" spans="1:35" ht="17.25" customHeight="1" thickTop="1" thickBot="1" x14ac:dyDescent="0.3">
      <c r="F60" s="379" t="e" cm="1">
        <f t="array" ref="F60">angleDecimal2Txt(F58)</f>
        <v>#VALUE!</v>
      </c>
      <c r="G60" s="379"/>
      <c r="H60" s="379"/>
      <c r="I60" s="379"/>
      <c r="J60" s="379"/>
      <c r="K60" s="379"/>
      <c r="P60" s="379" t="str" cm="1">
        <f t="array" ref="P60">angleDecimal2Txt(AD57)</f>
        <v>-12°14.40 (-12.2400) [-12°14'24.00]</v>
      </c>
      <c r="Q60" s="379"/>
      <c r="R60" s="379"/>
      <c r="S60" s="379"/>
      <c r="T60" s="379"/>
      <c r="U60" s="379" t="str" cm="1">
        <f t="array" ref="U60">angleDecimal2Txt(AD59)</f>
        <v>+00°00.96 (+00.0160) [+00°00'57.60]</v>
      </c>
      <c r="V60" s="410"/>
      <c r="W60" s="410"/>
      <c r="X60" s="410"/>
      <c r="Y60" s="410"/>
      <c r="AC60" s="6" t="s">
        <v>425</v>
      </c>
      <c r="AD60" s="6">
        <f>AD57+AD59*(I58-M58)</f>
        <v>-12.074555555555555</v>
      </c>
    </row>
    <row r="61" spans="1:35" ht="17.25" customHeight="1" thickTop="1" x14ac:dyDescent="0.25">
      <c r="S61" s="101"/>
      <c r="T61" s="101"/>
      <c r="U61" s="101"/>
      <c r="V61" s="101"/>
      <c r="W61" s="101"/>
      <c r="X61" s="101"/>
    </row>
    <row r="62" spans="1:35" ht="17.25" customHeight="1" thickBot="1" x14ac:dyDescent="0.3">
      <c r="S62" s="101"/>
      <c r="T62" s="101"/>
      <c r="U62" s="101"/>
      <c r="V62" s="101"/>
      <c r="W62" s="101"/>
      <c r="X62" s="101"/>
    </row>
    <row r="63" spans="1:35" ht="17.25" customHeight="1" thickBot="1" x14ac:dyDescent="0.3">
      <c r="A63" s="143"/>
      <c r="B63" s="135" t="s">
        <v>313</v>
      </c>
      <c r="C63" s="136"/>
      <c r="D63" s="136"/>
      <c r="E63" s="136"/>
      <c r="F63" s="465">
        <f>IF(G64=AD64,F68,F76)</f>
        <v>334.16859953703704</v>
      </c>
      <c r="G63" s="465"/>
      <c r="H63" s="465"/>
      <c r="I63" s="136"/>
      <c r="J63" s="136"/>
      <c r="K63" s="136"/>
      <c r="L63" s="635">
        <f>F63-360</f>
        <v>-25.831400462962961</v>
      </c>
      <c r="M63" s="635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</row>
    <row r="64" spans="1:35" ht="17.25" customHeight="1" x14ac:dyDescent="0.25">
      <c r="B64" s="143"/>
      <c r="C64" s="375" t="s">
        <v>44</v>
      </c>
      <c r="D64" s="375"/>
      <c r="E64" s="375"/>
      <c r="F64" s="636"/>
      <c r="G64" s="430" t="s">
        <v>11</v>
      </c>
      <c r="H64" s="431"/>
      <c r="I64" s="432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353" t="s">
        <v>45</v>
      </c>
      <c r="AD64" s="180" t="s">
        <v>11</v>
      </c>
    </row>
    <row r="65" spans="3:31" ht="17.25" customHeight="1" x14ac:dyDescent="0.25">
      <c r="C65" s="144" t="s">
        <v>11</v>
      </c>
      <c r="D65" s="144"/>
      <c r="E65" s="145"/>
      <c r="F65" s="145"/>
      <c r="G65" s="101"/>
      <c r="H65" s="101"/>
      <c r="I65" s="101"/>
      <c r="AC65" s="353"/>
      <c r="AD65" s="180" t="s">
        <v>17</v>
      </c>
    </row>
    <row r="66" spans="3:31" ht="17.25" customHeight="1" x14ac:dyDescent="0.25">
      <c r="F66" s="416" t="s">
        <v>10</v>
      </c>
      <c r="G66" s="417"/>
      <c r="H66" s="418"/>
      <c r="I66" s="416" t="s">
        <v>13</v>
      </c>
      <c r="J66" s="417"/>
      <c r="K66" s="417"/>
      <c r="L66" s="418"/>
      <c r="M66" s="549" t="s">
        <v>14</v>
      </c>
      <c r="N66" s="550"/>
      <c r="O66" s="551"/>
      <c r="P66" s="433" t="s">
        <v>18</v>
      </c>
      <c r="Q66" s="434"/>
      <c r="R66" s="434"/>
      <c r="S66" s="434"/>
      <c r="T66" s="435"/>
      <c r="U66" s="101"/>
      <c r="AD66" s="185" t="s">
        <v>146</v>
      </c>
      <c r="AE66" s="6" t="s">
        <v>426</v>
      </c>
    </row>
    <row r="67" spans="3:31" ht="17.25" customHeight="1" thickBot="1" x14ac:dyDescent="0.3">
      <c r="F67" s="419"/>
      <c r="G67" s="420"/>
      <c r="H67" s="421"/>
      <c r="I67" s="419"/>
      <c r="J67" s="420"/>
      <c r="K67" s="420"/>
      <c r="L67" s="421"/>
      <c r="M67" s="552"/>
      <c r="N67" s="553"/>
      <c r="O67" s="554"/>
      <c r="P67" s="436"/>
      <c r="Q67" s="437"/>
      <c r="R67" s="437"/>
      <c r="S67" s="437"/>
      <c r="T67" s="438"/>
      <c r="U67" s="101"/>
      <c r="Z67"/>
      <c r="AC67" s="6" t="s">
        <v>416</v>
      </c>
      <c r="AD67" s="6">
        <f>VLOOKUP(P68,$B$38:$C$39,2)</f>
        <v>1</v>
      </c>
      <c r="AE67" s="6" cm="1">
        <f t="array" ref="AE67">AD67*angleConvert2Decimal(Q68)</f>
        <v>329.065</v>
      </c>
    </row>
    <row r="68" spans="3:31" ht="17.25" customHeight="1" thickTop="1" thickBot="1" x14ac:dyDescent="0.3">
      <c r="E68" s="118"/>
      <c r="F68" s="389">
        <f>IF(G64=AD65,"---",AD72)</f>
        <v>334.16859953703704</v>
      </c>
      <c r="G68" s="389"/>
      <c r="H68" s="389"/>
      <c r="I68" s="427">
        <f>E11</f>
        <v>10.340277777777779</v>
      </c>
      <c r="J68" s="428"/>
      <c r="K68" s="428"/>
      <c r="L68" s="429"/>
      <c r="M68" s="427">
        <v>10</v>
      </c>
      <c r="N68" s="428"/>
      <c r="O68" s="429"/>
      <c r="P68" s="439" t="s">
        <v>6</v>
      </c>
      <c r="Q68" s="440" t="s">
        <v>550</v>
      </c>
      <c r="R68" s="441"/>
      <c r="S68" s="441"/>
      <c r="T68" s="442"/>
      <c r="U68" s="386" t="str" cm="1">
        <f t="array" ref="U68">angleDecimal2Txt(AE67)</f>
        <v>+329°03.89 (+329.0649) [+329°03'54.00]</v>
      </c>
      <c r="V68" s="387"/>
      <c r="W68" s="387"/>
      <c r="X68" s="387"/>
      <c r="Y68" s="387"/>
      <c r="Z68"/>
      <c r="AC68" s="6" t="s">
        <v>417</v>
      </c>
      <c r="AD68" s="6">
        <f>VLOOKUP(P70,$B$38:$C$39,2)</f>
        <v>1</v>
      </c>
      <c r="AE68" s="6" cm="1">
        <f t="array" ref="AE68">AD68*angleConvert2Decimal(Q70)</f>
        <v>344.06333333333333</v>
      </c>
    </row>
    <row r="69" spans="3:31" ht="17.25" customHeight="1" thickTop="1" thickBot="1" x14ac:dyDescent="0.3">
      <c r="F69" s="390"/>
      <c r="G69" s="390"/>
      <c r="H69" s="390"/>
      <c r="I69" s="497"/>
      <c r="J69" s="498"/>
      <c r="K69" s="498"/>
      <c r="L69" s="499"/>
      <c r="M69" s="425"/>
      <c r="N69" s="426"/>
      <c r="O69" s="358"/>
      <c r="P69" s="356"/>
      <c r="Q69" s="443"/>
      <c r="R69" s="444"/>
      <c r="S69" s="444"/>
      <c r="T69" s="445"/>
      <c r="U69" s="387"/>
      <c r="V69" s="387"/>
      <c r="W69" s="387"/>
      <c r="X69" s="387"/>
      <c r="Y69" s="387"/>
      <c r="Z69"/>
      <c r="AC69" s="6" t="s">
        <v>47</v>
      </c>
      <c r="AD69" s="8">
        <f>AE68-AE67</f>
        <v>14.998333333333335</v>
      </c>
    </row>
    <row r="70" spans="3:31" ht="17.25" customHeight="1" thickTop="1" thickBot="1" x14ac:dyDescent="0.3">
      <c r="F70" s="390"/>
      <c r="G70" s="390"/>
      <c r="H70" s="390"/>
      <c r="I70" s="497"/>
      <c r="J70" s="498"/>
      <c r="K70" s="498"/>
      <c r="L70" s="499"/>
      <c r="M70" s="422">
        <v>11</v>
      </c>
      <c r="N70" s="423"/>
      <c r="O70" s="424"/>
      <c r="P70" s="446" t="s">
        <v>6</v>
      </c>
      <c r="Q70" s="447" t="s">
        <v>551</v>
      </c>
      <c r="R70" s="448"/>
      <c r="S70" s="448"/>
      <c r="T70" s="449"/>
      <c r="U70" s="386" t="str" cm="1">
        <f t="array" ref="U70">angleDecimal2Txt((AE68))</f>
        <v>+344°03.79 (+344.0633) [+344°03'48.00]</v>
      </c>
      <c r="V70" s="387"/>
      <c r="W70" s="387"/>
      <c r="X70" s="387"/>
      <c r="Y70" s="387"/>
      <c r="Z70"/>
      <c r="AC70" s="6" t="s">
        <v>419</v>
      </c>
      <c r="AD70" s="8">
        <f>M70-M68</f>
        <v>1</v>
      </c>
      <c r="AE70" s="118"/>
    </row>
    <row r="71" spans="3:31" ht="17.25" customHeight="1" thickTop="1" thickBot="1" x14ac:dyDescent="0.3">
      <c r="F71" s="390"/>
      <c r="G71" s="390"/>
      <c r="H71" s="390"/>
      <c r="I71" s="497"/>
      <c r="J71" s="498"/>
      <c r="K71" s="498"/>
      <c r="L71" s="499"/>
      <c r="M71" s="425"/>
      <c r="N71" s="426"/>
      <c r="O71" s="358"/>
      <c r="P71" s="356"/>
      <c r="Q71" s="443"/>
      <c r="R71" s="444"/>
      <c r="S71" s="444"/>
      <c r="T71" s="445"/>
      <c r="U71" s="387"/>
      <c r="V71" s="387"/>
      <c r="W71" s="387"/>
      <c r="X71" s="387"/>
      <c r="Y71" s="387"/>
      <c r="Z71"/>
      <c r="AC71" s="6" t="s">
        <v>48</v>
      </c>
      <c r="AD71" s="8">
        <f>I68-M68</f>
        <v>0.34027777777777857</v>
      </c>
    </row>
    <row r="72" spans="3:31" ht="17.25" customHeight="1" thickTop="1" thickBot="1" x14ac:dyDescent="0.3">
      <c r="F72" s="380">
        <f>AC73</f>
        <v>0</v>
      </c>
      <c r="G72" s="381"/>
      <c r="H72" s="381"/>
      <c r="I72" s="381"/>
      <c r="J72" s="381"/>
      <c r="K72" s="382"/>
      <c r="Q72" s="264"/>
      <c r="Z72"/>
      <c r="AA72" s="101"/>
      <c r="AC72" s="6" t="s">
        <v>46</v>
      </c>
      <c r="AD72" s="6">
        <f>AE67+(AD69/AD70)*AD71</f>
        <v>334.16859953703704</v>
      </c>
    </row>
    <row r="73" spans="3:31" ht="17.25" customHeight="1" thickTop="1" x14ac:dyDescent="0.25">
      <c r="C73" s="144" t="s">
        <v>17</v>
      </c>
      <c r="D73" s="144"/>
      <c r="E73" s="145"/>
      <c r="F73" s="145"/>
      <c r="G73" s="101"/>
      <c r="H73" s="101"/>
      <c r="I73" s="101"/>
      <c r="Z73"/>
      <c r="AA73" s="101"/>
    </row>
    <row r="74" spans="3:31" ht="17.25" customHeight="1" x14ac:dyDescent="0.25">
      <c r="C74" s="101"/>
      <c r="D74" s="101"/>
      <c r="E74" s="101"/>
      <c r="F74" s="416" t="s">
        <v>10</v>
      </c>
      <c r="G74" s="417"/>
      <c r="H74" s="418"/>
      <c r="I74" s="416" t="s">
        <v>13</v>
      </c>
      <c r="J74" s="417"/>
      <c r="K74" s="417"/>
      <c r="L74" s="418"/>
      <c r="M74" s="549" t="s">
        <v>14</v>
      </c>
      <c r="N74" s="550"/>
      <c r="O74" s="551"/>
      <c r="P74" s="433" t="s">
        <v>19</v>
      </c>
      <c r="Q74" s="434"/>
      <c r="R74" s="434"/>
      <c r="S74" s="434"/>
      <c r="T74" s="435"/>
      <c r="U74" s="433" t="s">
        <v>171</v>
      </c>
      <c r="V74" s="434"/>
      <c r="W74" s="434"/>
      <c r="X74" s="434"/>
      <c r="Y74" s="435"/>
      <c r="AA74" s="101"/>
      <c r="AC74" s="6" t="s">
        <v>421</v>
      </c>
      <c r="AD74" s="6">
        <f>VLOOKUP(P76,$B$38:$C$39,2)</f>
        <v>1</v>
      </c>
    </row>
    <row r="75" spans="3:31" ht="17.25" customHeight="1" collapsed="1" x14ac:dyDescent="0.25">
      <c r="F75" s="419"/>
      <c r="G75" s="420"/>
      <c r="H75" s="421"/>
      <c r="I75" s="419"/>
      <c r="J75" s="420"/>
      <c r="K75" s="420"/>
      <c r="L75" s="421"/>
      <c r="M75" s="552"/>
      <c r="N75" s="553"/>
      <c r="O75" s="554"/>
      <c r="P75" s="436"/>
      <c r="Q75" s="437"/>
      <c r="R75" s="437"/>
      <c r="S75" s="437"/>
      <c r="T75" s="438"/>
      <c r="U75" s="436"/>
      <c r="V75" s="437"/>
      <c r="W75" s="437"/>
      <c r="X75" s="437"/>
      <c r="Y75" s="438"/>
      <c r="Z75" s="101"/>
      <c r="AA75" s="101"/>
      <c r="AC75" s="6" t="s">
        <v>422</v>
      </c>
      <c r="AD75" s="6" cm="1">
        <f t="array" ref="AD75">angleConvert2Decimal(Q76)*AD74</f>
        <v>176.49</v>
      </c>
    </row>
    <row r="76" spans="3:31" ht="17.25" customHeight="1" x14ac:dyDescent="0.25">
      <c r="E76" s="118"/>
      <c r="F76" s="389" t="str">
        <f>IF(G64=AD65,AD78,"---")</f>
        <v>---</v>
      </c>
      <c r="G76" s="389"/>
      <c r="H76" s="389"/>
      <c r="I76" s="427">
        <f>E11</f>
        <v>10.340277777777779</v>
      </c>
      <c r="J76" s="428"/>
      <c r="K76" s="428"/>
      <c r="L76" s="429"/>
      <c r="M76" s="427">
        <v>0</v>
      </c>
      <c r="N76" s="428"/>
      <c r="O76" s="429"/>
      <c r="P76" s="439" t="s">
        <v>6</v>
      </c>
      <c r="Q76" s="543" t="s">
        <v>303</v>
      </c>
      <c r="R76" s="544"/>
      <c r="S76" s="544"/>
      <c r="T76" s="545"/>
      <c r="U76" s="439" t="s">
        <v>6</v>
      </c>
      <c r="V76" s="543" t="s">
        <v>249</v>
      </c>
      <c r="W76" s="544"/>
      <c r="X76" s="544"/>
      <c r="Y76" s="545"/>
      <c r="Z76" s="101"/>
      <c r="AC76" s="6" t="s">
        <v>423</v>
      </c>
      <c r="AD76" s="6">
        <f>VLOOKUP(U76,$B$38:$C$39,2)</f>
        <v>1</v>
      </c>
    </row>
    <row r="77" spans="3:31" ht="17.25" customHeight="1" thickBot="1" x14ac:dyDescent="0.3">
      <c r="F77" s="390"/>
      <c r="G77" s="390"/>
      <c r="H77" s="390"/>
      <c r="I77" s="497"/>
      <c r="J77" s="498"/>
      <c r="K77" s="498"/>
      <c r="L77" s="499"/>
      <c r="M77" s="425"/>
      <c r="N77" s="426"/>
      <c r="O77" s="358"/>
      <c r="P77" s="654"/>
      <c r="Q77" s="546"/>
      <c r="R77" s="547"/>
      <c r="S77" s="547"/>
      <c r="T77" s="548"/>
      <c r="U77" s="654"/>
      <c r="V77" s="546"/>
      <c r="W77" s="547"/>
      <c r="X77" s="547"/>
      <c r="Y77" s="548"/>
      <c r="Z77" s="101"/>
      <c r="AC77" s="6" t="s">
        <v>424</v>
      </c>
      <c r="AD77" s="6" cm="1">
        <f t="array" ref="AD77">angleConvert2Decimal(V76)*AD76</f>
        <v>15.002000000000001</v>
      </c>
    </row>
    <row r="78" spans="3:31" ht="17.25" customHeight="1" thickTop="1" thickBot="1" x14ac:dyDescent="0.3">
      <c r="F78" s="379" t="e" cm="1">
        <f t="array" ref="F78">angleDecimal2Txt(F76)</f>
        <v>#VALUE!</v>
      </c>
      <c r="G78" s="379"/>
      <c r="H78" s="379"/>
      <c r="I78" s="379"/>
      <c r="J78" s="379"/>
      <c r="K78" s="379"/>
      <c r="P78" s="379" t="str" cm="1">
        <f t="array" ref="P78">angleDecimal2Txt(AD75)</f>
        <v>+176°29.39 (+176.4900) [+176°29'24.00]</v>
      </c>
      <c r="Q78" s="379"/>
      <c r="R78" s="379"/>
      <c r="S78" s="379"/>
      <c r="T78" s="379"/>
      <c r="U78" s="379" t="str" cm="1">
        <f t="array" ref="U78">angleDecimal2Txt(AD77)</f>
        <v>+15°00.12 (+15.0020) [+15°00'07.20]</v>
      </c>
      <c r="V78" s="410"/>
      <c r="W78" s="410"/>
      <c r="X78" s="410"/>
      <c r="Y78" s="410"/>
      <c r="AC78" s="6" t="s">
        <v>425</v>
      </c>
      <c r="AD78" s="6">
        <f>AD75+AD77*(I76-M76)</f>
        <v>331.61484722222224</v>
      </c>
    </row>
    <row r="79" spans="3:31" ht="17.25" customHeight="1" thickTop="1" x14ac:dyDescent="0.25">
      <c r="S79" s="101"/>
      <c r="T79" s="101"/>
      <c r="U79" s="101"/>
      <c r="V79" s="101"/>
      <c r="W79" s="101"/>
      <c r="X79" s="101"/>
    </row>
    <row r="80" spans="3:31" ht="17.25" customHeight="1" x14ac:dyDescent="0.25">
      <c r="S80" s="101"/>
      <c r="T80" s="101"/>
      <c r="U80" s="101"/>
      <c r="V80" s="101"/>
      <c r="W80" s="101"/>
    </row>
    <row r="81" spans="1:66" ht="17.25" customHeight="1" thickBot="1" x14ac:dyDescent="0.3"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I81" s="42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465">
        <f>I83</f>
        <v>327.08526620370372</v>
      </c>
      <c r="G82" s="465"/>
      <c r="H82" s="465"/>
      <c r="I82" s="136"/>
      <c r="J82" s="450" t="s">
        <v>127</v>
      </c>
      <c r="K82" s="450"/>
      <c r="L82" s="450"/>
      <c r="M82" s="538" t="str">
        <f>J22</f>
        <v>Soleil</v>
      </c>
      <c r="N82" s="538"/>
      <c r="O82" s="538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354" t="s">
        <v>24</v>
      </c>
      <c r="D83" s="354"/>
      <c r="E83" s="354"/>
      <c r="F83" s="354"/>
      <c r="G83" s="354"/>
      <c r="H83" s="355"/>
      <c r="I83" s="575">
        <f>AD84</f>
        <v>327.08526620370372</v>
      </c>
      <c r="J83" s="576"/>
      <c r="K83" s="576"/>
      <c r="L83" s="577"/>
      <c r="M83" s="146" t="s">
        <v>55</v>
      </c>
      <c r="N83" s="560">
        <f>AD83</f>
        <v>327.08526620370372</v>
      </c>
      <c r="O83" s="560"/>
      <c r="P83" s="560"/>
      <c r="Q83" s="560"/>
      <c r="AC83" s="6" t="s">
        <v>427</v>
      </c>
      <c r="AD83" s="8">
        <f>F63+F41</f>
        <v>327.08526620370372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410">
        <f>AC85</f>
        <v>0</v>
      </c>
      <c r="J84" s="410"/>
      <c r="K84" s="410"/>
      <c r="L84" s="410"/>
      <c r="M84" s="410"/>
      <c r="N84" s="410"/>
      <c r="AB84" s="178"/>
      <c r="AC84" s="6" t="s">
        <v>428</v>
      </c>
      <c r="AD84" s="8">
        <f>MOD(AD83,360)</f>
        <v>327.08526620370372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378" t="s">
        <v>145</v>
      </c>
      <c r="E86" s="393"/>
      <c r="F86" s="465">
        <f>IF(G87=AD87,O126,O116)</f>
        <v>55.04853236343704</v>
      </c>
      <c r="G86" s="465"/>
      <c r="H86" s="465"/>
      <c r="I86" s="136"/>
      <c r="J86" s="136"/>
      <c r="K86" s="136"/>
      <c r="L86" s="136" t="s">
        <v>132</v>
      </c>
      <c r="M86" s="378">
        <f>O89</f>
        <v>54.835000000000001</v>
      </c>
      <c r="N86" s="378"/>
      <c r="O86" s="136"/>
      <c r="P86" s="172"/>
      <c r="Q86" s="136" t="s">
        <v>172</v>
      </c>
      <c r="R86" s="136"/>
      <c r="S86" s="412">
        <f>-O103+O98+O107</f>
        <v>0.25496882081456601</v>
      </c>
      <c r="T86" s="413"/>
      <c r="U86" s="414"/>
      <c r="V86" s="415" t="str" cm="1">
        <f t="array" ref="V86">angleDecimal2Txt(S86)</f>
        <v>+00°15.29 (+00.2549) [+00°15'17.88]</v>
      </c>
      <c r="W86" s="415"/>
      <c r="X86" s="415"/>
      <c r="Y86" s="415"/>
      <c r="Z86" s="415"/>
      <c r="AA86" s="136"/>
      <c r="AB86" s="176"/>
    </row>
    <row r="87" spans="1:66" ht="17.25" customHeight="1" x14ac:dyDescent="0.25">
      <c r="C87" s="375" t="s">
        <v>44</v>
      </c>
      <c r="D87" s="375"/>
      <c r="E87" s="375"/>
      <c r="F87" s="375"/>
      <c r="G87" s="451" t="s">
        <v>62</v>
      </c>
      <c r="H87" s="451"/>
      <c r="I87" s="451"/>
      <c r="P87" s="118" t="s">
        <v>142</v>
      </c>
      <c r="V87" s="101"/>
      <c r="W87" s="101"/>
      <c r="X87" s="101"/>
      <c r="Y87" s="101"/>
      <c r="Z87" s="101"/>
      <c r="AC87" s="353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52" t="s">
        <v>134</v>
      </c>
      <c r="G88" s="452"/>
      <c r="H88" s="453"/>
      <c r="I88" s="453"/>
      <c r="J88" s="411">
        <f>IF(G87=AD87,"---",O116)</f>
        <v>55.04853236343704</v>
      </c>
      <c r="K88" s="411"/>
      <c r="L88" s="411"/>
      <c r="M88" s="326"/>
      <c r="N88" s="326"/>
      <c r="O88" s="326"/>
      <c r="P88" s="326"/>
      <c r="Q88" s="326"/>
      <c r="R88" s="326"/>
      <c r="S88" s="326"/>
      <c r="T88" s="326"/>
      <c r="U88" s="326"/>
      <c r="V88" s="327"/>
      <c r="W88" s="327"/>
      <c r="X88" s="327"/>
      <c r="Y88" s="327"/>
      <c r="Z88" s="327"/>
      <c r="AC88" s="353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496" t="s">
        <v>57</v>
      </c>
      <c r="I89" s="496"/>
      <c r="J89" s="496"/>
      <c r="K89" s="496"/>
      <c r="L89" s="496"/>
      <c r="M89" s="496"/>
      <c r="N89" s="496"/>
      <c r="O89" s="377">
        <f>J21</f>
        <v>54.835000000000001</v>
      </c>
      <c r="P89" s="377"/>
      <c r="Q89" s="377"/>
      <c r="R89" s="377"/>
      <c r="S89" s="118" t="s">
        <v>100</v>
      </c>
      <c r="U89" s="379" t="str" cm="1">
        <f t="array" ref="U89">angleDecimal2Txt(O89)</f>
        <v>+54°50.10 (+54.8350) [+54°50'06.00]</v>
      </c>
      <c r="V89" s="379"/>
      <c r="W89" s="379"/>
      <c r="X89" s="379"/>
      <c r="Y89" s="379"/>
      <c r="Z89" s="379"/>
    </row>
    <row r="90" spans="1:66" ht="17.25" customHeight="1" thickTop="1" thickBot="1" x14ac:dyDescent="0.3">
      <c r="C90" s="118"/>
      <c r="D90" s="118"/>
      <c r="E90" s="118"/>
      <c r="F90" s="118"/>
      <c r="G90" s="118"/>
      <c r="H90" s="496" t="s">
        <v>27</v>
      </c>
      <c r="I90" s="496"/>
      <c r="J90" s="496"/>
      <c r="K90" s="496"/>
      <c r="L90" s="496"/>
      <c r="M90" s="496"/>
      <c r="N90" s="496"/>
      <c r="O90" s="377">
        <f>J20</f>
        <v>0</v>
      </c>
      <c r="P90" s="377"/>
      <c r="Q90" s="377"/>
      <c r="R90" s="377"/>
      <c r="S90" s="118" t="s">
        <v>100</v>
      </c>
      <c r="U90" s="379" t="str" cm="1">
        <f t="array" ref="U90">angleDecimal2Txt(O90)</f>
        <v>+00°00.00 (+00.0000) [+00°00'00.00]</v>
      </c>
      <c r="V90" s="379"/>
      <c r="W90" s="379"/>
      <c r="X90" s="379"/>
      <c r="Y90" s="379"/>
      <c r="Z90" s="379"/>
      <c r="AC90" s="6" t="s">
        <v>131</v>
      </c>
      <c r="AD90" s="8">
        <f>O90</f>
        <v>0</v>
      </c>
    </row>
    <row r="91" spans="1:66" ht="17.25" customHeight="1" thickTop="1" thickBot="1" x14ac:dyDescent="0.3">
      <c r="G91" s="118"/>
      <c r="H91" s="559" t="s">
        <v>140</v>
      </c>
      <c r="I91" s="559"/>
      <c r="J91" s="559"/>
      <c r="K91" s="559"/>
      <c r="L91" s="559"/>
      <c r="M91" s="559"/>
      <c r="N91" s="559"/>
      <c r="O91" s="399">
        <f>AD92</f>
        <v>4.1436457377531689E-2</v>
      </c>
      <c r="P91" s="399"/>
      <c r="Q91" s="399"/>
      <c r="R91" s="399"/>
      <c r="S91" s="118" t="s">
        <v>100</v>
      </c>
      <c r="U91" s="379" t="str" cm="1">
        <f t="array" ref="U91">angleDecimal2Txt(O91)</f>
        <v>+00°02.48 (+00.0414) [+00°02'29.17]</v>
      </c>
      <c r="V91" s="379"/>
      <c r="W91" s="379"/>
      <c r="X91" s="379"/>
      <c r="Y91" s="379"/>
      <c r="Z91" s="379"/>
      <c r="AC91" s="6" t="s">
        <v>56</v>
      </c>
      <c r="AD91" s="6">
        <f>J19</f>
        <v>2</v>
      </c>
    </row>
    <row r="92" spans="1:66" ht="17.25" customHeight="1" thickTop="1" thickBot="1" x14ac:dyDescent="0.3">
      <c r="K92" s="101"/>
      <c r="L92" s="101"/>
      <c r="M92" s="402" t="s">
        <v>253</v>
      </c>
      <c r="N92" s="402"/>
      <c r="O92" s="402"/>
      <c r="P92" s="402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4.1436457377531689E-2</v>
      </c>
    </row>
    <row r="93" spans="1:66" ht="17.25" customHeight="1" thickTop="1" thickBot="1" x14ac:dyDescent="0.3">
      <c r="G93" s="118"/>
      <c r="H93" s="655" t="s">
        <v>58</v>
      </c>
      <c r="I93" s="655"/>
      <c r="J93" s="655"/>
      <c r="K93" s="655"/>
      <c r="L93" s="655"/>
      <c r="M93" s="655"/>
      <c r="N93" s="655"/>
      <c r="O93" s="405">
        <f>O89-O90-O91</f>
        <v>54.793563542622472</v>
      </c>
      <c r="P93" s="407"/>
      <c r="Q93" s="118" t="s">
        <v>100</v>
      </c>
      <c r="R93" s="565">
        <f>O93*Outils!F6</f>
        <v>0.95632809271949049</v>
      </c>
      <c r="S93" s="565"/>
      <c r="T93" s="147" t="s">
        <v>136</v>
      </c>
      <c r="U93" s="379" t="str" cm="1">
        <f t="array" ref="U93">angleDecimal2Txt(O93)</f>
        <v>+54°47.61 (+54.7935) [+54°47'36.82]</v>
      </c>
      <c r="V93" s="379"/>
      <c r="W93" s="379"/>
      <c r="X93" s="379"/>
      <c r="Y93" s="379"/>
      <c r="Z93" s="379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61" t="s">
        <v>133</v>
      </c>
      <c r="N95" s="561"/>
      <c r="O95" s="561"/>
      <c r="P95" s="561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62" t="s">
        <v>318</v>
      </c>
      <c r="N96" s="562"/>
      <c r="O96" s="561"/>
      <c r="P96" s="561"/>
    </row>
    <row r="97" spans="1:31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399" t="s">
        <v>65</v>
      </c>
      <c r="I97" s="399"/>
      <c r="J97" s="399"/>
      <c r="K97" s="399"/>
      <c r="L97" s="399"/>
      <c r="M97" s="399"/>
      <c r="N97" s="399"/>
      <c r="O97" s="563">
        <f>J24</f>
        <v>0</v>
      </c>
      <c r="P97" s="564"/>
      <c r="Q97" s="564"/>
      <c r="R97" s="564"/>
      <c r="S97" s="118" t="s">
        <v>100</v>
      </c>
      <c r="U97" s="379" t="str" cm="1">
        <f t="array" ref="U97">angleDecimal2Txt(O97)</f>
        <v>+00°00.00 (+00.0000) [+00°00'00.00]</v>
      </c>
      <c r="V97" s="379"/>
      <c r="W97" s="379"/>
      <c r="X97" s="379"/>
      <c r="Y97" s="379"/>
      <c r="Z97" s="379"/>
      <c r="AC97" s="6" t="s">
        <v>429</v>
      </c>
      <c r="AD97" s="6">
        <f>O97*COS(R93)</f>
        <v>0</v>
      </c>
    </row>
    <row r="98" spans="1:3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584" t="s">
        <v>319</v>
      </c>
      <c r="I98" s="585"/>
      <c r="J98" s="585"/>
      <c r="K98" s="585"/>
      <c r="L98" s="585"/>
      <c r="M98" s="585"/>
      <c r="N98" s="586"/>
      <c r="O98" s="454">
        <f>AD97</f>
        <v>0</v>
      </c>
      <c r="P98" s="454"/>
      <c r="Q98" s="454"/>
      <c r="R98" s="454"/>
      <c r="S98" s="118" t="s">
        <v>100</v>
      </c>
      <c r="U98" s="379" t="str" cm="1">
        <f t="array" ref="U98">angleDecimal2Txt(O98)</f>
        <v>+00°00.00 (+00.0000) [+00°00'00.00]</v>
      </c>
      <c r="V98" s="379"/>
      <c r="W98" s="379"/>
      <c r="X98" s="379"/>
      <c r="Y98" s="379"/>
      <c r="Z98" s="379"/>
    </row>
    <row r="99" spans="1:3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31" ht="17.25" customHeight="1" x14ac:dyDescent="0.25">
      <c r="A100" s="101"/>
      <c r="B100" s="101"/>
      <c r="C100" s="101"/>
      <c r="D100" s="10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S100" s="572" t="s">
        <v>270</v>
      </c>
      <c r="T100" s="573"/>
      <c r="U100" s="574"/>
      <c r="Y100" s="101"/>
      <c r="Z100" s="101"/>
      <c r="AC100" s="6" t="s">
        <v>60</v>
      </c>
      <c r="AD100" s="6" t="s">
        <v>431</v>
      </c>
    </row>
    <row r="101" spans="1:31" ht="17.25" customHeight="1" x14ac:dyDescent="0.25">
      <c r="A101" s="101"/>
      <c r="B101" s="101"/>
      <c r="C101" s="101"/>
      <c r="D101" s="101"/>
      <c r="F101" s="118"/>
      <c r="G101" s="118"/>
      <c r="H101" s="399" t="s">
        <v>137</v>
      </c>
      <c r="I101" s="399"/>
      <c r="J101" s="399"/>
      <c r="K101" s="399"/>
      <c r="L101" s="399"/>
      <c r="M101" s="399"/>
      <c r="N101" s="399"/>
      <c r="O101" s="520">
        <f>S101</f>
        <v>10</v>
      </c>
      <c r="P101" s="521"/>
      <c r="Q101" s="521"/>
      <c r="R101" s="521"/>
      <c r="S101" s="396">
        <v>10</v>
      </c>
      <c r="T101" s="397"/>
      <c r="U101" s="398"/>
      <c r="Y101" s="101"/>
      <c r="Z101" s="101"/>
      <c r="AC101" s="6" t="s">
        <v>432</v>
      </c>
      <c r="AD101" s="6">
        <f>1/TAN((O93 + 7.31 / (O93 + 4.4)) * Outils!F6)</f>
        <v>0.70236712365158938</v>
      </c>
    </row>
    <row r="102" spans="1:3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399" t="s">
        <v>138</v>
      </c>
      <c r="I102" s="399"/>
      <c r="J102" s="399"/>
      <c r="K102" s="399"/>
      <c r="L102" s="399"/>
      <c r="M102" s="399"/>
      <c r="N102" s="399"/>
      <c r="O102" s="520">
        <f>S102</f>
        <v>1010</v>
      </c>
      <c r="P102" s="521"/>
      <c r="Q102" s="521"/>
      <c r="R102" s="521"/>
      <c r="S102" s="396">
        <v>1010</v>
      </c>
      <c r="T102" s="397"/>
      <c r="U102" s="398"/>
      <c r="Y102" s="101"/>
      <c r="Z102" s="101"/>
      <c r="AC102" s="6" t="s">
        <v>433</v>
      </c>
      <c r="AD102" s="6">
        <f>AD101/60</f>
        <v>1.170611872752649E-2</v>
      </c>
    </row>
    <row r="103" spans="1:3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584" t="s">
        <v>320</v>
      </c>
      <c r="I103" s="585"/>
      <c r="J103" s="585"/>
      <c r="K103" s="585"/>
      <c r="L103" s="585"/>
      <c r="M103" s="585"/>
      <c r="N103" s="586"/>
      <c r="O103" s="454">
        <f>AD104</f>
        <v>1.1697845852100677E-2</v>
      </c>
      <c r="P103" s="454"/>
      <c r="Q103" s="454"/>
      <c r="R103" s="454"/>
      <c r="S103" s="118" t="s">
        <v>100</v>
      </c>
      <c r="U103" s="379" t="str" cm="1">
        <f t="array" ref="U103">angleDecimal2Txt(O103)</f>
        <v>+00°00.70 (+00.0116) [+00°00'42.11]</v>
      </c>
      <c r="V103" s="379"/>
      <c r="W103" s="379"/>
      <c r="X103" s="379"/>
      <c r="Y103" s="379"/>
      <c r="Z103" s="379"/>
      <c r="AC103" s="6" t="s">
        <v>174</v>
      </c>
      <c r="AD103" s="6">
        <f xml:space="preserve"> 0.28 * O102 / (273 + O101)</f>
        <v>0.99929328621908131</v>
      </c>
    </row>
    <row r="104" spans="1:3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Y104" s="101"/>
      <c r="Z104" s="101"/>
      <c r="AC104" s="6" t="s">
        <v>430</v>
      </c>
      <c r="AD104" s="6">
        <f>AD103*AD102</f>
        <v>1.1697845852100677E-2</v>
      </c>
    </row>
    <row r="105" spans="1:31" ht="17.25" customHeight="1" x14ac:dyDescent="0.25">
      <c r="A105" s="101"/>
      <c r="B105" s="101"/>
      <c r="C105" s="101"/>
      <c r="D105" s="101"/>
      <c r="E105" s="101"/>
      <c r="F105" s="118"/>
      <c r="G105" s="118"/>
      <c r="H105" s="399" t="s">
        <v>180</v>
      </c>
      <c r="I105" s="399"/>
      <c r="J105" s="399"/>
      <c r="K105" s="399"/>
      <c r="L105" s="399"/>
      <c r="M105" s="399"/>
      <c r="N105" s="399"/>
      <c r="O105" s="376">
        <f>J28</f>
        <v>0.53333333333333333</v>
      </c>
      <c r="P105" s="376"/>
      <c r="Q105" s="376"/>
      <c r="R105" s="376"/>
    </row>
    <row r="106" spans="1:31" ht="17.25" customHeight="1" thickBot="1" x14ac:dyDescent="0.3">
      <c r="B106" s="101"/>
      <c r="C106" s="101"/>
      <c r="D106" s="101"/>
      <c r="H106" s="399" t="s">
        <v>143</v>
      </c>
      <c r="I106" s="399"/>
      <c r="J106" s="399"/>
      <c r="K106" s="399"/>
      <c r="L106" s="399"/>
      <c r="M106" s="399"/>
      <c r="N106" s="399"/>
      <c r="O106" s="376" t="str">
        <f>J23</f>
        <v>BordInf</v>
      </c>
      <c r="P106" s="376"/>
      <c r="Q106" s="376"/>
      <c r="R106" s="376"/>
      <c r="AC106" s="6" t="s">
        <v>38</v>
      </c>
      <c r="AD106" s="391" t="str">
        <f>J22</f>
        <v>Soleil</v>
      </c>
      <c r="AE106" s="391"/>
    </row>
    <row r="107" spans="1:31" ht="17.25" customHeight="1" thickTop="1" thickBot="1" x14ac:dyDescent="0.3">
      <c r="H107" s="587" t="s">
        <v>144</v>
      </c>
      <c r="I107" s="588"/>
      <c r="J107" s="588"/>
      <c r="K107" s="588"/>
      <c r="L107" s="588"/>
      <c r="M107" s="588"/>
      <c r="N107" s="589"/>
      <c r="O107" s="560">
        <f>AD110</f>
        <v>0.26666666666666666</v>
      </c>
      <c r="P107" s="560"/>
      <c r="Q107" s="560"/>
      <c r="R107" s="560"/>
      <c r="S107" s="118" t="s">
        <v>100</v>
      </c>
      <c r="U107" s="379" t="str" cm="1">
        <f t="array" ref="U107">angleDecimal2Txt(O107)</f>
        <v>+00°16.00 (+00.2666) [+00°16'00.00]</v>
      </c>
      <c r="V107" s="379"/>
      <c r="W107" s="379"/>
      <c r="X107" s="379"/>
      <c r="Y107" s="379"/>
      <c r="Z107" s="379"/>
      <c r="AC107" s="6" t="s">
        <v>437</v>
      </c>
      <c r="AD107" s="391" t="str">
        <f>O106</f>
        <v>BordInf</v>
      </c>
      <c r="AE107" s="391"/>
    </row>
    <row r="108" spans="1:31" ht="17.25" customHeight="1" thickTop="1" x14ac:dyDescent="0.25"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C108" s="6" t="s">
        <v>438</v>
      </c>
      <c r="AD108" s="392">
        <f>HLOOKUP(AD107,AD27:AF28,2)</f>
        <v>0.5</v>
      </c>
      <c r="AE108" s="392"/>
    </row>
    <row r="109" spans="1:31" ht="17.25" customHeight="1" x14ac:dyDescent="0.25">
      <c r="G109" s="556" t="s">
        <v>245</v>
      </c>
      <c r="H109" s="557"/>
      <c r="I109" s="557"/>
      <c r="J109" s="557"/>
      <c r="K109" s="557"/>
      <c r="L109" s="557"/>
      <c r="M109" s="557"/>
      <c r="N109" s="557"/>
      <c r="O109" s="557"/>
      <c r="P109" s="557"/>
      <c r="Q109" s="557"/>
      <c r="R109" s="557"/>
      <c r="S109" s="558"/>
      <c r="T109" s="101"/>
      <c r="U109" s="101"/>
      <c r="V109" s="101"/>
      <c r="W109" s="101"/>
      <c r="X109" s="101"/>
      <c r="Y109" s="101"/>
      <c r="Z109" s="101"/>
      <c r="AC109" s="6" t="s">
        <v>180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 x14ac:dyDescent="0.25">
      <c r="G110" s="534" t="s">
        <v>258</v>
      </c>
      <c r="H110" s="535"/>
      <c r="I110" s="566" t="s">
        <v>250</v>
      </c>
      <c r="J110" s="567"/>
      <c r="K110" s="567"/>
      <c r="L110" s="567"/>
      <c r="M110" s="567"/>
      <c r="N110" s="568"/>
      <c r="O110" s="610">
        <f>(O98-O103-O91+O105/2) * 60</f>
        <v>12.811941806222059</v>
      </c>
      <c r="P110" s="400"/>
      <c r="Q110" s="400"/>
      <c r="R110" s="400"/>
      <c r="S110" s="529" t="s">
        <v>246</v>
      </c>
      <c r="T110" s="101"/>
      <c r="U110" s="101"/>
      <c r="V110" s="101"/>
      <c r="W110" s="101"/>
      <c r="X110" s="101"/>
      <c r="Y110" s="101"/>
      <c r="Z110" s="101"/>
      <c r="AC110" s="6" t="s">
        <v>438</v>
      </c>
      <c r="AD110" s="392">
        <f>AE109*AD108</f>
        <v>0.26666666666666666</v>
      </c>
      <c r="AE110" s="392"/>
    </row>
    <row r="111" spans="1:31" ht="17.25" customHeight="1" x14ac:dyDescent="0.25">
      <c r="G111" s="536"/>
      <c r="H111" s="537"/>
      <c r="I111" s="569" t="s">
        <v>254</v>
      </c>
      <c r="J111" s="570"/>
      <c r="K111" s="570"/>
      <c r="L111" s="570"/>
      <c r="M111" s="570"/>
      <c r="N111" s="571"/>
      <c r="O111" s="611"/>
      <c r="P111" s="401"/>
      <c r="Q111" s="401"/>
      <c r="R111" s="401"/>
      <c r="S111" s="530"/>
      <c r="T111" s="101"/>
      <c r="U111" s="101"/>
      <c r="V111" s="101"/>
      <c r="W111" s="101"/>
      <c r="X111" s="101"/>
      <c r="Y111" s="101"/>
      <c r="Z111" s="101"/>
    </row>
    <row r="112" spans="1:31" ht="17.25" customHeight="1" x14ac:dyDescent="0.25">
      <c r="H112" s="101"/>
      <c r="I112" s="566" t="s">
        <v>251</v>
      </c>
      <c r="J112" s="567"/>
      <c r="K112" s="567"/>
      <c r="L112" s="567"/>
      <c r="M112" s="567"/>
      <c r="N112" s="568"/>
      <c r="O112" s="400">
        <f>(O98-O103+O105/2)*60</f>
        <v>15.298129248873961</v>
      </c>
      <c r="P112" s="400"/>
      <c r="Q112" s="400"/>
      <c r="R112" s="400"/>
      <c r="S112" s="529" t="s">
        <v>246</v>
      </c>
      <c r="T112" s="101"/>
      <c r="U112" s="101"/>
      <c r="V112" s="101"/>
      <c r="W112" s="101"/>
      <c r="X112" s="101"/>
      <c r="Y112" s="101"/>
      <c r="Z112" s="101"/>
    </row>
    <row r="113" spans="2:28" ht="17.25" customHeight="1" x14ac:dyDescent="0.25">
      <c r="H113" s="101"/>
      <c r="I113" s="531" t="s">
        <v>252</v>
      </c>
      <c r="J113" s="532"/>
      <c r="K113" s="532"/>
      <c r="L113" s="532"/>
      <c r="M113" s="532"/>
      <c r="N113" s="533"/>
      <c r="O113" s="401"/>
      <c r="P113" s="401"/>
      <c r="Q113" s="401"/>
      <c r="R113" s="401"/>
      <c r="S113" s="530"/>
      <c r="T113" s="101"/>
      <c r="U113" s="101"/>
      <c r="V113" s="101"/>
      <c r="W113" s="101"/>
      <c r="X113" s="101"/>
      <c r="Y113" s="101"/>
      <c r="Z113" s="101"/>
    </row>
    <row r="114" spans="2:28" ht="17.25" customHeight="1" x14ac:dyDescent="0.25">
      <c r="H114" s="101"/>
      <c r="I114" s="593" t="s">
        <v>144</v>
      </c>
      <c r="J114" s="593"/>
      <c r="K114" s="593"/>
      <c r="L114" s="593"/>
      <c r="M114" s="593"/>
      <c r="N114" s="593"/>
      <c r="O114" s="594">
        <f>O107*60</f>
        <v>16</v>
      </c>
      <c r="P114" s="595"/>
      <c r="Q114" s="595"/>
      <c r="R114" s="595"/>
      <c r="S114" s="187" t="s">
        <v>246</v>
      </c>
      <c r="T114" s="101"/>
      <c r="U114" s="101"/>
      <c r="V114" s="101"/>
      <c r="W114" s="101"/>
      <c r="X114" s="101"/>
      <c r="Y114" s="101"/>
      <c r="Z114" s="101"/>
    </row>
    <row r="115" spans="2:28" ht="17.25" customHeight="1" thickBot="1" x14ac:dyDescent="0.3"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</row>
    <row r="116" spans="2:28" ht="17.25" customHeight="1" thickTop="1" thickBot="1" x14ac:dyDescent="0.3">
      <c r="H116" s="590" t="s">
        <v>321</v>
      </c>
      <c r="I116" s="591"/>
      <c r="J116" s="591"/>
      <c r="K116" s="591"/>
      <c r="L116" s="591"/>
      <c r="M116" s="591"/>
      <c r="N116" s="592"/>
      <c r="O116" s="407">
        <f>O93-O103+O98+O107</f>
        <v>55.04853236343704</v>
      </c>
      <c r="P116" s="454"/>
      <c r="Q116" s="454"/>
      <c r="R116" s="454"/>
      <c r="S116" s="118" t="s">
        <v>100</v>
      </c>
      <c r="U116" s="379" t="str" cm="1">
        <f t="array" ref="U116">angleDecimal2Txt(O116)</f>
        <v>+55°02.91 (+55.0485) [+55°02'54.71]</v>
      </c>
      <c r="V116" s="379"/>
      <c r="W116" s="379"/>
      <c r="X116" s="379"/>
      <c r="Y116" s="379"/>
      <c r="Z116" s="379"/>
    </row>
    <row r="117" spans="2:28" ht="17.25" customHeight="1" thickTop="1" x14ac:dyDescent="0.25"/>
    <row r="118" spans="2:28" ht="17.25" customHeight="1" x14ac:dyDescent="0.25">
      <c r="F118" s="452" t="s">
        <v>135</v>
      </c>
      <c r="G118" s="452"/>
      <c r="H118" s="452"/>
      <c r="I118" s="452"/>
      <c r="J118" s="454" t="str">
        <f>IF(G87=AD87,O126,"---")</f>
        <v>---</v>
      </c>
      <c r="K118" s="454"/>
      <c r="L118" s="454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</row>
    <row r="119" spans="2:28" ht="17.25" customHeight="1" x14ac:dyDescent="0.25">
      <c r="F119"/>
      <c r="G119"/>
      <c r="H119"/>
      <c r="I119"/>
      <c r="J119"/>
      <c r="K119"/>
      <c r="L119"/>
    </row>
    <row r="120" spans="2:28" ht="17.25" customHeight="1" x14ac:dyDescent="0.25">
      <c r="F120"/>
      <c r="G120"/>
      <c r="H120"/>
      <c r="I120"/>
      <c r="J120"/>
      <c r="K120"/>
      <c r="L120"/>
      <c r="T120" s="329" t="s">
        <v>157</v>
      </c>
      <c r="U120" s="638" t="s">
        <v>41</v>
      </c>
      <c r="V120" s="638"/>
    </row>
    <row r="121" spans="2:28" ht="17.25" customHeight="1" x14ac:dyDescent="0.25">
      <c r="T121" s="330" t="s">
        <v>153</v>
      </c>
      <c r="U121" s="638" t="s">
        <v>155</v>
      </c>
      <c r="V121" s="638"/>
    </row>
    <row r="122" spans="2:28" ht="17.25" customHeight="1" x14ac:dyDescent="0.25">
      <c r="H122" s="118" t="s">
        <v>145</v>
      </c>
      <c r="I122" s="150" t="s">
        <v>147</v>
      </c>
      <c r="J122" s="118" t="s">
        <v>132</v>
      </c>
      <c r="K122" s="640" t="s">
        <v>150</v>
      </c>
      <c r="L122" s="118" t="s">
        <v>131</v>
      </c>
      <c r="N122" s="640" t="s">
        <v>152</v>
      </c>
      <c r="O122" s="150" t="s">
        <v>627</v>
      </c>
      <c r="Q122" s="640" t="s">
        <v>152</v>
      </c>
      <c r="R122" s="118" t="s">
        <v>628</v>
      </c>
      <c r="T122" s="328" t="s">
        <v>154</v>
      </c>
      <c r="U122" s="639" t="s">
        <v>156</v>
      </c>
      <c r="V122" s="639"/>
      <c r="Z122"/>
      <c r="AA122"/>
    </row>
    <row r="123" spans="2:28" ht="17.25" customHeight="1" thickBot="1" x14ac:dyDescent="0.3">
      <c r="I123" s="150"/>
      <c r="J123" s="152">
        <f>O89</f>
        <v>54.835000000000001</v>
      </c>
      <c r="K123" s="640"/>
      <c r="L123" s="596">
        <f>O90</f>
        <v>0</v>
      </c>
      <c r="M123" s="597"/>
      <c r="N123" s="640"/>
      <c r="O123" s="539" t="s">
        <v>325</v>
      </c>
      <c r="P123" s="540"/>
      <c r="Q123" s="640"/>
      <c r="R123" s="331" t="s">
        <v>154</v>
      </c>
      <c r="V123"/>
      <c r="W123"/>
      <c r="X123"/>
      <c r="Y123"/>
      <c r="Z123"/>
      <c r="AA123"/>
    </row>
    <row r="124" spans="2:28" ht="17.25" customHeight="1" thickTop="1" thickBot="1" x14ac:dyDescent="0.3">
      <c r="I124" s="150"/>
      <c r="J124"/>
      <c r="K124" s="150" t="s">
        <v>626</v>
      </c>
      <c r="L124" s="598" cm="1">
        <f t="array" ref="L124">angleConvert2Decimal(L123)</f>
        <v>0</v>
      </c>
      <c r="M124" s="599"/>
      <c r="O124" s="541" cm="1">
        <f t="array" ref="O124">angleConvert2Decimal(O123)</f>
        <v>0.17166666666666669</v>
      </c>
      <c r="P124" s="542"/>
      <c r="Q124" s="42"/>
      <c r="R124" s="314" cm="1">
        <f t="array" ref="R124">angleConvert2Decimal(R123)</f>
        <v>-0.53333333333333333</v>
      </c>
      <c r="S124"/>
      <c r="T124" s="13" t="s">
        <v>189</v>
      </c>
      <c r="U124" s="13"/>
      <c r="V124" s="13">
        <f>R124+O124</f>
        <v>-0.36166666666666664</v>
      </c>
      <c r="W124" s="380" t="str" cm="1">
        <f t="array" ref="W124">angleDecimal2Txt(V124)</f>
        <v>-00°21.69 (-00.3616) [-00°21'42.00]</v>
      </c>
      <c r="X124" s="381"/>
      <c r="Y124" s="381"/>
      <c r="Z124" s="381"/>
      <c r="AA124" s="382"/>
    </row>
    <row r="125" spans="2:28" ht="17.25" customHeight="1" thickTop="1" thickBot="1" x14ac:dyDescent="0.3">
      <c r="I125" s="150"/>
      <c r="K125" s="150"/>
      <c r="N125" s="150"/>
      <c r="Q125" s="150"/>
      <c r="R125" s="155"/>
    </row>
    <row r="126" spans="2:28" ht="17.25" customHeight="1" thickTop="1" thickBot="1" x14ac:dyDescent="0.3">
      <c r="H126" s="590" t="s">
        <v>324</v>
      </c>
      <c r="I126" s="591"/>
      <c r="J126" s="591"/>
      <c r="K126" s="591"/>
      <c r="L126" s="591"/>
      <c r="M126" s="591"/>
      <c r="N126" s="592"/>
      <c r="O126" s="407">
        <f>J123-L124+O124+R124</f>
        <v>54.473333333333336</v>
      </c>
      <c r="P126" s="454"/>
      <c r="Q126" s="454"/>
      <c r="R126" s="454"/>
      <c r="S126" s="118" t="s">
        <v>100</v>
      </c>
      <c r="U126" s="379" t="str" cm="1">
        <f t="array" ref="U126">angleDecimal2Txt(O126)</f>
        <v>+54°28.39 (+54.4733) [+54°28'24.00]</v>
      </c>
      <c r="V126" s="379"/>
      <c r="W126" s="379"/>
      <c r="X126" s="379"/>
      <c r="Y126" s="379"/>
      <c r="Z126" s="379"/>
    </row>
    <row r="127" spans="2:28" ht="17.25" customHeight="1" thickTop="1" thickBot="1" x14ac:dyDescent="0.3">
      <c r="D127" s="156"/>
    </row>
    <row r="128" spans="2:28" ht="17.25" customHeight="1" thickBot="1" x14ac:dyDescent="0.3">
      <c r="B128" s="135" t="s">
        <v>54</v>
      </c>
      <c r="C128" s="136"/>
      <c r="D128" s="157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74"/>
    </row>
    <row r="129" spans="1:31" ht="17.25" customHeight="1" x14ac:dyDescent="0.25">
      <c r="C129" s="118"/>
      <c r="D129" s="118"/>
      <c r="E129" s="118"/>
      <c r="F129" s="118"/>
      <c r="G129" s="118"/>
      <c r="O129" s="555" t="s">
        <v>158</v>
      </c>
      <c r="P129" s="555"/>
      <c r="Q129" s="555"/>
      <c r="R129" s="555"/>
      <c r="S129" s="555"/>
      <c r="T129" s="555"/>
      <c r="U129" s="555"/>
      <c r="V129" s="555"/>
      <c r="W129" s="555"/>
      <c r="X129" s="555"/>
      <c r="Y129" s="555"/>
      <c r="Z129" s="555"/>
      <c r="AA129" s="555"/>
    </row>
    <row r="130" spans="1:31" ht="17.25" customHeight="1" x14ac:dyDescent="0.25">
      <c r="C130" s="101"/>
      <c r="D130" s="101"/>
      <c r="E130" s="578" t="s">
        <v>25</v>
      </c>
      <c r="F130" s="579"/>
      <c r="G130" s="579"/>
      <c r="H130" s="579"/>
      <c r="I130" s="668">
        <f>AD132</f>
        <v>54.928082732798451</v>
      </c>
      <c r="J130" s="668"/>
      <c r="K130" s="668"/>
      <c r="L130" s="668"/>
      <c r="M130" s="668"/>
      <c r="O130" s="377" t="s">
        <v>159</v>
      </c>
      <c r="P130" s="377"/>
      <c r="Q130" s="377">
        <f>F45</f>
        <v>23.140532407407406</v>
      </c>
      <c r="R130" s="377"/>
      <c r="S130" s="377"/>
      <c r="T130" s="606" t="s">
        <v>100</v>
      </c>
      <c r="U130" s="600">
        <f>Q130*Outils!$F$6</f>
        <v>0.40387848117370911</v>
      </c>
      <c r="V130" s="601"/>
      <c r="W130" s="602"/>
      <c r="X130" s="606" t="s">
        <v>136</v>
      </c>
      <c r="AC130" s="6" t="s">
        <v>439</v>
      </c>
      <c r="AD130" s="6">
        <f>SIN(U130)*SIN(U131)+COS(U130)*COS(U131)*COS(U132)</f>
        <v>0.81843145000091178</v>
      </c>
      <c r="AE130" s="6"/>
    </row>
    <row r="131" spans="1:31" ht="17.25" customHeight="1" thickBot="1" x14ac:dyDescent="0.3">
      <c r="C131" s="101"/>
      <c r="D131" s="101"/>
      <c r="E131" s="580"/>
      <c r="F131" s="581"/>
      <c r="G131" s="581"/>
      <c r="H131" s="581"/>
      <c r="I131" s="668"/>
      <c r="J131" s="668"/>
      <c r="K131" s="668"/>
      <c r="L131" s="668"/>
      <c r="M131" s="668"/>
      <c r="N131" s="158" t="s">
        <v>259</v>
      </c>
      <c r="O131" s="377" t="s">
        <v>160</v>
      </c>
      <c r="P131" s="377"/>
      <c r="Q131" s="377">
        <f>F36</f>
        <v>46.1</v>
      </c>
      <c r="R131" s="377"/>
      <c r="S131" s="377"/>
      <c r="T131" s="606"/>
      <c r="U131" s="600">
        <f>Q131*Outils!$F$6</f>
        <v>0.80459678516938593</v>
      </c>
      <c r="V131" s="601"/>
      <c r="W131" s="602"/>
      <c r="X131" s="606"/>
      <c r="AC131" s="6" t="s">
        <v>440</v>
      </c>
      <c r="AD131" s="6">
        <f>ASIN(AD130)</f>
        <v>0.95867589549517773</v>
      </c>
      <c r="AE131" s="6" t="s">
        <v>136</v>
      </c>
    </row>
    <row r="132" spans="1:31" ht="17.25" customHeight="1" thickTop="1" thickBot="1" x14ac:dyDescent="0.3">
      <c r="C132" s="101"/>
      <c r="D132" s="101"/>
      <c r="E132" s="582"/>
      <c r="F132" s="583"/>
      <c r="G132" s="583"/>
      <c r="H132" s="583"/>
      <c r="I132" s="379" t="str" cm="1">
        <f t="array" ref="I132">angleDecimal2Txt(I130)</f>
        <v>+54°55.68 (+54.9280) [+54°55'41.09]</v>
      </c>
      <c r="J132" s="379"/>
      <c r="K132" s="379"/>
      <c r="L132" s="379"/>
      <c r="M132" s="379"/>
      <c r="O132" s="377" t="s">
        <v>53</v>
      </c>
      <c r="P132" s="377"/>
      <c r="Q132" s="377">
        <f>F82</f>
        <v>327.08526620370372</v>
      </c>
      <c r="R132" s="377"/>
      <c r="S132" s="377"/>
      <c r="T132" s="606"/>
      <c r="U132" s="600">
        <f>Q132*Outils!$F$6</f>
        <v>5.7087148300167634</v>
      </c>
      <c r="V132" s="601"/>
      <c r="W132" s="602"/>
      <c r="X132" s="606"/>
      <c r="AC132" s="6"/>
      <c r="AD132" s="6">
        <f>AD131*Outils!F7</f>
        <v>54.928082732798451</v>
      </c>
      <c r="AE132" s="6" t="s">
        <v>100</v>
      </c>
    </row>
    <row r="133" spans="1:31" ht="17.25" customHeight="1" thickTop="1" x14ac:dyDescent="0.25">
      <c r="C133" s="101"/>
      <c r="D133" s="101"/>
      <c r="E133" s="118"/>
      <c r="F133" s="118"/>
      <c r="G133" s="118"/>
    </row>
    <row r="134" spans="1:31" ht="17.25" customHeight="1" x14ac:dyDescent="0.25">
      <c r="C134" s="101"/>
      <c r="D134" s="101"/>
      <c r="E134" s="578" t="s">
        <v>32</v>
      </c>
      <c r="F134" s="579"/>
      <c r="G134" s="579"/>
      <c r="H134" s="579"/>
      <c r="I134" s="668">
        <f>F86</f>
        <v>55.04853236343704</v>
      </c>
      <c r="J134" s="668"/>
      <c r="K134" s="668"/>
      <c r="L134" s="668"/>
      <c r="M134" s="668"/>
    </row>
    <row r="135" spans="1:31" ht="17.25" customHeight="1" thickBot="1" x14ac:dyDescent="0.3">
      <c r="C135" s="101"/>
      <c r="D135" s="101"/>
      <c r="E135" s="580"/>
      <c r="F135" s="581"/>
      <c r="G135" s="581"/>
      <c r="H135" s="581"/>
      <c r="I135" s="668"/>
      <c r="J135" s="668"/>
      <c r="K135" s="668"/>
      <c r="L135" s="668"/>
      <c r="M135" s="668"/>
      <c r="O135" s="603" t="s">
        <v>34</v>
      </c>
      <c r="P135" s="604"/>
      <c r="Q135" s="604"/>
      <c r="R135" s="604"/>
      <c r="S135" s="605"/>
      <c r="T135" s="159">
        <f>I134-I130</f>
        <v>0.12044963063858916</v>
      </c>
      <c r="U135" s="160" t="s">
        <v>35</v>
      </c>
      <c r="V135" s="161">
        <f>T135*60</f>
        <v>7.2269778383153493</v>
      </c>
      <c r="W135" s="160" t="s">
        <v>200</v>
      </c>
      <c r="X135" s="101"/>
      <c r="Y135" s="455" t="str">
        <f>IF(T135&gt;0,"Vers Pg", "Oppose de Pg")</f>
        <v>Vers Pg</v>
      </c>
      <c r="Z135" s="455"/>
    </row>
    <row r="136" spans="1:31" ht="17.25" customHeight="1" thickTop="1" thickBot="1" x14ac:dyDescent="0.3">
      <c r="C136" s="101"/>
      <c r="D136" s="101"/>
      <c r="E136" s="582"/>
      <c r="F136" s="583"/>
      <c r="G136" s="583"/>
      <c r="H136" s="583"/>
      <c r="I136" s="379" t="str" cm="1">
        <f t="array" ref="I136">angleDecimal2Txt(I134)</f>
        <v>+55°02.91 (+55.0485) [+55°02'54.71]</v>
      </c>
      <c r="J136" s="379"/>
      <c r="K136" s="379"/>
      <c r="L136" s="379"/>
      <c r="M136" s="379"/>
    </row>
    <row r="137" spans="1:31" ht="17.25" customHeight="1" thickTop="1" x14ac:dyDescent="0.25">
      <c r="C137" s="101"/>
      <c r="D137" s="101"/>
      <c r="E137" s="118"/>
      <c r="F137" s="118"/>
      <c r="G137" s="118"/>
      <c r="T137" s="101"/>
      <c r="U137" s="101"/>
      <c r="V137" s="101"/>
      <c r="W137" s="101"/>
      <c r="X137" s="101"/>
      <c r="Y137" s="101"/>
    </row>
    <row r="138" spans="1:31" ht="17.25" customHeight="1" x14ac:dyDescent="0.25">
      <c r="C138" s="118"/>
      <c r="D138" s="118"/>
      <c r="E138" s="118"/>
      <c r="F138" s="118"/>
      <c r="T138" s="101"/>
      <c r="U138" s="101"/>
      <c r="V138" s="101"/>
      <c r="W138" s="101"/>
      <c r="X138" s="101"/>
      <c r="Y138" s="101"/>
    </row>
    <row r="139" spans="1:31" ht="17.25" customHeight="1" x14ac:dyDescent="0.25">
      <c r="E139" s="118"/>
      <c r="F139" s="118"/>
      <c r="G139" s="118"/>
      <c r="T139" s="101"/>
      <c r="U139" s="101"/>
      <c r="V139" s="101"/>
      <c r="W139" s="101"/>
      <c r="X139" s="101"/>
      <c r="Y139" s="101"/>
    </row>
    <row r="140" spans="1:31" ht="17.25" customHeight="1" x14ac:dyDescent="0.25">
      <c r="E140" s="118"/>
    </row>
    <row r="141" spans="1:31" ht="17.25" customHeight="1" x14ac:dyDescent="0.25">
      <c r="E141" s="118"/>
      <c r="F141" s="118"/>
      <c r="G141" s="118"/>
      <c r="O141" s="408" t="s">
        <v>161</v>
      </c>
      <c r="P141" s="409"/>
      <c r="Q141" s="409"/>
      <c r="R141" s="409"/>
      <c r="S141" s="409"/>
      <c r="T141" s="409"/>
      <c r="U141" s="409"/>
      <c r="V141" s="409"/>
      <c r="W141" s="409"/>
      <c r="X141" s="409"/>
      <c r="Y141" s="409"/>
      <c r="Z141" s="409"/>
      <c r="AA141" s="409"/>
      <c r="AC141" s="6" t="s">
        <v>162</v>
      </c>
      <c r="AD141" s="6">
        <f>(SIN(U142)-SIN(U143)*SIN(AD131))/(COS(U143)*COS(AD131))</f>
        <v>-0.49377101376274596</v>
      </c>
      <c r="AE141" s="6"/>
    </row>
    <row r="142" spans="1:31" ht="17.25" customHeight="1" x14ac:dyDescent="0.25">
      <c r="A142" s="101"/>
      <c r="B142" s="101"/>
      <c r="C142" s="101"/>
      <c r="D142" s="101"/>
      <c r="E142" s="578" t="s">
        <v>169</v>
      </c>
      <c r="F142" s="579"/>
      <c r="G142" s="579"/>
      <c r="H142" s="607"/>
      <c r="I142" s="475">
        <f>AD143</f>
        <v>119.58874220076385</v>
      </c>
      <c r="J142" s="475"/>
      <c r="K142" s="475"/>
      <c r="L142" s="475"/>
      <c r="M142" s="476"/>
      <c r="O142" s="377" t="s">
        <v>159</v>
      </c>
      <c r="P142" s="377"/>
      <c r="Q142" s="377">
        <f>F45</f>
        <v>23.140532407407406</v>
      </c>
      <c r="R142" s="377"/>
      <c r="S142" s="377"/>
      <c r="T142" s="606" t="s">
        <v>100</v>
      </c>
      <c r="U142" s="377">
        <f>Q142*Outils!$F$6</f>
        <v>0.40387848117370911</v>
      </c>
      <c r="V142" s="377"/>
      <c r="W142" s="377"/>
      <c r="X142" s="606" t="s">
        <v>136</v>
      </c>
      <c r="AC142" s="6" t="s">
        <v>441</v>
      </c>
      <c r="AD142" s="6">
        <f>ACOS(AD141)</f>
        <v>2.0872172997220186</v>
      </c>
      <c r="AE142" s="6" t="s">
        <v>136</v>
      </c>
    </row>
    <row r="143" spans="1:31" ht="17.25" customHeight="1" thickBot="1" x14ac:dyDescent="0.3">
      <c r="C143" s="101"/>
      <c r="D143" s="101"/>
      <c r="E143" s="580"/>
      <c r="F143" s="581"/>
      <c r="G143" s="581"/>
      <c r="H143" s="608"/>
      <c r="I143" s="665"/>
      <c r="J143" s="665"/>
      <c r="K143" s="665"/>
      <c r="L143" s="665"/>
      <c r="M143" s="666"/>
      <c r="N143" s="158" t="s">
        <v>259</v>
      </c>
      <c r="O143" s="377" t="s">
        <v>160</v>
      </c>
      <c r="P143" s="377"/>
      <c r="Q143" s="377">
        <f>F36</f>
        <v>46.1</v>
      </c>
      <c r="R143" s="377"/>
      <c r="S143" s="377"/>
      <c r="T143" s="606"/>
      <c r="U143" s="377">
        <f>Q143*Outils!$F$6</f>
        <v>0.80459678516938593</v>
      </c>
      <c r="V143" s="377"/>
      <c r="W143" s="377"/>
      <c r="X143" s="606"/>
      <c r="AC143" s="6"/>
      <c r="AD143" s="6">
        <f>AD142*Outils!$F$7</f>
        <v>119.58874220076385</v>
      </c>
      <c r="AE143" s="6" t="s">
        <v>100</v>
      </c>
    </row>
    <row r="144" spans="1:31" ht="17.25" customHeight="1" thickTop="1" thickBot="1" x14ac:dyDescent="0.3">
      <c r="C144" s="101"/>
      <c r="D144" s="101"/>
      <c r="E144" s="582"/>
      <c r="F144" s="583"/>
      <c r="G144" s="583"/>
      <c r="H144" s="609"/>
      <c r="I144" s="667" t="str" cm="1">
        <f t="array" ref="I144">angleDecimal2Txt(I142)</f>
        <v>+119°35.32 (+119.5887) [+119°35'19.47]</v>
      </c>
      <c r="J144" s="386"/>
      <c r="K144" s="386"/>
      <c r="L144" s="386"/>
      <c r="M144" s="386"/>
      <c r="O144" s="377" t="s">
        <v>53</v>
      </c>
      <c r="P144" s="377"/>
      <c r="Q144" s="377">
        <f>F82</f>
        <v>327.08526620370372</v>
      </c>
      <c r="R144" s="377"/>
      <c r="S144" s="377"/>
      <c r="T144" s="606"/>
      <c r="U144" s="377">
        <f>Q144*Outils!$F$6</f>
        <v>5.7087148300167634</v>
      </c>
      <c r="V144" s="377"/>
      <c r="W144" s="377"/>
      <c r="X144" s="606"/>
    </row>
    <row r="145" spans="2:30" ht="17.25" customHeight="1" thickTop="1" x14ac:dyDescent="0.25">
      <c r="C145" s="101"/>
      <c r="D145" s="101"/>
      <c r="E145" s="118"/>
      <c r="F145" s="118"/>
      <c r="G145" s="118"/>
    </row>
    <row r="146" spans="2:30" ht="17.25" customHeight="1" x14ac:dyDescent="0.25">
      <c r="C146" s="118"/>
      <c r="D146" s="118"/>
      <c r="F146" s="118"/>
      <c r="G146" s="118"/>
      <c r="I146" s="662" t="s">
        <v>322</v>
      </c>
      <c r="J146" s="663"/>
      <c r="K146" s="663"/>
      <c r="L146" s="663"/>
      <c r="M146" s="663"/>
      <c r="N146" s="664"/>
      <c r="O146" s="662" t="s">
        <v>323</v>
      </c>
      <c r="P146" s="663"/>
      <c r="Q146" s="663"/>
      <c r="R146" s="663"/>
      <c r="S146" s="663"/>
      <c r="T146" s="664"/>
    </row>
    <row r="147" spans="2:30" ht="17.25" customHeight="1" x14ac:dyDescent="0.25">
      <c r="F147" s="118"/>
      <c r="G147" s="118"/>
      <c r="I147" s="394"/>
      <c r="J147" s="615" t="s">
        <v>260</v>
      </c>
      <c r="K147" s="616"/>
      <c r="L147" s="617"/>
      <c r="M147" s="621" t="s">
        <v>261</v>
      </c>
      <c r="N147" s="622"/>
      <c r="O147" s="394"/>
      <c r="P147" s="615" t="s">
        <v>260</v>
      </c>
      <c r="Q147" s="616"/>
      <c r="R147" s="617"/>
      <c r="S147" s="621" t="s">
        <v>262</v>
      </c>
      <c r="T147" s="622"/>
    </row>
    <row r="148" spans="2:30" ht="17.25" customHeight="1" x14ac:dyDescent="0.25">
      <c r="F148" s="118"/>
      <c r="G148" s="118"/>
      <c r="I148" s="395"/>
      <c r="J148" s="618" t="s">
        <v>163</v>
      </c>
      <c r="K148" s="619"/>
      <c r="L148" s="620"/>
      <c r="M148" s="623" t="s">
        <v>164</v>
      </c>
      <c r="N148" s="624"/>
      <c r="O148" s="395"/>
      <c r="P148" s="618" t="s">
        <v>163</v>
      </c>
      <c r="Q148" s="619"/>
      <c r="R148" s="620"/>
      <c r="S148" s="623" t="s">
        <v>165</v>
      </c>
      <c r="T148" s="624"/>
    </row>
    <row r="149" spans="2:30" ht="17.25" customHeight="1" x14ac:dyDescent="0.25">
      <c r="F149" s="101"/>
      <c r="G149" s="101"/>
      <c r="H149" s="101"/>
      <c r="I149" s="101"/>
      <c r="J149" s="101"/>
      <c r="K149" s="101"/>
      <c r="Q149" s="101"/>
      <c r="R149" s="101"/>
      <c r="S149" s="101"/>
      <c r="T149" s="523"/>
      <c r="U149" s="523"/>
      <c r="V149" s="523"/>
      <c r="W149" s="101"/>
      <c r="X149" s="523"/>
      <c r="Y149" s="523"/>
      <c r="Z149" s="523"/>
    </row>
    <row r="150" spans="2:30" ht="17.25" customHeight="1" x14ac:dyDescent="0.25">
      <c r="F150" s="101"/>
      <c r="N150" s="625"/>
      <c r="O150" s="625"/>
      <c r="Q150" s="523"/>
      <c r="R150" s="523"/>
      <c r="S150" s="523"/>
      <c r="T150" s="523"/>
      <c r="U150" s="523"/>
      <c r="V150" s="523"/>
      <c r="W150" s="101"/>
      <c r="X150" s="523"/>
      <c r="Y150" s="523"/>
      <c r="Z150" s="523"/>
    </row>
    <row r="151" spans="2:30" ht="17.25" customHeight="1" x14ac:dyDescent="0.25">
      <c r="I151" s="377" t="s">
        <v>160</v>
      </c>
      <c r="J151" s="377"/>
      <c r="K151" s="169">
        <f>F36</f>
        <v>46.1</v>
      </c>
      <c r="L151" s="454" t="str">
        <f>CONCATENATE("Sens: ",IF(Q143&gt;0,"Nord","Sud"))</f>
        <v>Sens: Nord</v>
      </c>
      <c r="M151" s="454"/>
    </row>
    <row r="152" spans="2:30" ht="17.25" customHeight="1" thickBot="1" x14ac:dyDescent="0.3">
      <c r="I152" s="377" t="s">
        <v>53</v>
      </c>
      <c r="J152" s="377"/>
      <c r="K152" s="169">
        <f>Q144</f>
        <v>327.08526620370372</v>
      </c>
      <c r="L152" s="454" t="str">
        <f>CONCATENATE("Is &gt; 180? ", IF(Q144&gt;180,"Y", "N"))</f>
        <v>Is &gt; 180? Y</v>
      </c>
      <c r="M152" s="454"/>
      <c r="O152" s="603" t="s">
        <v>170</v>
      </c>
      <c r="P152" s="604"/>
      <c r="Q152" s="604"/>
      <c r="R152" s="604"/>
      <c r="S152" s="604"/>
      <c r="T152" s="613">
        <f>ABS(IF(Q131&gt;0,IF(Q132&gt;180,I142,360-I142),IF(Q132&gt;180,180-I142,180+I142)))</f>
        <v>119.58874220076385</v>
      </c>
      <c r="U152" s="614"/>
      <c r="V152" s="160" t="s">
        <v>35</v>
      </c>
      <c r="W152" s="101"/>
    </row>
    <row r="153" spans="2:30" ht="17.25" customHeight="1" thickTop="1" thickBot="1" x14ac:dyDescent="0.3">
      <c r="I153" s="600" t="s">
        <v>263</v>
      </c>
      <c r="J153" s="601"/>
      <c r="K153" s="612"/>
      <c r="L153" s="454" t="str">
        <f>IF(K151&gt;0,IF(K152&gt;180,M147,M148),IF(K152&gt;180,S147,S148))</f>
        <v>Zn = Z</v>
      </c>
      <c r="M153" s="454"/>
      <c r="T153" s="379" t="str" cm="1">
        <f t="array" ref="T153">angleDecimal2Txt(T152)</f>
        <v>+119°35.32 (+119.5887) [+119°35'19.47]</v>
      </c>
      <c r="U153" s="379"/>
      <c r="V153" s="379"/>
      <c r="W153" s="379"/>
      <c r="X153" s="379"/>
      <c r="Y153" s="379"/>
    </row>
    <row r="154" spans="2:30" ht="17.25" customHeight="1" thickTop="1" x14ac:dyDescent="0.25"/>
    <row r="155" spans="2:30" ht="17.25" customHeight="1" thickBot="1" x14ac:dyDescent="0.3"/>
    <row r="156" spans="2:30" ht="17.25" customHeight="1" thickBot="1" x14ac:dyDescent="0.3">
      <c r="B156" s="135" t="s">
        <v>629</v>
      </c>
      <c r="C156" s="136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212"/>
      <c r="AB156" s="174"/>
    </row>
    <row r="158" spans="2:30" ht="17.25" customHeight="1" thickBot="1" x14ac:dyDescent="0.3">
      <c r="C158" s="669" t="s">
        <v>630</v>
      </c>
      <c r="D158" s="669"/>
      <c r="E158" s="669"/>
      <c r="F158" s="669"/>
      <c r="G158" s="332"/>
      <c r="H158" s="669" t="s">
        <v>631</v>
      </c>
      <c r="I158" s="669"/>
      <c r="J158" s="669"/>
      <c r="L158" s="670" t="s">
        <v>599</v>
      </c>
      <c r="M158" s="670"/>
      <c r="N158" s="670"/>
      <c r="Q158" s="672" t="s">
        <v>632</v>
      </c>
      <c r="R158" s="672"/>
      <c r="S158" s="672"/>
      <c r="T158" s="672"/>
      <c r="U158" s="261"/>
      <c r="AC158" t="s">
        <v>562</v>
      </c>
      <c r="AD158" s="304">
        <f>I159/60</f>
        <v>0.12044963063858916</v>
      </c>
    </row>
    <row r="159" spans="2:30" ht="17.25" customHeight="1" thickTop="1" thickBot="1" x14ac:dyDescent="0.3">
      <c r="D159" s="336" t="s">
        <v>51</v>
      </c>
      <c r="E159" s="671">
        <f>F36</f>
        <v>46.1</v>
      </c>
      <c r="F159" s="671"/>
      <c r="I159" s="671">
        <f>V135</f>
        <v>7.2269778383153493</v>
      </c>
      <c r="J159" s="671"/>
      <c r="K159" s="118" t="s">
        <v>200</v>
      </c>
      <c r="M159" s="671">
        <f>T152</f>
        <v>119.58874220076385</v>
      </c>
      <c r="N159" s="671"/>
      <c r="R159" s="334" t="s">
        <v>51</v>
      </c>
      <c r="S159" s="391">
        <f>AD161</f>
        <v>46.040525463772234</v>
      </c>
      <c r="T159" s="391"/>
      <c r="U159" s="658" t="str" cm="1">
        <f t="array" ref="U159">latitudeDecimal2Txt(S159)</f>
        <v>N 46°02.43 (N 46.0405) [N 46°02'25.89]</v>
      </c>
      <c r="V159" s="658"/>
      <c r="W159" s="658"/>
      <c r="X159" s="658"/>
      <c r="Y159" s="658"/>
      <c r="Z159" s="658"/>
      <c r="AC159" t="s">
        <v>589</v>
      </c>
      <c r="AD159" s="304">
        <f>M159</f>
        <v>119.58874220076385</v>
      </c>
    </row>
    <row r="160" spans="2:30" ht="17.25" customHeight="1" thickTop="1" thickBot="1" x14ac:dyDescent="0.3">
      <c r="D160" s="336" t="s">
        <v>52</v>
      </c>
      <c r="E160" s="671">
        <f>F41</f>
        <v>-7.083333333333333</v>
      </c>
      <c r="F160" s="671"/>
      <c r="R160" s="334" t="s">
        <v>52</v>
      </c>
      <c r="S160" s="391">
        <f>AD163</f>
        <v>-6.9323594242710715</v>
      </c>
      <c r="T160" s="391"/>
      <c r="U160" s="658" t="str" cm="1">
        <f t="array" ref="U160">longitudeDecimal2Txt(S160)</f>
        <v>W 06°55.94 (W 06.9323) [W 06°55'56.49]</v>
      </c>
      <c r="V160" s="658"/>
      <c r="W160" s="658"/>
      <c r="X160" s="658"/>
      <c r="Y160" s="658"/>
      <c r="Z160" s="658"/>
      <c r="AC160" s="118"/>
      <c r="AD160" s="118"/>
    </row>
    <row r="161" spans="2:33" ht="17.25" customHeight="1" thickTop="1" x14ac:dyDescent="0.25">
      <c r="D161" s="118"/>
      <c r="AC161" t="s">
        <v>634</v>
      </c>
      <c r="AD161">
        <f>E159+AD158*COS(AD159*Outils!$F$6)</f>
        <v>46.040525463772234</v>
      </c>
    </row>
    <row r="162" spans="2:33" ht="17.25" customHeight="1" x14ac:dyDescent="0.25">
      <c r="C162"/>
      <c r="D162"/>
      <c r="E162"/>
      <c r="Q162" s="672" t="s">
        <v>633</v>
      </c>
      <c r="R162" s="672"/>
      <c r="S162" s="672"/>
      <c r="AC162" t="s">
        <v>635</v>
      </c>
      <c r="AD162">
        <f>(E159+AD161)/2</f>
        <v>46.070262731886118</v>
      </c>
    </row>
    <row r="163" spans="2:33" ht="17.25" customHeight="1" x14ac:dyDescent="0.25">
      <c r="R163" s="391">
        <f>M159-90</f>
        <v>29.588742200763846</v>
      </c>
      <c r="S163" s="391"/>
      <c r="T163" s="160" t="s">
        <v>35</v>
      </c>
      <c r="AC163" t="s">
        <v>636</v>
      </c>
      <c r="AD163">
        <f>E160+(AD158*SIN(M159*Outils!$F$6)/COS(AD162*Outils!$F$6))</f>
        <v>-6.9323594242710715</v>
      </c>
    </row>
    <row r="164" spans="2:33" customFormat="1" ht="17.25" customHeight="1" x14ac:dyDescent="0.25"/>
    <row r="165" spans="2:33" customFormat="1" ht="17.25" customHeight="1" thickBot="1" x14ac:dyDescent="0.3"/>
    <row r="166" spans="2:33" customFormat="1" ht="17.25" customHeight="1" thickBot="1" x14ac:dyDescent="0.3">
      <c r="B166" s="338" t="s">
        <v>637</v>
      </c>
      <c r="C166" s="339"/>
      <c r="D166" s="339"/>
      <c r="E166" s="339"/>
      <c r="F166" s="339"/>
      <c r="G166" s="339"/>
      <c r="H166" s="339"/>
      <c r="I166" s="339"/>
      <c r="J166" s="339"/>
      <c r="K166" s="339"/>
      <c r="L166" s="339"/>
      <c r="M166" s="339"/>
      <c r="N166" s="339"/>
      <c r="O166" s="339"/>
      <c r="P166" s="339"/>
      <c r="Q166" s="339"/>
      <c r="R166" s="339"/>
      <c r="S166" s="339"/>
      <c r="T166" s="339"/>
      <c r="U166" s="339"/>
      <c r="V166" s="339"/>
      <c r="W166" s="339"/>
      <c r="X166" s="339"/>
      <c r="Y166" s="339"/>
      <c r="Z166" s="339"/>
      <c r="AA166" s="340"/>
    </row>
    <row r="167" spans="2:33" customFormat="1" ht="17.25" customHeight="1" x14ac:dyDescent="0.25">
      <c r="AC167" t="s">
        <v>575</v>
      </c>
      <c r="AD167" s="304">
        <f>E169-S159</f>
        <v>-4.052546377223365E-2</v>
      </c>
      <c r="AF167" t="s">
        <v>646</v>
      </c>
      <c r="AG167" t="b">
        <f>IF(ABS(R163-90)&lt;1,TRUE, FALSE)</f>
        <v>0</v>
      </c>
    </row>
    <row r="168" spans="2:33" customFormat="1" ht="17.25" customHeight="1" thickBot="1" x14ac:dyDescent="0.3">
      <c r="C168" s="656" t="s">
        <v>632</v>
      </c>
      <c r="D168" s="656"/>
      <c r="E168" s="656"/>
      <c r="F168" s="656"/>
      <c r="G168" s="261"/>
      <c r="H168" s="118"/>
      <c r="I168" s="118"/>
      <c r="J168" s="118"/>
      <c r="K168" s="118"/>
      <c r="L168" s="118"/>
      <c r="Q168" s="333" t="s">
        <v>638</v>
      </c>
      <c r="R168" s="333"/>
      <c r="S168" s="333"/>
      <c r="T168" s="333"/>
      <c r="U168" s="333"/>
      <c r="V168" s="333"/>
      <c r="W168" s="333"/>
      <c r="AC168" t="s">
        <v>640</v>
      </c>
      <c r="AD168" s="304">
        <f>E170-S160</f>
        <v>-6.7640575728928454E-2</v>
      </c>
    </row>
    <row r="169" spans="2:33" customFormat="1" ht="17.25" customHeight="1" thickTop="1" thickBot="1" x14ac:dyDescent="0.3">
      <c r="C169" s="337"/>
      <c r="D169" s="335" t="s">
        <v>51</v>
      </c>
      <c r="E169" s="657">
        <v>46</v>
      </c>
      <c r="F169" s="657"/>
      <c r="G169" s="658" t="str" cm="1">
        <f t="array" ref="G169">latitudeDecimal2Txt(E169)</f>
        <v>N 46°00.00 (N 46.0000) [N 46°00'00.00]</v>
      </c>
      <c r="H169" s="658"/>
      <c r="I169" s="658"/>
      <c r="J169" s="658"/>
      <c r="K169" s="658"/>
      <c r="L169" s="658"/>
      <c r="R169" s="334" t="s">
        <v>51</v>
      </c>
      <c r="S169" s="391">
        <f>AD173</f>
        <v>45.980594799192708</v>
      </c>
      <c r="T169" s="391"/>
      <c r="U169" s="658" t="str" cm="1">
        <f t="array" ref="U169">latitudeDecimal2Txt(S169)</f>
        <v>N 45°58.83 (N 45.9805) [N 45°58'50.14]</v>
      </c>
      <c r="V169" s="658"/>
      <c r="W169" s="658"/>
      <c r="X169" s="658"/>
      <c r="Y169" s="658"/>
      <c r="Z169" s="658"/>
      <c r="AC169" t="s">
        <v>639</v>
      </c>
      <c r="AD169">
        <f>TAN(R163*Outils!$F$6)</f>
        <v>0.56781919970967665</v>
      </c>
      <c r="AF169" t="s">
        <v>647</v>
      </c>
      <c r="AG169">
        <f>(AD169*AD167-AD168)/(AD170-AD171*AD169)</f>
        <v>3.8810401614589908E-2</v>
      </c>
    </row>
    <row r="170" spans="2:33" customFormat="1" ht="17.25" customHeight="1" thickTop="1" thickBot="1" x14ac:dyDescent="0.3">
      <c r="C170" s="337"/>
      <c r="D170" s="335" t="s">
        <v>52</v>
      </c>
      <c r="E170" s="657">
        <v>-7</v>
      </c>
      <c r="F170" s="657"/>
      <c r="G170" s="658" t="str" cm="1">
        <f t="array" ref="G170">longitudeDecimal2Txt(E170)</f>
        <v>W 07°00.00 (W 07.0000) [W 07°00'00.00]</v>
      </c>
      <c r="H170" s="658"/>
      <c r="I170" s="658"/>
      <c r="J170" s="658"/>
      <c r="K170" s="658"/>
      <c r="L170" s="658"/>
      <c r="R170" s="334" t="s">
        <v>52</v>
      </c>
      <c r="S170" s="391">
        <f>AD174</f>
        <v>-6.9663892062706889</v>
      </c>
      <c r="T170" s="391"/>
      <c r="U170" s="658" t="str" cm="1">
        <f t="array" ref="U170">longitudeDecimal2Txt(S170)</f>
        <v>W 06°57.98 (W 06.9663) [W 06°57'59.00]</v>
      </c>
      <c r="V170" s="658"/>
      <c r="W170" s="658"/>
      <c r="X170" s="658"/>
      <c r="Y170" s="658"/>
      <c r="Z170" s="658"/>
      <c r="AC170" t="s">
        <v>641</v>
      </c>
      <c r="AD170">
        <f>SIN(D173*Outils!$F$6)</f>
        <v>0.86602540378443871</v>
      </c>
      <c r="AF170" t="s">
        <v>648</v>
      </c>
      <c r="AG170">
        <f>-AD167/AD171</f>
        <v>-8.1050927544467341E-2</v>
      </c>
    </row>
    <row r="171" spans="2:33" customFormat="1" ht="17.25" customHeight="1" thickTop="1" x14ac:dyDescent="0.25"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AC171" t="s">
        <v>642</v>
      </c>
      <c r="AD171">
        <f>COS(D173*Outils!$F$6)</f>
        <v>-0.49999999999999978</v>
      </c>
      <c r="AF171" t="s">
        <v>643</v>
      </c>
      <c r="AG171">
        <f>IF(AG167,AG170,AG169)</f>
        <v>3.8810401614589908E-2</v>
      </c>
    </row>
    <row r="172" spans="2:33" customFormat="1" ht="17.25" customHeight="1" x14ac:dyDescent="0.25">
      <c r="C172" s="656" t="s">
        <v>633</v>
      </c>
      <c r="D172" s="656"/>
      <c r="E172" s="656"/>
      <c r="F172" s="337"/>
      <c r="G172" s="118"/>
      <c r="H172" s="118"/>
      <c r="I172" s="118"/>
      <c r="J172" s="118"/>
      <c r="K172" s="118"/>
      <c r="L172" s="118"/>
    </row>
    <row r="173" spans="2:33" customFormat="1" ht="17.25" customHeight="1" x14ac:dyDescent="0.25">
      <c r="C173" s="337"/>
      <c r="D173" s="657">
        <v>120</v>
      </c>
      <c r="E173" s="657"/>
      <c r="F173" s="341" t="s">
        <v>35</v>
      </c>
      <c r="G173" s="118"/>
      <c r="H173" s="118"/>
      <c r="I173" s="118"/>
      <c r="J173" s="118"/>
      <c r="K173" s="118"/>
      <c r="L173" s="118"/>
      <c r="AC173" t="s">
        <v>644</v>
      </c>
      <c r="AD173">
        <f>E169+AG171*AD171</f>
        <v>45.980594799192708</v>
      </c>
    </row>
    <row r="174" spans="2:33" customFormat="1" ht="15" x14ac:dyDescent="0.25">
      <c r="AC174" t="s">
        <v>645</v>
      </c>
      <c r="AD174">
        <f>E170+AG171*AD170</f>
        <v>-6.9663892062706889</v>
      </c>
    </row>
    <row r="175" spans="2:33" customFormat="1" ht="15" x14ac:dyDescent="0.25">
      <c r="S175" s="118"/>
      <c r="T175" s="118"/>
    </row>
    <row r="176" spans="2:33" customFormat="1" ht="15" x14ac:dyDescent="0.25"/>
    <row r="177" spans="11:30" customFormat="1" ht="17.25" customHeight="1" x14ac:dyDescent="0.25">
      <c r="P177" s="118"/>
      <c r="Q177" s="118"/>
    </row>
    <row r="178" spans="11:30" customFormat="1" ht="17.25" customHeight="1" x14ac:dyDescent="0.25"/>
    <row r="179" spans="11:30" customFormat="1" ht="15" x14ac:dyDescent="0.25">
      <c r="K179" s="118"/>
      <c r="L179" s="118"/>
    </row>
    <row r="180" spans="11:30" customFormat="1" ht="15" x14ac:dyDescent="0.25">
      <c r="K180" s="118"/>
      <c r="L180" s="118"/>
    </row>
    <row r="181" spans="11:30" customFormat="1" ht="15" x14ac:dyDescent="0.25">
      <c r="K181" s="118"/>
      <c r="L181" s="118"/>
    </row>
    <row r="182" spans="11:30" customFormat="1" ht="15" x14ac:dyDescent="0.25">
      <c r="K182" s="118"/>
      <c r="L182" s="118"/>
    </row>
    <row r="183" spans="11:30" customFormat="1" ht="15" x14ac:dyDescent="0.25">
      <c r="K183" s="118"/>
      <c r="L183" s="118"/>
    </row>
    <row r="184" spans="11:30" customFormat="1" ht="15" x14ac:dyDescent="0.25">
      <c r="K184" s="118"/>
      <c r="L184" s="118"/>
    </row>
    <row r="185" spans="11:30" customFormat="1" ht="15" x14ac:dyDescent="0.25">
      <c r="K185" s="118"/>
      <c r="L185" s="118"/>
    </row>
    <row r="186" spans="11:30" s="16" customFormat="1" ht="15" x14ac:dyDescent="0.2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26">
    <mergeCell ref="S170:T170"/>
    <mergeCell ref="U170:Z170"/>
    <mergeCell ref="S159:T159"/>
    <mergeCell ref="S160:T160"/>
    <mergeCell ref="R163:S163"/>
    <mergeCell ref="Q158:T158"/>
    <mergeCell ref="Q162:S162"/>
    <mergeCell ref="H158:J158"/>
    <mergeCell ref="L158:N158"/>
    <mergeCell ref="U159:Z159"/>
    <mergeCell ref="U160:Z160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U120:V120"/>
    <mergeCell ref="U121:V121"/>
    <mergeCell ref="U122:V12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H93:N93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L153:M153"/>
    <mergeCell ref="I153:K153"/>
    <mergeCell ref="T152:U152"/>
    <mergeCell ref="J147:L147"/>
    <mergeCell ref="J148:L148"/>
    <mergeCell ref="M147:N147"/>
    <mergeCell ref="M148:N148"/>
    <mergeCell ref="P147:R147"/>
    <mergeCell ref="P148:R148"/>
    <mergeCell ref="S147:T147"/>
    <mergeCell ref="S148:T148"/>
    <mergeCell ref="Q150:S150"/>
    <mergeCell ref="O152:S152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T130:T132"/>
    <mergeCell ref="I132:M132"/>
    <mergeCell ref="Y135:Z135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J118:L118"/>
    <mergeCell ref="H106:N106"/>
    <mergeCell ref="I114:N114"/>
    <mergeCell ref="O114:R114"/>
    <mergeCell ref="L123:M123"/>
    <mergeCell ref="L124:M124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H90:N90"/>
    <mergeCell ref="U91:Z91"/>
    <mergeCell ref="O110:R111"/>
    <mergeCell ref="X149:Z149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V58:Y59"/>
    <mergeCell ref="S112:S113"/>
    <mergeCell ref="I113:N113"/>
    <mergeCell ref="M82:O82"/>
    <mergeCell ref="O123:P123"/>
    <mergeCell ref="O124:P124"/>
    <mergeCell ref="I68:L71"/>
    <mergeCell ref="Q76:T77"/>
    <mergeCell ref="M66:O67"/>
    <mergeCell ref="O129:AA129"/>
    <mergeCell ref="G109:S109"/>
    <mergeCell ref="S110:S111"/>
    <mergeCell ref="U103:Z103"/>
    <mergeCell ref="H91:N91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E34:H35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C17:I17"/>
    <mergeCell ref="J17:L17"/>
    <mergeCell ref="M17:O17"/>
    <mergeCell ref="Q9:U10"/>
    <mergeCell ref="C18:I18"/>
    <mergeCell ref="J18:L18"/>
    <mergeCell ref="O141:AA141"/>
    <mergeCell ref="U60:Y60"/>
    <mergeCell ref="U78:Y78"/>
    <mergeCell ref="P78:T78"/>
    <mergeCell ref="J88:L88"/>
    <mergeCell ref="S86:U86"/>
    <mergeCell ref="V86:Z86"/>
    <mergeCell ref="I66:L67"/>
    <mergeCell ref="F66:H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O105:R105"/>
    <mergeCell ref="O106:R106"/>
    <mergeCell ref="U142:W142"/>
    <mergeCell ref="M86:N86"/>
    <mergeCell ref="U126:Z126"/>
    <mergeCell ref="W124:AA124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I76:L77"/>
    <mergeCell ref="P17:X17"/>
    <mergeCell ref="P60:T60"/>
    <mergeCell ref="M76:O77"/>
    <mergeCell ref="F58:H59"/>
    <mergeCell ref="F82:H82"/>
    <mergeCell ref="F76:H77"/>
    <mergeCell ref="N83:Q83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23:I23"/>
    <mergeCell ref="C22:I22"/>
    <mergeCell ref="J22:L22"/>
    <mergeCell ref="A36:C36"/>
    <mergeCell ref="C21:I21"/>
    <mergeCell ref="C24:D24"/>
    <mergeCell ref="C46:F46"/>
    <mergeCell ref="F86:H86"/>
    <mergeCell ref="I83:L83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68:P71 P76:P77 U76:U77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8" max="16384" width="5.140625" style="118"/>
  </cols>
  <sheetData>
    <row r="1" spans="1:66" ht="17.25" customHeight="1" x14ac:dyDescent="0.25">
      <c r="C1" s="634" t="s">
        <v>311</v>
      </c>
      <c r="D1" s="634"/>
      <c r="E1" s="634"/>
      <c r="F1" s="634"/>
      <c r="G1" s="626" t="s">
        <v>312</v>
      </c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</row>
    <row r="2" spans="1:66" ht="17.25" customHeight="1" x14ac:dyDescent="0.25">
      <c r="C2" s="634"/>
      <c r="D2" s="634"/>
      <c r="E2" s="634"/>
      <c r="F2" s="634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</row>
    <row r="3" spans="1:66" ht="17.25" customHeight="1" x14ac:dyDescent="0.25">
      <c r="C3" s="634"/>
      <c r="D3" s="634"/>
      <c r="E3" s="634"/>
      <c r="F3" s="634"/>
      <c r="G3" s="631" t="s">
        <v>316</v>
      </c>
      <c r="H3" s="631"/>
      <c r="I3" s="631"/>
      <c r="J3" s="632" t="s">
        <v>315</v>
      </c>
      <c r="K3" s="632"/>
      <c r="L3" s="632"/>
    </row>
    <row r="4" spans="1:66" ht="17.25" customHeight="1" x14ac:dyDescent="0.25">
      <c r="C4" s="634"/>
      <c r="D4" s="634"/>
      <c r="E4" s="634"/>
      <c r="F4" s="634"/>
      <c r="G4" s="478"/>
      <c r="H4" s="478"/>
      <c r="I4" s="478"/>
      <c r="J4" s="633"/>
      <c r="K4" s="633"/>
      <c r="L4" s="633"/>
      <c r="O4" s="118" t="s">
        <v>49</v>
      </c>
      <c r="P4" s="118" t="s">
        <v>442</v>
      </c>
    </row>
    <row r="6" spans="1:66" ht="17.25" customHeight="1" thickBot="1" x14ac:dyDescent="0.3"/>
    <row r="7" spans="1:66" ht="17.25" customHeight="1" thickBot="1" x14ac:dyDescent="0.3">
      <c r="B7" s="135" t="s">
        <v>1</v>
      </c>
      <c r="C7" s="136"/>
      <c r="D7" s="136"/>
      <c r="E7" s="170" t="str">
        <f>E8</f>
        <v>21/04/2024</v>
      </c>
      <c r="F7" s="170"/>
      <c r="G7" s="170" t="str" cm="1">
        <f t="array" ref="G7">heureDecimal2Txt(E11)</f>
        <v>18:48:51.00(18.8141)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</row>
    <row r="8" spans="1:66" ht="17.25" customHeight="1" x14ac:dyDescent="0.25">
      <c r="C8" s="627" t="s">
        <v>2</v>
      </c>
      <c r="D8" s="628"/>
      <c r="E8" s="693" t="s">
        <v>600</v>
      </c>
      <c r="F8" s="694"/>
      <c r="G8" s="694"/>
      <c r="H8" s="171"/>
      <c r="AC8" s="6" t="s">
        <v>405</v>
      </c>
      <c r="AD8" s="6" cm="1">
        <f t="array" ref="AD8">heureConvert2Decimal(I11)</f>
        <v>20.814166666666669</v>
      </c>
    </row>
    <row r="9" spans="1:66" ht="17.25" customHeight="1" thickBot="1" x14ac:dyDescent="0.3">
      <c r="C9" s="416" t="s">
        <v>12</v>
      </c>
      <c r="D9" s="418"/>
      <c r="E9" s="416" t="s">
        <v>3</v>
      </c>
      <c r="F9" s="417"/>
      <c r="G9" s="417"/>
      <c r="H9" s="418"/>
      <c r="I9" s="403" t="s">
        <v>267</v>
      </c>
      <c r="J9" s="403"/>
      <c r="K9" s="403"/>
      <c r="L9" s="403" t="s">
        <v>268</v>
      </c>
      <c r="M9" s="403"/>
      <c r="N9" s="403"/>
      <c r="O9" s="403"/>
      <c r="P9" s="403"/>
      <c r="Q9" s="403" t="s">
        <v>269</v>
      </c>
      <c r="R9" s="403"/>
      <c r="S9" s="403"/>
      <c r="T9" s="403"/>
      <c r="U9" s="403"/>
      <c r="V9" s="503" t="s">
        <v>266</v>
      </c>
      <c r="W9" s="504"/>
      <c r="X9" s="504"/>
      <c r="Y9" s="505"/>
      <c r="AB9" s="175"/>
      <c r="AC9" s="6" t="s">
        <v>406</v>
      </c>
      <c r="AD9" s="179">
        <f>L11</f>
        <v>-2</v>
      </c>
    </row>
    <row r="10" spans="1:66" ht="17.25" customHeight="1" x14ac:dyDescent="0.25">
      <c r="C10" s="629"/>
      <c r="D10" s="630"/>
      <c r="E10" s="419"/>
      <c r="F10" s="420"/>
      <c r="G10" s="420"/>
      <c r="H10" s="421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506"/>
      <c r="W10" s="507"/>
      <c r="X10" s="507"/>
      <c r="Y10" s="508"/>
      <c r="AC10" s="6" t="s">
        <v>407</v>
      </c>
      <c r="AD10" s="6">
        <f>Q11/3600</f>
        <v>0</v>
      </c>
    </row>
    <row r="11" spans="1:66" customFormat="1" ht="17.25" customHeight="1" thickBot="1" x14ac:dyDescent="0.3">
      <c r="A11" s="118"/>
      <c r="B11" s="118"/>
      <c r="C11" s="419"/>
      <c r="D11" s="421"/>
      <c r="E11" s="641">
        <f>AD8+AD9+AD10+AD11</f>
        <v>18.814166666666669</v>
      </c>
      <c r="F11" s="642"/>
      <c r="G11" s="642"/>
      <c r="H11" s="643"/>
      <c r="I11" s="519" t="s">
        <v>601</v>
      </c>
      <c r="J11" s="519"/>
      <c r="K11" s="519"/>
      <c r="L11" s="491">
        <v>-2</v>
      </c>
      <c r="M11" s="491"/>
      <c r="N11" s="491"/>
      <c r="O11" s="491"/>
      <c r="P11" s="491"/>
      <c r="Q11" s="491">
        <v>0</v>
      </c>
      <c r="R11" s="491"/>
      <c r="S11" s="491"/>
      <c r="T11" s="491"/>
      <c r="U11" s="492"/>
      <c r="V11" s="490" t="s">
        <v>265</v>
      </c>
      <c r="W11" s="490"/>
      <c r="X11" s="490"/>
      <c r="Y11" s="490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1:66" customFormat="1" ht="17.25" customHeight="1" thickTop="1" thickBot="1" x14ac:dyDescent="0.3">
      <c r="B12" s="118"/>
      <c r="E12" s="383" t="str" cm="1">
        <f t="array" ref="E12">heureDecimal2Txt(E11)</f>
        <v>18:48:51.00(18.8141)</v>
      </c>
      <c r="F12" s="384"/>
      <c r="G12" s="384"/>
      <c r="H12" s="38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1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1:66" customFormat="1" ht="17.25" customHeight="1" thickBot="1" x14ac:dyDescent="0.3">
      <c r="A14" s="118"/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1:66" customFormat="1" ht="18" customHeight="1" thickBot="1" x14ac:dyDescent="0.3">
      <c r="A15" s="118"/>
      <c r="C15" s="650" t="s">
        <v>409</v>
      </c>
      <c r="D15" s="651"/>
      <c r="E15" s="651"/>
      <c r="F15" s="651"/>
      <c r="G15" s="651"/>
      <c r="H15" s="651"/>
      <c r="I15" s="652"/>
      <c r="J15" s="653" t="s">
        <v>410</v>
      </c>
      <c r="K15" s="653"/>
      <c r="L15" s="653"/>
      <c r="M15" s="653"/>
      <c r="N15" s="653"/>
      <c r="O15" s="653"/>
      <c r="AB15" s="173"/>
      <c r="AC15" s="180" t="s">
        <v>410</v>
      </c>
      <c r="AD15" s="180" t="s">
        <v>411</v>
      </c>
      <c r="BN15" s="134"/>
    </row>
    <row r="16" spans="1:66" customFormat="1" ht="18" customHeight="1" thickTop="1" thickBot="1" x14ac:dyDescent="0.3">
      <c r="A16" s="118"/>
      <c r="B16" s="101"/>
      <c r="C16" s="650" t="s">
        <v>305</v>
      </c>
      <c r="D16" s="651"/>
      <c r="E16" s="651"/>
      <c r="F16" s="651"/>
      <c r="G16" s="651"/>
      <c r="H16" s="651"/>
      <c r="I16" s="652"/>
      <c r="J16" s="647" cm="1">
        <f t="array" ref="J16">angleConvert2Decimal(M16)</f>
        <v>0.9</v>
      </c>
      <c r="K16" s="648"/>
      <c r="L16" s="649"/>
      <c r="M16" s="644" t="s">
        <v>602</v>
      </c>
      <c r="N16" s="645"/>
      <c r="O16" s="646"/>
      <c r="P16" s="380" t="str" cm="1">
        <f t="array" ref="P16">angleDecimal2Txt(J16)</f>
        <v>+00°54.00 (+00.9000) [+00°54'00.00]</v>
      </c>
      <c r="Q16" s="381"/>
      <c r="R16" s="381"/>
      <c r="S16" s="381"/>
      <c r="T16" s="381"/>
      <c r="U16" s="381"/>
      <c r="V16" s="381"/>
      <c r="W16" s="381"/>
      <c r="X16" s="382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A17" s="118"/>
      <c r="B17" s="118"/>
      <c r="C17" s="404" t="s">
        <v>304</v>
      </c>
      <c r="D17" s="404"/>
      <c r="E17" s="404"/>
      <c r="F17" s="404"/>
      <c r="G17" s="404"/>
      <c r="H17" s="404"/>
      <c r="I17" s="404"/>
      <c r="J17" s="405" cm="1">
        <f t="array" ref="J17">angleConvert2Decimal(M17)</f>
        <v>41.9</v>
      </c>
      <c r="K17" s="406"/>
      <c r="L17" s="407"/>
      <c r="M17" s="500" t="s">
        <v>603</v>
      </c>
      <c r="N17" s="501"/>
      <c r="O17" s="502"/>
      <c r="P17" s="379" t="str" cm="1">
        <f t="array" ref="P17">angleDecimal2Txt(J17)</f>
        <v>+41°54.00 (+41.8999) [+41°54'00.00]</v>
      </c>
      <c r="Q17" s="379"/>
      <c r="R17" s="379"/>
      <c r="S17" s="379"/>
      <c r="T17" s="379"/>
      <c r="U17" s="379"/>
      <c r="V17" s="379"/>
      <c r="W17" s="379"/>
      <c r="X17" s="379"/>
      <c r="Y17" s="101"/>
      <c r="Z17" s="118"/>
      <c r="AA17" s="118"/>
      <c r="AB17" s="173"/>
      <c r="BN17" s="134"/>
    </row>
    <row r="18" spans="1:66" customFormat="1" ht="18" customHeight="1" thickTop="1" thickBot="1" x14ac:dyDescent="0.3">
      <c r="A18" s="118"/>
      <c r="B18" s="118"/>
      <c r="C18" s="404" t="s">
        <v>314</v>
      </c>
      <c r="D18" s="404"/>
      <c r="E18" s="404"/>
      <c r="F18" s="404"/>
      <c r="G18" s="404"/>
      <c r="H18" s="404"/>
      <c r="I18" s="404"/>
      <c r="J18" s="405" cm="1">
        <f t="array" ref="J18">angleConvert2Decimal(M18)</f>
        <v>20.5</v>
      </c>
      <c r="K18" s="406"/>
      <c r="L18" s="407"/>
      <c r="M18" s="500">
        <f>(J17-J16)/2</f>
        <v>20.5</v>
      </c>
      <c r="N18" s="501"/>
      <c r="O18" s="502"/>
      <c r="P18" s="379" t="str" cm="1">
        <f t="array" ref="P18">angleDecimal2Txt(J18)</f>
        <v>+20°30.00 (+20.5000) [+20°30'00.00]</v>
      </c>
      <c r="Q18" s="379"/>
      <c r="R18" s="379"/>
      <c r="S18" s="379"/>
      <c r="T18" s="379"/>
      <c r="U18" s="379"/>
      <c r="V18" s="379"/>
      <c r="W18" s="379"/>
      <c r="X18" s="379"/>
      <c r="Y18" s="101"/>
      <c r="Z18" s="118"/>
      <c r="AA18" s="118"/>
      <c r="AB18" s="173"/>
      <c r="BN18" s="134"/>
    </row>
    <row r="19" spans="1:66" customFormat="1" ht="18" customHeight="1" thickTop="1" thickBot="1" x14ac:dyDescent="0.3">
      <c r="A19" s="118"/>
      <c r="B19" s="118"/>
      <c r="C19" s="365" t="s">
        <v>22</v>
      </c>
      <c r="D19" s="365"/>
      <c r="E19" s="365"/>
      <c r="F19" s="365"/>
      <c r="G19" s="365"/>
      <c r="H19" s="365"/>
      <c r="I19" s="365"/>
      <c r="J19" s="493">
        <f>M19</f>
        <v>0</v>
      </c>
      <c r="K19" s="494"/>
      <c r="L19" s="495"/>
      <c r="M19" s="514">
        <v>0</v>
      </c>
      <c r="N19" s="514"/>
      <c r="O19" s="514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1:66" customFormat="1" ht="18" customHeight="1" thickTop="1" thickBot="1" x14ac:dyDescent="0.3">
      <c r="A20" s="118"/>
      <c r="B20" s="101"/>
      <c r="C20" s="690" t="s">
        <v>23</v>
      </c>
      <c r="D20" s="691"/>
      <c r="E20" s="691"/>
      <c r="F20" s="691"/>
      <c r="G20" s="691"/>
      <c r="H20" s="691"/>
      <c r="I20" s="692"/>
      <c r="J20" s="454" cm="1">
        <f t="array" ref="J20">angleConvert2Decimal(M20)</f>
        <v>0</v>
      </c>
      <c r="K20" s="455"/>
      <c r="L20" s="455"/>
      <c r="M20" s="513">
        <v>0</v>
      </c>
      <c r="N20" s="514"/>
      <c r="O20" s="514"/>
      <c r="P20" s="379" t="str" cm="1">
        <f t="array" ref="P20">angleDecimal2Txt(J20)</f>
        <v>+00°00.00 (+00.0000) [+00°00'00.00]</v>
      </c>
      <c r="Q20" s="379"/>
      <c r="R20" s="379"/>
      <c r="S20" s="379"/>
      <c r="T20" s="379"/>
      <c r="U20" s="379"/>
      <c r="V20" s="379"/>
      <c r="W20" s="379"/>
      <c r="X20" s="379"/>
      <c r="Y20" s="101"/>
      <c r="Z20" s="118"/>
      <c r="AA20" s="118"/>
      <c r="AB20" s="173"/>
      <c r="BN20" s="134"/>
    </row>
    <row r="21" spans="1:66" customFormat="1" ht="18" customHeight="1" thickTop="1" thickBot="1" x14ac:dyDescent="0.3">
      <c r="A21" s="118"/>
      <c r="B21" s="118"/>
      <c r="C21" s="372" t="s">
        <v>33</v>
      </c>
      <c r="D21" s="372"/>
      <c r="E21" s="372"/>
      <c r="F21" s="372"/>
      <c r="G21" s="372"/>
      <c r="H21" s="372"/>
      <c r="I21" s="372"/>
      <c r="J21" s="682" cm="1">
        <f t="array" ref="J21">IF(J15=AC15,J18,angleConvert2Decimal(M21))</f>
        <v>20.5</v>
      </c>
      <c r="K21" s="683"/>
      <c r="L21" s="683"/>
      <c r="M21" s="684" t="s">
        <v>307</v>
      </c>
      <c r="N21" s="685"/>
      <c r="O21" s="686"/>
      <c r="P21" s="379" t="str" cm="1">
        <f t="array" ref="P21">angleDecimal2Txt(J21)</f>
        <v>+20°30.00 (+20.5000) [+20°30'00.00]</v>
      </c>
      <c r="Q21" s="379"/>
      <c r="R21" s="379"/>
      <c r="S21" s="379"/>
      <c r="T21" s="379"/>
      <c r="U21" s="379"/>
      <c r="V21" s="379"/>
      <c r="W21" s="379"/>
      <c r="X21" s="379"/>
      <c r="Y21" s="101"/>
      <c r="Z21" s="118"/>
      <c r="AA21" s="118"/>
      <c r="AB21" s="173"/>
      <c r="BN21" s="134"/>
    </row>
    <row r="22" spans="1:66" customFormat="1" ht="18" customHeight="1" thickTop="1" x14ac:dyDescent="0.25">
      <c r="A22" s="118"/>
      <c r="B22" s="118"/>
      <c r="C22" s="365" t="s">
        <v>38</v>
      </c>
      <c r="D22" s="365"/>
      <c r="E22" s="365"/>
      <c r="F22" s="365"/>
      <c r="G22" s="365"/>
      <c r="H22" s="365"/>
      <c r="I22" s="365"/>
      <c r="J22" s="366" t="str">
        <f>M22</f>
        <v>Lune</v>
      </c>
      <c r="K22" s="367"/>
      <c r="L22" s="368"/>
      <c r="M22" s="687" t="s">
        <v>41</v>
      </c>
      <c r="N22" s="688"/>
      <c r="O22" s="689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1:66" customFormat="1" ht="18" customHeight="1" x14ac:dyDescent="0.25">
      <c r="A23" s="118"/>
      <c r="B23" s="118"/>
      <c r="C23" s="365" t="s">
        <v>128</v>
      </c>
      <c r="D23" s="365"/>
      <c r="E23" s="365"/>
      <c r="F23" s="365"/>
      <c r="G23" s="365"/>
      <c r="H23" s="365"/>
      <c r="I23" s="365"/>
      <c r="J23" s="399" t="str">
        <f>M23</f>
        <v>BordInf</v>
      </c>
      <c r="K23" s="399"/>
      <c r="L23" s="399"/>
      <c r="M23" s="509" t="s">
        <v>129</v>
      </c>
      <c r="N23" s="509"/>
      <c r="O23" s="50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1:66" customFormat="1" ht="17.25" customHeight="1" x14ac:dyDescent="0.25">
      <c r="A24" s="118"/>
      <c r="B24" s="118"/>
      <c r="C24" s="373" t="s">
        <v>389</v>
      </c>
      <c r="D24" s="374"/>
      <c r="E24" s="137"/>
      <c r="F24" s="137"/>
      <c r="G24" s="137"/>
      <c r="H24" s="137"/>
      <c r="I24" s="138"/>
      <c r="J24" s="474" cm="1">
        <f t="array" ref="J24">angleConvert2Decimal(M24)</f>
        <v>0</v>
      </c>
      <c r="K24" s="475"/>
      <c r="L24" s="476"/>
      <c r="M24" s="483" t="s">
        <v>604</v>
      </c>
      <c r="N24" s="484"/>
      <c r="O24" s="484"/>
      <c r="P24" s="489" t="s">
        <v>175</v>
      </c>
      <c r="Q24" s="489"/>
      <c r="R24" s="489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1:66" customFormat="1" ht="17.25" customHeight="1" thickBot="1" x14ac:dyDescent="0.3">
      <c r="A25" s="118"/>
      <c r="B25" s="118"/>
      <c r="C25" s="139"/>
      <c r="D25" s="456" t="s">
        <v>390</v>
      </c>
      <c r="E25" s="456"/>
      <c r="F25" s="456"/>
      <c r="G25" s="456"/>
      <c r="H25" s="456"/>
      <c r="I25" s="457"/>
      <c r="J25" s="477"/>
      <c r="K25" s="478"/>
      <c r="L25" s="479"/>
      <c r="M25" s="485"/>
      <c r="N25" s="486"/>
      <c r="O25" s="486"/>
      <c r="P25" s="489"/>
      <c r="Q25" s="489"/>
      <c r="R25" s="489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605</v>
      </c>
      <c r="AF25" s="183" t="s">
        <v>148</v>
      </c>
      <c r="AG25" s="118"/>
      <c r="AH25" s="118"/>
      <c r="BN25" s="134"/>
    </row>
    <row r="26" spans="1:66" customFormat="1" ht="17.25" customHeight="1" thickTop="1" thickBot="1" x14ac:dyDescent="0.3">
      <c r="A26" s="118"/>
      <c r="B26" s="118"/>
      <c r="C26" s="139"/>
      <c r="D26" s="456"/>
      <c r="E26" s="456"/>
      <c r="F26" s="456"/>
      <c r="G26" s="456"/>
      <c r="H26" s="456"/>
      <c r="I26" s="457"/>
      <c r="J26" s="477"/>
      <c r="K26" s="478"/>
      <c r="L26" s="479"/>
      <c r="M26" s="485"/>
      <c r="N26" s="486"/>
      <c r="O26" s="486"/>
      <c r="P26" s="518" t="str">
        <f>HLOOKUP(M22,AD23:AF25,2,FALSE)</f>
        <v>54'</v>
      </c>
      <c r="Q26" s="518"/>
      <c r="R26" s="518"/>
      <c r="S26" s="516" t="str" cm="1">
        <f t="array" ref="S26">angleDecimal2Txt(angleConvert2Decimal(P26))</f>
        <v>+00°54.00 (+00.9000) [+00°54'00.00]</v>
      </c>
      <c r="T26" s="516"/>
      <c r="U26" s="516"/>
      <c r="V26" s="516"/>
      <c r="W26" s="516"/>
      <c r="X26" s="517"/>
      <c r="Y26" s="101"/>
      <c r="Z26" s="118"/>
      <c r="AA26" s="118"/>
      <c r="AB26" s="173"/>
      <c r="BN26" s="134"/>
    </row>
    <row r="27" spans="1:66" customFormat="1" ht="17.25" customHeight="1" thickTop="1" thickBot="1" x14ac:dyDescent="0.3">
      <c r="A27" s="118"/>
      <c r="B27" s="118"/>
      <c r="C27" s="140"/>
      <c r="D27" s="458"/>
      <c r="E27" s="458"/>
      <c r="F27" s="458"/>
      <c r="G27" s="458"/>
      <c r="H27" s="458"/>
      <c r="I27" s="459"/>
      <c r="J27" s="480"/>
      <c r="K27" s="481"/>
      <c r="L27" s="482"/>
      <c r="M27" s="487"/>
      <c r="N27" s="488"/>
      <c r="O27" s="488"/>
      <c r="P27" s="512" t="str" cm="1">
        <f t="array" ref="P27">angleDecimal2Txt(J24)</f>
        <v>+00°00.00 (+00.0000) [+00°00'00.00]</v>
      </c>
      <c r="Q27" s="512"/>
      <c r="R27" s="512"/>
      <c r="S27" s="379"/>
      <c r="T27" s="379"/>
      <c r="U27" s="379"/>
      <c r="V27" s="379"/>
      <c r="W27" s="379"/>
      <c r="X27" s="379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1:66" customFormat="1" ht="17.25" customHeight="1" thickTop="1" x14ac:dyDescent="0.25">
      <c r="A28" s="118"/>
      <c r="B28" s="118"/>
      <c r="C28" s="466" t="s">
        <v>180</v>
      </c>
      <c r="D28" s="467"/>
      <c r="E28" s="467"/>
      <c r="F28" s="467"/>
      <c r="G28" s="467"/>
      <c r="H28" s="467"/>
      <c r="I28" s="468"/>
      <c r="J28" s="474" cm="1">
        <f t="array" ref="J28">angleConvert2Decimal(M28)</f>
        <v>0.4924</v>
      </c>
      <c r="K28" s="475"/>
      <c r="L28" s="476"/>
      <c r="M28" s="483">
        <v>0.4924</v>
      </c>
      <c r="N28" s="484"/>
      <c r="O28" s="484"/>
      <c r="P28" s="489" t="s">
        <v>175</v>
      </c>
      <c r="Q28" s="489"/>
      <c r="R28" s="489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1</v>
      </c>
      <c r="AE28" s="184">
        <v>-1</v>
      </c>
      <c r="AF28" s="184">
        <v>-0.5</v>
      </c>
      <c r="BN28" s="134"/>
    </row>
    <row r="29" spans="1:66" customFormat="1" ht="17.25" customHeight="1" thickBot="1" x14ac:dyDescent="0.3">
      <c r="A29" s="118"/>
      <c r="B29" s="118"/>
      <c r="C29" s="469"/>
      <c r="D29" s="375"/>
      <c r="E29" s="375"/>
      <c r="F29" s="375"/>
      <c r="G29" s="375"/>
      <c r="H29" s="375"/>
      <c r="I29" s="470"/>
      <c r="J29" s="477"/>
      <c r="K29" s="478"/>
      <c r="L29" s="479"/>
      <c r="M29" s="485"/>
      <c r="N29" s="486"/>
      <c r="O29" s="486"/>
      <c r="P29" s="489"/>
      <c r="Q29" s="489"/>
      <c r="R29" s="489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1:66" customFormat="1" ht="17.25" customHeight="1" thickTop="1" thickBot="1" x14ac:dyDescent="0.3">
      <c r="A30" s="118"/>
      <c r="B30" s="118"/>
      <c r="C30" s="469"/>
      <c r="D30" s="375"/>
      <c r="E30" s="375"/>
      <c r="F30" s="375"/>
      <c r="G30" s="375"/>
      <c r="H30" s="375"/>
      <c r="I30" s="470"/>
      <c r="J30" s="477"/>
      <c r="K30" s="478"/>
      <c r="L30" s="479"/>
      <c r="M30" s="485"/>
      <c r="N30" s="486"/>
      <c r="O30" s="486"/>
      <c r="P30" s="518" t="str">
        <f>HLOOKUP(M22,AD23:AF25,3,FALSE)</f>
        <v>28.0'</v>
      </c>
      <c r="Q30" s="518"/>
      <c r="R30" s="518"/>
      <c r="S30" s="516" t="str" cm="1">
        <f t="array" ref="S30">angleDecimal2Txt(angleConvert2Decimal(P30))</f>
        <v>+00°00.00 (+00.0000) [+00°00'00.00]</v>
      </c>
      <c r="T30" s="516"/>
      <c r="U30" s="516"/>
      <c r="V30" s="516"/>
      <c r="W30" s="516"/>
      <c r="X30" s="517"/>
      <c r="Y30" s="101"/>
      <c r="Z30" s="118"/>
      <c r="AA30" s="118"/>
      <c r="AB30" s="173"/>
      <c r="AD30">
        <f>J28*2</f>
        <v>0.98480000000000001</v>
      </c>
      <c r="BN30" s="134"/>
    </row>
    <row r="31" spans="1:66" customFormat="1" ht="17.25" customHeight="1" thickTop="1" thickBot="1" x14ac:dyDescent="0.3">
      <c r="A31" s="118"/>
      <c r="B31" s="118"/>
      <c r="C31" s="471"/>
      <c r="D31" s="472"/>
      <c r="E31" s="472"/>
      <c r="F31" s="472"/>
      <c r="G31" s="472"/>
      <c r="H31" s="472"/>
      <c r="I31" s="473"/>
      <c r="J31" s="480"/>
      <c r="K31" s="481"/>
      <c r="L31" s="482"/>
      <c r="M31" s="487"/>
      <c r="N31" s="488"/>
      <c r="O31" s="488"/>
      <c r="P31" s="512" t="str" cm="1">
        <f t="array" ref="P31">angleDecimal2Txt(J28)</f>
        <v>+00°29.54 (+00.4924) [+00°29'32.64]</v>
      </c>
      <c r="Q31" s="512"/>
      <c r="R31" s="512"/>
      <c r="S31" s="379"/>
      <c r="T31" s="379"/>
      <c r="U31" s="379"/>
      <c r="V31" s="379"/>
      <c r="W31" s="379"/>
      <c r="X31" s="379"/>
      <c r="Y31" s="101"/>
      <c r="Z31" s="118"/>
      <c r="AA31" s="118"/>
      <c r="AB31" s="173"/>
      <c r="BN31" s="134"/>
    </row>
    <row r="32" spans="1:66" customFormat="1" ht="17.25" customHeight="1" thickTop="1" thickBot="1" x14ac:dyDescent="0.3">
      <c r="A32" s="118"/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6" customFormat="1" ht="17.25" customHeight="1" thickBot="1" x14ac:dyDescent="0.3">
      <c r="A33" s="118"/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6" ht="17.25" customHeight="1" x14ac:dyDescent="0.25">
      <c r="C34" s="101"/>
      <c r="D34" s="101"/>
      <c r="E34" s="522" t="s">
        <v>8</v>
      </c>
      <c r="F34" s="522"/>
      <c r="G34" s="522"/>
      <c r="H34" s="522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6" ht="17.25" customHeight="1" thickBot="1" x14ac:dyDescent="0.3">
      <c r="C35" s="101"/>
      <c r="D35" s="101"/>
      <c r="E35" s="522"/>
      <c r="F35" s="522"/>
      <c r="G35" s="522"/>
      <c r="H35" s="522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6" ht="17.25" customHeight="1" thickTop="1" thickBot="1" x14ac:dyDescent="0.3">
      <c r="A36" s="369" t="s">
        <v>42</v>
      </c>
      <c r="B36" s="370"/>
      <c r="C36" s="371"/>
      <c r="D36" s="101"/>
      <c r="E36" s="101"/>
      <c r="F36" s="390">
        <f>AD37</f>
        <v>48.875500000000002</v>
      </c>
      <c r="G36" s="510"/>
      <c r="H36" s="510"/>
      <c r="I36" s="357" t="s">
        <v>4</v>
      </c>
      <c r="J36" s="515" t="s">
        <v>606</v>
      </c>
      <c r="K36" s="357"/>
      <c r="L36" s="357"/>
      <c r="M36" s="357"/>
      <c r="N36" s="357"/>
      <c r="O36" s="386" t="str" cm="1">
        <f t="array" ref="O36">angleDecimal2Txt(AD37)</f>
        <v>+48°52.53 (+48.8755) [+48°52'31.80]</v>
      </c>
      <c r="P36" s="386"/>
      <c r="Q36" s="386"/>
      <c r="R36" s="386"/>
      <c r="S36" s="386"/>
      <c r="T36" s="386"/>
      <c r="U36" s="386"/>
      <c r="V36" s="386"/>
      <c r="W36" s="386"/>
      <c r="X36" s="386"/>
      <c r="Y36" s="101"/>
      <c r="Z36" s="101"/>
      <c r="AC36" s="6" t="s">
        <v>412</v>
      </c>
      <c r="AD36" s="6">
        <f>VLOOKUP(I36,A38:C39,3)</f>
        <v>1</v>
      </c>
      <c r="BN36" s="141"/>
    </row>
    <row r="37" spans="1:66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10"/>
      <c r="G37" s="510"/>
      <c r="H37" s="510"/>
      <c r="I37" s="357"/>
      <c r="J37" s="357"/>
      <c r="K37" s="357"/>
      <c r="L37" s="357"/>
      <c r="M37" s="357"/>
      <c r="N37" s="357"/>
      <c r="O37" s="386"/>
      <c r="P37" s="386"/>
      <c r="Q37" s="386"/>
      <c r="R37" s="386"/>
      <c r="S37" s="386"/>
      <c r="T37" s="386"/>
      <c r="U37" s="386"/>
      <c r="V37" s="386"/>
      <c r="W37" s="386"/>
      <c r="X37" s="386"/>
      <c r="Y37" s="101"/>
      <c r="Z37" s="101"/>
      <c r="AC37" s="6" t="s">
        <v>413</v>
      </c>
      <c r="AD37" s="6" cm="1">
        <f t="array" ref="AD37">angleConvert2Decimal(J36)*AD36</f>
        <v>48.875500000000002</v>
      </c>
      <c r="BN37" s="141"/>
    </row>
    <row r="38" spans="1:66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6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11" t="s">
        <v>9</v>
      </c>
      <c r="F39" s="511"/>
      <c r="G39" s="511"/>
      <c r="H39" s="51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6" ht="17.25" customHeight="1" thickBot="1" x14ac:dyDescent="0.3">
      <c r="C40" s="101"/>
      <c r="D40" s="101"/>
      <c r="E40" s="511"/>
      <c r="F40" s="511"/>
      <c r="G40" s="511"/>
      <c r="H40" s="51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6" ht="17.25" customHeight="1" thickTop="1" thickBot="1" x14ac:dyDescent="0.3">
      <c r="B41" s="101"/>
      <c r="C41" s="101"/>
      <c r="D41" s="101"/>
      <c r="E41" s="101"/>
      <c r="F41" s="390">
        <f>AD42</f>
        <v>2.0945</v>
      </c>
      <c r="G41" s="510"/>
      <c r="H41" s="510"/>
      <c r="I41" s="357" t="s">
        <v>6</v>
      </c>
      <c r="J41" s="515" t="s">
        <v>607</v>
      </c>
      <c r="K41" s="357"/>
      <c r="L41" s="357"/>
      <c r="M41" s="357"/>
      <c r="N41" s="357"/>
      <c r="O41" s="386" t="str" cm="1">
        <f t="array" ref="O41">angleDecimal2Txt(AD42)</f>
        <v>+02°05.66 (+02.0945) [+02°05'40.19]</v>
      </c>
      <c r="P41" s="386"/>
      <c r="Q41" s="386"/>
      <c r="R41" s="386"/>
      <c r="S41" s="386"/>
      <c r="T41" s="386"/>
      <c r="U41" s="386"/>
      <c r="V41" s="386"/>
      <c r="W41" s="386"/>
      <c r="X41" s="386"/>
      <c r="Y41" s="101"/>
      <c r="Z41" s="101"/>
      <c r="AC41" s="6" t="s">
        <v>414</v>
      </c>
      <c r="AD41" s="6">
        <f>VLOOKUP(I41,B38:C39,2)</f>
        <v>1</v>
      </c>
    </row>
    <row r="42" spans="1:66" ht="17.25" customHeight="1" thickTop="1" thickBot="1" x14ac:dyDescent="0.3">
      <c r="C42" s="101"/>
      <c r="D42" s="101"/>
      <c r="E42" s="101"/>
      <c r="F42" s="510"/>
      <c r="G42" s="510"/>
      <c r="H42" s="510"/>
      <c r="I42" s="357"/>
      <c r="J42" s="357"/>
      <c r="K42" s="357"/>
      <c r="L42" s="357"/>
      <c r="M42" s="357"/>
      <c r="N42" s="357"/>
      <c r="O42" s="386"/>
      <c r="P42" s="386"/>
      <c r="Q42" s="386"/>
      <c r="R42" s="386"/>
      <c r="S42" s="386"/>
      <c r="T42" s="386"/>
      <c r="U42" s="386"/>
      <c r="V42" s="386"/>
      <c r="W42" s="386"/>
      <c r="X42" s="386"/>
      <c r="Y42" s="101"/>
      <c r="Z42" s="101"/>
      <c r="AC42" s="6" t="s">
        <v>415</v>
      </c>
      <c r="AD42" s="6" cm="1">
        <f t="array" ref="AD42">angleConvert2Decimal(J41)*AD41</f>
        <v>2.0945</v>
      </c>
    </row>
    <row r="43" spans="1:66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6" ht="17.25" customHeight="1" thickBot="1" x14ac:dyDescent="0.3"/>
    <row r="45" spans="1:66" ht="17.25" customHeight="1" thickBot="1" x14ac:dyDescent="0.3">
      <c r="B45" s="135" t="s">
        <v>10</v>
      </c>
      <c r="C45" s="136"/>
      <c r="D45" s="136"/>
      <c r="E45" s="136"/>
      <c r="F45" s="465">
        <f>IF(G46=AD46,F50,F58)</f>
        <v>-2.4</v>
      </c>
      <c r="G45" s="465"/>
      <c r="H45" s="465"/>
      <c r="I45" s="136"/>
      <c r="J45" s="136"/>
      <c r="K45" s="136" t="e" cm="1">
        <f t="array" ref="K45">angleDecimal2Txt(D)</f>
        <v>#VALUE!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6" s="143" customFormat="1" ht="17.25" customHeight="1" x14ac:dyDescent="0.25">
      <c r="C46" s="375" t="s">
        <v>44</v>
      </c>
      <c r="D46" s="375"/>
      <c r="E46" s="375"/>
      <c r="F46" s="375"/>
      <c r="G46" s="637" t="s">
        <v>11</v>
      </c>
      <c r="H46" s="637"/>
      <c r="I46" s="637"/>
      <c r="AB46" s="177"/>
      <c r="AC46" s="353" t="s">
        <v>45</v>
      </c>
      <c r="AD46" s="180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4" t="s">
        <v>11</v>
      </c>
      <c r="D47" s="144"/>
      <c r="E47" s="145"/>
      <c r="F47" s="145"/>
      <c r="G47" s="101"/>
      <c r="H47" s="101"/>
      <c r="I47" s="101"/>
      <c r="AC47" s="353"/>
      <c r="AD47" s="180" t="s">
        <v>17</v>
      </c>
      <c r="AF47" s="118"/>
      <c r="AG47" s="118"/>
    </row>
    <row r="48" spans="1:66" ht="17.25" customHeight="1" x14ac:dyDescent="0.25">
      <c r="F48" s="360" t="s">
        <v>10</v>
      </c>
      <c r="G48" s="360"/>
      <c r="H48" s="360"/>
      <c r="I48" s="360" t="s">
        <v>13</v>
      </c>
      <c r="J48" s="360"/>
      <c r="K48" s="360"/>
      <c r="L48" s="360"/>
      <c r="M48" s="361" t="s">
        <v>14</v>
      </c>
      <c r="N48" s="361"/>
      <c r="O48" s="361"/>
      <c r="P48" s="524" t="s">
        <v>18</v>
      </c>
      <c r="Q48" s="524"/>
      <c r="R48" s="524"/>
      <c r="S48" s="524"/>
      <c r="T48" s="524"/>
      <c r="U48" s="101"/>
      <c r="AD48" s="185" t="s">
        <v>146</v>
      </c>
      <c r="AE48" s="6" t="s">
        <v>426</v>
      </c>
    </row>
    <row r="49" spans="1:66" ht="17.25" customHeight="1" thickBot="1" x14ac:dyDescent="0.3">
      <c r="F49" s="360"/>
      <c r="G49" s="360"/>
      <c r="H49" s="360"/>
      <c r="I49" s="360"/>
      <c r="J49" s="360"/>
      <c r="K49" s="360"/>
      <c r="L49" s="360"/>
      <c r="M49" s="361"/>
      <c r="N49" s="361"/>
      <c r="O49" s="361"/>
      <c r="P49" s="524"/>
      <c r="Q49" s="524"/>
      <c r="R49" s="524"/>
      <c r="S49" s="524"/>
      <c r="T49" s="524"/>
      <c r="U49" s="101"/>
      <c r="AC49" s="6" t="s">
        <v>416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 x14ac:dyDescent="0.3">
      <c r="A50" s="118"/>
      <c r="B50" s="118"/>
      <c r="C50" s="171"/>
      <c r="D50" s="171"/>
      <c r="E50" s="118"/>
      <c r="F50" s="389">
        <f>IF(G46=AD47,"---",AD54)</f>
        <v>-2.4</v>
      </c>
      <c r="G50" s="389"/>
      <c r="H50" s="389"/>
      <c r="I50" s="356">
        <f>E11</f>
        <v>18.814166666666669</v>
      </c>
      <c r="J50" s="356"/>
      <c r="K50" s="356"/>
      <c r="L50" s="356"/>
      <c r="M50" s="358">
        <v>10</v>
      </c>
      <c r="N50" s="356"/>
      <c r="O50" s="356"/>
      <c r="P50" s="356" t="s">
        <v>5</v>
      </c>
      <c r="Q50" s="528">
        <v>2.4</v>
      </c>
      <c r="R50" s="356"/>
      <c r="S50" s="356"/>
      <c r="T50" s="356"/>
      <c r="U50" s="386" t="str" cm="1">
        <f t="array" ref="U50">angleDecimal2Txt(AE49)</f>
        <v>-02°24.00 (-02.3999) [-02°24'00.00]</v>
      </c>
      <c r="V50" s="387"/>
      <c r="W50" s="387"/>
      <c r="X50" s="387"/>
      <c r="Y50" s="387"/>
      <c r="Z50" s="118"/>
      <c r="AA50" s="118"/>
      <c r="AB50" s="173"/>
      <c r="AC50" s="6" t="s">
        <v>417</v>
      </c>
      <c r="AD50" s="6">
        <f>VLOOKUP(P52,$A$38:$C$39,3)</f>
        <v>-1</v>
      </c>
      <c r="AE50" s="6" cm="1">
        <f t="array" ref="AE50">AD50*angleConvert2Decimal(Q52)</f>
        <v>-2.4</v>
      </c>
      <c r="BN50" s="134"/>
    </row>
    <row r="51" spans="1:66" customFormat="1" ht="17.25" customHeight="1" thickTop="1" thickBot="1" x14ac:dyDescent="0.3">
      <c r="A51" s="118"/>
      <c r="B51" s="118"/>
      <c r="C51" s="171"/>
      <c r="D51" s="171"/>
      <c r="E51" s="171"/>
      <c r="F51" s="390"/>
      <c r="G51" s="390"/>
      <c r="H51" s="390"/>
      <c r="I51" s="357"/>
      <c r="J51" s="357"/>
      <c r="K51" s="357"/>
      <c r="L51" s="357"/>
      <c r="M51" s="359"/>
      <c r="N51" s="357"/>
      <c r="O51" s="357"/>
      <c r="P51" s="357"/>
      <c r="Q51" s="357"/>
      <c r="R51" s="357"/>
      <c r="S51" s="357"/>
      <c r="T51" s="357"/>
      <c r="U51" s="387"/>
      <c r="V51" s="387"/>
      <c r="W51" s="387"/>
      <c r="X51" s="387"/>
      <c r="Y51" s="387"/>
      <c r="Z51" s="118"/>
      <c r="AA51" s="118"/>
      <c r="AB51" s="173"/>
      <c r="AC51" s="6" t="s">
        <v>47</v>
      </c>
      <c r="AD51" s="8">
        <f>AE50-AE49</f>
        <v>0</v>
      </c>
      <c r="BN51" s="134"/>
    </row>
    <row r="52" spans="1:66" customFormat="1" ht="17.25" customHeight="1" thickTop="1" thickBot="1" x14ac:dyDescent="0.3">
      <c r="A52" s="118"/>
      <c r="B52" s="118"/>
      <c r="C52" s="171"/>
      <c r="D52" s="171"/>
      <c r="E52" s="171"/>
      <c r="F52" s="390"/>
      <c r="G52" s="390"/>
      <c r="H52" s="390"/>
      <c r="I52" s="357"/>
      <c r="J52" s="357"/>
      <c r="K52" s="357"/>
      <c r="L52" s="357"/>
      <c r="M52" s="359">
        <v>11</v>
      </c>
      <c r="N52" s="357"/>
      <c r="O52" s="357"/>
      <c r="P52" s="357" t="s">
        <v>5</v>
      </c>
      <c r="Q52" s="515">
        <v>2.4</v>
      </c>
      <c r="R52" s="357"/>
      <c r="S52" s="357"/>
      <c r="T52" s="357"/>
      <c r="U52" s="386" t="str" cm="1">
        <f t="array" ref="U52">angleDecimal2Txt((AE50))</f>
        <v>-02°24.00 (-02.3999) [-02°24'00.00]</v>
      </c>
      <c r="V52" s="387"/>
      <c r="W52" s="387"/>
      <c r="X52" s="387"/>
      <c r="Y52" s="387"/>
      <c r="Z52" s="118"/>
      <c r="AA52" s="118"/>
      <c r="AB52" s="173"/>
      <c r="AC52" s="6" t="s">
        <v>419</v>
      </c>
      <c r="AD52" s="8">
        <f>M52-M50</f>
        <v>1</v>
      </c>
      <c r="AE52" s="118"/>
      <c r="AF52" s="118"/>
      <c r="AG52" s="118"/>
      <c r="AH52" s="118"/>
      <c r="BN52" s="134"/>
    </row>
    <row r="53" spans="1:66" customFormat="1" ht="17.25" customHeight="1" thickTop="1" thickBot="1" x14ac:dyDescent="0.3">
      <c r="A53" s="118"/>
      <c r="B53" s="118"/>
      <c r="C53" s="171"/>
      <c r="D53" s="171"/>
      <c r="E53" s="171"/>
      <c r="F53" s="390"/>
      <c r="G53" s="390"/>
      <c r="H53" s="390"/>
      <c r="I53" s="357"/>
      <c r="J53" s="357"/>
      <c r="K53" s="357"/>
      <c r="L53" s="357"/>
      <c r="M53" s="359"/>
      <c r="N53" s="357"/>
      <c r="O53" s="357"/>
      <c r="P53" s="357"/>
      <c r="Q53" s="357"/>
      <c r="R53" s="357"/>
      <c r="S53" s="357"/>
      <c r="T53" s="357"/>
      <c r="U53" s="387"/>
      <c r="V53" s="387"/>
      <c r="W53" s="387"/>
      <c r="X53" s="387"/>
      <c r="Y53" s="387"/>
      <c r="Z53" s="118"/>
      <c r="AA53" s="118"/>
      <c r="AB53" s="173"/>
      <c r="AC53" s="6" t="s">
        <v>48</v>
      </c>
      <c r="AD53" s="8">
        <f>I50-M50</f>
        <v>8.8141666666666687</v>
      </c>
      <c r="AI53" s="42"/>
      <c r="BN53" s="134"/>
    </row>
    <row r="54" spans="1:66" customFormat="1" ht="17.25" customHeight="1" thickTop="1" thickBot="1" x14ac:dyDescent="0.3">
      <c r="A54" s="118"/>
      <c r="B54" s="118"/>
      <c r="C54" s="171"/>
      <c r="D54" s="171"/>
      <c r="E54" s="171"/>
      <c r="F54" s="379" t="str" cm="1">
        <f t="array" ref="F54">angleDecimal2Txt(F50)</f>
        <v>-02°24.00 (-02.3999) [-02°24'00.00]</v>
      </c>
      <c r="G54" s="379"/>
      <c r="H54" s="379"/>
      <c r="I54" s="379"/>
      <c r="J54" s="379"/>
      <c r="K54" s="379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01"/>
      <c r="AB54" s="173"/>
      <c r="AC54" s="6" t="s">
        <v>46</v>
      </c>
      <c r="AD54" s="6">
        <f>AE49+(AD51/AD52)*AD53</f>
        <v>-2.4</v>
      </c>
      <c r="BN54" s="134"/>
    </row>
    <row r="55" spans="1:66" customFormat="1" ht="17.25" customHeight="1" thickTop="1" x14ac:dyDescent="0.25">
      <c r="A55" s="118"/>
      <c r="B55" s="118"/>
      <c r="C55" s="144" t="s">
        <v>17</v>
      </c>
      <c r="D55" s="144"/>
      <c r="E55" s="145"/>
      <c r="F55" s="145"/>
      <c r="G55" s="101"/>
      <c r="H55" s="101"/>
      <c r="I55" s="101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01"/>
      <c r="AB55" s="173"/>
      <c r="BN55" s="134"/>
    </row>
    <row r="56" spans="1:66" customFormat="1" ht="17.25" customHeight="1" x14ac:dyDescent="0.25">
      <c r="A56" s="118"/>
      <c r="B56" s="118"/>
      <c r="C56" s="101"/>
      <c r="D56" s="101"/>
      <c r="E56" s="101"/>
      <c r="F56" s="360" t="s">
        <v>10</v>
      </c>
      <c r="G56" s="360"/>
      <c r="H56" s="360"/>
      <c r="I56" s="360" t="s">
        <v>13</v>
      </c>
      <c r="J56" s="360"/>
      <c r="K56" s="360"/>
      <c r="L56" s="360"/>
      <c r="M56" s="361" t="s">
        <v>14</v>
      </c>
      <c r="N56" s="361"/>
      <c r="O56" s="361"/>
      <c r="P56" s="524" t="s">
        <v>19</v>
      </c>
      <c r="Q56" s="524"/>
      <c r="R56" s="524"/>
      <c r="S56" s="524"/>
      <c r="T56" s="524"/>
      <c r="U56" s="524" t="s">
        <v>310</v>
      </c>
      <c r="V56" s="524"/>
      <c r="W56" s="524"/>
      <c r="X56" s="524"/>
      <c r="Y56" s="524"/>
      <c r="Z56" s="118"/>
      <c r="AA56" s="101"/>
      <c r="AB56" s="173"/>
      <c r="AC56" s="6" t="s">
        <v>421</v>
      </c>
      <c r="AD56" s="6">
        <f>VLOOKUP(P58,$A$38:$C$39,3)</f>
        <v>-1</v>
      </c>
      <c r="BN56" s="134"/>
    </row>
    <row r="57" spans="1:66" customFormat="1" ht="17.25" customHeight="1" x14ac:dyDescent="0.25">
      <c r="A57" s="118"/>
      <c r="B57" s="118"/>
      <c r="C57" s="171"/>
      <c r="D57" s="171"/>
      <c r="E57" s="171"/>
      <c r="F57" s="360"/>
      <c r="G57" s="360"/>
      <c r="H57" s="360"/>
      <c r="I57" s="360"/>
      <c r="J57" s="360"/>
      <c r="K57" s="360"/>
      <c r="L57" s="360"/>
      <c r="M57" s="361"/>
      <c r="N57" s="361"/>
      <c r="O57" s="361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101"/>
      <c r="AA57" s="101"/>
      <c r="AB57" s="173"/>
      <c r="AC57" s="6" t="s">
        <v>422</v>
      </c>
      <c r="AD57" s="6" cm="1">
        <f t="array" ref="AD57">angleConvert2Decimal(Q58)*AD56</f>
        <v>-12.24</v>
      </c>
      <c r="BN57" s="134"/>
    </row>
    <row r="58" spans="1:66" customFormat="1" ht="17.25" customHeight="1" x14ac:dyDescent="0.25">
      <c r="A58" s="118"/>
      <c r="B58" s="118"/>
      <c r="C58" s="171"/>
      <c r="D58" s="171"/>
      <c r="E58" s="118"/>
      <c r="F58" s="389" t="str">
        <f>IF(G46=AD47,AD60,"---")</f>
        <v>---</v>
      </c>
      <c r="G58" s="389"/>
      <c r="H58" s="389"/>
      <c r="I58" s="356">
        <f>E11</f>
        <v>18.814166666666669</v>
      </c>
      <c r="J58" s="356"/>
      <c r="K58" s="356"/>
      <c r="L58" s="356"/>
      <c r="M58" s="358">
        <v>0</v>
      </c>
      <c r="N58" s="356"/>
      <c r="O58" s="356"/>
      <c r="P58" s="356" t="s">
        <v>5</v>
      </c>
      <c r="Q58" s="528" t="s">
        <v>302</v>
      </c>
      <c r="R58" s="356"/>
      <c r="S58" s="356"/>
      <c r="T58" s="356"/>
      <c r="U58" s="356" t="s">
        <v>4</v>
      </c>
      <c r="V58" s="528" t="s">
        <v>248</v>
      </c>
      <c r="W58" s="356"/>
      <c r="X58" s="356"/>
      <c r="Y58" s="356"/>
      <c r="Z58" s="101"/>
      <c r="AA58" s="118"/>
      <c r="AB58" s="173"/>
      <c r="AC58" s="6" t="s">
        <v>423</v>
      </c>
      <c r="AD58" s="6">
        <f>VLOOKUP(U58,$A$38:$C$39,3)</f>
        <v>1</v>
      </c>
      <c r="BN58" s="134"/>
    </row>
    <row r="59" spans="1:66" customFormat="1" ht="17.25" customHeight="1" collapsed="1" thickBot="1" x14ac:dyDescent="0.3">
      <c r="A59" s="118"/>
      <c r="B59" s="118"/>
      <c r="C59" s="171"/>
      <c r="D59" s="171"/>
      <c r="E59" s="171"/>
      <c r="F59" s="390"/>
      <c r="G59" s="390"/>
      <c r="H59" s="390"/>
      <c r="I59" s="357"/>
      <c r="J59" s="357"/>
      <c r="K59" s="357"/>
      <c r="L59" s="357"/>
      <c r="M59" s="359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101"/>
      <c r="AA59" s="118"/>
      <c r="AB59" s="173"/>
      <c r="AC59" s="6" t="s">
        <v>424</v>
      </c>
      <c r="AD59" s="6" cm="1">
        <f t="array" ref="AD59">angleConvert2Decimal(V58)*AD58</f>
        <v>1.6E-2</v>
      </c>
      <c r="BN59" s="134"/>
    </row>
    <row r="60" spans="1:66" customFormat="1" ht="17.25" customHeight="1" thickTop="1" thickBot="1" x14ac:dyDescent="0.3">
      <c r="A60" s="118"/>
      <c r="B60" s="118"/>
      <c r="C60" s="171"/>
      <c r="D60" s="171"/>
      <c r="E60" s="171"/>
      <c r="F60" s="379" t="e" cm="1">
        <f t="array" ref="F60">angleDecimal2Txt(F58)</f>
        <v>#VALUE!</v>
      </c>
      <c r="G60" s="379"/>
      <c r="H60" s="379"/>
      <c r="I60" s="379"/>
      <c r="J60" s="379"/>
      <c r="K60" s="379"/>
      <c r="L60" s="118"/>
      <c r="M60" s="118"/>
      <c r="N60" s="118"/>
      <c r="O60" s="118"/>
      <c r="P60" s="379" t="str" cm="1">
        <f t="array" ref="P60">angleDecimal2Txt(AD57)</f>
        <v>-12°14.40 (-12.2400) [-12°14'24.00]</v>
      </c>
      <c r="Q60" s="379"/>
      <c r="R60" s="379"/>
      <c r="S60" s="379"/>
      <c r="T60" s="379"/>
      <c r="U60" s="379" t="str" cm="1">
        <f t="array" ref="U60">angleDecimal2Txt(AD59)</f>
        <v>+00°00.96 (+00.0160) [+00°00'57.60]</v>
      </c>
      <c r="V60" s="410"/>
      <c r="W60" s="410"/>
      <c r="X60" s="410"/>
      <c r="Y60" s="410"/>
      <c r="Z60" s="118"/>
      <c r="AA60" s="118"/>
      <c r="AB60" s="173"/>
      <c r="AC60" s="6" t="s">
        <v>425</v>
      </c>
      <c r="AD60" s="6">
        <f>AD57+AD59*(I58-M58)</f>
        <v>-11.938973333333333</v>
      </c>
      <c r="BN60" s="134"/>
    </row>
    <row r="61" spans="1:66" customFormat="1" ht="17.25" customHeight="1" thickTop="1" x14ac:dyDescent="0.25">
      <c r="A61" s="118"/>
      <c r="B61" s="118"/>
      <c r="C61" s="171"/>
      <c r="D61" s="171"/>
      <c r="E61" s="171"/>
      <c r="F61" s="171"/>
      <c r="G61" s="171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01"/>
      <c r="T61" s="101"/>
      <c r="U61" s="101"/>
      <c r="V61" s="101"/>
      <c r="W61" s="101"/>
      <c r="X61" s="101"/>
      <c r="Y61" s="118"/>
      <c r="Z61" s="118"/>
      <c r="AA61" s="118"/>
      <c r="AB61" s="173"/>
      <c r="BN61" s="134"/>
    </row>
    <row r="62" spans="1:66" customFormat="1" ht="17.25" customHeight="1" thickBot="1" x14ac:dyDescent="0.3">
      <c r="A62" s="118"/>
      <c r="B62" s="118"/>
      <c r="C62" s="171"/>
      <c r="D62" s="171"/>
      <c r="E62" s="171"/>
      <c r="F62" s="171"/>
      <c r="G62" s="171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01"/>
      <c r="T62" s="101"/>
      <c r="U62" s="101"/>
      <c r="V62" s="101"/>
      <c r="W62" s="101"/>
      <c r="X62" s="101"/>
      <c r="Y62" s="118"/>
      <c r="Z62" s="118"/>
      <c r="AA62" s="118"/>
      <c r="AB62" s="173"/>
      <c r="BN62" s="134"/>
    </row>
    <row r="63" spans="1:66" customFormat="1" ht="17.25" customHeight="1" thickBot="1" x14ac:dyDescent="0.3">
      <c r="A63" s="143"/>
      <c r="B63" s="135" t="s">
        <v>608</v>
      </c>
      <c r="C63" s="136"/>
      <c r="D63" s="136"/>
      <c r="E63" s="136"/>
      <c r="F63" s="465">
        <f>IF(G64=AD64,F68,F76)</f>
        <v>305.14</v>
      </c>
      <c r="G63" s="465"/>
      <c r="H63" s="465"/>
      <c r="I63" s="136"/>
      <c r="J63" s="136"/>
      <c r="K63" s="136"/>
      <c r="L63" s="635">
        <f>F63-360</f>
        <v>-54.860000000000014</v>
      </c>
      <c r="M63" s="635"/>
      <c r="N63" s="136" t="s">
        <v>35</v>
      </c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76"/>
      <c r="BN63" s="134"/>
    </row>
    <row r="64" spans="1:66" customFormat="1" ht="17.25" customHeight="1" x14ac:dyDescent="0.25">
      <c r="A64" s="118"/>
      <c r="B64" s="143"/>
      <c r="C64" s="375" t="s">
        <v>44</v>
      </c>
      <c r="D64" s="375"/>
      <c r="E64" s="375"/>
      <c r="F64" s="636"/>
      <c r="G64" s="430" t="s">
        <v>11</v>
      </c>
      <c r="H64" s="431"/>
      <c r="I64" s="432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77"/>
      <c r="AC64" s="353" t="s">
        <v>45</v>
      </c>
      <c r="AD64" s="180" t="s">
        <v>11</v>
      </c>
      <c r="BN64" s="134"/>
    </row>
    <row r="65" spans="1:66" customFormat="1" ht="17.25" customHeight="1" x14ac:dyDescent="0.25">
      <c r="A65" s="118"/>
      <c r="B65" s="118"/>
      <c r="C65" s="144" t="s">
        <v>11</v>
      </c>
      <c r="D65" s="144"/>
      <c r="E65" s="145"/>
      <c r="F65" s="145"/>
      <c r="G65" s="101"/>
      <c r="H65" s="101"/>
      <c r="I65" s="101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73"/>
      <c r="AC65" s="353"/>
      <c r="AD65" s="180" t="s">
        <v>17</v>
      </c>
      <c r="BN65" s="134"/>
    </row>
    <row r="66" spans="1:66" customFormat="1" ht="17.25" customHeight="1" x14ac:dyDescent="0.25">
      <c r="A66" s="118"/>
      <c r="B66" s="118"/>
      <c r="C66" s="171"/>
      <c r="D66" s="171"/>
      <c r="E66" s="171"/>
      <c r="F66" s="416" t="s">
        <v>10</v>
      </c>
      <c r="G66" s="417"/>
      <c r="H66" s="418"/>
      <c r="I66" s="416" t="s">
        <v>13</v>
      </c>
      <c r="J66" s="417"/>
      <c r="K66" s="417"/>
      <c r="L66" s="418"/>
      <c r="M66" s="549" t="s">
        <v>14</v>
      </c>
      <c r="N66" s="550"/>
      <c r="O66" s="551"/>
      <c r="P66" s="433" t="s">
        <v>18</v>
      </c>
      <c r="Q66" s="434"/>
      <c r="R66" s="434"/>
      <c r="S66" s="434"/>
      <c r="T66" s="435"/>
      <c r="U66" s="101"/>
      <c r="V66" s="118"/>
      <c r="W66" s="118"/>
      <c r="X66" s="118"/>
      <c r="Y66" s="118"/>
      <c r="Z66" s="118"/>
      <c r="AA66" s="118"/>
      <c r="AB66" s="173"/>
      <c r="AD66" s="185" t="s">
        <v>146</v>
      </c>
      <c r="AE66" s="6" t="s">
        <v>426</v>
      </c>
      <c r="BN66" s="134"/>
    </row>
    <row r="67" spans="1:66" customFormat="1" ht="17.25" customHeight="1" thickBot="1" x14ac:dyDescent="0.3">
      <c r="A67" s="118"/>
      <c r="B67" s="118"/>
      <c r="C67" s="171"/>
      <c r="D67" s="171"/>
      <c r="E67" s="171"/>
      <c r="F67" s="419"/>
      <c r="G67" s="420"/>
      <c r="H67" s="421"/>
      <c r="I67" s="419"/>
      <c r="J67" s="420"/>
      <c r="K67" s="420"/>
      <c r="L67" s="421"/>
      <c r="M67" s="552"/>
      <c r="N67" s="553"/>
      <c r="O67" s="554"/>
      <c r="P67" s="436"/>
      <c r="Q67" s="437"/>
      <c r="R67" s="437"/>
      <c r="S67" s="437"/>
      <c r="T67" s="438"/>
      <c r="U67" s="101"/>
      <c r="V67" s="118"/>
      <c r="W67" s="118"/>
      <c r="X67" s="118"/>
      <c r="Y67" s="118"/>
      <c r="AA67" s="118"/>
      <c r="AB67" s="173"/>
      <c r="AC67" s="6" t="s">
        <v>416</v>
      </c>
      <c r="AD67" s="6">
        <f>VLOOKUP(P68,$B$38:$C$39,2)</f>
        <v>1</v>
      </c>
      <c r="AE67" s="6" cm="1">
        <f t="array" ref="AE67">AD67*angleConvert2Decimal(Q68)</f>
        <v>305.14</v>
      </c>
      <c r="BN67" s="134"/>
    </row>
    <row r="68" spans="1:66" customFormat="1" ht="17.25" customHeight="1" thickTop="1" thickBot="1" x14ac:dyDescent="0.3">
      <c r="A68" s="118"/>
      <c r="B68" s="118"/>
      <c r="C68" s="171"/>
      <c r="D68" s="171"/>
      <c r="E68" s="118"/>
      <c r="F68" s="389">
        <f>IF(G64=AD65,"---",AD72)</f>
        <v>305.14</v>
      </c>
      <c r="G68" s="389"/>
      <c r="H68" s="389"/>
      <c r="I68" s="427">
        <f>E11</f>
        <v>18.814166666666669</v>
      </c>
      <c r="J68" s="428"/>
      <c r="K68" s="428"/>
      <c r="L68" s="429"/>
      <c r="M68" s="427">
        <v>10</v>
      </c>
      <c r="N68" s="428"/>
      <c r="O68" s="429"/>
      <c r="P68" s="439" t="s">
        <v>6</v>
      </c>
      <c r="Q68" s="543">
        <v>305.14</v>
      </c>
      <c r="R68" s="544"/>
      <c r="S68" s="544"/>
      <c r="T68" s="675"/>
      <c r="U68" s="386" t="str" cm="1">
        <f t="array" ref="U68">angleDecimal2Txt(AE67)</f>
        <v>+305°08.40 (+305.1399) [+305°08'24.00]</v>
      </c>
      <c r="V68" s="387"/>
      <c r="W68" s="387"/>
      <c r="X68" s="387"/>
      <c r="Y68" s="387"/>
      <c r="AA68" s="118"/>
      <c r="AB68" s="173"/>
      <c r="AC68" s="6" t="s">
        <v>417</v>
      </c>
      <c r="AD68" s="6">
        <f>VLOOKUP(P70,$B$38:$C$39,2)</f>
        <v>1</v>
      </c>
      <c r="AE68" s="6" cm="1">
        <f t="array" ref="AE68">AD68*angleConvert2Decimal(Q70)</f>
        <v>305.14</v>
      </c>
      <c r="BN68" s="134"/>
    </row>
    <row r="69" spans="1:66" customFormat="1" ht="17.25" customHeight="1" thickTop="1" thickBot="1" x14ac:dyDescent="0.3">
      <c r="A69" s="118"/>
      <c r="B69" s="118"/>
      <c r="C69" s="171"/>
      <c r="D69" s="171"/>
      <c r="E69" s="171"/>
      <c r="F69" s="390"/>
      <c r="G69" s="390"/>
      <c r="H69" s="390"/>
      <c r="I69" s="497"/>
      <c r="J69" s="498"/>
      <c r="K69" s="498"/>
      <c r="L69" s="499"/>
      <c r="M69" s="425"/>
      <c r="N69" s="426"/>
      <c r="O69" s="358"/>
      <c r="P69" s="356"/>
      <c r="Q69" s="676"/>
      <c r="R69" s="677"/>
      <c r="S69" s="677"/>
      <c r="T69" s="678"/>
      <c r="U69" s="387"/>
      <c r="V69" s="387"/>
      <c r="W69" s="387"/>
      <c r="X69" s="387"/>
      <c r="Y69" s="387"/>
      <c r="AA69" s="118"/>
      <c r="AB69" s="173"/>
      <c r="AC69" s="6" t="s">
        <v>47</v>
      </c>
      <c r="AD69" s="8">
        <f>AE68-AE67</f>
        <v>0</v>
      </c>
      <c r="BN69" s="134"/>
    </row>
    <row r="70" spans="1:66" customFormat="1" ht="17.25" customHeight="1" thickTop="1" thickBot="1" x14ac:dyDescent="0.3">
      <c r="A70" s="118"/>
      <c r="B70" s="118"/>
      <c r="C70" s="171"/>
      <c r="D70" s="171"/>
      <c r="E70" s="171"/>
      <c r="F70" s="390"/>
      <c r="G70" s="390"/>
      <c r="H70" s="390"/>
      <c r="I70" s="497"/>
      <c r="J70" s="498"/>
      <c r="K70" s="498"/>
      <c r="L70" s="499"/>
      <c r="M70" s="422">
        <v>11</v>
      </c>
      <c r="N70" s="423"/>
      <c r="O70" s="424"/>
      <c r="P70" s="446" t="s">
        <v>6</v>
      </c>
      <c r="Q70" s="679">
        <v>305.14</v>
      </c>
      <c r="R70" s="680"/>
      <c r="S70" s="680"/>
      <c r="T70" s="681"/>
      <c r="U70" s="386" t="str" cm="1">
        <f t="array" ref="U70">angleDecimal2Txt((AE68))</f>
        <v>+305°08.40 (+305.1399) [+305°08'24.00]</v>
      </c>
      <c r="V70" s="387"/>
      <c r="W70" s="387"/>
      <c r="X70" s="387"/>
      <c r="Y70" s="387"/>
      <c r="AA70" s="118"/>
      <c r="AB70" s="173"/>
      <c r="AC70" s="6" t="s">
        <v>419</v>
      </c>
      <c r="AD70" s="8">
        <f>M70-M68</f>
        <v>1</v>
      </c>
      <c r="AE70" s="118"/>
      <c r="BN70" s="134"/>
    </row>
    <row r="71" spans="1:66" customFormat="1" ht="17.25" customHeight="1" thickTop="1" thickBot="1" x14ac:dyDescent="0.3">
      <c r="A71" s="118"/>
      <c r="B71" s="118"/>
      <c r="C71" s="171"/>
      <c r="D71" s="171"/>
      <c r="E71" s="171"/>
      <c r="F71" s="390"/>
      <c r="G71" s="390"/>
      <c r="H71" s="390"/>
      <c r="I71" s="497"/>
      <c r="J71" s="498"/>
      <c r="K71" s="498"/>
      <c r="L71" s="499"/>
      <c r="M71" s="425"/>
      <c r="N71" s="426"/>
      <c r="O71" s="358"/>
      <c r="P71" s="356"/>
      <c r="Q71" s="676"/>
      <c r="R71" s="677"/>
      <c r="S71" s="677"/>
      <c r="T71" s="678"/>
      <c r="U71" s="387"/>
      <c r="V71" s="387"/>
      <c r="W71" s="387"/>
      <c r="X71" s="387"/>
      <c r="Y71" s="387"/>
      <c r="AA71" s="118"/>
      <c r="AB71" s="173"/>
      <c r="AC71" s="6" t="s">
        <v>48</v>
      </c>
      <c r="AD71" s="8">
        <f>I68-M68</f>
        <v>8.8141666666666687</v>
      </c>
      <c r="BN71" s="134"/>
    </row>
    <row r="72" spans="1:66" customFormat="1" ht="17.25" customHeight="1" thickTop="1" thickBot="1" x14ac:dyDescent="0.3">
      <c r="A72" s="118"/>
      <c r="B72" s="118"/>
      <c r="C72" s="171"/>
      <c r="D72" s="171"/>
      <c r="E72" s="171"/>
      <c r="F72" s="380">
        <f>AC73</f>
        <v>0</v>
      </c>
      <c r="G72" s="381"/>
      <c r="H72" s="381"/>
      <c r="I72" s="381"/>
      <c r="J72" s="381"/>
      <c r="K72" s="382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AA72" s="101"/>
      <c r="AB72" s="173"/>
      <c r="AC72" s="6" t="s">
        <v>46</v>
      </c>
      <c r="AD72" s="6">
        <f>AE67+(AD69/AD70)*AD71</f>
        <v>305.14</v>
      </c>
      <c r="BN72" s="134"/>
    </row>
    <row r="73" spans="1:66" customFormat="1" ht="17.25" customHeight="1" thickTop="1" x14ac:dyDescent="0.25">
      <c r="A73" s="118"/>
      <c r="B73" s="118"/>
      <c r="C73" s="144" t="s">
        <v>17</v>
      </c>
      <c r="D73" s="144"/>
      <c r="E73" s="145"/>
      <c r="F73" s="145"/>
      <c r="G73" s="101"/>
      <c r="H73" s="101"/>
      <c r="I73" s="101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AA73" s="101"/>
      <c r="AB73" s="173"/>
      <c r="BN73" s="134"/>
    </row>
    <row r="74" spans="1:66" customFormat="1" ht="17.25" customHeight="1" x14ac:dyDescent="0.25">
      <c r="A74" s="118"/>
      <c r="B74" s="118"/>
      <c r="C74" s="101"/>
      <c r="D74" s="101"/>
      <c r="E74" s="101"/>
      <c r="F74" s="416" t="s">
        <v>10</v>
      </c>
      <c r="G74" s="417"/>
      <c r="H74" s="418"/>
      <c r="I74" s="416" t="s">
        <v>13</v>
      </c>
      <c r="J74" s="417"/>
      <c r="K74" s="417"/>
      <c r="L74" s="418"/>
      <c r="M74" s="549" t="s">
        <v>14</v>
      </c>
      <c r="N74" s="550"/>
      <c r="O74" s="551"/>
      <c r="P74" s="433" t="s">
        <v>19</v>
      </c>
      <c r="Q74" s="434"/>
      <c r="R74" s="434"/>
      <c r="S74" s="434"/>
      <c r="T74" s="435"/>
      <c r="U74" s="433" t="s">
        <v>171</v>
      </c>
      <c r="V74" s="434"/>
      <c r="W74" s="434"/>
      <c r="X74" s="434"/>
      <c r="Y74" s="435"/>
      <c r="Z74" s="118"/>
      <c r="AA74" s="101"/>
      <c r="AB74" s="173"/>
      <c r="AC74" s="6" t="s">
        <v>421</v>
      </c>
      <c r="AD74" s="6">
        <f>VLOOKUP(P76,$B$38:$C$39,2)</f>
        <v>1</v>
      </c>
      <c r="BN74" s="134"/>
    </row>
    <row r="75" spans="1:66" customFormat="1" ht="17.25" customHeight="1" collapsed="1" x14ac:dyDescent="0.25">
      <c r="A75" s="118"/>
      <c r="B75" s="118"/>
      <c r="C75" s="171"/>
      <c r="D75" s="171"/>
      <c r="E75" s="171"/>
      <c r="F75" s="419"/>
      <c r="G75" s="420"/>
      <c r="H75" s="421"/>
      <c r="I75" s="419"/>
      <c r="J75" s="420"/>
      <c r="K75" s="420"/>
      <c r="L75" s="421"/>
      <c r="M75" s="552"/>
      <c r="N75" s="553"/>
      <c r="O75" s="554"/>
      <c r="P75" s="436"/>
      <c r="Q75" s="437"/>
      <c r="R75" s="437"/>
      <c r="S75" s="437"/>
      <c r="T75" s="438"/>
      <c r="U75" s="436"/>
      <c r="V75" s="437"/>
      <c r="W75" s="437"/>
      <c r="X75" s="437"/>
      <c r="Y75" s="438"/>
      <c r="Z75" s="101"/>
      <c r="AA75" s="101"/>
      <c r="AB75" s="173"/>
      <c r="AC75" s="6" t="s">
        <v>422</v>
      </c>
      <c r="AD75" s="6" cm="1">
        <f t="array" ref="AD75">angleConvert2Decimal(Q76)*AD74</f>
        <v>176.49</v>
      </c>
      <c r="BN75" s="134"/>
    </row>
    <row r="76" spans="1:66" customFormat="1" ht="17.25" customHeight="1" x14ac:dyDescent="0.25">
      <c r="A76" s="118"/>
      <c r="B76" s="118"/>
      <c r="C76" s="171"/>
      <c r="D76" s="171"/>
      <c r="E76" s="118"/>
      <c r="F76" s="389" t="str">
        <f>IF(G64=AD65,AD78,"---")</f>
        <v>---</v>
      </c>
      <c r="G76" s="389"/>
      <c r="H76" s="389"/>
      <c r="I76" s="427">
        <f>E11</f>
        <v>18.814166666666669</v>
      </c>
      <c r="J76" s="428"/>
      <c r="K76" s="428"/>
      <c r="L76" s="429"/>
      <c r="M76" s="427">
        <v>0</v>
      </c>
      <c r="N76" s="428"/>
      <c r="O76" s="429"/>
      <c r="P76" s="439" t="s">
        <v>6</v>
      </c>
      <c r="Q76" s="543" t="s">
        <v>303</v>
      </c>
      <c r="R76" s="544"/>
      <c r="S76" s="544"/>
      <c r="T76" s="545"/>
      <c r="U76" s="439" t="s">
        <v>6</v>
      </c>
      <c r="V76" s="543" t="s">
        <v>249</v>
      </c>
      <c r="W76" s="544"/>
      <c r="X76" s="544"/>
      <c r="Y76" s="545"/>
      <c r="Z76" s="101"/>
      <c r="AA76" s="118"/>
      <c r="AB76" s="173"/>
      <c r="AC76" s="6" t="s">
        <v>423</v>
      </c>
      <c r="AD76" s="6">
        <f>VLOOKUP(U76,$B$38:$C$39,2)</f>
        <v>1</v>
      </c>
      <c r="BN76" s="134"/>
    </row>
    <row r="77" spans="1:66" customFormat="1" ht="17.25" customHeight="1" thickBot="1" x14ac:dyDescent="0.3">
      <c r="A77" s="118"/>
      <c r="B77" s="118"/>
      <c r="C77" s="171"/>
      <c r="D77" s="171"/>
      <c r="E77" s="171"/>
      <c r="F77" s="390"/>
      <c r="G77" s="390"/>
      <c r="H77" s="390"/>
      <c r="I77" s="497"/>
      <c r="J77" s="498"/>
      <c r="K77" s="498"/>
      <c r="L77" s="499"/>
      <c r="M77" s="425"/>
      <c r="N77" s="426"/>
      <c r="O77" s="358"/>
      <c r="P77" s="654"/>
      <c r="Q77" s="546"/>
      <c r="R77" s="547"/>
      <c r="S77" s="547"/>
      <c r="T77" s="548"/>
      <c r="U77" s="654"/>
      <c r="V77" s="546"/>
      <c r="W77" s="547"/>
      <c r="X77" s="547"/>
      <c r="Y77" s="548"/>
      <c r="Z77" s="101"/>
      <c r="AA77" s="118"/>
      <c r="AB77" s="173"/>
      <c r="AC77" s="6" t="s">
        <v>424</v>
      </c>
      <c r="AD77" s="6" cm="1">
        <f t="array" ref="AD77">angleConvert2Decimal(V76)*AD76</f>
        <v>15.002000000000001</v>
      </c>
      <c r="BN77" s="134"/>
    </row>
    <row r="78" spans="1:66" customFormat="1" ht="17.25" customHeight="1" thickTop="1" thickBot="1" x14ac:dyDescent="0.3">
      <c r="A78" s="118"/>
      <c r="B78" s="118"/>
      <c r="C78" s="171"/>
      <c r="D78" s="171"/>
      <c r="E78" s="171"/>
      <c r="F78" s="379" t="e" cm="1">
        <f t="array" ref="F78">angleDecimal2Txt(F76)</f>
        <v>#VALUE!</v>
      </c>
      <c r="G78" s="379"/>
      <c r="H78" s="379"/>
      <c r="I78" s="379"/>
      <c r="J78" s="379"/>
      <c r="K78" s="379"/>
      <c r="L78" s="118"/>
      <c r="M78" s="118"/>
      <c r="N78" s="118"/>
      <c r="O78" s="118"/>
      <c r="P78" s="379" t="str" cm="1">
        <f t="array" ref="P78">angleDecimal2Txt(AD75)</f>
        <v>+176°29.39 (+176.4900) [+176°29'24.00]</v>
      </c>
      <c r="Q78" s="379"/>
      <c r="R78" s="379"/>
      <c r="S78" s="379"/>
      <c r="T78" s="379"/>
      <c r="U78" s="379" t="str" cm="1">
        <f t="array" ref="U78">angleDecimal2Txt(AD77)</f>
        <v>+15°00.12 (+15.0020) [+15°00'07.20]</v>
      </c>
      <c r="V78" s="410"/>
      <c r="W78" s="410"/>
      <c r="X78" s="410"/>
      <c r="Y78" s="410"/>
      <c r="Z78" s="118"/>
      <c r="AA78" s="118"/>
      <c r="AB78" s="173"/>
      <c r="AC78" s="6" t="s">
        <v>425</v>
      </c>
      <c r="AD78" s="6">
        <f>AD75+AD77*(I76-M76)</f>
        <v>458.74012833333336</v>
      </c>
      <c r="BN78" s="134"/>
    </row>
    <row r="79" spans="1:66" customFormat="1" ht="17.25" customHeight="1" thickTop="1" x14ac:dyDescent="0.25">
      <c r="A79" s="118"/>
      <c r="B79" s="118"/>
      <c r="C79" s="171"/>
      <c r="D79" s="171"/>
      <c r="E79" s="171"/>
      <c r="F79" s="171"/>
      <c r="G79" s="171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01"/>
      <c r="T79" s="101"/>
      <c r="U79" s="101"/>
      <c r="V79" s="101"/>
      <c r="W79" s="101"/>
      <c r="X79" s="101"/>
      <c r="Y79" s="118"/>
      <c r="Z79" s="118"/>
      <c r="AA79" s="118"/>
      <c r="AB79" s="173"/>
      <c r="BN79" s="134"/>
    </row>
    <row r="80" spans="1:66" customFormat="1" ht="17.25" customHeight="1" x14ac:dyDescent="0.25">
      <c r="A80" s="118"/>
      <c r="B80" s="118"/>
      <c r="C80" s="171"/>
      <c r="D80" s="171"/>
      <c r="E80" s="171"/>
      <c r="F80" s="171"/>
      <c r="G80" s="171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01"/>
      <c r="T80" s="101"/>
      <c r="U80" s="101"/>
      <c r="V80" s="101"/>
      <c r="W80" s="101"/>
      <c r="X80" s="118"/>
      <c r="Y80" s="118"/>
      <c r="Z80" s="118"/>
      <c r="AA80" s="118"/>
      <c r="AB80" s="173"/>
      <c r="BN80" s="134"/>
    </row>
    <row r="81" spans="1:66" customFormat="1" ht="17.25" customHeight="1" thickBot="1" x14ac:dyDescent="0.3">
      <c r="A81" s="118"/>
      <c r="B81" s="118"/>
      <c r="C81" s="171"/>
      <c r="D81" s="171"/>
      <c r="E81" s="17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18"/>
      <c r="AB81" s="173"/>
      <c r="AI81" s="42"/>
      <c r="BN81" s="134"/>
    </row>
    <row r="82" spans="1:66" s="101" customFormat="1" ht="17.25" customHeight="1" thickBot="1" x14ac:dyDescent="0.3">
      <c r="A82" s="118"/>
      <c r="B82" s="135" t="s">
        <v>53</v>
      </c>
      <c r="C82" s="136"/>
      <c r="D82" s="136"/>
      <c r="E82" s="136"/>
      <c r="F82" s="465">
        <f>I83</f>
        <v>307.23449999999997</v>
      </c>
      <c r="G82" s="465"/>
      <c r="H82" s="465"/>
      <c r="I82" s="136"/>
      <c r="J82" s="450" t="s">
        <v>127</v>
      </c>
      <c r="K82" s="450"/>
      <c r="L82" s="450"/>
      <c r="M82" s="538" t="str">
        <f>J22</f>
        <v>Lune</v>
      </c>
      <c r="N82" s="538"/>
      <c r="O82" s="538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7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1"/>
    </row>
    <row r="83" spans="1:66" ht="17.25" customHeight="1" thickBot="1" x14ac:dyDescent="0.3">
      <c r="C83" s="354" t="s">
        <v>24</v>
      </c>
      <c r="D83" s="354"/>
      <c r="E83" s="354"/>
      <c r="F83" s="354"/>
      <c r="G83" s="354"/>
      <c r="H83" s="355"/>
      <c r="I83" s="575">
        <f>AD84</f>
        <v>307.23449999999997</v>
      </c>
      <c r="J83" s="576"/>
      <c r="K83" s="576"/>
      <c r="L83" s="577"/>
      <c r="M83" s="146" t="s">
        <v>55</v>
      </c>
      <c r="N83" s="560">
        <f>AD83</f>
        <v>307.23449999999997</v>
      </c>
      <c r="O83" s="560"/>
      <c r="P83" s="560"/>
      <c r="Q83" s="560"/>
      <c r="AC83" s="6" t="s">
        <v>427</v>
      </c>
      <c r="AD83" s="8">
        <f>F63+F41</f>
        <v>307.23449999999997</v>
      </c>
    </row>
    <row r="84" spans="1:66" ht="17.25" customHeight="1" thickTop="1" thickBot="1" x14ac:dyDescent="0.3">
      <c r="A84" s="101"/>
      <c r="C84" s="101"/>
      <c r="D84" s="101"/>
      <c r="E84" s="101"/>
      <c r="F84" s="101"/>
      <c r="G84" s="101"/>
      <c r="H84" s="101"/>
      <c r="I84" s="410">
        <f>AC85</f>
        <v>0</v>
      </c>
      <c r="J84" s="410"/>
      <c r="K84" s="410"/>
      <c r="L84" s="410"/>
      <c r="M84" s="410"/>
      <c r="N84" s="410"/>
      <c r="AB84" s="178"/>
      <c r="AC84" s="6" t="s">
        <v>428</v>
      </c>
      <c r="AD84" s="8">
        <f>MOD(AD83,360)</f>
        <v>307.23449999999997</v>
      </c>
    </row>
    <row r="85" spans="1:66" ht="17.25" customHeight="1" thickTop="1" thickBot="1" x14ac:dyDescent="0.3">
      <c r="B85" s="101"/>
      <c r="C85" s="118"/>
      <c r="D85" s="118"/>
      <c r="E85" s="118"/>
      <c r="F85" s="118"/>
      <c r="G85" s="118"/>
      <c r="AA85" s="101"/>
    </row>
    <row r="86" spans="1:66" ht="17.25" customHeight="1" thickBot="1" x14ac:dyDescent="0.3">
      <c r="B86" s="135" t="s">
        <v>26</v>
      </c>
      <c r="C86" s="136"/>
      <c r="D86" s="378" t="s">
        <v>145</v>
      </c>
      <c r="E86" s="393"/>
      <c r="F86" s="465">
        <f>IF(G87=AD87,O124,O116)</f>
        <v>20.456140880985576</v>
      </c>
      <c r="G86" s="465"/>
      <c r="H86" s="465"/>
      <c r="I86" s="136"/>
      <c r="J86" s="136"/>
      <c r="K86" s="136"/>
      <c r="L86" s="136" t="s">
        <v>132</v>
      </c>
      <c r="M86" s="378">
        <f>O89</f>
        <v>20.5</v>
      </c>
      <c r="N86" s="378"/>
      <c r="O86" s="136"/>
      <c r="P86" s="172"/>
      <c r="Q86" s="136" t="s">
        <v>172</v>
      </c>
      <c r="R86" s="136"/>
      <c r="S86" s="412">
        <f>-O103+O98+O107</f>
        <v>-4.3859119014423013E-2</v>
      </c>
      <c r="T86" s="413"/>
      <c r="U86" s="414"/>
      <c r="V86" s="415" t="str" cm="1">
        <f t="array" ref="V86">angleDecimal2Txt(S86)</f>
        <v>-00°02.63 (-00.0438) [-00°02'37.89]</v>
      </c>
      <c r="W86" s="415"/>
      <c r="X86" s="415"/>
      <c r="Y86" s="415"/>
      <c r="Z86" s="415"/>
      <c r="AA86" s="136"/>
      <c r="AB86" s="176"/>
    </row>
    <row r="87" spans="1:66" ht="17.25" customHeight="1" x14ac:dyDescent="0.25">
      <c r="C87" s="375" t="s">
        <v>44</v>
      </c>
      <c r="D87" s="375"/>
      <c r="E87" s="375"/>
      <c r="F87" s="375"/>
      <c r="G87" s="451" t="s">
        <v>62</v>
      </c>
      <c r="H87" s="451"/>
      <c r="I87" s="451"/>
      <c r="P87" s="118" t="s">
        <v>142</v>
      </c>
      <c r="V87" s="101"/>
      <c r="W87" s="101"/>
      <c r="X87" s="101"/>
      <c r="Y87" s="101"/>
      <c r="Z87" s="101"/>
      <c r="AC87" s="353" t="s">
        <v>45</v>
      </c>
      <c r="AD87" s="180" t="s">
        <v>61</v>
      </c>
    </row>
    <row r="88" spans="1:66" ht="17.25" customHeight="1" thickBot="1" x14ac:dyDescent="0.3">
      <c r="C88" s="143"/>
      <c r="D88" s="143"/>
      <c r="E88" s="143"/>
      <c r="F88" s="452" t="s">
        <v>134</v>
      </c>
      <c r="G88" s="452"/>
      <c r="H88" s="453"/>
      <c r="I88" s="453"/>
      <c r="J88" s="411">
        <f>IF(G87=AD87,"---",O116)</f>
        <v>20.456140880985576</v>
      </c>
      <c r="K88" s="411"/>
      <c r="L88" s="411"/>
      <c r="V88" s="101"/>
      <c r="W88" s="101"/>
      <c r="X88" s="101"/>
      <c r="Y88" s="101"/>
      <c r="Z88" s="101"/>
      <c r="AC88" s="353"/>
      <c r="AD88" s="180" t="s">
        <v>62</v>
      </c>
    </row>
    <row r="89" spans="1:66" ht="17.25" customHeight="1" thickTop="1" thickBot="1" x14ac:dyDescent="0.3">
      <c r="C89" s="118"/>
      <c r="D89" s="118"/>
      <c r="E89" s="118"/>
      <c r="F89" s="118"/>
      <c r="G89" s="118"/>
      <c r="H89" s="496" t="s">
        <v>57</v>
      </c>
      <c r="I89" s="496"/>
      <c r="J89" s="496"/>
      <c r="K89" s="496"/>
      <c r="L89" s="496"/>
      <c r="M89" s="496"/>
      <c r="N89" s="496"/>
      <c r="O89" s="377">
        <f>J21</f>
        <v>20.5</v>
      </c>
      <c r="P89" s="377"/>
      <c r="Q89" s="377"/>
      <c r="R89" s="377"/>
      <c r="S89" s="118" t="s">
        <v>100</v>
      </c>
      <c r="U89" s="379" t="str" cm="1">
        <f t="array" ref="U89">angleDecimal2Txt(O89)</f>
        <v>+20°30.00 (+20.5000) [+20°30'00.00]</v>
      </c>
      <c r="V89" s="379"/>
      <c r="W89" s="379"/>
      <c r="X89" s="379"/>
      <c r="Y89" s="379"/>
      <c r="Z89" s="379"/>
    </row>
    <row r="90" spans="1:66" ht="17.25" customHeight="1" thickTop="1" thickBot="1" x14ac:dyDescent="0.3">
      <c r="C90" s="118"/>
      <c r="D90" s="118"/>
      <c r="E90" s="118"/>
      <c r="F90" s="118"/>
      <c r="G90" s="118"/>
      <c r="H90" s="496" t="s">
        <v>27</v>
      </c>
      <c r="I90" s="496"/>
      <c r="J90" s="496"/>
      <c r="K90" s="496"/>
      <c r="L90" s="496"/>
      <c r="M90" s="496"/>
      <c r="N90" s="496"/>
      <c r="O90" s="377">
        <f>J20</f>
        <v>0</v>
      </c>
      <c r="P90" s="377"/>
      <c r="Q90" s="377"/>
      <c r="R90" s="377"/>
      <c r="S90" s="118" t="s">
        <v>100</v>
      </c>
      <c r="U90" s="379" t="str" cm="1">
        <f t="array" ref="U90">angleDecimal2Txt(O90)</f>
        <v>+00°00.00 (+00.0000) [+00°00'00.00]</v>
      </c>
      <c r="V90" s="379"/>
      <c r="W90" s="379"/>
      <c r="X90" s="379"/>
      <c r="Y90" s="379"/>
      <c r="Z90" s="379"/>
      <c r="AC90" s="6" t="s">
        <v>131</v>
      </c>
      <c r="AD90" s="8">
        <f>O90</f>
        <v>0</v>
      </c>
    </row>
    <row r="91" spans="1:66" ht="17.25" customHeight="1" thickTop="1" thickBot="1" x14ac:dyDescent="0.3">
      <c r="G91" s="118"/>
      <c r="H91" s="559" t="s">
        <v>140</v>
      </c>
      <c r="I91" s="559"/>
      <c r="J91" s="559"/>
      <c r="K91" s="559"/>
      <c r="L91" s="559"/>
      <c r="M91" s="559"/>
      <c r="N91" s="559"/>
      <c r="O91" s="399">
        <f>AD92</f>
        <v>0</v>
      </c>
      <c r="P91" s="399"/>
      <c r="Q91" s="399"/>
      <c r="R91" s="399"/>
      <c r="S91" s="118" t="s">
        <v>100</v>
      </c>
      <c r="U91" s="379" t="str" cm="1">
        <f t="array" ref="U91">angleDecimal2Txt(O91)</f>
        <v>+00°00.00 (+00.0000) [+00°00'00.00]</v>
      </c>
      <c r="V91" s="379"/>
      <c r="W91" s="379"/>
      <c r="X91" s="379"/>
      <c r="Y91" s="379"/>
      <c r="Z91" s="379"/>
      <c r="AC91" s="6" t="s">
        <v>56</v>
      </c>
      <c r="AD91" s="6">
        <f>J19</f>
        <v>0</v>
      </c>
    </row>
    <row r="92" spans="1:66" ht="17.25" customHeight="1" thickTop="1" thickBot="1" x14ac:dyDescent="0.3">
      <c r="K92" s="101"/>
      <c r="L92" s="101"/>
      <c r="M92" s="402" t="s">
        <v>253</v>
      </c>
      <c r="N92" s="402"/>
      <c r="O92" s="402"/>
      <c r="P92" s="402"/>
      <c r="Q92" s="101"/>
      <c r="R92" s="101"/>
      <c r="U92" s="101"/>
      <c r="V92" s="101"/>
      <c r="W92" s="101"/>
      <c r="X92" s="101"/>
      <c r="Y92" s="101"/>
      <c r="Z92" s="101"/>
      <c r="AC92" s="186" t="s">
        <v>139</v>
      </c>
      <c r="AD92" s="6">
        <f>0.0293 * SQRT(AD91)</f>
        <v>0</v>
      </c>
    </row>
    <row r="93" spans="1:66" ht="17.25" customHeight="1" thickTop="1" thickBot="1" x14ac:dyDescent="0.3">
      <c r="G93" s="118"/>
      <c r="H93" s="655" t="s">
        <v>58</v>
      </c>
      <c r="I93" s="655"/>
      <c r="J93" s="655"/>
      <c r="K93" s="655"/>
      <c r="L93" s="655"/>
      <c r="M93" s="655"/>
      <c r="N93" s="655"/>
      <c r="O93" s="405">
        <f>O89-O90-O91</f>
        <v>20.5</v>
      </c>
      <c r="P93" s="407"/>
      <c r="Q93" s="118" t="s">
        <v>100</v>
      </c>
      <c r="R93" s="565">
        <f>O93*D138</f>
        <v>0.35779249665883756</v>
      </c>
      <c r="S93" s="565"/>
      <c r="T93" s="147" t="s">
        <v>136</v>
      </c>
      <c r="U93" s="379" t="str" cm="1">
        <f t="array" ref="U93">angleDecimal2Txt(O93)</f>
        <v>+20°30.00 (+20.5000) [+20°30'00.00]</v>
      </c>
      <c r="V93" s="379"/>
      <c r="W93" s="379"/>
      <c r="X93" s="379"/>
      <c r="Y93" s="379"/>
      <c r="Z93" s="379"/>
    </row>
    <row r="94" spans="1:66" ht="17.25" customHeight="1" thickTop="1" x14ac:dyDescent="0.25">
      <c r="C94" s="118"/>
      <c r="D94" s="118"/>
      <c r="E94" s="118"/>
      <c r="F94" s="118"/>
      <c r="G94" s="118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U94" s="101"/>
      <c r="V94" s="101"/>
      <c r="W94" s="101"/>
      <c r="X94" s="101"/>
      <c r="Y94" s="101"/>
      <c r="Z94" s="101"/>
    </row>
    <row r="95" spans="1:66" ht="17.25" customHeight="1" x14ac:dyDescent="0.25">
      <c r="G95" s="118"/>
      <c r="H95" s="101"/>
      <c r="I95" s="101"/>
      <c r="J95" s="101"/>
      <c r="K95" s="101"/>
      <c r="L95" s="101"/>
      <c r="M95" s="561" t="s">
        <v>133</v>
      </c>
      <c r="N95" s="561"/>
      <c r="O95" s="561"/>
      <c r="P95" s="561"/>
      <c r="Q95" s="101"/>
      <c r="R95" s="101"/>
      <c r="U95" s="101"/>
      <c r="V95" s="101"/>
      <c r="W95" s="101"/>
      <c r="X95" s="101"/>
      <c r="Y95" s="101"/>
      <c r="Z95" s="101"/>
    </row>
    <row r="96" spans="1:66" ht="17.25" customHeight="1" thickBot="1" x14ac:dyDescent="0.3">
      <c r="C96" s="118"/>
      <c r="D96" s="118"/>
      <c r="E96" s="118"/>
      <c r="F96" s="118"/>
      <c r="G96" s="118"/>
      <c r="M96" s="562" t="s">
        <v>318</v>
      </c>
      <c r="N96" s="562"/>
      <c r="O96" s="561"/>
      <c r="P96" s="561"/>
    </row>
    <row r="97" spans="1:66" ht="17.25" customHeight="1" thickTop="1" thickBot="1" x14ac:dyDescent="0.3">
      <c r="A97" s="101"/>
      <c r="B97" s="101"/>
      <c r="C97" s="101"/>
      <c r="D97" s="101"/>
      <c r="E97" s="101"/>
      <c r="F97" s="118"/>
      <c r="G97" s="118"/>
      <c r="H97" s="399" t="s">
        <v>65</v>
      </c>
      <c r="I97" s="399"/>
      <c r="J97" s="399"/>
      <c r="K97" s="399"/>
      <c r="L97" s="399"/>
      <c r="M97" s="399"/>
      <c r="N97" s="399"/>
      <c r="O97" s="563">
        <f>J24</f>
        <v>0</v>
      </c>
      <c r="P97" s="564"/>
      <c r="Q97" s="564"/>
      <c r="R97" s="564"/>
      <c r="S97" s="118" t="s">
        <v>100</v>
      </c>
      <c r="U97" s="379" t="str" cm="1">
        <f t="array" ref="U97">angleDecimal2Txt(O97)</f>
        <v>+00°00.00 (+00.0000) [+00°00'00.00]</v>
      </c>
      <c r="V97" s="379"/>
      <c r="W97" s="379"/>
      <c r="X97" s="379"/>
      <c r="Y97" s="379"/>
      <c r="Z97" s="379"/>
      <c r="AC97" s="6" t="s">
        <v>429</v>
      </c>
      <c r="AD97" s="6">
        <f>O97*COS(R93)</f>
        <v>0</v>
      </c>
    </row>
    <row r="98" spans="1:66" customFormat="1" ht="17.25" customHeight="1" thickTop="1" thickBot="1" x14ac:dyDescent="0.3">
      <c r="A98" s="101"/>
      <c r="B98" s="101"/>
      <c r="C98" s="101"/>
      <c r="D98" s="101"/>
      <c r="E98" s="101"/>
      <c r="F98" s="118"/>
      <c r="G98" s="118"/>
      <c r="H98" s="584" t="s">
        <v>319</v>
      </c>
      <c r="I98" s="585"/>
      <c r="J98" s="585"/>
      <c r="K98" s="585"/>
      <c r="L98" s="585"/>
      <c r="M98" s="585"/>
      <c r="N98" s="586"/>
      <c r="O98" s="454">
        <f>AD97</f>
        <v>0</v>
      </c>
      <c r="P98" s="454"/>
      <c r="Q98" s="454"/>
      <c r="R98" s="454"/>
      <c r="S98" s="118" t="s">
        <v>100</v>
      </c>
      <c r="T98" s="118"/>
      <c r="U98" s="379" t="str" cm="1">
        <f t="array" ref="U98">angleDecimal2Txt(O98)</f>
        <v>+00°00.00 (+00.0000) [+00°00'00.00]</v>
      </c>
      <c r="V98" s="379"/>
      <c r="W98" s="379"/>
      <c r="X98" s="379"/>
      <c r="Y98" s="379"/>
      <c r="Z98" s="379"/>
      <c r="AA98" s="118"/>
      <c r="AB98" s="173"/>
      <c r="BN98" s="134"/>
    </row>
    <row r="99" spans="1:66" customFormat="1" ht="17.25" customHeight="1" thickTop="1" x14ac:dyDescent="0.25">
      <c r="A99" s="101"/>
      <c r="B99" s="101"/>
      <c r="C99" s="101"/>
      <c r="D99" s="101"/>
      <c r="E99" s="101"/>
      <c r="F99" s="118"/>
      <c r="G99" s="118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BN99" s="134"/>
    </row>
    <row r="100" spans="1:66" customFormat="1" ht="17.25" customHeight="1" x14ac:dyDescent="0.25">
      <c r="A100" s="101"/>
      <c r="B100" s="101"/>
      <c r="C100" s="101"/>
      <c r="D100" s="101"/>
      <c r="E100" s="171"/>
      <c r="F100" s="118"/>
      <c r="G100" s="118"/>
      <c r="H100" s="101"/>
      <c r="I100" s="101"/>
      <c r="J100" s="101"/>
      <c r="K100" s="101"/>
      <c r="L100" s="101"/>
      <c r="M100" s="101"/>
      <c r="N100" s="101"/>
      <c r="O100" s="101"/>
      <c r="P100" s="118"/>
      <c r="Q100" s="118"/>
      <c r="R100" s="118"/>
      <c r="S100" s="572" t="s">
        <v>270</v>
      </c>
      <c r="T100" s="573"/>
      <c r="U100" s="574"/>
      <c r="V100" s="118"/>
      <c r="W100" s="118"/>
      <c r="X100" s="118"/>
      <c r="Y100" s="101"/>
      <c r="Z100" s="101"/>
      <c r="AA100" s="118"/>
      <c r="AB100" s="173"/>
      <c r="AC100" s="6" t="s">
        <v>60</v>
      </c>
      <c r="AD100" s="6" t="s">
        <v>431</v>
      </c>
      <c r="BN100" s="134"/>
    </row>
    <row r="101" spans="1:66" customFormat="1" ht="17.25" customHeight="1" x14ac:dyDescent="0.25">
      <c r="A101" s="101"/>
      <c r="B101" s="101"/>
      <c r="C101" s="101"/>
      <c r="D101" s="101"/>
      <c r="E101" s="171"/>
      <c r="F101" s="118"/>
      <c r="G101" s="118"/>
      <c r="H101" s="399" t="s">
        <v>137</v>
      </c>
      <c r="I101" s="399"/>
      <c r="J101" s="399"/>
      <c r="K101" s="399"/>
      <c r="L101" s="399"/>
      <c r="M101" s="399"/>
      <c r="N101" s="399"/>
      <c r="O101" s="520">
        <f>S101</f>
        <v>10</v>
      </c>
      <c r="P101" s="521"/>
      <c r="Q101" s="521"/>
      <c r="R101" s="521"/>
      <c r="S101" s="396">
        <v>10</v>
      </c>
      <c r="T101" s="397"/>
      <c r="U101" s="398"/>
      <c r="V101" s="118"/>
      <c r="W101" s="118"/>
      <c r="X101" s="118"/>
      <c r="Y101" s="101"/>
      <c r="Z101" s="101"/>
      <c r="AA101" s="118"/>
      <c r="AB101" s="173"/>
      <c r="AC101" s="6" t="s">
        <v>432</v>
      </c>
      <c r="AD101" s="6">
        <f>1/TAN((O93 + 7.31 / (O93 + 4.4)) * D138)</f>
        <v>2.6334082067358655</v>
      </c>
      <c r="BN101" s="134"/>
    </row>
    <row r="102" spans="1:66" customFormat="1" ht="17.25" customHeight="1" thickBot="1" x14ac:dyDescent="0.3">
      <c r="A102" s="101"/>
      <c r="B102" s="101"/>
      <c r="C102" s="101"/>
      <c r="D102" s="101"/>
      <c r="E102" s="101"/>
      <c r="F102" s="118"/>
      <c r="G102" s="118"/>
      <c r="H102" s="399" t="s">
        <v>138</v>
      </c>
      <c r="I102" s="399"/>
      <c r="J102" s="399"/>
      <c r="K102" s="399"/>
      <c r="L102" s="399"/>
      <c r="M102" s="399"/>
      <c r="N102" s="399"/>
      <c r="O102" s="520">
        <f>S102</f>
        <v>1010</v>
      </c>
      <c r="P102" s="521"/>
      <c r="Q102" s="521"/>
      <c r="R102" s="521"/>
      <c r="S102" s="396">
        <v>1010</v>
      </c>
      <c r="T102" s="397"/>
      <c r="U102" s="398"/>
      <c r="V102" s="118"/>
      <c r="W102" s="118"/>
      <c r="X102" s="118"/>
      <c r="Y102" s="101"/>
      <c r="Z102" s="101"/>
      <c r="AA102" s="118"/>
      <c r="AB102" s="173"/>
      <c r="AC102" s="6" t="s">
        <v>433</v>
      </c>
      <c r="AD102" s="6">
        <f>AD101/60</f>
        <v>4.389013677893109E-2</v>
      </c>
      <c r="BN102" s="134"/>
    </row>
    <row r="103" spans="1:66" customFormat="1" ht="17.25" customHeight="1" thickTop="1" thickBot="1" x14ac:dyDescent="0.3">
      <c r="A103" s="101"/>
      <c r="B103" s="101"/>
      <c r="C103" s="101"/>
      <c r="D103" s="101"/>
      <c r="E103" s="101"/>
      <c r="F103" s="118"/>
      <c r="G103" s="118"/>
      <c r="H103" s="584" t="s">
        <v>320</v>
      </c>
      <c r="I103" s="585"/>
      <c r="J103" s="585"/>
      <c r="K103" s="585"/>
      <c r="L103" s="585"/>
      <c r="M103" s="585"/>
      <c r="N103" s="586"/>
      <c r="O103" s="454">
        <f>AD104</f>
        <v>4.3859119014423013E-2</v>
      </c>
      <c r="P103" s="454"/>
      <c r="Q103" s="454"/>
      <c r="R103" s="454"/>
      <c r="S103" s="118" t="s">
        <v>100</v>
      </c>
      <c r="T103" s="118"/>
      <c r="U103" s="379" t="str" cm="1">
        <f t="array" ref="U103">angleDecimal2Txt(O103)</f>
        <v>+00°02.63 (+00.0438) [+00°02'37.89]</v>
      </c>
      <c r="V103" s="379"/>
      <c r="W103" s="379"/>
      <c r="X103" s="379"/>
      <c r="Y103" s="379"/>
      <c r="Z103" s="379"/>
      <c r="AA103" s="118"/>
      <c r="AB103" s="173"/>
      <c r="AC103" s="6" t="s">
        <v>174</v>
      </c>
      <c r="AD103" s="6">
        <f xml:space="preserve"> 0.28 * O102 / (273 + O101)</f>
        <v>0.99929328621908131</v>
      </c>
      <c r="BN103" s="134"/>
    </row>
    <row r="104" spans="1:66" customFormat="1" ht="17.25" customHeight="1" thickTop="1" x14ac:dyDescent="0.25">
      <c r="A104" s="101"/>
      <c r="B104" s="101"/>
      <c r="C104" s="101"/>
      <c r="D104" s="101"/>
      <c r="E104" s="101"/>
      <c r="F104" s="118"/>
      <c r="G104" s="118"/>
      <c r="H104" s="101"/>
      <c r="I104" s="101"/>
      <c r="J104" s="101"/>
      <c r="K104" s="101"/>
      <c r="L104" s="101"/>
      <c r="M104" s="101"/>
      <c r="N104" s="101"/>
      <c r="O104" s="101"/>
      <c r="P104" s="118"/>
      <c r="Q104" s="118"/>
      <c r="R104" s="118"/>
      <c r="S104" s="118"/>
      <c r="T104" s="118"/>
      <c r="U104" s="118"/>
      <c r="V104" s="118"/>
      <c r="W104" s="118"/>
      <c r="X104" s="118"/>
      <c r="Y104" s="101"/>
      <c r="Z104" s="101"/>
      <c r="AA104" s="118"/>
      <c r="AB104" s="173"/>
      <c r="AC104" s="6" t="s">
        <v>430</v>
      </c>
      <c r="AD104" s="6">
        <f>AD103*AD102</f>
        <v>4.3859119014423013E-2</v>
      </c>
      <c r="BN104" s="134"/>
    </row>
    <row r="105" spans="1:66" customFormat="1" ht="17.25" customHeight="1" x14ac:dyDescent="0.25">
      <c r="A105" s="101"/>
      <c r="B105" s="101"/>
      <c r="C105" s="101"/>
      <c r="D105" s="101"/>
      <c r="E105" s="101"/>
      <c r="F105" s="118"/>
      <c r="G105" s="118"/>
      <c r="H105" s="399" t="s">
        <v>180</v>
      </c>
      <c r="I105" s="399"/>
      <c r="J105" s="399"/>
      <c r="K105" s="399"/>
      <c r="L105" s="399"/>
      <c r="M105" s="399"/>
      <c r="N105" s="399"/>
      <c r="O105" s="376">
        <f>J28</f>
        <v>0.4924</v>
      </c>
      <c r="P105" s="376"/>
      <c r="Q105" s="376"/>
      <c r="R105" s="376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73"/>
      <c r="BN105" s="134"/>
    </row>
    <row r="106" spans="1:66" customFormat="1" ht="17.25" customHeight="1" thickBot="1" x14ac:dyDescent="0.3">
      <c r="A106" s="118"/>
      <c r="B106" s="101"/>
      <c r="C106" s="101"/>
      <c r="D106" s="101"/>
      <c r="E106" s="171"/>
      <c r="F106" s="171"/>
      <c r="G106" s="171"/>
      <c r="H106" s="399" t="s">
        <v>143</v>
      </c>
      <c r="I106" s="399"/>
      <c r="J106" s="399"/>
      <c r="K106" s="399"/>
      <c r="L106" s="399"/>
      <c r="M106" s="399"/>
      <c r="N106" s="399"/>
      <c r="O106" s="376" t="str">
        <f>J23</f>
        <v>BordInf</v>
      </c>
      <c r="P106" s="376"/>
      <c r="Q106" s="376"/>
      <c r="R106" s="376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AC106" s="6" t="s">
        <v>38</v>
      </c>
      <c r="AD106" s="391" t="str">
        <f>J22</f>
        <v>Lune</v>
      </c>
      <c r="AE106" s="391"/>
      <c r="BN106" s="134"/>
    </row>
    <row r="107" spans="1:66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587" t="s">
        <v>144</v>
      </c>
      <c r="I107" s="588"/>
      <c r="J107" s="588"/>
      <c r="K107" s="588"/>
      <c r="L107" s="588"/>
      <c r="M107" s="588"/>
      <c r="N107" s="589"/>
      <c r="O107" s="560">
        <f>AD110</f>
        <v>0</v>
      </c>
      <c r="P107" s="560"/>
      <c r="Q107" s="560"/>
      <c r="R107" s="560"/>
      <c r="S107" s="118" t="s">
        <v>100</v>
      </c>
      <c r="T107" s="118"/>
      <c r="U107" s="379" t="str" cm="1">
        <f t="array" ref="U107">angleDecimal2Txt(O107)</f>
        <v>+00°00.00 (+00.0000) [+00°00'00.00]</v>
      </c>
      <c r="V107" s="379"/>
      <c r="W107" s="379"/>
      <c r="X107" s="379"/>
      <c r="Y107" s="379"/>
      <c r="Z107" s="379"/>
      <c r="AA107" s="118"/>
      <c r="AB107" s="173"/>
      <c r="AC107" s="6" t="s">
        <v>437</v>
      </c>
      <c r="AD107" s="391" t="str">
        <f>O106</f>
        <v>BordInf</v>
      </c>
      <c r="AE107" s="391"/>
      <c r="BN107" s="134"/>
    </row>
    <row r="108" spans="1:66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18"/>
      <c r="AB108" s="173"/>
      <c r="AC108" s="6" t="s">
        <v>438</v>
      </c>
      <c r="AD108" s="392">
        <f>HLOOKUP(AD107,AD27:AF28,2)</f>
        <v>1</v>
      </c>
      <c r="AE108" s="392"/>
      <c r="BN108" s="134"/>
    </row>
    <row r="109" spans="1:66" customFormat="1" ht="17.25" customHeight="1" x14ac:dyDescent="0.25">
      <c r="A109" s="118"/>
      <c r="B109" s="118"/>
      <c r="C109" s="171"/>
      <c r="D109" s="171"/>
      <c r="E109" s="171"/>
      <c r="F109" s="171"/>
      <c r="G109" s="556" t="s">
        <v>245</v>
      </c>
      <c r="H109" s="557"/>
      <c r="I109" s="557"/>
      <c r="J109" s="557"/>
      <c r="K109" s="557"/>
      <c r="L109" s="557"/>
      <c r="M109" s="557"/>
      <c r="N109" s="557"/>
      <c r="O109" s="557"/>
      <c r="P109" s="557"/>
      <c r="Q109" s="557"/>
      <c r="R109" s="557"/>
      <c r="S109" s="558"/>
      <c r="T109" s="101"/>
      <c r="U109" s="101"/>
      <c r="V109" s="101"/>
      <c r="W109" s="101"/>
      <c r="X109" s="101"/>
      <c r="Y109" s="101"/>
      <c r="Z109" s="101"/>
      <c r="AA109" s="118"/>
      <c r="AB109" s="173"/>
      <c r="AC109" s="6" t="s">
        <v>180</v>
      </c>
      <c r="AD109" s="6" t="str">
        <f>HLOOKUP(AD106,AD23:AF25,3)</f>
        <v>28.0'</v>
      </c>
      <c r="AE109" s="6" cm="1">
        <f t="array" ref="AE109">angleConvert2Decimal(AD109)</f>
        <v>0</v>
      </c>
      <c r="BN109" s="134"/>
    </row>
    <row r="110" spans="1:66" customFormat="1" ht="17.25" customHeight="1" x14ac:dyDescent="0.25">
      <c r="A110" s="118"/>
      <c r="B110" s="118"/>
      <c r="C110" s="171"/>
      <c r="D110" s="171"/>
      <c r="E110" s="171"/>
      <c r="F110" s="171"/>
      <c r="G110" s="534" t="s">
        <v>258</v>
      </c>
      <c r="H110" s="535"/>
      <c r="I110" s="566" t="s">
        <v>250</v>
      </c>
      <c r="J110" s="567"/>
      <c r="K110" s="567"/>
      <c r="L110" s="567"/>
      <c r="M110" s="567"/>
      <c r="N110" s="568"/>
      <c r="O110" s="610">
        <f>(O98-O103-O91+O105/2) * 60</f>
        <v>12.140452859134619</v>
      </c>
      <c r="P110" s="400"/>
      <c r="Q110" s="400"/>
      <c r="R110" s="400"/>
      <c r="S110" s="529" t="s">
        <v>246</v>
      </c>
      <c r="T110" s="101"/>
      <c r="U110" s="101"/>
      <c r="V110" s="101"/>
      <c r="W110" s="101"/>
      <c r="X110" s="101"/>
      <c r="Y110" s="101"/>
      <c r="Z110" s="101"/>
      <c r="AA110" s="118"/>
      <c r="AB110" s="173"/>
      <c r="AC110" s="6" t="s">
        <v>438</v>
      </c>
      <c r="AD110" s="392">
        <f>AE109*AD108</f>
        <v>0</v>
      </c>
      <c r="AE110" s="392"/>
      <c r="BN110" s="134"/>
    </row>
    <row r="111" spans="1:66" customFormat="1" ht="17.25" customHeight="1" x14ac:dyDescent="0.25">
      <c r="A111" s="118"/>
      <c r="B111" s="118"/>
      <c r="C111" s="171"/>
      <c r="D111" s="171"/>
      <c r="E111" s="171"/>
      <c r="F111" s="171"/>
      <c r="G111" s="536"/>
      <c r="H111" s="537"/>
      <c r="I111" s="569" t="s">
        <v>254</v>
      </c>
      <c r="J111" s="570"/>
      <c r="K111" s="570"/>
      <c r="L111" s="570"/>
      <c r="M111" s="570"/>
      <c r="N111" s="571"/>
      <c r="O111" s="611"/>
      <c r="P111" s="401"/>
      <c r="Q111" s="401"/>
      <c r="R111" s="401"/>
      <c r="S111" s="530"/>
      <c r="T111" s="101"/>
      <c r="U111" s="101"/>
      <c r="V111" s="101"/>
      <c r="W111" s="101"/>
      <c r="X111" s="101"/>
      <c r="Y111" s="101"/>
      <c r="Z111" s="101"/>
      <c r="AA111" s="118"/>
      <c r="AB111" s="173"/>
      <c r="BN111" s="134"/>
    </row>
    <row r="112" spans="1:66" customFormat="1" ht="17.25" customHeight="1" x14ac:dyDescent="0.25">
      <c r="A112" s="118"/>
      <c r="B112" s="118"/>
      <c r="C112" s="171"/>
      <c r="D112" s="171"/>
      <c r="E112" s="171"/>
      <c r="F112" s="171"/>
      <c r="G112" s="171"/>
      <c r="H112" s="101"/>
      <c r="I112" s="566" t="s">
        <v>251</v>
      </c>
      <c r="J112" s="567"/>
      <c r="K112" s="567"/>
      <c r="L112" s="567"/>
      <c r="M112" s="567"/>
      <c r="N112" s="568"/>
      <c r="O112" s="400">
        <f>(O98-O103+O105/2)*60</f>
        <v>12.140452859134619</v>
      </c>
      <c r="P112" s="400"/>
      <c r="Q112" s="400"/>
      <c r="R112" s="400"/>
      <c r="S112" s="529" t="s">
        <v>246</v>
      </c>
      <c r="T112" s="101"/>
      <c r="U112" s="101"/>
      <c r="V112" s="101"/>
      <c r="W112" s="101"/>
      <c r="X112" s="101"/>
      <c r="Y112" s="101"/>
      <c r="Z112" s="101"/>
      <c r="AA112" s="118"/>
      <c r="AB112" s="173"/>
      <c r="BN112" s="134"/>
    </row>
    <row r="113" spans="1:66" customFormat="1" ht="17.25" customHeight="1" x14ac:dyDescent="0.25">
      <c r="A113" s="118"/>
      <c r="B113" s="118"/>
      <c r="C113" s="171"/>
      <c r="D113" s="171"/>
      <c r="E113" s="171"/>
      <c r="F113" s="171"/>
      <c r="G113" s="171"/>
      <c r="H113" s="101"/>
      <c r="I113" s="531" t="s">
        <v>252</v>
      </c>
      <c r="J113" s="532"/>
      <c r="K113" s="532"/>
      <c r="L113" s="532"/>
      <c r="M113" s="532"/>
      <c r="N113" s="533"/>
      <c r="O113" s="401"/>
      <c r="P113" s="401"/>
      <c r="Q113" s="401"/>
      <c r="R113" s="401"/>
      <c r="S113" s="530"/>
      <c r="T113" s="101"/>
      <c r="U113" s="101"/>
      <c r="V113" s="101"/>
      <c r="W113" s="101"/>
      <c r="X113" s="101"/>
      <c r="Y113" s="101"/>
      <c r="Z113" s="101"/>
      <c r="AA113" s="118"/>
      <c r="AB113" s="173"/>
      <c r="BN113" s="134"/>
    </row>
    <row r="114" spans="1:66" customFormat="1" ht="17.25" customHeight="1" x14ac:dyDescent="0.25">
      <c r="A114" s="118"/>
      <c r="B114" s="118"/>
      <c r="C114" s="171"/>
      <c r="D114" s="171"/>
      <c r="E114" s="171"/>
      <c r="F114" s="171"/>
      <c r="G114" s="171"/>
      <c r="H114" s="101"/>
      <c r="I114" s="593" t="s">
        <v>144</v>
      </c>
      <c r="J114" s="593"/>
      <c r="K114" s="593"/>
      <c r="L114" s="593"/>
      <c r="M114" s="593"/>
      <c r="N114" s="593"/>
      <c r="O114" s="594">
        <f>O107*60</f>
        <v>0</v>
      </c>
      <c r="P114" s="595"/>
      <c r="Q114" s="595"/>
      <c r="R114" s="595"/>
      <c r="S114" s="187" t="s">
        <v>246</v>
      </c>
      <c r="T114" s="101"/>
      <c r="U114" s="101"/>
      <c r="V114" s="101"/>
      <c r="W114" s="101"/>
      <c r="X114" s="101"/>
      <c r="Y114" s="101"/>
      <c r="Z114" s="101"/>
      <c r="AA114" s="118"/>
      <c r="AB114" s="173"/>
      <c r="BN114" s="134"/>
    </row>
    <row r="115" spans="1:66" customFormat="1" ht="17.25" customHeight="1" thickBot="1" x14ac:dyDescent="0.3">
      <c r="A115" s="118"/>
      <c r="B115" s="118"/>
      <c r="C115" s="171"/>
      <c r="D115" s="171"/>
      <c r="E115" s="171"/>
      <c r="F115" s="171"/>
      <c r="G115" s="17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73"/>
      <c r="BN115" s="134"/>
    </row>
    <row r="116" spans="1:66" customFormat="1" ht="17.25" customHeight="1" thickTop="1" thickBot="1" x14ac:dyDescent="0.3">
      <c r="A116" s="118"/>
      <c r="B116" s="118"/>
      <c r="C116" s="171"/>
      <c r="D116" s="171"/>
      <c r="E116" s="171"/>
      <c r="F116" s="171"/>
      <c r="G116" s="171"/>
      <c r="H116" s="590" t="s">
        <v>321</v>
      </c>
      <c r="I116" s="591"/>
      <c r="J116" s="591"/>
      <c r="K116" s="591"/>
      <c r="L116" s="591"/>
      <c r="M116" s="591"/>
      <c r="N116" s="592"/>
      <c r="O116" s="407">
        <f>O93-O103+O98+O107</f>
        <v>20.456140880985576</v>
      </c>
      <c r="P116" s="454"/>
      <c r="Q116" s="454"/>
      <c r="R116" s="454"/>
      <c r="S116" s="118" t="s">
        <v>100</v>
      </c>
      <c r="T116" s="118"/>
      <c r="U116" s="379" t="str" cm="1">
        <f t="array" ref="U116">angleDecimal2Txt(O116)</f>
        <v>+20°27.36 (+20.4561) [+20°27'22.10]</v>
      </c>
      <c r="V116" s="379"/>
      <c r="W116" s="379"/>
      <c r="X116" s="379"/>
      <c r="Y116" s="379"/>
      <c r="Z116" s="379"/>
      <c r="AA116" s="118"/>
      <c r="AB116" s="173"/>
      <c r="BN116" s="134"/>
    </row>
    <row r="117" spans="1:66" customFormat="1" ht="17.25" customHeight="1" thickTop="1" x14ac:dyDescent="0.25">
      <c r="A117" s="118"/>
      <c r="B117" s="118"/>
      <c r="C117" s="171"/>
      <c r="D117" s="171"/>
      <c r="E117" s="171"/>
      <c r="F117" s="171"/>
      <c r="G117" s="171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73"/>
      <c r="BN117" s="134"/>
    </row>
    <row r="118" spans="1:66" customFormat="1" ht="17.25" customHeight="1" x14ac:dyDescent="0.25">
      <c r="A118" s="118"/>
      <c r="B118" s="118"/>
      <c r="C118" s="171"/>
      <c r="D118" s="171"/>
      <c r="E118" s="171"/>
      <c r="F118" s="452" t="s">
        <v>135</v>
      </c>
      <c r="G118" s="452"/>
      <c r="H118" s="452"/>
      <c r="I118" s="452"/>
      <c r="J118" s="454" t="str">
        <f>IF(G87=AD87,O124,"---")</f>
        <v>---</v>
      </c>
      <c r="K118" s="454"/>
      <c r="L118" s="454"/>
      <c r="M118" s="118"/>
      <c r="N118" s="118"/>
      <c r="O118" s="118"/>
      <c r="P118" s="118"/>
      <c r="Q118" s="118"/>
      <c r="R118" s="148" t="s">
        <v>157</v>
      </c>
      <c r="S118" s="118" t="s">
        <v>41</v>
      </c>
      <c r="T118" s="118"/>
      <c r="U118" s="118"/>
      <c r="V118" s="118"/>
      <c r="W118" s="118"/>
      <c r="X118" s="118"/>
      <c r="Y118" s="118"/>
      <c r="Z118" s="118"/>
      <c r="AA118" s="118"/>
      <c r="AB118" s="173"/>
      <c r="BN118" s="134"/>
    </row>
    <row r="119" spans="1:66" customFormat="1" ht="17.25" customHeight="1" x14ac:dyDescent="0.25">
      <c r="A119" s="118"/>
      <c r="B119" s="118"/>
      <c r="C119" s="171"/>
      <c r="D119" s="171"/>
      <c r="E119" s="171"/>
      <c r="F119" s="171"/>
      <c r="G119" s="171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49" t="s">
        <v>153</v>
      </c>
      <c r="S119" s="118" t="s">
        <v>155</v>
      </c>
      <c r="T119" s="118"/>
      <c r="U119" s="118"/>
      <c r="V119" s="118"/>
      <c r="W119" s="118"/>
      <c r="X119" s="118"/>
      <c r="Y119" s="118"/>
      <c r="Z119" s="118"/>
      <c r="AA119" s="118"/>
      <c r="AB119" s="173"/>
      <c r="BN119" s="134"/>
    </row>
    <row r="120" spans="1:66" customFormat="1" ht="17.25" customHeight="1" x14ac:dyDescent="0.25">
      <c r="A120" s="118"/>
      <c r="B120" s="118"/>
      <c r="C120" s="171"/>
      <c r="D120" s="171"/>
      <c r="E120" s="171"/>
      <c r="F120" s="171"/>
      <c r="G120" s="171"/>
      <c r="H120" s="118" t="s">
        <v>145</v>
      </c>
      <c r="I120" s="150" t="s">
        <v>147</v>
      </c>
      <c r="J120" s="118" t="s">
        <v>132</v>
      </c>
      <c r="K120" s="150" t="s">
        <v>150</v>
      </c>
      <c r="L120" s="118" t="s">
        <v>131</v>
      </c>
      <c r="M120" s="118"/>
      <c r="N120" s="150" t="s">
        <v>151</v>
      </c>
      <c r="O120" s="118"/>
      <c r="P120" s="118"/>
      <c r="Q120" s="150" t="s">
        <v>152</v>
      </c>
      <c r="R120" s="151" t="s">
        <v>154</v>
      </c>
      <c r="S120" s="118" t="s">
        <v>156</v>
      </c>
      <c r="T120" s="118"/>
      <c r="U120" s="118"/>
      <c r="AB120" s="173"/>
      <c r="BN120" s="134"/>
    </row>
    <row r="121" spans="1:66" customFormat="1" ht="17.25" customHeight="1" thickBot="1" x14ac:dyDescent="0.3">
      <c r="A121" s="118"/>
      <c r="B121" s="118"/>
      <c r="C121" s="171"/>
      <c r="D121" s="171"/>
      <c r="E121" s="171"/>
      <c r="F121" s="171"/>
      <c r="G121" s="171"/>
      <c r="H121" s="118"/>
      <c r="I121" s="150"/>
      <c r="J121" s="152">
        <f>O89</f>
        <v>20.5</v>
      </c>
      <c r="K121" s="150" t="s">
        <v>150</v>
      </c>
      <c r="L121" s="153">
        <f>O90</f>
        <v>0</v>
      </c>
      <c r="M121" s="118"/>
      <c r="N121" s="674" t="s">
        <v>325</v>
      </c>
      <c r="O121" s="674"/>
      <c r="P121" s="674"/>
      <c r="Q121" s="150" t="s">
        <v>152</v>
      </c>
      <c r="R121" s="154">
        <v>0</v>
      </c>
      <c r="S121" s="118"/>
      <c r="T121" s="118"/>
      <c r="U121" s="118"/>
      <c r="AB121" s="173"/>
      <c r="BN121" s="134"/>
    </row>
    <row r="122" spans="1:66" customFormat="1" ht="17.25" customHeight="1" thickTop="1" thickBot="1" x14ac:dyDescent="0.3">
      <c r="A122" s="118"/>
      <c r="B122" s="118"/>
      <c r="C122" s="171"/>
      <c r="D122" s="171"/>
      <c r="E122" s="171"/>
      <c r="F122" s="171"/>
      <c r="G122" s="171"/>
      <c r="H122" s="118"/>
      <c r="I122" s="150"/>
      <c r="K122" s="150"/>
      <c r="L122" s="188" cm="1">
        <f t="array" ref="L122">angleConvert2Decimal(L121)</f>
        <v>0</v>
      </c>
      <c r="N122" s="673" cm="1">
        <f t="array" ref="N122">angleConvert2Decimal(N121)</f>
        <v>0.17166666666666669</v>
      </c>
      <c r="O122" s="673"/>
      <c r="P122" s="673"/>
      <c r="Q122" s="42"/>
      <c r="R122" s="188" cm="1">
        <f t="array" ref="R122">angleConvert2Decimal(R121)</f>
        <v>0</v>
      </c>
      <c r="T122" s="13" t="s">
        <v>189</v>
      </c>
      <c r="U122" s="13"/>
      <c r="V122" s="13">
        <f>R122+N122</f>
        <v>0.17166666666666669</v>
      </c>
      <c r="W122" s="380" t="str" cm="1">
        <f t="array" ref="W122">angleDecimal2Txt(V122)</f>
        <v>+00°10.30 (+00.1716) [+00°10'18.00]</v>
      </c>
      <c r="X122" s="381"/>
      <c r="Y122" s="381"/>
      <c r="Z122" s="381"/>
      <c r="AA122" s="382"/>
      <c r="AB122" s="173"/>
      <c r="BN122" s="134"/>
    </row>
    <row r="123" spans="1:66" customFormat="1" ht="17.25" customHeight="1" thickTop="1" thickBot="1" x14ac:dyDescent="0.3">
      <c r="A123" s="118"/>
      <c r="B123" s="118"/>
      <c r="C123" s="171"/>
      <c r="D123" s="171"/>
      <c r="E123" s="171"/>
      <c r="F123" s="171"/>
      <c r="G123" s="171"/>
      <c r="H123" s="118"/>
      <c r="I123" s="150"/>
      <c r="J123" s="118"/>
      <c r="K123" s="150"/>
      <c r="L123" s="118"/>
      <c r="M123" s="118"/>
      <c r="N123" s="150"/>
      <c r="O123" s="118"/>
      <c r="P123" s="118"/>
      <c r="Q123" s="150"/>
      <c r="R123" s="155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</row>
    <row r="124" spans="1:66" customFormat="1" ht="17.25" customHeight="1" thickTop="1" thickBot="1" x14ac:dyDescent="0.3">
      <c r="A124" s="118"/>
      <c r="B124" s="118"/>
      <c r="C124" s="171"/>
      <c r="D124" s="171"/>
      <c r="E124" s="171"/>
      <c r="F124" s="171"/>
      <c r="G124" s="171"/>
      <c r="H124" s="590" t="s">
        <v>324</v>
      </c>
      <c r="I124" s="591"/>
      <c r="J124" s="591"/>
      <c r="K124" s="591"/>
      <c r="L124" s="591"/>
      <c r="M124" s="591"/>
      <c r="N124" s="592"/>
      <c r="O124" s="407">
        <f>J121-L122+N122+R122</f>
        <v>20.671666666666667</v>
      </c>
      <c r="P124" s="454"/>
      <c r="Q124" s="454"/>
      <c r="R124" s="454"/>
      <c r="S124" s="118" t="s">
        <v>100</v>
      </c>
      <c r="T124" s="118"/>
      <c r="U124" s="379" t="str" cm="1">
        <f t="array" ref="U124">angleDecimal2Txt(O124)</f>
        <v>+20°40.29 (+20.6716) [+20°40'18.00]</v>
      </c>
      <c r="V124" s="379"/>
      <c r="W124" s="379"/>
      <c r="X124" s="379"/>
      <c r="Y124" s="379"/>
      <c r="Z124" s="379"/>
      <c r="AA124" s="118"/>
      <c r="AB124" s="173"/>
      <c r="BN124" s="134"/>
    </row>
    <row r="125" spans="1:66" customFormat="1" ht="17.25" customHeight="1" thickTop="1" thickBot="1" x14ac:dyDescent="0.3">
      <c r="A125" s="118"/>
      <c r="B125" s="118"/>
      <c r="C125" s="171"/>
      <c r="D125" s="156"/>
      <c r="E125" s="171"/>
      <c r="F125" s="171"/>
      <c r="G125" s="171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</row>
    <row r="126" spans="1:66" customFormat="1" ht="17.25" customHeight="1" thickBot="1" x14ac:dyDescent="0.3">
      <c r="A126" s="118"/>
      <c r="B126" s="135" t="s">
        <v>54</v>
      </c>
      <c r="C126" s="136"/>
      <c r="D126" s="157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74"/>
      <c r="BN126" s="134"/>
    </row>
    <row r="127" spans="1:66" customFormat="1" ht="17.25" customHeight="1" x14ac:dyDescent="0.25">
      <c r="A127" s="118"/>
      <c r="B127" s="118"/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555" t="s">
        <v>158</v>
      </c>
      <c r="P127" s="555"/>
      <c r="Q127" s="555"/>
      <c r="R127" s="555"/>
      <c r="S127" s="555"/>
      <c r="T127" s="555"/>
      <c r="U127" s="555"/>
      <c r="V127" s="555"/>
      <c r="W127" s="555"/>
      <c r="X127" s="555"/>
      <c r="Y127" s="555"/>
      <c r="Z127" s="555"/>
      <c r="AA127" s="555"/>
      <c r="AB127" s="173"/>
      <c r="BN127" s="134"/>
    </row>
    <row r="128" spans="1:66" customFormat="1" ht="17.25" customHeight="1" x14ac:dyDescent="0.25">
      <c r="A128" s="118"/>
      <c r="B128" s="118"/>
      <c r="C128" s="101"/>
      <c r="D128" s="101"/>
      <c r="E128" s="578" t="s">
        <v>25</v>
      </c>
      <c r="F128" s="579"/>
      <c r="G128" s="579"/>
      <c r="H128" s="579"/>
      <c r="I128" s="668">
        <f>AD130</f>
        <v>21.473163016779424</v>
      </c>
      <c r="J128" s="668"/>
      <c r="K128" s="668"/>
      <c r="L128" s="668"/>
      <c r="M128" s="668"/>
      <c r="N128" s="118"/>
      <c r="O128" s="377" t="s">
        <v>159</v>
      </c>
      <c r="P128" s="377"/>
      <c r="Q128" s="377">
        <f>F45</f>
        <v>-2.4</v>
      </c>
      <c r="R128" s="377"/>
      <c r="S128" s="377"/>
      <c r="T128" s="606" t="s">
        <v>100</v>
      </c>
      <c r="U128" s="600">
        <f>Q128*$D$138</f>
        <v>-4.1887902047863905E-2</v>
      </c>
      <c r="V128" s="601"/>
      <c r="W128" s="602"/>
      <c r="X128" s="606" t="s">
        <v>136</v>
      </c>
      <c r="Y128" s="118"/>
      <c r="Z128" s="118"/>
      <c r="AA128" s="118"/>
      <c r="AB128" s="173"/>
      <c r="AC128" s="6" t="s">
        <v>439</v>
      </c>
      <c r="AD128" s="6">
        <f>SIN(U128)*SIN(U129)+COS(U128)*COS(U129)*COS(U130)</f>
        <v>0.36606538479196471</v>
      </c>
      <c r="AE128" s="6"/>
      <c r="BN128" s="134"/>
    </row>
    <row r="129" spans="1:66" customFormat="1" ht="17.25" customHeight="1" thickBot="1" x14ac:dyDescent="0.3">
      <c r="A129" s="118"/>
      <c r="B129" s="118"/>
      <c r="C129" s="101"/>
      <c r="D129" s="101"/>
      <c r="E129" s="580"/>
      <c r="F129" s="581"/>
      <c r="G129" s="581"/>
      <c r="H129" s="581"/>
      <c r="I129" s="668"/>
      <c r="J129" s="668"/>
      <c r="K129" s="668"/>
      <c r="L129" s="668"/>
      <c r="M129" s="668"/>
      <c r="N129" s="158" t="s">
        <v>259</v>
      </c>
      <c r="O129" s="377" t="s">
        <v>160</v>
      </c>
      <c r="P129" s="377"/>
      <c r="Q129" s="377">
        <f>F36</f>
        <v>48.875500000000002</v>
      </c>
      <c r="R129" s="377"/>
      <c r="S129" s="377"/>
      <c r="T129" s="606"/>
      <c r="U129" s="600">
        <f>Q129*$D$138</f>
        <v>0.85303839855848862</v>
      </c>
      <c r="V129" s="601"/>
      <c r="W129" s="602"/>
      <c r="X129" s="606"/>
      <c r="Y129" s="118"/>
      <c r="Z129" s="118"/>
      <c r="AA129" s="118"/>
      <c r="AB129" s="173"/>
      <c r="AC129" s="6" t="s">
        <v>440</v>
      </c>
      <c r="AD129" s="6">
        <f>ASIN(AD128)</f>
        <v>0.37477739546027933</v>
      </c>
      <c r="AE129" s="6" t="s">
        <v>136</v>
      </c>
      <c r="BN129" s="134"/>
    </row>
    <row r="130" spans="1:66" customFormat="1" ht="17.25" customHeight="1" thickTop="1" thickBot="1" x14ac:dyDescent="0.3">
      <c r="A130" s="118"/>
      <c r="B130" s="118"/>
      <c r="C130" s="101"/>
      <c r="D130" s="101"/>
      <c r="E130" s="582"/>
      <c r="F130" s="583"/>
      <c r="G130" s="583"/>
      <c r="H130" s="583"/>
      <c r="I130" s="379" t="str" cm="1">
        <f t="array" ref="I130">angleDecimal2Txt(I128)</f>
        <v>+21°28.38 (+21.4731) [+21°28'23.38]</v>
      </c>
      <c r="J130" s="379"/>
      <c r="K130" s="379"/>
      <c r="L130" s="379"/>
      <c r="M130" s="379"/>
      <c r="N130" s="118"/>
      <c r="O130" s="377" t="s">
        <v>53</v>
      </c>
      <c r="P130" s="377"/>
      <c r="Q130" s="377">
        <f>F82</f>
        <v>307.23449999999997</v>
      </c>
      <c r="R130" s="377"/>
      <c r="S130" s="377"/>
      <c r="T130" s="606"/>
      <c r="U130" s="600">
        <f>Q130*$D$138</f>
        <v>5.3622536007185175</v>
      </c>
      <c r="V130" s="601"/>
      <c r="W130" s="602"/>
      <c r="X130" s="606"/>
      <c r="Y130" s="118"/>
      <c r="Z130" s="118"/>
      <c r="AA130" s="118"/>
      <c r="AB130" s="173"/>
      <c r="AC130" s="6"/>
      <c r="AD130" s="6">
        <f>AD129*D139</f>
        <v>21.473163016779424</v>
      </c>
      <c r="AE130" s="6" t="s">
        <v>100</v>
      </c>
      <c r="BN130" s="134"/>
    </row>
    <row r="131" spans="1:66" customFormat="1" ht="17.25" customHeight="1" thickTop="1" x14ac:dyDescent="0.25">
      <c r="A131" s="118"/>
      <c r="B131" s="118"/>
      <c r="C131" s="101"/>
      <c r="D131" s="101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73"/>
      <c r="BN131" s="134"/>
    </row>
    <row r="132" spans="1:66" customFormat="1" ht="17.25" customHeight="1" x14ac:dyDescent="0.25">
      <c r="A132" s="118"/>
      <c r="B132" s="118"/>
      <c r="C132" s="101"/>
      <c r="D132" s="101"/>
      <c r="E132" s="578" t="s">
        <v>32</v>
      </c>
      <c r="F132" s="579"/>
      <c r="G132" s="579"/>
      <c r="H132" s="579"/>
      <c r="I132" s="668">
        <f>F86</f>
        <v>20.456140880985576</v>
      </c>
      <c r="J132" s="668"/>
      <c r="K132" s="668"/>
      <c r="L132" s="668"/>
      <c r="M132" s="66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73"/>
      <c r="BN132" s="134"/>
    </row>
    <row r="133" spans="1:66" customFormat="1" ht="17.25" customHeight="1" thickBot="1" x14ac:dyDescent="0.3">
      <c r="A133" s="118"/>
      <c r="B133" s="118"/>
      <c r="C133" s="101"/>
      <c r="D133" s="101"/>
      <c r="E133" s="580"/>
      <c r="F133" s="581"/>
      <c r="G133" s="581"/>
      <c r="H133" s="581"/>
      <c r="I133" s="668"/>
      <c r="J133" s="668"/>
      <c r="K133" s="668"/>
      <c r="L133" s="668"/>
      <c r="M133" s="668"/>
      <c r="N133" s="118"/>
      <c r="O133" s="603" t="s">
        <v>34</v>
      </c>
      <c r="P133" s="604"/>
      <c r="Q133" s="604"/>
      <c r="R133" s="604"/>
      <c r="S133" s="605"/>
      <c r="T133" s="159">
        <f>I132-I128</f>
        <v>-1.017022135793848</v>
      </c>
      <c r="U133" s="160" t="s">
        <v>35</v>
      </c>
      <c r="V133" s="161">
        <f>T133*60</f>
        <v>-61.021328147630882</v>
      </c>
      <c r="W133" s="160" t="s">
        <v>200</v>
      </c>
      <c r="X133" s="101"/>
      <c r="Y133" s="455" t="str">
        <f>IF(T133&gt;0,"Vers Pg", "Oppose de Pg")</f>
        <v>Oppose de Pg</v>
      </c>
      <c r="Z133" s="455"/>
      <c r="AA133" s="118"/>
      <c r="AB133" s="173"/>
      <c r="BN133" s="134"/>
    </row>
    <row r="134" spans="1:66" customFormat="1" ht="17.25" customHeight="1" thickTop="1" thickBot="1" x14ac:dyDescent="0.3">
      <c r="A134" s="118"/>
      <c r="B134" s="118"/>
      <c r="C134" s="101"/>
      <c r="D134" s="101"/>
      <c r="E134" s="582"/>
      <c r="F134" s="583"/>
      <c r="G134" s="583"/>
      <c r="H134" s="583"/>
      <c r="I134" s="379" t="str" cm="1">
        <f t="array" ref="I134">angleDecimal2Txt(I132)</f>
        <v>+20°27.36 (+20.4561) [+20°27'22.10]</v>
      </c>
      <c r="J134" s="379"/>
      <c r="K134" s="379"/>
      <c r="L134" s="379"/>
      <c r="M134" s="379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</row>
    <row r="135" spans="1:66" customFormat="1" ht="17.25" customHeight="1" thickTop="1" x14ac:dyDescent="0.25">
      <c r="A135" s="118"/>
      <c r="B135" s="118"/>
      <c r="C135" s="101"/>
      <c r="D135" s="101"/>
      <c r="E135" s="118"/>
      <c r="F135" s="118"/>
      <c r="G135" s="118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8"/>
      <c r="T135" s="101"/>
      <c r="U135" s="101"/>
      <c r="V135" s="101"/>
      <c r="W135" s="101"/>
      <c r="X135" s="101"/>
      <c r="Y135" s="101"/>
      <c r="Z135" s="118"/>
      <c r="AA135" s="118"/>
      <c r="AB135" s="173"/>
      <c r="BN135" s="134"/>
    </row>
    <row r="136" spans="1:66" customFormat="1" ht="17.25" customHeight="1" thickBot="1" x14ac:dyDescent="0.3">
      <c r="A136" s="118"/>
      <c r="B136" s="118"/>
      <c r="C136" s="118"/>
      <c r="D136" s="118"/>
      <c r="E136" s="118"/>
      <c r="F136" s="118"/>
      <c r="G136" s="171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01"/>
      <c r="U136" s="101"/>
      <c r="V136" s="101"/>
      <c r="W136" s="101"/>
      <c r="X136" s="101"/>
      <c r="Y136" s="101"/>
      <c r="Z136" s="118"/>
      <c r="AA136" s="118"/>
      <c r="AB136" s="173"/>
      <c r="BN136" s="134"/>
    </row>
    <row r="137" spans="1:66" customFormat="1" ht="17.25" customHeight="1" x14ac:dyDescent="0.25">
      <c r="A137" s="350" t="s">
        <v>186</v>
      </c>
      <c r="B137" s="351"/>
      <c r="C137" s="351"/>
      <c r="D137" s="352"/>
      <c r="E137" s="118"/>
      <c r="F137" s="118"/>
      <c r="G137" s="118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8"/>
      <c r="T137" s="101"/>
      <c r="U137" s="101"/>
      <c r="V137" s="101"/>
      <c r="W137" s="101"/>
      <c r="X137" s="101"/>
      <c r="Y137" s="101"/>
      <c r="Z137" s="118"/>
      <c r="AA137" s="118"/>
      <c r="AB137" s="173"/>
      <c r="BN137" s="134"/>
    </row>
    <row r="138" spans="1:66" customFormat="1" ht="17.25" customHeight="1" x14ac:dyDescent="0.25">
      <c r="A138" s="162" t="s">
        <v>79</v>
      </c>
      <c r="B138" s="163" t="s">
        <v>166</v>
      </c>
      <c r="C138" s="164" t="s">
        <v>385</v>
      </c>
      <c r="D138" s="165">
        <f>PI()/180</f>
        <v>1.7453292519943295E-2</v>
      </c>
      <c r="E138" s="118"/>
      <c r="F138" s="171"/>
      <c r="G138" s="171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73"/>
      <c r="BN138" s="134"/>
    </row>
    <row r="139" spans="1:66" customFormat="1" ht="17.25" customHeight="1" thickBot="1" x14ac:dyDescent="0.3">
      <c r="A139" s="124" t="s">
        <v>168</v>
      </c>
      <c r="B139" s="166" t="s">
        <v>166</v>
      </c>
      <c r="C139" s="167" t="s">
        <v>386</v>
      </c>
      <c r="D139" s="168">
        <f>180/PI()</f>
        <v>57.295779513082323</v>
      </c>
      <c r="E139" s="118"/>
      <c r="F139" s="118"/>
      <c r="G139" s="118"/>
      <c r="H139" s="118"/>
      <c r="I139" s="118"/>
      <c r="J139" s="118"/>
      <c r="K139" s="118"/>
      <c r="L139" s="118"/>
      <c r="M139" s="118"/>
      <c r="N139" s="118"/>
      <c r="O139" s="408" t="s">
        <v>161</v>
      </c>
      <c r="P139" s="409"/>
      <c r="Q139" s="409"/>
      <c r="R139" s="409"/>
      <c r="S139" s="409"/>
      <c r="T139" s="409"/>
      <c r="U139" s="409"/>
      <c r="V139" s="409"/>
      <c r="W139" s="409"/>
      <c r="X139" s="409"/>
      <c r="Y139" s="409"/>
      <c r="Z139" s="409"/>
      <c r="AA139" s="409"/>
      <c r="AB139" s="173"/>
      <c r="AC139" s="6" t="s">
        <v>162</v>
      </c>
      <c r="AD139" s="6">
        <f>(SIN(U140)-SIN(U141)*SIN(AD129))/(COS(U141)*COS(AD129))</f>
        <v>-0.51895799908089357</v>
      </c>
      <c r="AE139" s="6"/>
      <c r="BN139" s="134"/>
    </row>
    <row r="140" spans="1:66" customFormat="1" ht="17.25" customHeight="1" x14ac:dyDescent="0.25">
      <c r="A140" s="101"/>
      <c r="B140" s="101"/>
      <c r="C140" s="101"/>
      <c r="D140" s="101"/>
      <c r="E140" s="578" t="s">
        <v>169</v>
      </c>
      <c r="F140" s="579"/>
      <c r="G140" s="579"/>
      <c r="H140" s="607"/>
      <c r="I140" s="475">
        <f>AD141</f>
        <v>121.26238205897948</v>
      </c>
      <c r="J140" s="475"/>
      <c r="K140" s="475"/>
      <c r="L140" s="475"/>
      <c r="M140" s="476"/>
      <c r="N140" s="118"/>
      <c r="O140" s="377" t="s">
        <v>159</v>
      </c>
      <c r="P140" s="377"/>
      <c r="Q140" s="377">
        <f>F45</f>
        <v>-2.4</v>
      </c>
      <c r="R140" s="377"/>
      <c r="S140" s="377"/>
      <c r="T140" s="606" t="s">
        <v>100</v>
      </c>
      <c r="U140" s="377">
        <f>Q140*$D$138</f>
        <v>-4.1887902047863905E-2</v>
      </c>
      <c r="V140" s="377"/>
      <c r="W140" s="377"/>
      <c r="X140" s="606" t="s">
        <v>136</v>
      </c>
      <c r="Y140" s="118"/>
      <c r="Z140" s="118"/>
      <c r="AA140" s="118"/>
      <c r="AB140" s="173"/>
      <c r="AC140" s="6" t="s">
        <v>441</v>
      </c>
      <c r="AD140" s="6">
        <f>ACOS(AD139)</f>
        <v>2.1164278257404927</v>
      </c>
      <c r="AE140" s="6" t="s">
        <v>136</v>
      </c>
      <c r="BN140" s="134"/>
    </row>
    <row r="141" spans="1:66" customFormat="1" ht="17.25" customHeight="1" thickBot="1" x14ac:dyDescent="0.3">
      <c r="A141" s="118"/>
      <c r="B141" s="118"/>
      <c r="C141" s="101"/>
      <c r="D141" s="101"/>
      <c r="E141" s="580"/>
      <c r="F141" s="581"/>
      <c r="G141" s="581"/>
      <c r="H141" s="608"/>
      <c r="I141" s="665"/>
      <c r="J141" s="665"/>
      <c r="K141" s="665"/>
      <c r="L141" s="665"/>
      <c r="M141" s="666"/>
      <c r="N141" s="158" t="s">
        <v>259</v>
      </c>
      <c r="O141" s="377" t="s">
        <v>160</v>
      </c>
      <c r="P141" s="377"/>
      <c r="Q141" s="377">
        <f>F36</f>
        <v>48.875500000000002</v>
      </c>
      <c r="R141" s="377"/>
      <c r="S141" s="377"/>
      <c r="T141" s="606"/>
      <c r="U141" s="377">
        <f>Q141*$D$138</f>
        <v>0.85303839855848862</v>
      </c>
      <c r="V141" s="377"/>
      <c r="W141" s="377"/>
      <c r="X141" s="606"/>
      <c r="Y141" s="118"/>
      <c r="Z141" s="118"/>
      <c r="AA141" s="118"/>
      <c r="AB141" s="173"/>
      <c r="AC141" s="6"/>
      <c r="AD141" s="6">
        <f>AD140*$D$139</f>
        <v>121.26238205897948</v>
      </c>
      <c r="AE141" s="6" t="s">
        <v>100</v>
      </c>
      <c r="BN141" s="134"/>
    </row>
    <row r="142" spans="1:66" customFormat="1" ht="17.25" customHeight="1" thickTop="1" thickBot="1" x14ac:dyDescent="0.3">
      <c r="A142" s="118"/>
      <c r="B142" s="118"/>
      <c r="C142" s="101"/>
      <c r="D142" s="101"/>
      <c r="E142" s="582"/>
      <c r="F142" s="583"/>
      <c r="G142" s="583"/>
      <c r="H142" s="609"/>
      <c r="I142" s="667" t="str" cm="1">
        <f t="array" ref="I142">angleDecimal2Txt(I140)</f>
        <v>+121°15.74 (+121.2623) [+121°15'44.57]</v>
      </c>
      <c r="J142" s="386"/>
      <c r="K142" s="386"/>
      <c r="L142" s="386"/>
      <c r="M142" s="386"/>
      <c r="N142" s="118"/>
      <c r="O142" s="377" t="s">
        <v>53</v>
      </c>
      <c r="P142" s="377"/>
      <c r="Q142" s="377">
        <f>F82</f>
        <v>307.23449999999997</v>
      </c>
      <c r="R142" s="377"/>
      <c r="S142" s="377"/>
      <c r="T142" s="606"/>
      <c r="U142" s="377">
        <f>Q142*$D$138</f>
        <v>5.3622536007185175</v>
      </c>
      <c r="V142" s="377"/>
      <c r="W142" s="377"/>
      <c r="X142" s="606"/>
      <c r="Y142" s="118"/>
      <c r="Z142" s="118"/>
      <c r="AA142" s="118"/>
      <c r="AB142" s="173"/>
      <c r="BN142" s="134"/>
    </row>
    <row r="143" spans="1:66" customFormat="1" ht="17.25" customHeight="1" thickTop="1" x14ac:dyDescent="0.25">
      <c r="A143" s="118"/>
      <c r="B143" s="118"/>
      <c r="C143" s="101"/>
      <c r="D143" s="101"/>
      <c r="E143" s="118"/>
      <c r="F143" s="118"/>
      <c r="G143" s="118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73"/>
      <c r="BN143" s="134"/>
    </row>
    <row r="144" spans="1:66" customFormat="1" ht="17.25" customHeight="1" x14ac:dyDescent="0.25">
      <c r="A144" s="118"/>
      <c r="B144" s="118"/>
      <c r="C144" s="118"/>
      <c r="D144" s="118"/>
      <c r="E144" s="171"/>
      <c r="F144" s="118"/>
      <c r="G144" s="118"/>
      <c r="H144" s="118"/>
      <c r="I144" s="662" t="s">
        <v>322</v>
      </c>
      <c r="J144" s="663"/>
      <c r="K144" s="663"/>
      <c r="L144" s="663"/>
      <c r="M144" s="663"/>
      <c r="N144" s="664"/>
      <c r="O144" s="662" t="s">
        <v>323</v>
      </c>
      <c r="P144" s="663"/>
      <c r="Q144" s="663"/>
      <c r="R144" s="663"/>
      <c r="S144" s="663"/>
      <c r="T144" s="664"/>
      <c r="U144" s="118"/>
      <c r="V144" s="118"/>
      <c r="W144" s="118"/>
      <c r="X144" s="118"/>
      <c r="Y144" s="118"/>
      <c r="Z144" s="118"/>
      <c r="AA144" s="118"/>
      <c r="AB144" s="173"/>
      <c r="BN144" s="134"/>
    </row>
    <row r="145" spans="1:66" customFormat="1" ht="17.25" customHeight="1" x14ac:dyDescent="0.25">
      <c r="A145" s="118"/>
      <c r="B145" s="118"/>
      <c r="C145" s="171"/>
      <c r="D145" s="171"/>
      <c r="E145" s="171"/>
      <c r="F145" s="118"/>
      <c r="G145" s="118"/>
      <c r="H145" s="118"/>
      <c r="I145" s="394"/>
      <c r="J145" s="615" t="s">
        <v>260</v>
      </c>
      <c r="K145" s="616"/>
      <c r="L145" s="617"/>
      <c r="M145" s="621" t="s">
        <v>261</v>
      </c>
      <c r="N145" s="622"/>
      <c r="O145" s="394"/>
      <c r="P145" s="615" t="s">
        <v>260</v>
      </c>
      <c r="Q145" s="616"/>
      <c r="R145" s="617"/>
      <c r="S145" s="621" t="s">
        <v>262</v>
      </c>
      <c r="T145" s="622"/>
      <c r="U145" s="118"/>
      <c r="V145" s="118"/>
      <c r="W145" s="118"/>
      <c r="X145" s="118"/>
      <c r="Y145" s="118"/>
      <c r="Z145" s="118"/>
      <c r="AA145" s="118"/>
      <c r="AB145" s="173"/>
      <c r="BN145" s="134"/>
    </row>
    <row r="146" spans="1:66" ht="17.25" customHeight="1" x14ac:dyDescent="0.25">
      <c r="F146" s="118"/>
      <c r="G146" s="118"/>
      <c r="I146" s="395"/>
      <c r="J146" s="618" t="s">
        <v>163</v>
      </c>
      <c r="K146" s="619"/>
      <c r="L146" s="620"/>
      <c r="M146" s="623" t="s">
        <v>164</v>
      </c>
      <c r="N146" s="624"/>
      <c r="O146" s="395"/>
      <c r="P146" s="618" t="s">
        <v>163</v>
      </c>
      <c r="Q146" s="619"/>
      <c r="R146" s="620"/>
      <c r="S146" s="623" t="s">
        <v>165</v>
      </c>
      <c r="T146" s="624"/>
    </row>
    <row r="147" spans="1:66" ht="17.25" customHeight="1" x14ac:dyDescent="0.25">
      <c r="F147" s="101"/>
      <c r="G147" s="101"/>
      <c r="H147" s="101"/>
      <c r="I147" s="101"/>
      <c r="J147" s="101"/>
      <c r="K147" s="101"/>
      <c r="Q147" s="101"/>
      <c r="R147" s="101"/>
      <c r="S147" s="101"/>
      <c r="T147" s="523"/>
      <c r="U147" s="523"/>
      <c r="V147" s="523"/>
      <c r="W147" s="101"/>
      <c r="X147" s="523"/>
      <c r="Y147" s="523"/>
      <c r="Z147" s="523"/>
    </row>
    <row r="148" spans="1:66" ht="17.25" customHeight="1" x14ac:dyDescent="0.25">
      <c r="F148" s="101"/>
      <c r="N148" s="625"/>
      <c r="O148" s="625"/>
      <c r="Q148" s="523"/>
      <c r="R148" s="523"/>
      <c r="S148" s="523"/>
      <c r="T148" s="523"/>
      <c r="U148" s="523"/>
      <c r="V148" s="523"/>
      <c r="W148" s="101"/>
      <c r="X148" s="523"/>
      <c r="Y148" s="523"/>
      <c r="Z148" s="523"/>
    </row>
    <row r="149" spans="1:66" ht="17.25" customHeight="1" x14ac:dyDescent="0.25">
      <c r="I149" s="377" t="s">
        <v>160</v>
      </c>
      <c r="J149" s="377"/>
      <c r="K149" s="169">
        <f>F36</f>
        <v>48.875500000000002</v>
      </c>
      <c r="L149" s="454" t="str">
        <f>CONCATENATE("Sens: ",IF(Q141&gt;0,"Nord","Sud"))</f>
        <v>Sens: Nord</v>
      </c>
      <c r="M149" s="454"/>
    </row>
    <row r="150" spans="1:66" ht="17.25" customHeight="1" thickBot="1" x14ac:dyDescent="0.3">
      <c r="I150" s="377" t="s">
        <v>53</v>
      </c>
      <c r="J150" s="377"/>
      <c r="K150" s="169">
        <f>Q142</f>
        <v>307.23449999999997</v>
      </c>
      <c r="L150" s="454" t="str">
        <f>CONCATENATE("Is &gt; 180? ", IF(Q142&gt;180,"Y", "N"))</f>
        <v>Is &gt; 180? Y</v>
      </c>
      <c r="M150" s="454"/>
      <c r="O150" s="603" t="s">
        <v>170</v>
      </c>
      <c r="P150" s="604"/>
      <c r="Q150" s="604"/>
      <c r="R150" s="604"/>
      <c r="S150" s="604"/>
      <c r="T150" s="613">
        <f>ABS(IF(Q129&gt;0,IF(Q130&gt;180,I140,360-I140),IF(Q130&gt;180,180-I140,180+I140)))</f>
        <v>121.26238205897948</v>
      </c>
      <c r="U150" s="614"/>
      <c r="V150" s="160" t="s">
        <v>35</v>
      </c>
      <c r="W150" s="101"/>
    </row>
    <row r="151" spans="1:66" ht="17.25" customHeight="1" thickTop="1" thickBot="1" x14ac:dyDescent="0.3">
      <c r="I151" s="600" t="s">
        <v>263</v>
      </c>
      <c r="J151" s="601"/>
      <c r="K151" s="612"/>
      <c r="L151" s="454" t="str">
        <f>IF(K149&gt;0,IF(K150&gt;180,M145,M146),IF(K150&gt;180,S145,S146))</f>
        <v>Zn = Z</v>
      </c>
      <c r="M151" s="454"/>
      <c r="T151" s="379">
        <f>AC144</f>
        <v>0</v>
      </c>
      <c r="U151" s="379"/>
      <c r="V151" s="379"/>
      <c r="W151" s="379"/>
      <c r="X151" s="379"/>
      <c r="Y151" s="379"/>
    </row>
    <row r="152" spans="1:66" ht="17.25" customHeight="1" thickTop="1" x14ac:dyDescent="0.25"/>
  </sheetData>
  <dataConsolidate link="1"/>
  <mergeCells count="290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18" customWidth="1"/>
    <col min="3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27" width="6.42578125" style="118" customWidth="1"/>
    <col min="28" max="28" width="1.28515625" style="173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4" customWidth="1" outlineLevel="1"/>
    <col min="67" max="16384" width="5.140625" style="118"/>
  </cols>
  <sheetData>
    <row r="1" spans="2:66" customFormat="1" ht="17.25" customHeight="1" x14ac:dyDescent="0.25">
      <c r="B1" s="118"/>
      <c r="C1" s="634" t="s">
        <v>311</v>
      </c>
      <c r="D1" s="634"/>
      <c r="E1" s="634"/>
      <c r="F1" s="634"/>
      <c r="G1" s="626" t="s">
        <v>312</v>
      </c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118"/>
      <c r="AA1" s="118"/>
      <c r="AB1" s="173"/>
      <c r="BN1" s="134"/>
    </row>
    <row r="2" spans="2:66" customFormat="1" ht="17.25" customHeight="1" x14ac:dyDescent="0.25">
      <c r="B2" s="118"/>
      <c r="C2" s="634"/>
      <c r="D2" s="634"/>
      <c r="E2" s="634"/>
      <c r="F2" s="634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118"/>
      <c r="AA2" s="118"/>
      <c r="AB2" s="173"/>
      <c r="BN2" s="134"/>
    </row>
    <row r="3" spans="2:66" customFormat="1" ht="17.25" customHeight="1" x14ac:dyDescent="0.25">
      <c r="B3" s="118"/>
      <c r="C3" s="634"/>
      <c r="D3" s="634"/>
      <c r="E3" s="634"/>
      <c r="F3" s="634"/>
      <c r="G3" s="631" t="s">
        <v>316</v>
      </c>
      <c r="H3" s="631"/>
      <c r="I3" s="631"/>
      <c r="J3" s="632" t="s">
        <v>315</v>
      </c>
      <c r="K3" s="632"/>
      <c r="L3" s="632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634"/>
      <c r="D4" s="634"/>
      <c r="E4" s="634"/>
      <c r="F4" s="634"/>
      <c r="G4" s="478"/>
      <c r="H4" s="478"/>
      <c r="I4" s="478"/>
      <c r="J4" s="633"/>
      <c r="K4" s="633"/>
      <c r="L4" s="633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4/03/1998</v>
      </c>
      <c r="F7" s="170"/>
      <c r="G7" s="170" t="str" cm="1">
        <f t="array" ref="G7">heureDecimal2Txt(E11)</f>
        <v>09:50:01.00(09.8336)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627" t="s">
        <v>2</v>
      </c>
      <c r="D8" s="628"/>
      <c r="E8" s="693" t="s">
        <v>264</v>
      </c>
      <c r="F8" s="694"/>
      <c r="G8" s="694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11.833333333333334</v>
      </c>
      <c r="BN8" s="134"/>
    </row>
    <row r="9" spans="2:66" customFormat="1" ht="17.25" customHeight="1" thickBot="1" x14ac:dyDescent="0.3">
      <c r="B9" s="118"/>
      <c r="C9" s="416" t="s">
        <v>12</v>
      </c>
      <c r="D9" s="418"/>
      <c r="E9" s="416" t="s">
        <v>3</v>
      </c>
      <c r="F9" s="417"/>
      <c r="G9" s="417"/>
      <c r="H9" s="418"/>
      <c r="I9" s="403" t="s">
        <v>267</v>
      </c>
      <c r="J9" s="403"/>
      <c r="K9" s="403"/>
      <c r="L9" s="403" t="s">
        <v>268</v>
      </c>
      <c r="M9" s="403"/>
      <c r="N9" s="403"/>
      <c r="O9" s="403"/>
      <c r="P9" s="403"/>
      <c r="Q9" s="403" t="s">
        <v>269</v>
      </c>
      <c r="R9" s="403"/>
      <c r="S9" s="403"/>
      <c r="T9" s="403"/>
      <c r="U9" s="403"/>
      <c r="V9" s="503" t="s">
        <v>266</v>
      </c>
      <c r="W9" s="504"/>
      <c r="X9" s="504"/>
      <c r="Y9" s="505"/>
      <c r="Z9" s="118"/>
      <c r="AA9" s="118"/>
      <c r="AB9" s="175"/>
      <c r="AC9" s="6" t="s">
        <v>406</v>
      </c>
      <c r="AD9" s="179">
        <f>L11</f>
        <v>-2</v>
      </c>
      <c r="BN9" s="134"/>
    </row>
    <row r="10" spans="2:66" customFormat="1" ht="17.25" customHeight="1" x14ac:dyDescent="0.25">
      <c r="B10" s="118"/>
      <c r="C10" s="629"/>
      <c r="D10" s="630"/>
      <c r="E10" s="419"/>
      <c r="F10" s="420"/>
      <c r="G10" s="420"/>
      <c r="H10" s="421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506"/>
      <c r="W10" s="507"/>
      <c r="X10" s="507"/>
      <c r="Y10" s="508"/>
      <c r="Z10" s="118"/>
      <c r="AA10" s="118"/>
      <c r="AB10" s="173"/>
      <c r="AC10" s="6" t="s">
        <v>407</v>
      </c>
      <c r="AD10" s="6">
        <f>Q11/3600</f>
        <v>2.7777777777777778E-4</v>
      </c>
      <c r="BN10" s="134"/>
    </row>
    <row r="11" spans="2:66" customFormat="1" ht="17.25" customHeight="1" thickBot="1" x14ac:dyDescent="0.3">
      <c r="B11" s="118"/>
      <c r="C11" s="419"/>
      <c r="D11" s="421"/>
      <c r="E11" s="641">
        <f>AD8+AD9+AD10+AD11</f>
        <v>9.8336111111111109</v>
      </c>
      <c r="F11" s="642"/>
      <c r="G11" s="642"/>
      <c r="H11" s="643"/>
      <c r="I11" s="519" t="s">
        <v>418</v>
      </c>
      <c r="J11" s="519"/>
      <c r="K11" s="519"/>
      <c r="L11" s="491">
        <v>-2</v>
      </c>
      <c r="M11" s="491"/>
      <c r="N11" s="491"/>
      <c r="O11" s="491"/>
      <c r="P11" s="491"/>
      <c r="Q11" s="491">
        <v>1</v>
      </c>
      <c r="R11" s="491"/>
      <c r="S11" s="491"/>
      <c r="T11" s="491"/>
      <c r="U11" s="492"/>
      <c r="V11" s="490" t="s">
        <v>265</v>
      </c>
      <c r="W11" s="490"/>
      <c r="X11" s="490"/>
      <c r="Y11" s="490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383" t="str" cm="1">
        <f t="array" ref="E12">heureDecimal2Txt(E11)</f>
        <v>09:50:01.00(09.8336)</v>
      </c>
      <c r="F12" s="384"/>
      <c r="G12" s="384"/>
      <c r="H12" s="38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C15" s="650" t="s">
        <v>409</v>
      </c>
      <c r="D15" s="651"/>
      <c r="E15" s="651"/>
      <c r="F15" s="651"/>
      <c r="G15" s="651"/>
      <c r="H15" s="651"/>
      <c r="I15" s="652"/>
      <c r="J15" s="653" t="s">
        <v>410</v>
      </c>
      <c r="K15" s="653"/>
      <c r="L15" s="653"/>
      <c r="M15" s="653"/>
      <c r="N15" s="653"/>
      <c r="O15" s="653"/>
      <c r="AB15" s="173"/>
      <c r="AC15" s="180" t="s">
        <v>410</v>
      </c>
      <c r="AD15" s="180" t="s">
        <v>411</v>
      </c>
      <c r="BN15" s="134"/>
    </row>
    <row r="16" spans="2:66" customFormat="1" ht="18" customHeight="1" thickTop="1" thickBot="1" x14ac:dyDescent="0.3">
      <c r="B16" s="101"/>
      <c r="C16" s="650" t="s">
        <v>305</v>
      </c>
      <c r="D16" s="651"/>
      <c r="E16" s="651"/>
      <c r="F16" s="651"/>
      <c r="G16" s="651"/>
      <c r="H16" s="651"/>
      <c r="I16" s="652"/>
      <c r="J16" s="647" cm="1">
        <f t="array" ref="J16">angleConvert2Decimal(M16)</f>
        <v>0.83333333333333337</v>
      </c>
      <c r="K16" s="648"/>
      <c r="L16" s="649"/>
      <c r="M16" s="644" t="s">
        <v>306</v>
      </c>
      <c r="N16" s="645"/>
      <c r="O16" s="646"/>
      <c r="P16" s="380" t="str" cm="1">
        <f t="array" ref="P16">angleDecimal2Txt(J16)</f>
        <v>+00°50.00 (+00.8333) [+00°50'00.00]</v>
      </c>
      <c r="Q16" s="381"/>
      <c r="R16" s="381"/>
      <c r="S16" s="381"/>
      <c r="T16" s="381"/>
      <c r="U16" s="381"/>
      <c r="V16" s="381"/>
      <c r="W16" s="381"/>
      <c r="X16" s="382"/>
      <c r="Y16" s="101"/>
      <c r="Z16" s="118"/>
      <c r="AA16" s="118"/>
      <c r="AB16" s="173"/>
      <c r="BN16" s="134"/>
    </row>
    <row r="17" spans="2:66" customFormat="1" ht="18" customHeight="1" thickTop="1" thickBot="1" x14ac:dyDescent="0.3">
      <c r="B17" s="118"/>
      <c r="C17" s="404" t="s">
        <v>304</v>
      </c>
      <c r="D17" s="404"/>
      <c r="E17" s="404"/>
      <c r="F17" s="404"/>
      <c r="G17" s="404"/>
      <c r="H17" s="404"/>
      <c r="I17" s="404"/>
      <c r="J17" s="405" cm="1">
        <f t="array" ref="J17">angleConvert2Decimal(M17)</f>
        <v>18.766666666666666</v>
      </c>
      <c r="K17" s="406"/>
      <c r="L17" s="407"/>
      <c r="M17" s="500" t="s">
        <v>307</v>
      </c>
      <c r="N17" s="501"/>
      <c r="O17" s="502"/>
      <c r="P17" s="379" t="str" cm="1">
        <f t="array" ref="P17">angleDecimal2Txt(J17)</f>
        <v>+18°46.00 (+18.7666) [+18°46'00.00]</v>
      </c>
      <c r="Q17" s="379"/>
      <c r="R17" s="379"/>
      <c r="S17" s="379"/>
      <c r="T17" s="379"/>
      <c r="U17" s="379"/>
      <c r="V17" s="379"/>
      <c r="W17" s="379"/>
      <c r="X17" s="379"/>
      <c r="Y17" s="101"/>
      <c r="Z17" s="118"/>
      <c r="AA17" s="118"/>
      <c r="AB17" s="173"/>
      <c r="BN17" s="134"/>
    </row>
    <row r="18" spans="2:66" customFormat="1" ht="18" customHeight="1" thickTop="1" thickBot="1" x14ac:dyDescent="0.3">
      <c r="B18" s="118"/>
      <c r="C18" s="404" t="s">
        <v>314</v>
      </c>
      <c r="D18" s="404"/>
      <c r="E18" s="404"/>
      <c r="F18" s="404"/>
      <c r="G18" s="404"/>
      <c r="H18" s="404"/>
      <c r="I18" s="404"/>
      <c r="J18" s="405" cm="1">
        <f t="array" ref="J18">angleConvert2Decimal(M18)</f>
        <v>8.9666666666666703</v>
      </c>
      <c r="K18" s="406"/>
      <c r="L18" s="407"/>
      <c r="M18" s="500">
        <f>(J17-J16)/2</f>
        <v>8.9666666666666668</v>
      </c>
      <c r="N18" s="501"/>
      <c r="O18" s="502"/>
      <c r="P18" s="379" t="str" cm="1">
        <f t="array" ref="P18">angleDecimal2Txt(J18)</f>
        <v>+08°58.00 (+08.9666) [+08°58'00.00]</v>
      </c>
      <c r="Q18" s="379"/>
      <c r="R18" s="379"/>
      <c r="S18" s="379"/>
      <c r="T18" s="379"/>
      <c r="U18" s="379"/>
      <c r="V18" s="379"/>
      <c r="W18" s="379"/>
      <c r="X18" s="379"/>
      <c r="Y18" s="101"/>
      <c r="Z18" s="118"/>
      <c r="AA18" s="118"/>
      <c r="AB18" s="173"/>
      <c r="BN18" s="134"/>
    </row>
    <row r="19" spans="2:66" customFormat="1" ht="18" customHeight="1" thickTop="1" thickBot="1" x14ac:dyDescent="0.3">
      <c r="B19" s="118"/>
      <c r="C19" s="365" t="s">
        <v>22</v>
      </c>
      <c r="D19" s="365"/>
      <c r="E19" s="365"/>
      <c r="F19" s="365"/>
      <c r="G19" s="365"/>
      <c r="H19" s="365"/>
      <c r="I19" s="365"/>
      <c r="J19" s="493">
        <f>M19</f>
        <v>0</v>
      </c>
      <c r="K19" s="494"/>
      <c r="L19" s="495"/>
      <c r="M19" s="514">
        <v>0</v>
      </c>
      <c r="N19" s="514"/>
      <c r="O19" s="514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BN19" s="134"/>
    </row>
    <row r="20" spans="2:66" customFormat="1" ht="18" customHeight="1" thickTop="1" thickBot="1" x14ac:dyDescent="0.3">
      <c r="B20" s="101"/>
      <c r="C20" s="690" t="s">
        <v>23</v>
      </c>
      <c r="D20" s="691"/>
      <c r="E20" s="691"/>
      <c r="F20" s="691"/>
      <c r="G20" s="691"/>
      <c r="H20" s="691"/>
      <c r="I20" s="692"/>
      <c r="J20" s="454" cm="1">
        <f t="array" ref="J20">angleConvert2Decimal(M20)</f>
        <v>0</v>
      </c>
      <c r="K20" s="455"/>
      <c r="L20" s="455"/>
      <c r="M20" s="513">
        <v>0</v>
      </c>
      <c r="N20" s="514"/>
      <c r="O20" s="514"/>
      <c r="P20" s="379" t="str" cm="1">
        <f t="array" ref="P20">angleDecimal2Txt(J20)</f>
        <v>+00°00.00 (+00.0000) [+00°00'00.00]</v>
      </c>
      <c r="Q20" s="379"/>
      <c r="R20" s="379"/>
      <c r="S20" s="379"/>
      <c r="T20" s="379"/>
      <c r="U20" s="379"/>
      <c r="V20" s="379"/>
      <c r="W20" s="379"/>
      <c r="X20" s="379"/>
      <c r="Y20" s="101"/>
      <c r="Z20" s="118"/>
      <c r="AA20" s="118"/>
      <c r="AB20" s="173"/>
      <c r="BN20" s="134"/>
    </row>
    <row r="21" spans="2:66" customFormat="1" ht="18" customHeight="1" thickTop="1" thickBot="1" x14ac:dyDescent="0.3">
      <c r="B21" s="118"/>
      <c r="C21" s="372" t="s">
        <v>33</v>
      </c>
      <c r="D21" s="372"/>
      <c r="E21" s="372"/>
      <c r="F21" s="372"/>
      <c r="G21" s="372"/>
      <c r="H21" s="372"/>
      <c r="I21" s="372"/>
      <c r="J21" s="682" cm="1">
        <f t="array" ref="J21">IF(J15=AC15,J18,angleConvert2Decimal(M21))</f>
        <v>8.9666666666666703</v>
      </c>
      <c r="K21" s="683"/>
      <c r="L21" s="683"/>
      <c r="M21" s="684" t="s">
        <v>307</v>
      </c>
      <c r="N21" s="685"/>
      <c r="O21" s="686"/>
      <c r="P21" s="379" t="str" cm="1">
        <f t="array" ref="P21">angleDecimal2Txt(J21)</f>
        <v>+08°58.00 (+08.9666) [+08°58'00.00]</v>
      </c>
      <c r="Q21" s="379"/>
      <c r="R21" s="379"/>
      <c r="S21" s="379"/>
      <c r="T21" s="379"/>
      <c r="U21" s="379"/>
      <c r="V21" s="379"/>
      <c r="W21" s="379"/>
      <c r="X21" s="379"/>
      <c r="Y21" s="101"/>
      <c r="Z21" s="118"/>
      <c r="AA21" s="118"/>
      <c r="AB21" s="173"/>
      <c r="BN21" s="134"/>
    </row>
    <row r="22" spans="2:66" customFormat="1" ht="18" customHeight="1" thickTop="1" x14ac:dyDescent="0.25">
      <c r="B22" s="118"/>
      <c r="C22" s="365" t="s">
        <v>38</v>
      </c>
      <c r="D22" s="365"/>
      <c r="E22" s="365"/>
      <c r="F22" s="365"/>
      <c r="G22" s="365"/>
      <c r="H22" s="365"/>
      <c r="I22" s="365"/>
      <c r="J22" s="366" t="str">
        <f>M22</f>
        <v>Etoile</v>
      </c>
      <c r="K22" s="367"/>
      <c r="L22" s="368"/>
      <c r="M22" s="687" t="s">
        <v>40</v>
      </c>
      <c r="N22" s="688"/>
      <c r="O22" s="689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18"/>
      <c r="AA22" s="118"/>
      <c r="AB22" s="173"/>
      <c r="AG22" s="118"/>
      <c r="AH22" s="118"/>
      <c r="BN22" s="134"/>
    </row>
    <row r="23" spans="2:66" customFormat="1" ht="18" customHeight="1" x14ac:dyDescent="0.25">
      <c r="B23" s="118"/>
      <c r="C23" s="365" t="s">
        <v>128</v>
      </c>
      <c r="D23" s="365"/>
      <c r="E23" s="365"/>
      <c r="F23" s="365"/>
      <c r="G23" s="365"/>
      <c r="H23" s="365"/>
      <c r="I23" s="365"/>
      <c r="J23" s="399" t="str">
        <f>M23</f>
        <v>Milieu</v>
      </c>
      <c r="K23" s="399"/>
      <c r="L23" s="399"/>
      <c r="M23" s="509" t="s">
        <v>130</v>
      </c>
      <c r="N23" s="509"/>
      <c r="O23" s="509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18"/>
      <c r="AA23" s="118"/>
      <c r="AB23" s="173"/>
      <c r="AC23" s="181" t="s">
        <v>436</v>
      </c>
      <c r="AD23" s="182" t="s">
        <v>40</v>
      </c>
      <c r="AE23" s="182" t="s">
        <v>41</v>
      </c>
      <c r="AF23" s="182" t="s">
        <v>39</v>
      </c>
      <c r="AG23" s="118"/>
      <c r="AH23" s="118"/>
      <c r="BN23" s="134"/>
    </row>
    <row r="24" spans="2:66" customFormat="1" ht="17.25" customHeight="1" x14ac:dyDescent="0.25">
      <c r="B24" s="118"/>
      <c r="C24" s="373" t="s">
        <v>389</v>
      </c>
      <c r="D24" s="374"/>
      <c r="E24" s="137"/>
      <c r="F24" s="137"/>
      <c r="G24" s="137"/>
      <c r="H24" s="137"/>
      <c r="I24" s="138"/>
      <c r="J24" s="474" cm="1">
        <f t="array" ref="J24">angleConvert2Decimal(M24)</f>
        <v>0</v>
      </c>
      <c r="K24" s="475"/>
      <c r="L24" s="476"/>
      <c r="M24" s="483" t="str">
        <f>P26</f>
        <v>0.0'</v>
      </c>
      <c r="N24" s="484"/>
      <c r="O24" s="484"/>
      <c r="P24" s="489" t="s">
        <v>175</v>
      </c>
      <c r="Q24" s="489"/>
      <c r="R24" s="489"/>
      <c r="S24" s="101"/>
      <c r="T24" s="101"/>
      <c r="U24" s="101"/>
      <c r="V24" s="101"/>
      <c r="W24" s="101"/>
      <c r="X24" s="101"/>
      <c r="Y24" s="101"/>
      <c r="Z24" s="118"/>
      <c r="AA24" s="118"/>
      <c r="AB24" s="173"/>
      <c r="AC24" s="181" t="s">
        <v>177</v>
      </c>
      <c r="AD24" s="183" t="s">
        <v>178</v>
      </c>
      <c r="AE24" s="183" t="s">
        <v>179</v>
      </c>
      <c r="AF24" s="183" t="s">
        <v>149</v>
      </c>
      <c r="AG24" s="118"/>
      <c r="AH24" s="118"/>
      <c r="BN24" s="134"/>
    </row>
    <row r="25" spans="2:66" customFormat="1" ht="17.25" customHeight="1" thickBot="1" x14ac:dyDescent="0.3">
      <c r="B25" s="118"/>
      <c r="C25" s="139"/>
      <c r="D25" s="456" t="s">
        <v>390</v>
      </c>
      <c r="E25" s="456"/>
      <c r="F25" s="456"/>
      <c r="G25" s="456"/>
      <c r="H25" s="456"/>
      <c r="I25" s="457"/>
      <c r="J25" s="477"/>
      <c r="K25" s="478"/>
      <c r="L25" s="479"/>
      <c r="M25" s="485"/>
      <c r="N25" s="486"/>
      <c r="O25" s="486"/>
      <c r="P25" s="489"/>
      <c r="Q25" s="489"/>
      <c r="R25" s="489"/>
      <c r="S25" s="101"/>
      <c r="T25" s="101"/>
      <c r="U25" s="101"/>
      <c r="V25" s="101"/>
      <c r="W25" s="101"/>
      <c r="X25" s="101"/>
      <c r="Y25" s="101"/>
      <c r="Z25" s="118"/>
      <c r="AA25" s="118"/>
      <c r="AB25" s="173"/>
      <c r="AC25" s="181" t="s">
        <v>181</v>
      </c>
      <c r="AD25" s="183" t="s">
        <v>178</v>
      </c>
      <c r="AE25" s="183" t="s">
        <v>182</v>
      </c>
      <c r="AF25" s="183" t="s">
        <v>148</v>
      </c>
      <c r="AG25" s="118"/>
      <c r="AH25" s="118"/>
      <c r="BN25" s="134"/>
    </row>
    <row r="26" spans="2:66" customFormat="1" ht="17.25" customHeight="1" thickTop="1" thickBot="1" x14ac:dyDescent="0.3">
      <c r="B26" s="118"/>
      <c r="C26" s="139"/>
      <c r="D26" s="456"/>
      <c r="E26" s="456"/>
      <c r="F26" s="456"/>
      <c r="G26" s="456"/>
      <c r="H26" s="456"/>
      <c r="I26" s="457"/>
      <c r="J26" s="477"/>
      <c r="K26" s="478"/>
      <c r="L26" s="479"/>
      <c r="M26" s="485"/>
      <c r="N26" s="486"/>
      <c r="O26" s="486"/>
      <c r="P26" s="518" t="str">
        <f>HLOOKUP(M22,AD23:AF25,2,FALSE)</f>
        <v>0.0'</v>
      </c>
      <c r="Q26" s="518"/>
      <c r="R26" s="518"/>
      <c r="S26" s="516" t="str" cm="1">
        <f t="array" ref="S26">angleDecimal2Txt(angleConvert2Decimal(P26))</f>
        <v>+00°00.00 (+00.0000) [+00°00'00.00]</v>
      </c>
      <c r="T26" s="516"/>
      <c r="U26" s="516"/>
      <c r="V26" s="516"/>
      <c r="W26" s="516"/>
      <c r="X26" s="517"/>
      <c r="Y26" s="101"/>
      <c r="Z26" s="118"/>
      <c r="AA26" s="118"/>
      <c r="AB26" s="173"/>
      <c r="BN26" s="134"/>
    </row>
    <row r="27" spans="2:66" customFormat="1" ht="17.25" customHeight="1" thickTop="1" thickBot="1" x14ac:dyDescent="0.3">
      <c r="B27" s="118"/>
      <c r="C27" s="140"/>
      <c r="D27" s="458"/>
      <c r="E27" s="458"/>
      <c r="F27" s="458"/>
      <c r="G27" s="458"/>
      <c r="H27" s="458"/>
      <c r="I27" s="459"/>
      <c r="J27" s="480"/>
      <c r="K27" s="481"/>
      <c r="L27" s="482"/>
      <c r="M27" s="487"/>
      <c r="N27" s="488"/>
      <c r="O27" s="488"/>
      <c r="P27" s="512" t="str" cm="1">
        <f t="array" ref="P27">angleDecimal2Txt(J24)</f>
        <v>+00°00.00 (+00.0000) [+00°00'00.00]</v>
      </c>
      <c r="Q27" s="512"/>
      <c r="R27" s="512"/>
      <c r="S27" s="379"/>
      <c r="T27" s="379"/>
      <c r="U27" s="379"/>
      <c r="V27" s="379"/>
      <c r="W27" s="379"/>
      <c r="X27" s="379"/>
      <c r="Y27" s="101"/>
      <c r="Z27" s="118"/>
      <c r="AA27" s="118"/>
      <c r="AB27" s="173"/>
      <c r="AC27" s="181" t="s">
        <v>176</v>
      </c>
      <c r="AD27" s="182" t="s">
        <v>129</v>
      </c>
      <c r="AE27" s="182" t="s">
        <v>434</v>
      </c>
      <c r="AF27" s="182" t="s">
        <v>130</v>
      </c>
      <c r="BN27" s="134"/>
    </row>
    <row r="28" spans="2:66" customFormat="1" ht="17.25" customHeight="1" thickTop="1" x14ac:dyDescent="0.25">
      <c r="B28" s="118"/>
      <c r="C28" s="466" t="s">
        <v>180</v>
      </c>
      <c r="D28" s="467"/>
      <c r="E28" s="467"/>
      <c r="F28" s="467"/>
      <c r="G28" s="467"/>
      <c r="H28" s="467"/>
      <c r="I28" s="468"/>
      <c r="J28" s="474" cm="1">
        <f t="array" ref="J28">angleConvert2Decimal(M28)</f>
        <v>0</v>
      </c>
      <c r="K28" s="475"/>
      <c r="L28" s="476"/>
      <c r="M28" s="483" t="str">
        <f>P30</f>
        <v>0.0'</v>
      </c>
      <c r="N28" s="484"/>
      <c r="O28" s="484"/>
      <c r="P28" s="489" t="s">
        <v>175</v>
      </c>
      <c r="Q28" s="489"/>
      <c r="R28" s="489"/>
      <c r="S28" s="101"/>
      <c r="T28" s="101"/>
      <c r="U28" s="101"/>
      <c r="V28" s="101"/>
      <c r="W28" s="101"/>
      <c r="X28" s="101"/>
      <c r="Y28" s="101"/>
      <c r="Z28" s="118"/>
      <c r="AA28" s="118"/>
      <c r="AB28" s="173"/>
      <c r="AC28" s="181" t="s">
        <v>435</v>
      </c>
      <c r="AD28" s="184">
        <v>0</v>
      </c>
      <c r="AE28" s="184">
        <v>-1</v>
      </c>
      <c r="AF28" s="184">
        <v>-0.5</v>
      </c>
      <c r="BN28" s="134"/>
    </row>
    <row r="29" spans="2:66" customFormat="1" ht="17.25" customHeight="1" thickBot="1" x14ac:dyDescent="0.3">
      <c r="B29" s="118"/>
      <c r="C29" s="469"/>
      <c r="D29" s="375"/>
      <c r="E29" s="375"/>
      <c r="F29" s="375"/>
      <c r="G29" s="375"/>
      <c r="H29" s="375"/>
      <c r="I29" s="470"/>
      <c r="J29" s="477"/>
      <c r="K29" s="478"/>
      <c r="L29" s="479"/>
      <c r="M29" s="485"/>
      <c r="N29" s="486"/>
      <c r="O29" s="486"/>
      <c r="P29" s="489"/>
      <c r="Q29" s="489"/>
      <c r="R29" s="489"/>
      <c r="S29" s="101"/>
      <c r="T29" s="101"/>
      <c r="U29" s="101"/>
      <c r="V29" s="101"/>
      <c r="W29" s="101"/>
      <c r="X29" s="101"/>
      <c r="Y29" s="101"/>
      <c r="Z29" s="118"/>
      <c r="AA29" s="118"/>
      <c r="AB29" s="173"/>
      <c r="BN29" s="134"/>
    </row>
    <row r="30" spans="2:66" customFormat="1" ht="17.25" customHeight="1" thickTop="1" thickBot="1" x14ac:dyDescent="0.3">
      <c r="B30" s="118"/>
      <c r="C30" s="469"/>
      <c r="D30" s="375"/>
      <c r="E30" s="375"/>
      <c r="F30" s="375"/>
      <c r="G30" s="375"/>
      <c r="H30" s="375"/>
      <c r="I30" s="470"/>
      <c r="J30" s="477"/>
      <c r="K30" s="478"/>
      <c r="L30" s="479"/>
      <c r="M30" s="485"/>
      <c r="N30" s="486"/>
      <c r="O30" s="486"/>
      <c r="P30" s="518" t="str">
        <f>HLOOKUP(M22,AD23:AF25,3,FALSE)</f>
        <v>0.0'</v>
      </c>
      <c r="Q30" s="518"/>
      <c r="R30" s="518"/>
      <c r="S30" s="516" t="str" cm="1">
        <f t="array" ref="S30">angleDecimal2Txt(angleConvert2Decimal(P30))</f>
        <v>+00°00.00 (+00.0000) [+00°00'00.00]</v>
      </c>
      <c r="T30" s="516"/>
      <c r="U30" s="516"/>
      <c r="V30" s="516"/>
      <c r="W30" s="516"/>
      <c r="X30" s="517"/>
      <c r="Y30" s="101"/>
      <c r="Z30" s="118"/>
      <c r="AA30" s="118"/>
      <c r="AB30" s="173"/>
      <c r="BN30" s="134"/>
    </row>
    <row r="31" spans="2:66" customFormat="1" ht="17.25" customHeight="1" thickTop="1" thickBot="1" x14ac:dyDescent="0.3">
      <c r="B31" s="118"/>
      <c r="C31" s="471"/>
      <c r="D31" s="472"/>
      <c r="E31" s="472"/>
      <c r="F31" s="472"/>
      <c r="G31" s="472"/>
      <c r="H31" s="472"/>
      <c r="I31" s="473"/>
      <c r="J31" s="480"/>
      <c r="K31" s="481"/>
      <c r="L31" s="482"/>
      <c r="M31" s="487"/>
      <c r="N31" s="488"/>
      <c r="O31" s="488"/>
      <c r="P31" s="512" t="str" cm="1">
        <f t="array" ref="P31">angleDecimal2Txt(J28)</f>
        <v>+00°00.00 (+00.0000) [+00°00'00.00]</v>
      </c>
      <c r="Q31" s="512"/>
      <c r="R31" s="512"/>
      <c r="S31" s="379"/>
      <c r="T31" s="379"/>
      <c r="U31" s="379"/>
      <c r="V31" s="379"/>
      <c r="W31" s="379"/>
      <c r="X31" s="379"/>
      <c r="Y31" s="101"/>
      <c r="Z31" s="118"/>
      <c r="AA31" s="118"/>
      <c r="AB31" s="173"/>
      <c r="BN31" s="134"/>
    </row>
    <row r="32" spans="2:66" customFormat="1" ht="17.25" customHeight="1" thickTop="1" thickBot="1" x14ac:dyDescent="0.3">
      <c r="B32" s="118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18"/>
      <c r="AA32" s="118"/>
      <c r="AB32" s="173"/>
      <c r="BN32" s="134"/>
    </row>
    <row r="33" spans="1:67" customFormat="1" ht="17.25" customHeight="1" thickBot="1" x14ac:dyDescent="0.3">
      <c r="B33" s="135" t="s">
        <v>20</v>
      </c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4"/>
      <c r="BN33" s="134"/>
    </row>
    <row r="34" spans="1:67" ht="17.25" customHeight="1" x14ac:dyDescent="0.25">
      <c r="C34" s="101"/>
      <c r="D34" s="101"/>
      <c r="E34" s="522" t="s">
        <v>8</v>
      </c>
      <c r="F34" s="522"/>
      <c r="G34" s="522"/>
      <c r="H34" s="522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</row>
    <row r="35" spans="1:67" ht="17.25" customHeight="1" thickBot="1" x14ac:dyDescent="0.3">
      <c r="C35" s="101"/>
      <c r="D35" s="101"/>
      <c r="E35" s="522"/>
      <c r="F35" s="522"/>
      <c r="G35" s="522"/>
      <c r="H35" s="522"/>
      <c r="I35" s="101"/>
      <c r="J35" s="101" t="s">
        <v>308</v>
      </c>
      <c r="K35" s="101"/>
      <c r="L35" s="101" t="s">
        <v>309</v>
      </c>
      <c r="M35" s="101"/>
      <c r="N35" s="101"/>
      <c r="O35" s="101"/>
      <c r="P35" s="101"/>
      <c r="Q35" s="101"/>
      <c r="R35" s="101"/>
      <c r="S35" s="101"/>
      <c r="T35" s="101"/>
      <c r="U35" s="101"/>
      <c r="V35" s="101"/>
    </row>
    <row r="36" spans="1:67" ht="17.25" customHeight="1" thickTop="1" thickBot="1" x14ac:dyDescent="0.3">
      <c r="A36" s="369" t="s">
        <v>42</v>
      </c>
      <c r="B36" s="370"/>
      <c r="C36" s="371"/>
      <c r="D36" s="101"/>
      <c r="E36" s="101"/>
      <c r="F36" s="390">
        <f>AD37</f>
        <v>48.866666666666667</v>
      </c>
      <c r="G36" s="510"/>
      <c r="H36" s="510"/>
      <c r="I36" s="357" t="s">
        <v>4</v>
      </c>
      <c r="J36" s="515" t="s">
        <v>300</v>
      </c>
      <c r="K36" s="357"/>
      <c r="L36" s="357"/>
      <c r="M36" s="357"/>
      <c r="N36" s="357"/>
      <c r="O36" s="386" t="e" cm="1">
        <f t="array" ref="O36">angleDecimal2Txt(L)</f>
        <v>#VALUE!</v>
      </c>
      <c r="P36" s="386"/>
      <c r="Q36" s="386"/>
      <c r="R36" s="386"/>
      <c r="S36" s="386"/>
      <c r="T36" s="386"/>
      <c r="U36" s="386"/>
      <c r="V36" s="386"/>
      <c r="W36" s="386"/>
      <c r="X36" s="386"/>
      <c r="Y36" s="101"/>
      <c r="Z36" s="101"/>
      <c r="AC36" s="6" t="s">
        <v>412</v>
      </c>
      <c r="AD36" s="6">
        <f>VLOOKUP(I36,$A$38:$C$39,3)</f>
        <v>1</v>
      </c>
      <c r="BN36" s="141"/>
    </row>
    <row r="37" spans="1:67" ht="17.25" customHeight="1" thickTop="1" thickBot="1" x14ac:dyDescent="0.3">
      <c r="A37" s="119" t="s">
        <v>51</v>
      </c>
      <c r="B37" s="142" t="s">
        <v>52</v>
      </c>
      <c r="C37" s="121"/>
      <c r="D37" s="101"/>
      <c r="E37" s="101"/>
      <c r="F37" s="510"/>
      <c r="G37" s="510"/>
      <c r="H37" s="510"/>
      <c r="I37" s="357"/>
      <c r="J37" s="357"/>
      <c r="K37" s="357"/>
      <c r="L37" s="357"/>
      <c r="M37" s="357"/>
      <c r="N37" s="357"/>
      <c r="O37" s="386"/>
      <c r="P37" s="386"/>
      <c r="Q37" s="386"/>
      <c r="R37" s="386"/>
      <c r="S37" s="386"/>
      <c r="T37" s="386"/>
      <c r="U37" s="386"/>
      <c r="V37" s="386"/>
      <c r="W37" s="386"/>
      <c r="X37" s="386"/>
      <c r="Y37" s="101"/>
      <c r="Z37" s="101"/>
      <c r="AC37" s="6" t="s">
        <v>413</v>
      </c>
      <c r="AD37" s="6" cm="1">
        <f t="array" ref="AD37">angleConvert2Decimal(J36)*AD36</f>
        <v>48.866666666666667</v>
      </c>
      <c r="BN37" s="141"/>
    </row>
    <row r="38" spans="1:67" ht="17.25" customHeight="1" thickTop="1" x14ac:dyDescent="0.25">
      <c r="A38" s="119" t="s">
        <v>4</v>
      </c>
      <c r="B38" s="142" t="s">
        <v>6</v>
      </c>
      <c r="C38" s="121">
        <v>1</v>
      </c>
      <c r="D38" s="101"/>
      <c r="E38" s="101"/>
      <c r="F38" s="101"/>
      <c r="G38" s="101"/>
      <c r="H38" s="101"/>
      <c r="BN38" s="141"/>
    </row>
    <row r="39" spans="1:67" ht="17.25" customHeight="1" thickBot="1" x14ac:dyDescent="0.3">
      <c r="A39" s="124" t="s">
        <v>5</v>
      </c>
      <c r="B39" s="125" t="s">
        <v>7</v>
      </c>
      <c r="C39" s="126">
        <v>-1</v>
      </c>
      <c r="D39" s="101"/>
      <c r="E39" s="511" t="s">
        <v>9</v>
      </c>
      <c r="F39" s="511"/>
      <c r="G39" s="511"/>
      <c r="H39" s="51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BN39" s="141"/>
    </row>
    <row r="40" spans="1:67" ht="17.25" customHeight="1" thickBot="1" x14ac:dyDescent="0.3">
      <c r="C40" s="101"/>
      <c r="D40" s="101"/>
      <c r="E40" s="511"/>
      <c r="F40" s="511"/>
      <c r="G40" s="511"/>
      <c r="H40" s="511"/>
      <c r="I40" s="101"/>
      <c r="J40" s="101" t="s">
        <v>308</v>
      </c>
      <c r="K40" s="101"/>
      <c r="L40" s="101" t="s">
        <v>317</v>
      </c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BN40" s="141"/>
    </row>
    <row r="41" spans="1:67" ht="17.25" customHeight="1" thickTop="1" thickBot="1" x14ac:dyDescent="0.3">
      <c r="B41" s="101"/>
      <c r="C41" s="101"/>
      <c r="D41" s="101"/>
      <c r="E41" s="101"/>
      <c r="F41" s="390">
        <f>AD42</f>
        <v>2.0833333333333335</v>
      </c>
      <c r="G41" s="510"/>
      <c r="H41" s="510"/>
      <c r="I41" s="357" t="s">
        <v>6</v>
      </c>
      <c r="J41" s="515" t="s">
        <v>301</v>
      </c>
      <c r="K41" s="357"/>
      <c r="L41" s="357"/>
      <c r="M41" s="357"/>
      <c r="N41" s="357"/>
      <c r="O41" s="386" t="e" cm="1">
        <f t="array" ref="O41">angleDecimal2Txt(L)</f>
        <v>#VALUE!</v>
      </c>
      <c r="P41" s="386"/>
      <c r="Q41" s="386"/>
      <c r="R41" s="386"/>
      <c r="S41" s="386"/>
      <c r="T41" s="386"/>
      <c r="U41" s="386"/>
      <c r="V41" s="386"/>
      <c r="W41" s="386"/>
      <c r="X41" s="386"/>
      <c r="Y41" s="101"/>
      <c r="Z41" s="101"/>
      <c r="AC41" s="6" t="s">
        <v>414</v>
      </c>
      <c r="AD41" s="6">
        <f>VLOOKUP(I41,B38:C39,2)</f>
        <v>1</v>
      </c>
    </row>
    <row r="42" spans="1:67" ht="17.25" customHeight="1" thickTop="1" thickBot="1" x14ac:dyDescent="0.3">
      <c r="C42" s="101"/>
      <c r="D42" s="101"/>
      <c r="E42" s="101"/>
      <c r="F42" s="510"/>
      <c r="G42" s="510"/>
      <c r="H42" s="510"/>
      <c r="I42" s="357"/>
      <c r="J42" s="357"/>
      <c r="K42" s="357"/>
      <c r="L42" s="357"/>
      <c r="M42" s="357"/>
      <c r="N42" s="357"/>
      <c r="O42" s="386"/>
      <c r="P42" s="386"/>
      <c r="Q42" s="386"/>
      <c r="R42" s="386"/>
      <c r="S42" s="386"/>
      <c r="T42" s="386"/>
      <c r="U42" s="386"/>
      <c r="V42" s="386"/>
      <c r="W42" s="386"/>
      <c r="X42" s="386"/>
      <c r="Y42" s="101"/>
      <c r="Z42" s="101"/>
      <c r="AC42" s="6" t="s">
        <v>415</v>
      </c>
      <c r="AD42" s="6" cm="1">
        <f t="array" ref="AD42">angleConvert2Decimal(J41)*AD41</f>
        <v>2.0833333333333335</v>
      </c>
    </row>
    <row r="43" spans="1:67" ht="17.25" customHeight="1" thickTop="1" x14ac:dyDescent="0.25"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67" ht="17.25" customHeight="1" thickBot="1" x14ac:dyDescent="0.3"/>
    <row r="45" spans="1:67" ht="17.25" customHeight="1" thickBot="1" x14ac:dyDescent="0.3">
      <c r="B45" s="135" t="s">
        <v>443</v>
      </c>
      <c r="C45" s="136"/>
      <c r="D45" s="136"/>
      <c r="E45" s="136"/>
      <c r="F45" s="465">
        <f>N46</f>
        <v>23.141666666666666</v>
      </c>
      <c r="G45" s="465"/>
      <c r="H45" s="465"/>
      <c r="I45" s="189"/>
      <c r="J45" s="189"/>
      <c r="K45" s="189" t="e" cm="1">
        <f t="array" ref="K45">angleDecimal2Txt(D)</f>
        <v>#VALUE!</v>
      </c>
      <c r="L45" s="189"/>
      <c r="M45" s="189"/>
      <c r="N45" s="189"/>
      <c r="O45" s="189"/>
      <c r="P45" s="189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76"/>
    </row>
    <row r="46" spans="1:67" s="143" customFormat="1" ht="17.25" customHeight="1" thickTop="1" x14ac:dyDescent="0.25">
      <c r="C46" s="354" t="s">
        <v>159</v>
      </c>
      <c r="D46" s="354"/>
      <c r="E46" s="354"/>
      <c r="F46" s="354"/>
      <c r="G46" s="354"/>
      <c r="H46" s="697"/>
      <c r="I46" s="701" t="s">
        <v>4</v>
      </c>
      <c r="J46" s="700" t="s">
        <v>191</v>
      </c>
      <c r="K46" s="700"/>
      <c r="L46" s="700"/>
      <c r="M46" s="700"/>
      <c r="N46" s="698">
        <f>AD47</f>
        <v>23.141666666666666</v>
      </c>
      <c r="O46" s="698"/>
      <c r="P46" s="698"/>
      <c r="Q46" s="702" t="str" cm="1">
        <f t="array" ref="Q46">angleDecimal2Txt(N46)</f>
        <v>+23°08.50 (+23.1416) [+23°08'30.00]</v>
      </c>
      <c r="R46" s="702"/>
      <c r="S46" s="702"/>
      <c r="T46" s="702"/>
      <c r="U46" s="703"/>
      <c r="AB46" s="177"/>
      <c r="AC46" s="6" t="s">
        <v>446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 x14ac:dyDescent="0.3">
      <c r="C47" s="101"/>
      <c r="D47" s="101"/>
      <c r="E47" s="101"/>
      <c r="F47" s="101"/>
      <c r="G47" s="101"/>
      <c r="H47" s="101"/>
      <c r="I47" s="701"/>
      <c r="J47" s="700"/>
      <c r="K47" s="700"/>
      <c r="L47" s="700"/>
      <c r="M47" s="700"/>
      <c r="N47" s="698"/>
      <c r="O47" s="698"/>
      <c r="P47" s="698"/>
      <c r="Q47" s="704"/>
      <c r="R47" s="704"/>
      <c r="S47" s="704"/>
      <c r="T47" s="704"/>
      <c r="U47" s="705"/>
      <c r="AC47" s="6" t="s">
        <v>413</v>
      </c>
      <c r="AD47" s="6" cm="1">
        <f t="array" ref="AD47">angleConvert2Decimal(J46)*AD46</f>
        <v>23.141666666666666</v>
      </c>
      <c r="AF47" s="118"/>
      <c r="AG47" s="118"/>
    </row>
    <row r="48" spans="1:67" customFormat="1" ht="17.25" customHeight="1" thickTop="1" x14ac:dyDescent="0.25">
      <c r="A48" s="118"/>
      <c r="B48" s="118"/>
      <c r="C48" s="171"/>
      <c r="D48" s="171"/>
      <c r="E48" s="171"/>
      <c r="F48" s="171"/>
      <c r="G48" s="171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01"/>
      <c r="T48" s="101"/>
      <c r="U48" s="101"/>
      <c r="V48" s="101"/>
      <c r="W48" s="101"/>
      <c r="X48" s="101"/>
      <c r="Y48" s="118"/>
      <c r="Z48" s="118"/>
      <c r="AA48" s="118"/>
      <c r="AB48" s="173"/>
      <c r="BN48" s="134"/>
      <c r="BO48" s="118"/>
    </row>
    <row r="49" spans="1:67" customFormat="1" ht="17.25" customHeight="1" thickBot="1" x14ac:dyDescent="0.3">
      <c r="A49" s="118"/>
      <c r="B49" s="118"/>
      <c r="C49" s="171"/>
      <c r="D49" s="171"/>
      <c r="E49" s="171"/>
      <c r="F49" s="171"/>
      <c r="G49" s="171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01"/>
      <c r="T49" s="101"/>
      <c r="U49" s="101"/>
      <c r="V49" s="101"/>
      <c r="W49" s="101"/>
      <c r="X49" s="101"/>
      <c r="Y49" s="118"/>
      <c r="Z49" s="118"/>
      <c r="AA49" s="118"/>
      <c r="AB49" s="173"/>
      <c r="BN49" s="134"/>
      <c r="BO49" s="118"/>
    </row>
    <row r="50" spans="1:67" s="101" customFormat="1" ht="17.25" customHeight="1" thickBot="1" x14ac:dyDescent="0.3">
      <c r="A50" s="118"/>
      <c r="B50" s="135" t="s">
        <v>444</v>
      </c>
      <c r="C50" s="136"/>
      <c r="D50" s="136"/>
      <c r="E50" s="136"/>
      <c r="F50" s="465">
        <f>N51</f>
        <v>23.141666666666666</v>
      </c>
      <c r="G50" s="465"/>
      <c r="H50" s="465"/>
      <c r="I50" s="189"/>
      <c r="J50" s="695" t="s">
        <v>127</v>
      </c>
      <c r="K50" s="695"/>
      <c r="L50" s="695"/>
      <c r="M50" s="696" t="str">
        <f>J22</f>
        <v>Etoile</v>
      </c>
      <c r="N50" s="696"/>
      <c r="O50" s="696"/>
      <c r="P50" s="189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76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41"/>
    </row>
    <row r="51" spans="1:67" ht="17.25" customHeight="1" thickTop="1" thickBot="1" x14ac:dyDescent="0.3">
      <c r="C51" s="354" t="s">
        <v>445</v>
      </c>
      <c r="D51" s="354"/>
      <c r="E51" s="354"/>
      <c r="F51" s="354"/>
      <c r="G51" s="354"/>
      <c r="H51" s="697"/>
      <c r="I51" s="700" t="s">
        <v>191</v>
      </c>
      <c r="J51" s="700"/>
      <c r="K51" s="700"/>
      <c r="L51" s="700"/>
      <c r="M51" s="700"/>
      <c r="N51" s="698" cm="1">
        <f t="array" ref="N51">angleConvert2Decimal(I51)</f>
        <v>23.141666666666666</v>
      </c>
      <c r="O51" s="698"/>
      <c r="P51" s="698"/>
      <c r="Q51" s="667" t="str" cm="1">
        <f t="array" ref="Q51">angleDecimal2Txt(N51)</f>
        <v>+23°08.50 (+23.1416) [+23°08'30.00]</v>
      </c>
      <c r="R51" s="387"/>
      <c r="S51" s="387"/>
      <c r="T51" s="387"/>
      <c r="U51" s="387"/>
      <c r="AD51" s="118"/>
      <c r="AE51" s="118"/>
      <c r="AF51" s="118"/>
      <c r="AG51" s="118"/>
      <c r="AH51" s="118"/>
      <c r="AI51" s="118"/>
      <c r="AJ51" s="118"/>
      <c r="AK51" s="118"/>
    </row>
    <row r="52" spans="1:67" ht="17.25" customHeight="1" thickTop="1" thickBot="1" x14ac:dyDescent="0.3">
      <c r="A52" s="101"/>
      <c r="C52" s="101"/>
      <c r="D52" s="101"/>
      <c r="E52" s="101"/>
      <c r="F52" s="101"/>
      <c r="G52" s="101"/>
      <c r="H52" s="101"/>
      <c r="I52" s="700"/>
      <c r="J52" s="700"/>
      <c r="K52" s="700"/>
      <c r="L52" s="700"/>
      <c r="M52" s="700"/>
      <c r="N52" s="698"/>
      <c r="O52" s="698"/>
      <c r="P52" s="698"/>
      <c r="Q52" s="699"/>
      <c r="R52" s="387"/>
      <c r="S52" s="387"/>
      <c r="T52" s="387"/>
      <c r="U52" s="387"/>
      <c r="AB52" s="178"/>
    </row>
    <row r="53" spans="1:67" ht="17.25" customHeight="1" thickTop="1" thickBot="1" x14ac:dyDescent="0.3">
      <c r="A53" s="101"/>
      <c r="C53" s="101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78"/>
    </row>
    <row r="54" spans="1:67" customFormat="1" ht="17.25" customHeight="1" thickBot="1" x14ac:dyDescent="0.3">
      <c r="A54" s="143"/>
      <c r="B54" s="135" t="s">
        <v>392</v>
      </c>
      <c r="C54" s="136"/>
      <c r="D54" s="136"/>
      <c r="E54" s="136"/>
      <c r="F54" s="465">
        <f>IF(G55=AD55,F59,F67)</f>
        <v>324.01383388888894</v>
      </c>
      <c r="G54" s="465"/>
      <c r="H54" s="465"/>
      <c r="I54" s="136"/>
      <c r="J54" s="136"/>
      <c r="K54" s="136"/>
      <c r="L54" s="635">
        <f>F54-360</f>
        <v>-35.986166111111061</v>
      </c>
      <c r="M54" s="635"/>
      <c r="N54" s="136" t="s">
        <v>35</v>
      </c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76"/>
      <c r="BN54" s="134"/>
      <c r="BO54" s="118"/>
    </row>
    <row r="55" spans="1:67" customFormat="1" ht="17.25" customHeight="1" x14ac:dyDescent="0.25">
      <c r="A55" s="118"/>
      <c r="B55" s="143"/>
      <c r="C55" s="375" t="s">
        <v>44</v>
      </c>
      <c r="D55" s="375"/>
      <c r="E55" s="375"/>
      <c r="F55" s="636"/>
      <c r="G55" s="430" t="s">
        <v>17</v>
      </c>
      <c r="H55" s="431"/>
      <c r="I55" s="432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77"/>
      <c r="AC55" s="353" t="s">
        <v>45</v>
      </c>
      <c r="AD55" s="180" t="s">
        <v>11</v>
      </c>
      <c r="BN55" s="134"/>
      <c r="BO55" s="118"/>
    </row>
    <row r="56" spans="1:67" customFormat="1" ht="17.25" customHeight="1" x14ac:dyDescent="0.25">
      <c r="A56" s="118"/>
      <c r="B56" s="118"/>
      <c r="C56" s="144" t="s">
        <v>11</v>
      </c>
      <c r="D56" s="144"/>
      <c r="E56" s="145"/>
      <c r="F56" s="145"/>
      <c r="G56" s="101"/>
      <c r="H56" s="101"/>
      <c r="I56" s="101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73"/>
      <c r="AC56" s="353"/>
      <c r="AD56" s="180" t="s">
        <v>17</v>
      </c>
      <c r="BN56" s="134"/>
      <c r="BO56" s="118"/>
    </row>
    <row r="57" spans="1:67" customFormat="1" ht="17.25" customHeight="1" x14ac:dyDescent="0.25">
      <c r="A57" s="118"/>
      <c r="B57" s="118"/>
      <c r="C57" s="171"/>
      <c r="D57" s="171"/>
      <c r="E57" s="171"/>
      <c r="F57" s="416" t="s">
        <v>10</v>
      </c>
      <c r="G57" s="417"/>
      <c r="H57" s="418"/>
      <c r="I57" s="416" t="s">
        <v>13</v>
      </c>
      <c r="J57" s="417"/>
      <c r="K57" s="417"/>
      <c r="L57" s="418"/>
      <c r="M57" s="549" t="s">
        <v>14</v>
      </c>
      <c r="N57" s="550"/>
      <c r="O57" s="551"/>
      <c r="P57" s="433" t="s">
        <v>18</v>
      </c>
      <c r="Q57" s="434"/>
      <c r="R57" s="434"/>
      <c r="S57" s="434"/>
      <c r="T57" s="435"/>
      <c r="U57" s="101"/>
      <c r="V57" s="118"/>
      <c r="W57" s="118"/>
      <c r="X57" s="118"/>
      <c r="Y57" s="118"/>
      <c r="Z57" s="118"/>
      <c r="AA57" s="118"/>
      <c r="AB57" s="173"/>
      <c r="AD57" s="185" t="s">
        <v>146</v>
      </c>
      <c r="AE57" s="6" t="s">
        <v>426</v>
      </c>
      <c r="BN57" s="134"/>
      <c r="BO57" s="118"/>
    </row>
    <row r="58" spans="1:67" customFormat="1" ht="17.25" customHeight="1" thickBot="1" x14ac:dyDescent="0.3">
      <c r="A58" s="118"/>
      <c r="B58" s="118"/>
      <c r="C58" s="171"/>
      <c r="D58" s="171"/>
      <c r="E58" s="171"/>
      <c r="F58" s="419"/>
      <c r="G58" s="420"/>
      <c r="H58" s="421"/>
      <c r="I58" s="419"/>
      <c r="J58" s="420"/>
      <c r="K58" s="420"/>
      <c r="L58" s="421"/>
      <c r="M58" s="552"/>
      <c r="N58" s="553"/>
      <c r="O58" s="554"/>
      <c r="P58" s="436"/>
      <c r="Q58" s="437"/>
      <c r="R58" s="437"/>
      <c r="S58" s="437"/>
      <c r="T58" s="438"/>
      <c r="U58" s="101"/>
      <c r="V58" s="118"/>
      <c r="W58" s="118"/>
      <c r="X58" s="118"/>
      <c r="Y58" s="118"/>
      <c r="AA58" s="118"/>
      <c r="AB58" s="173"/>
      <c r="AC58" s="6" t="s">
        <v>416</v>
      </c>
      <c r="AD58" s="6">
        <f>VLOOKUP(P59,$B$38:$C$39,2)</f>
        <v>1</v>
      </c>
      <c r="AE58" s="6" cm="1">
        <f t="array" ref="AE58">AD58*angleConvert2Decimal(Q59)</f>
        <v>329.065</v>
      </c>
      <c r="BN58" s="134"/>
      <c r="BO58" s="118"/>
    </row>
    <row r="59" spans="1:67" customFormat="1" ht="17.25" customHeight="1" thickTop="1" thickBot="1" x14ac:dyDescent="0.3">
      <c r="A59" s="118"/>
      <c r="B59" s="118"/>
      <c r="C59" s="171"/>
      <c r="D59" s="171"/>
      <c r="E59" s="118"/>
      <c r="F59" s="389" t="str">
        <f>IF(G55=AD56,"---",AD63)</f>
        <v>---</v>
      </c>
      <c r="G59" s="389"/>
      <c r="H59" s="389"/>
      <c r="I59" s="427">
        <f>E11</f>
        <v>9.8336111111111109</v>
      </c>
      <c r="J59" s="428"/>
      <c r="K59" s="428"/>
      <c r="L59" s="429"/>
      <c r="M59" s="427">
        <v>10</v>
      </c>
      <c r="N59" s="428"/>
      <c r="O59" s="429"/>
      <c r="P59" s="439" t="s">
        <v>6</v>
      </c>
      <c r="Q59" s="543" t="s">
        <v>192</v>
      </c>
      <c r="R59" s="544"/>
      <c r="S59" s="544"/>
      <c r="T59" s="675"/>
      <c r="U59" s="386" t="str" cm="1">
        <f t="array" ref="U59">angleDecimal2Txt(AE58)</f>
        <v>+329°03.89 (+329.0649) [+329°03'54.00]</v>
      </c>
      <c r="V59" s="387"/>
      <c r="W59" s="387"/>
      <c r="X59" s="387"/>
      <c r="Y59" s="387"/>
      <c r="AA59" s="118"/>
      <c r="AB59" s="173"/>
      <c r="AC59" s="6" t="s">
        <v>417</v>
      </c>
      <c r="AD59" s="6">
        <f>VLOOKUP(P61,$B$38:$C$39,2)</f>
        <v>1</v>
      </c>
      <c r="AE59" s="6" cm="1">
        <f t="array" ref="AE59">AD59*angleConvert2Decimal(Q61)</f>
        <v>344.06333333333333</v>
      </c>
      <c r="BN59" s="134"/>
      <c r="BO59" s="118"/>
    </row>
    <row r="60" spans="1:67" customFormat="1" ht="17.25" customHeight="1" thickTop="1" thickBot="1" x14ac:dyDescent="0.3">
      <c r="A60" s="118"/>
      <c r="B60" s="118"/>
      <c r="C60" s="171"/>
      <c r="D60" s="171"/>
      <c r="E60" s="171"/>
      <c r="F60" s="390"/>
      <c r="G60" s="390"/>
      <c r="H60" s="390"/>
      <c r="I60" s="497"/>
      <c r="J60" s="498"/>
      <c r="K60" s="498"/>
      <c r="L60" s="499"/>
      <c r="M60" s="425"/>
      <c r="N60" s="426"/>
      <c r="O60" s="358"/>
      <c r="P60" s="356"/>
      <c r="Q60" s="676"/>
      <c r="R60" s="677"/>
      <c r="S60" s="677"/>
      <c r="T60" s="678"/>
      <c r="U60" s="387"/>
      <c r="V60" s="387"/>
      <c r="W60" s="387"/>
      <c r="X60" s="387"/>
      <c r="Y60" s="387"/>
      <c r="AA60" s="118"/>
      <c r="AB60" s="173"/>
      <c r="AC60" s="6" t="s">
        <v>47</v>
      </c>
      <c r="AD60" s="8">
        <f>AE59-AE58</f>
        <v>14.998333333333335</v>
      </c>
      <c r="BN60" s="134"/>
      <c r="BO60" s="118"/>
    </row>
    <row r="61" spans="1:67" customFormat="1" ht="17.25" customHeight="1" thickTop="1" thickBot="1" x14ac:dyDescent="0.3">
      <c r="A61" s="118"/>
      <c r="B61" s="118"/>
      <c r="C61" s="171"/>
      <c r="D61" s="171"/>
      <c r="E61" s="171"/>
      <c r="F61" s="390"/>
      <c r="G61" s="390"/>
      <c r="H61" s="390"/>
      <c r="I61" s="497"/>
      <c r="J61" s="498"/>
      <c r="K61" s="498"/>
      <c r="L61" s="499"/>
      <c r="M61" s="422">
        <v>11</v>
      </c>
      <c r="N61" s="423"/>
      <c r="O61" s="424"/>
      <c r="P61" s="446" t="s">
        <v>6</v>
      </c>
      <c r="Q61" s="679" t="s">
        <v>193</v>
      </c>
      <c r="R61" s="680"/>
      <c r="S61" s="680"/>
      <c r="T61" s="681"/>
      <c r="U61" s="386" t="str" cm="1">
        <f t="array" ref="U61">angleDecimal2Txt((AE59))</f>
        <v>+344°03.79 (+344.0633) [+344°03'48.00]</v>
      </c>
      <c r="V61" s="387"/>
      <c r="W61" s="387"/>
      <c r="X61" s="387"/>
      <c r="Y61" s="387"/>
      <c r="AA61" s="118"/>
      <c r="AB61" s="173"/>
      <c r="AC61" s="6" t="s">
        <v>419</v>
      </c>
      <c r="AD61" s="8">
        <f>M61-M59</f>
        <v>1</v>
      </c>
      <c r="AE61" s="118"/>
      <c r="BN61" s="134"/>
      <c r="BO61" s="118"/>
    </row>
    <row r="62" spans="1:67" customFormat="1" ht="17.25" customHeight="1" thickTop="1" thickBot="1" x14ac:dyDescent="0.3">
      <c r="A62" s="118"/>
      <c r="B62" s="118"/>
      <c r="C62" s="171"/>
      <c r="D62" s="171"/>
      <c r="E62" s="171"/>
      <c r="F62" s="390"/>
      <c r="G62" s="390"/>
      <c r="H62" s="390"/>
      <c r="I62" s="497"/>
      <c r="J62" s="498"/>
      <c r="K62" s="498"/>
      <c r="L62" s="499"/>
      <c r="M62" s="425"/>
      <c r="N62" s="426"/>
      <c r="O62" s="358"/>
      <c r="P62" s="356"/>
      <c r="Q62" s="676"/>
      <c r="R62" s="677"/>
      <c r="S62" s="677"/>
      <c r="T62" s="678"/>
      <c r="U62" s="387"/>
      <c r="V62" s="387"/>
      <c r="W62" s="387"/>
      <c r="X62" s="387"/>
      <c r="Y62" s="387"/>
      <c r="AA62" s="118"/>
      <c r="AB62" s="173"/>
      <c r="AC62" s="6" t="s">
        <v>48</v>
      </c>
      <c r="AD62" s="8">
        <f>I59-M59</f>
        <v>-0.16638888888888914</v>
      </c>
      <c r="BN62" s="134"/>
      <c r="BO62" s="118"/>
    </row>
    <row r="63" spans="1:67" customFormat="1" ht="17.25" customHeight="1" thickTop="1" thickBot="1" x14ac:dyDescent="0.3">
      <c r="A63" s="118"/>
      <c r="B63" s="118"/>
      <c r="C63" s="171"/>
      <c r="D63" s="171"/>
      <c r="E63" s="171"/>
      <c r="F63" s="380">
        <f>AC64</f>
        <v>0</v>
      </c>
      <c r="G63" s="381"/>
      <c r="H63" s="381"/>
      <c r="I63" s="381"/>
      <c r="J63" s="381"/>
      <c r="K63" s="382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AA63" s="101"/>
      <c r="AB63" s="173"/>
      <c r="AC63" s="6" t="s">
        <v>46</v>
      </c>
      <c r="AD63" s="6">
        <f>AE58+(AD60/AD61)*AD62</f>
        <v>326.56944398148147</v>
      </c>
      <c r="BN63" s="134"/>
      <c r="BO63" s="118"/>
    </row>
    <row r="64" spans="1:67" customFormat="1" ht="17.25" customHeight="1" thickTop="1" x14ac:dyDescent="0.25">
      <c r="A64" s="118"/>
      <c r="B64" s="118"/>
      <c r="C64" s="144" t="s">
        <v>17</v>
      </c>
      <c r="D64" s="144"/>
      <c r="E64" s="145"/>
      <c r="F64" s="145"/>
      <c r="G64" s="101"/>
      <c r="H64" s="101"/>
      <c r="I64" s="101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AA64" s="101"/>
      <c r="AB64" s="173"/>
      <c r="BN64" s="134"/>
      <c r="BO64" s="118"/>
    </row>
    <row r="65" spans="1:67" customFormat="1" ht="17.25" customHeight="1" x14ac:dyDescent="0.25">
      <c r="A65" s="118"/>
      <c r="B65" s="118"/>
      <c r="C65" s="101"/>
      <c r="D65" s="101"/>
      <c r="E65" s="101"/>
      <c r="F65" s="416" t="s">
        <v>10</v>
      </c>
      <c r="G65" s="417"/>
      <c r="H65" s="418"/>
      <c r="I65" s="416" t="s">
        <v>13</v>
      </c>
      <c r="J65" s="417"/>
      <c r="K65" s="417"/>
      <c r="L65" s="418"/>
      <c r="M65" s="549" t="s">
        <v>14</v>
      </c>
      <c r="N65" s="550"/>
      <c r="O65" s="551"/>
      <c r="P65" s="433" t="s">
        <v>19</v>
      </c>
      <c r="Q65" s="434"/>
      <c r="R65" s="434"/>
      <c r="S65" s="434"/>
      <c r="T65" s="435"/>
      <c r="U65" s="433" t="s">
        <v>171</v>
      </c>
      <c r="V65" s="434"/>
      <c r="W65" s="434"/>
      <c r="X65" s="434"/>
      <c r="Y65" s="435"/>
      <c r="Z65" s="118"/>
      <c r="AA65" s="101"/>
      <c r="AB65" s="173"/>
      <c r="AC65" s="6" t="s">
        <v>421</v>
      </c>
      <c r="AD65" s="6">
        <f>VLOOKUP(P67,$B$38:$C$39,2)</f>
        <v>1</v>
      </c>
      <c r="BN65" s="134"/>
      <c r="BO65" s="118"/>
    </row>
    <row r="66" spans="1:67" customFormat="1" ht="17.25" customHeight="1" collapsed="1" x14ac:dyDescent="0.25">
      <c r="A66" s="118"/>
      <c r="B66" s="118"/>
      <c r="C66" s="171"/>
      <c r="D66" s="171"/>
      <c r="E66" s="171"/>
      <c r="F66" s="419"/>
      <c r="G66" s="420"/>
      <c r="H66" s="421"/>
      <c r="I66" s="419"/>
      <c r="J66" s="420"/>
      <c r="K66" s="420"/>
      <c r="L66" s="421"/>
      <c r="M66" s="552"/>
      <c r="N66" s="553"/>
      <c r="O66" s="554"/>
      <c r="P66" s="436"/>
      <c r="Q66" s="437"/>
      <c r="R66" s="437"/>
      <c r="S66" s="437"/>
      <c r="T66" s="438"/>
      <c r="U66" s="436"/>
      <c r="V66" s="437"/>
      <c r="W66" s="437"/>
      <c r="X66" s="437"/>
      <c r="Y66" s="438"/>
      <c r="Z66" s="101"/>
      <c r="AA66" s="101"/>
      <c r="AB66" s="173"/>
      <c r="AC66" s="6" t="s">
        <v>422</v>
      </c>
      <c r="AD66" s="6" cm="1">
        <f t="array" ref="AD66">angleConvert2Decimal(Q67)*AD65</f>
        <v>176.49</v>
      </c>
      <c r="BN66" s="134"/>
      <c r="BO66" s="118"/>
    </row>
    <row r="67" spans="1:67" customFormat="1" ht="17.25" customHeight="1" x14ac:dyDescent="0.25">
      <c r="A67" s="118"/>
      <c r="B67" s="118"/>
      <c r="C67" s="171"/>
      <c r="D67" s="171"/>
      <c r="E67" s="118"/>
      <c r="F67" s="389">
        <f>IF(G55=AD56,AD69,"---")</f>
        <v>324.01383388888894</v>
      </c>
      <c r="G67" s="389"/>
      <c r="H67" s="389"/>
      <c r="I67" s="427">
        <f>E11</f>
        <v>9.8336111111111109</v>
      </c>
      <c r="J67" s="428"/>
      <c r="K67" s="428"/>
      <c r="L67" s="429"/>
      <c r="M67" s="427">
        <v>0</v>
      </c>
      <c r="N67" s="428"/>
      <c r="O67" s="429"/>
      <c r="P67" s="439" t="s">
        <v>6</v>
      </c>
      <c r="Q67" s="543" t="s">
        <v>303</v>
      </c>
      <c r="R67" s="544"/>
      <c r="S67" s="544"/>
      <c r="T67" s="545"/>
      <c r="U67" s="439" t="s">
        <v>6</v>
      </c>
      <c r="V67" s="543" t="s">
        <v>249</v>
      </c>
      <c r="W67" s="544"/>
      <c r="X67" s="544"/>
      <c r="Y67" s="545"/>
      <c r="Z67" s="101"/>
      <c r="AA67" s="118"/>
      <c r="AB67" s="173"/>
      <c r="AC67" s="6" t="s">
        <v>423</v>
      </c>
      <c r="AD67" s="6">
        <f>VLOOKUP(U67,$B$38:$C$39,2)</f>
        <v>1</v>
      </c>
      <c r="BN67" s="134"/>
      <c r="BO67" s="118"/>
    </row>
    <row r="68" spans="1:67" customFormat="1" ht="17.25" customHeight="1" thickBot="1" x14ac:dyDescent="0.3">
      <c r="A68" s="118"/>
      <c r="B68" s="118"/>
      <c r="C68" s="171"/>
      <c r="D68" s="171"/>
      <c r="E68" s="171"/>
      <c r="F68" s="390"/>
      <c r="G68" s="390"/>
      <c r="H68" s="390"/>
      <c r="I68" s="497"/>
      <c r="J68" s="498"/>
      <c r="K68" s="498"/>
      <c r="L68" s="499"/>
      <c r="M68" s="425"/>
      <c r="N68" s="426"/>
      <c r="O68" s="358"/>
      <c r="P68" s="654"/>
      <c r="Q68" s="546"/>
      <c r="R68" s="547"/>
      <c r="S68" s="547"/>
      <c r="T68" s="548"/>
      <c r="U68" s="654"/>
      <c r="V68" s="546"/>
      <c r="W68" s="547"/>
      <c r="X68" s="547"/>
      <c r="Y68" s="548"/>
      <c r="Z68" s="101"/>
      <c r="AA68" s="118"/>
      <c r="AB68" s="173"/>
      <c r="AC68" s="6" t="s">
        <v>424</v>
      </c>
      <c r="AD68" s="6" cm="1">
        <f t="array" ref="AD68">angleConvert2Decimal(V67)*AD67</f>
        <v>15.002000000000001</v>
      </c>
      <c r="BN68" s="134"/>
      <c r="BO68" s="118"/>
    </row>
    <row r="69" spans="1:67" customFormat="1" ht="17.25" customHeight="1" thickTop="1" thickBot="1" x14ac:dyDescent="0.3">
      <c r="A69" s="118"/>
      <c r="B69" s="118"/>
      <c r="C69" s="171"/>
      <c r="D69" s="171"/>
      <c r="E69" s="171"/>
      <c r="F69" s="379" t="str" cm="1">
        <f t="array" ref="F69">angleDecimal2Txt(F67)</f>
        <v>+324°00.83 (+324.0138) [+324°00'49.80]</v>
      </c>
      <c r="G69" s="379"/>
      <c r="H69" s="379"/>
      <c r="I69" s="379"/>
      <c r="J69" s="379"/>
      <c r="K69" s="379"/>
      <c r="L69" s="118"/>
      <c r="M69" s="118"/>
      <c r="N69" s="118"/>
      <c r="O69" s="118"/>
      <c r="P69" s="379" t="str" cm="1">
        <f t="array" ref="P69">angleDecimal2Txt(AD66)</f>
        <v>+176°29.39 (+176.4900) [+176°29'24.00]</v>
      </c>
      <c r="Q69" s="379"/>
      <c r="R69" s="379"/>
      <c r="S69" s="379"/>
      <c r="T69" s="379"/>
      <c r="U69" s="379" t="str" cm="1">
        <f t="array" ref="U69">angleDecimal2Txt(AD68)</f>
        <v>+15°00.12 (+15.0020) [+15°00'07.20]</v>
      </c>
      <c r="V69" s="410"/>
      <c r="W69" s="410"/>
      <c r="X69" s="410"/>
      <c r="Y69" s="410"/>
      <c r="Z69" s="118"/>
      <c r="AA69" s="118"/>
      <c r="AB69" s="173"/>
      <c r="AC69" s="6" t="s">
        <v>425</v>
      </c>
      <c r="AD69" s="6">
        <f>AD66+AD68*(I67-M67)</f>
        <v>324.01383388888894</v>
      </c>
      <c r="BN69" s="134"/>
      <c r="BO69" s="118"/>
    </row>
    <row r="70" spans="1:67" customFormat="1" ht="17.25" customHeight="1" thickTop="1" x14ac:dyDescent="0.25">
      <c r="A70" s="118"/>
      <c r="B70" s="118"/>
      <c r="C70" s="171"/>
      <c r="D70" s="171"/>
      <c r="E70" s="171"/>
      <c r="F70" s="171"/>
      <c r="G70" s="171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01"/>
      <c r="T70" s="101"/>
      <c r="U70" s="101"/>
      <c r="V70" s="101"/>
      <c r="W70" s="101"/>
      <c r="X70" s="101"/>
      <c r="Y70" s="118"/>
      <c r="Z70" s="118"/>
      <c r="AA70" s="118"/>
      <c r="AB70" s="173"/>
      <c r="BN70" s="134"/>
      <c r="BO70" s="118"/>
    </row>
    <row r="71" spans="1:67" customFormat="1" ht="17.25" customHeight="1" x14ac:dyDescent="0.25">
      <c r="A71" s="118"/>
      <c r="B71" s="118"/>
      <c r="C71" s="171"/>
      <c r="D71" s="171"/>
      <c r="E71" s="171"/>
      <c r="F71" s="171"/>
      <c r="G71" s="171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01"/>
      <c r="T71" s="101"/>
      <c r="U71" s="101"/>
      <c r="V71" s="101"/>
      <c r="W71" s="101"/>
      <c r="X71" s="118"/>
      <c r="Y71" s="118"/>
      <c r="Z71" s="118"/>
      <c r="AA71" s="118"/>
      <c r="AB71" s="173"/>
      <c r="BN71" s="134"/>
      <c r="BO71" s="118"/>
    </row>
    <row r="72" spans="1:67" customFormat="1" ht="17.25" customHeight="1" thickBot="1" x14ac:dyDescent="0.3">
      <c r="A72" s="118"/>
      <c r="B72" s="118"/>
      <c r="C72" s="171"/>
      <c r="D72" s="171"/>
      <c r="E72" s="17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18"/>
      <c r="AB72" s="173"/>
      <c r="AI72" s="42"/>
      <c r="BN72" s="134"/>
      <c r="BO72" s="118"/>
    </row>
    <row r="73" spans="1:67" s="101" customFormat="1" ht="17.25" customHeight="1" thickBot="1" x14ac:dyDescent="0.3">
      <c r="A73" s="118"/>
      <c r="B73" s="135" t="s">
        <v>53</v>
      </c>
      <c r="C73" s="136"/>
      <c r="D73" s="136"/>
      <c r="E73" s="136"/>
      <c r="F73" s="465">
        <f>I74</f>
        <v>349.23883388888891</v>
      </c>
      <c r="G73" s="465"/>
      <c r="H73" s="465"/>
      <c r="I73" s="136"/>
      <c r="J73" s="450" t="s">
        <v>127</v>
      </c>
      <c r="K73" s="450"/>
      <c r="L73" s="450"/>
      <c r="M73" s="538" t="str">
        <f>J22</f>
        <v>Etoile</v>
      </c>
      <c r="N73" s="538"/>
      <c r="O73" s="538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76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41"/>
    </row>
    <row r="74" spans="1:67" ht="17.25" customHeight="1" thickBot="1" x14ac:dyDescent="0.3">
      <c r="C74" s="354" t="s">
        <v>24</v>
      </c>
      <c r="D74" s="354"/>
      <c r="E74" s="354"/>
      <c r="F74" s="354"/>
      <c r="G74" s="354"/>
      <c r="H74" s="355"/>
      <c r="I74" s="575">
        <f>AD75</f>
        <v>349.23883388888891</v>
      </c>
      <c r="J74" s="576"/>
      <c r="K74" s="576"/>
      <c r="L74" s="577"/>
      <c r="M74" s="146" t="s">
        <v>55</v>
      </c>
      <c r="N74" s="560">
        <f>AD74</f>
        <v>349.23883388888891</v>
      </c>
      <c r="O74" s="560"/>
      <c r="P74" s="560"/>
      <c r="Q74" s="560"/>
      <c r="AC74" s="6" t="s">
        <v>427</v>
      </c>
      <c r="AD74" s="8">
        <f>F54+F41+F50</f>
        <v>349.23883388888891</v>
      </c>
    </row>
    <row r="75" spans="1:67" ht="17.25" customHeight="1" thickTop="1" thickBot="1" x14ac:dyDescent="0.3">
      <c r="A75" s="101"/>
      <c r="C75" s="101"/>
      <c r="D75" s="101"/>
      <c r="E75" s="101"/>
      <c r="F75" s="101"/>
      <c r="G75" s="101"/>
      <c r="H75" s="101"/>
      <c r="I75" s="410">
        <f>AC76</f>
        <v>0</v>
      </c>
      <c r="J75" s="410"/>
      <c r="K75" s="410"/>
      <c r="L75" s="410"/>
      <c r="M75" s="410"/>
      <c r="N75" s="410"/>
      <c r="AB75" s="178"/>
      <c r="AC75" s="6" t="s">
        <v>428</v>
      </c>
      <c r="AD75" s="8">
        <f>MOD(AD74,360)</f>
        <v>349.23883388888891</v>
      </c>
    </row>
    <row r="76" spans="1:67" ht="17.25" customHeight="1" thickTop="1" thickBot="1" x14ac:dyDescent="0.3">
      <c r="B76" s="101"/>
      <c r="C76" s="118"/>
      <c r="D76" s="118"/>
      <c r="E76" s="118"/>
      <c r="F76" s="118"/>
      <c r="G76" s="118"/>
      <c r="AA76" s="101"/>
    </row>
    <row r="77" spans="1:67" ht="17.25" customHeight="1" thickBot="1" x14ac:dyDescent="0.3">
      <c r="B77" s="135" t="s">
        <v>26</v>
      </c>
      <c r="C77" s="136"/>
      <c r="D77" s="378" t="s">
        <v>145</v>
      </c>
      <c r="E77" s="393"/>
      <c r="F77" s="465">
        <f>IF(G78=AD78,O115,O107)</f>
        <v>9.1383333333333372</v>
      </c>
      <c r="G77" s="465"/>
      <c r="H77" s="465"/>
      <c r="I77" s="136"/>
      <c r="J77" s="136"/>
      <c r="K77" s="136"/>
      <c r="L77" s="136" t="s">
        <v>132</v>
      </c>
      <c r="M77" s="378">
        <f>O80</f>
        <v>8.9666666666666703</v>
      </c>
      <c r="N77" s="378"/>
      <c r="O77" s="136"/>
      <c r="P77" s="172"/>
      <c r="Q77" s="136" t="s">
        <v>172</v>
      </c>
      <c r="R77" s="136"/>
      <c r="S77" s="412">
        <f>-O94+O89+O98</f>
        <v>-9.9381306065384825E-2</v>
      </c>
      <c r="T77" s="413"/>
      <c r="U77" s="414"/>
      <c r="V77" s="415" t="str" cm="1">
        <f t="array" ref="V77">angleDecimal2Txt(S77)</f>
        <v>-00°05.96 (-00.0993) [-00°05'57.77]</v>
      </c>
      <c r="W77" s="415"/>
      <c r="X77" s="415"/>
      <c r="Y77" s="415"/>
      <c r="Z77" s="415"/>
      <c r="AA77" s="136"/>
      <c r="AB77" s="176"/>
    </row>
    <row r="78" spans="1:67" ht="17.25" customHeight="1" x14ac:dyDescent="0.25">
      <c r="C78" s="375" t="s">
        <v>44</v>
      </c>
      <c r="D78" s="375"/>
      <c r="E78" s="375"/>
      <c r="F78" s="375"/>
      <c r="G78" s="451" t="s">
        <v>61</v>
      </c>
      <c r="H78" s="451"/>
      <c r="I78" s="451"/>
      <c r="P78" s="118" t="s">
        <v>142</v>
      </c>
      <c r="V78" s="101"/>
      <c r="W78" s="101"/>
      <c r="X78" s="101"/>
      <c r="Y78" s="101"/>
      <c r="Z78" s="101"/>
      <c r="AC78" s="353" t="s">
        <v>45</v>
      </c>
      <c r="AD78" s="180" t="s">
        <v>61</v>
      </c>
    </row>
    <row r="79" spans="1:67" ht="17.25" customHeight="1" thickBot="1" x14ac:dyDescent="0.3">
      <c r="C79" s="143"/>
      <c r="D79" s="143"/>
      <c r="E79" s="143"/>
      <c r="F79" s="452" t="s">
        <v>134</v>
      </c>
      <c r="G79" s="452"/>
      <c r="H79" s="453"/>
      <c r="I79" s="453"/>
      <c r="J79" s="411" t="str">
        <f>IF(G78=AD78,"---",O107)</f>
        <v>---</v>
      </c>
      <c r="K79" s="411"/>
      <c r="L79" s="411"/>
      <c r="V79" s="101"/>
      <c r="W79" s="101"/>
      <c r="X79" s="101"/>
      <c r="Y79" s="101"/>
      <c r="Z79" s="101"/>
      <c r="AC79" s="353"/>
      <c r="AD79" s="180" t="s">
        <v>62</v>
      </c>
    </row>
    <row r="80" spans="1:67" ht="17.25" customHeight="1" thickTop="1" thickBot="1" x14ac:dyDescent="0.3">
      <c r="C80" s="118"/>
      <c r="D80" s="118"/>
      <c r="E80" s="118"/>
      <c r="F80" s="118"/>
      <c r="G80" s="118"/>
      <c r="H80" s="496" t="s">
        <v>57</v>
      </c>
      <c r="I80" s="496"/>
      <c r="J80" s="496"/>
      <c r="K80" s="496"/>
      <c r="L80" s="496"/>
      <c r="M80" s="496"/>
      <c r="N80" s="496"/>
      <c r="O80" s="377">
        <f>J21</f>
        <v>8.9666666666666703</v>
      </c>
      <c r="P80" s="377"/>
      <c r="Q80" s="377"/>
      <c r="R80" s="377"/>
      <c r="S80" s="118" t="s">
        <v>100</v>
      </c>
      <c r="U80" s="379" t="str" cm="1">
        <f t="array" ref="U80">angleDecimal2Txt(O80)</f>
        <v>+08°58.00 (+08.9666) [+08°58'00.00]</v>
      </c>
      <c r="V80" s="379"/>
      <c r="W80" s="379"/>
      <c r="X80" s="379"/>
      <c r="Y80" s="379"/>
      <c r="Z80" s="379"/>
    </row>
    <row r="81" spans="1:67" ht="17.25" customHeight="1" thickTop="1" thickBot="1" x14ac:dyDescent="0.3">
      <c r="C81" s="118"/>
      <c r="D81" s="118"/>
      <c r="E81" s="118"/>
      <c r="F81" s="118"/>
      <c r="G81" s="118"/>
      <c r="H81" s="496" t="s">
        <v>27</v>
      </c>
      <c r="I81" s="496"/>
      <c r="J81" s="496"/>
      <c r="K81" s="496"/>
      <c r="L81" s="496"/>
      <c r="M81" s="496"/>
      <c r="N81" s="496"/>
      <c r="O81" s="377">
        <f>J20</f>
        <v>0</v>
      </c>
      <c r="P81" s="377"/>
      <c r="Q81" s="377"/>
      <c r="R81" s="377"/>
      <c r="S81" s="118" t="s">
        <v>100</v>
      </c>
      <c r="U81" s="379" t="str" cm="1">
        <f t="array" ref="U81">angleDecimal2Txt(O81)</f>
        <v>+00°00.00 (+00.0000) [+00°00'00.00]</v>
      </c>
      <c r="V81" s="379"/>
      <c r="W81" s="379"/>
      <c r="X81" s="379"/>
      <c r="Y81" s="379"/>
      <c r="Z81" s="379"/>
      <c r="AC81" s="6" t="s">
        <v>131</v>
      </c>
      <c r="AD81" s="8">
        <f>O81</f>
        <v>0</v>
      </c>
    </row>
    <row r="82" spans="1:67" ht="17.25" customHeight="1" thickTop="1" thickBot="1" x14ac:dyDescent="0.3">
      <c r="G82" s="118"/>
      <c r="H82" s="559" t="s">
        <v>140</v>
      </c>
      <c r="I82" s="559"/>
      <c r="J82" s="559"/>
      <c r="K82" s="559"/>
      <c r="L82" s="559"/>
      <c r="M82" s="559"/>
      <c r="N82" s="559"/>
      <c r="O82" s="399">
        <f>AD83</f>
        <v>0</v>
      </c>
      <c r="P82" s="399"/>
      <c r="Q82" s="399"/>
      <c r="R82" s="399"/>
      <c r="S82" s="118" t="s">
        <v>100</v>
      </c>
      <c r="U82" s="379" t="str" cm="1">
        <f t="array" ref="U82">angleDecimal2Txt(O82)</f>
        <v>+00°00.00 (+00.0000) [+00°00'00.00]</v>
      </c>
      <c r="V82" s="379"/>
      <c r="W82" s="379"/>
      <c r="X82" s="379"/>
      <c r="Y82" s="379"/>
      <c r="Z82" s="379"/>
      <c r="AC82" s="6" t="s">
        <v>56</v>
      </c>
      <c r="AD82" s="6">
        <f>J19</f>
        <v>0</v>
      </c>
    </row>
    <row r="83" spans="1:67" ht="17.25" customHeight="1" thickTop="1" thickBot="1" x14ac:dyDescent="0.3">
      <c r="K83" s="101"/>
      <c r="L83" s="101"/>
      <c r="M83" s="402" t="s">
        <v>253</v>
      </c>
      <c r="N83" s="402"/>
      <c r="O83" s="402"/>
      <c r="P83" s="402"/>
      <c r="Q83" s="101"/>
      <c r="R83" s="101"/>
      <c r="U83" s="101"/>
      <c r="V83" s="101"/>
      <c r="W83" s="101"/>
      <c r="X83" s="101"/>
      <c r="Y83" s="101"/>
      <c r="Z83" s="101"/>
      <c r="AC83" s="186" t="s">
        <v>139</v>
      </c>
      <c r="AD83" s="6">
        <f>0.0293 * SQRT(AD82)</f>
        <v>0</v>
      </c>
    </row>
    <row r="84" spans="1:67" ht="17.25" customHeight="1" thickTop="1" thickBot="1" x14ac:dyDescent="0.3">
      <c r="G84" s="118"/>
      <c r="H84" s="655" t="s">
        <v>58</v>
      </c>
      <c r="I84" s="655"/>
      <c r="J84" s="655"/>
      <c r="K84" s="655"/>
      <c r="L84" s="655"/>
      <c r="M84" s="655"/>
      <c r="N84" s="655"/>
      <c r="O84" s="405">
        <f>O80-O81-O82</f>
        <v>8.9666666666666703</v>
      </c>
      <c r="P84" s="407"/>
      <c r="Q84" s="118" t="s">
        <v>100</v>
      </c>
      <c r="R84" s="565">
        <f>O84*D129</f>
        <v>0.15649785626215829</v>
      </c>
      <c r="S84" s="565"/>
      <c r="T84" s="147" t="s">
        <v>136</v>
      </c>
      <c r="U84" s="379" t="str" cm="1">
        <f t="array" ref="U84">angleDecimal2Txt(O84)</f>
        <v>+08°58.00 (+08.9666) [+08°58'00.00]</v>
      </c>
      <c r="V84" s="379"/>
      <c r="W84" s="379"/>
      <c r="X84" s="379"/>
      <c r="Y84" s="379"/>
      <c r="Z84" s="379"/>
    </row>
    <row r="85" spans="1:67" ht="17.25" customHeight="1" thickTop="1" x14ac:dyDescent="0.25">
      <c r="C85" s="118"/>
      <c r="D85" s="118"/>
      <c r="E85" s="118"/>
      <c r="F85" s="118"/>
      <c r="G85" s="118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U85" s="101"/>
      <c r="V85" s="101"/>
      <c r="W85" s="101"/>
      <c r="X85" s="101"/>
      <c r="Y85" s="101"/>
      <c r="Z85" s="101"/>
    </row>
    <row r="86" spans="1:67" ht="17.25" customHeight="1" x14ac:dyDescent="0.25">
      <c r="G86" s="118"/>
      <c r="H86" s="101"/>
      <c r="I86" s="101"/>
      <c r="J86" s="101"/>
      <c r="K86" s="101"/>
      <c r="L86" s="101"/>
      <c r="M86" s="561" t="s">
        <v>133</v>
      </c>
      <c r="N86" s="561"/>
      <c r="O86" s="561"/>
      <c r="P86" s="561"/>
      <c r="Q86" s="101"/>
      <c r="R86" s="101"/>
      <c r="U86" s="101"/>
      <c r="V86" s="101"/>
      <c r="W86" s="101"/>
      <c r="X86" s="101"/>
      <c r="Y86" s="101"/>
      <c r="Z86" s="101"/>
    </row>
    <row r="87" spans="1:67" ht="17.25" customHeight="1" thickBot="1" x14ac:dyDescent="0.3">
      <c r="C87" s="118"/>
      <c r="D87" s="118"/>
      <c r="E87" s="118"/>
      <c r="F87" s="118"/>
      <c r="G87" s="118"/>
      <c r="M87" s="562" t="s">
        <v>318</v>
      </c>
      <c r="N87" s="562"/>
      <c r="O87" s="561"/>
      <c r="P87" s="561"/>
    </row>
    <row r="88" spans="1:67" ht="17.25" customHeight="1" thickTop="1" thickBot="1" x14ac:dyDescent="0.3">
      <c r="A88" s="101"/>
      <c r="B88" s="101"/>
      <c r="C88" s="101"/>
      <c r="D88" s="101"/>
      <c r="E88" s="101"/>
      <c r="F88" s="118"/>
      <c r="G88" s="118"/>
      <c r="H88" s="399" t="s">
        <v>65</v>
      </c>
      <c r="I88" s="399"/>
      <c r="J88" s="399"/>
      <c r="K88" s="399"/>
      <c r="L88" s="399"/>
      <c r="M88" s="399"/>
      <c r="N88" s="399"/>
      <c r="O88" s="563">
        <f>J24</f>
        <v>0</v>
      </c>
      <c r="P88" s="564"/>
      <c r="Q88" s="564"/>
      <c r="R88" s="564"/>
      <c r="S88" s="118" t="s">
        <v>100</v>
      </c>
      <c r="U88" s="379" t="str" cm="1">
        <f t="array" ref="U88">angleDecimal2Txt(O88)</f>
        <v>+00°00.00 (+00.0000) [+00°00'00.00]</v>
      </c>
      <c r="V88" s="379"/>
      <c r="W88" s="379"/>
      <c r="X88" s="379"/>
      <c r="Y88" s="379"/>
      <c r="Z88" s="379"/>
      <c r="AC88" s="6" t="s">
        <v>429</v>
      </c>
      <c r="AD88" s="6">
        <f>O88*COS(R84)</f>
        <v>0</v>
      </c>
    </row>
    <row r="89" spans="1:67" customFormat="1" ht="17.25" customHeight="1" thickTop="1" thickBot="1" x14ac:dyDescent="0.3">
      <c r="A89" s="101"/>
      <c r="B89" s="101"/>
      <c r="C89" s="101"/>
      <c r="D89" s="101"/>
      <c r="E89" s="101"/>
      <c r="F89" s="118"/>
      <c r="G89" s="118"/>
      <c r="H89" s="584" t="s">
        <v>319</v>
      </c>
      <c r="I89" s="585"/>
      <c r="J89" s="585"/>
      <c r="K89" s="585"/>
      <c r="L89" s="585"/>
      <c r="M89" s="585"/>
      <c r="N89" s="586"/>
      <c r="O89" s="454">
        <f>AD88</f>
        <v>0</v>
      </c>
      <c r="P89" s="454"/>
      <c r="Q89" s="454"/>
      <c r="R89" s="454"/>
      <c r="S89" s="118" t="s">
        <v>100</v>
      </c>
      <c r="T89" s="118"/>
      <c r="U89" s="379" t="str" cm="1">
        <f t="array" ref="U89">angleDecimal2Txt(O89)</f>
        <v>+00°00.00 (+00.0000) [+00°00'00.00]</v>
      </c>
      <c r="V89" s="379"/>
      <c r="W89" s="379"/>
      <c r="X89" s="379"/>
      <c r="Y89" s="379"/>
      <c r="Z89" s="379"/>
      <c r="AA89" s="118"/>
      <c r="AB89" s="173"/>
      <c r="BN89" s="134"/>
      <c r="BO89" s="118"/>
    </row>
    <row r="90" spans="1:67" customFormat="1" ht="17.25" customHeight="1" thickTop="1" x14ac:dyDescent="0.25">
      <c r="A90" s="101"/>
      <c r="B90" s="101"/>
      <c r="C90" s="101"/>
      <c r="D90" s="101"/>
      <c r="E90" s="101"/>
      <c r="F90" s="118"/>
      <c r="G90" s="118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01"/>
      <c r="B91" s="101"/>
      <c r="C91" s="101"/>
      <c r="D91" s="101"/>
      <c r="E91" s="171"/>
      <c r="F91" s="118"/>
      <c r="G91" s="118"/>
      <c r="H91" s="101"/>
      <c r="I91" s="101"/>
      <c r="J91" s="101"/>
      <c r="K91" s="101"/>
      <c r="L91" s="101"/>
      <c r="M91" s="101"/>
      <c r="N91" s="101"/>
      <c r="O91" s="101"/>
      <c r="P91" s="118"/>
      <c r="Q91" s="118"/>
      <c r="R91" s="118"/>
      <c r="S91" s="572" t="s">
        <v>270</v>
      </c>
      <c r="T91" s="573"/>
      <c r="U91" s="574"/>
      <c r="V91" s="118"/>
      <c r="W91" s="118"/>
      <c r="X91" s="118"/>
      <c r="Y91" s="101"/>
      <c r="Z91" s="101"/>
      <c r="AA91" s="118"/>
      <c r="AB91" s="173"/>
      <c r="AC91" s="6" t="s">
        <v>60</v>
      </c>
      <c r="AD91" s="6" t="s">
        <v>431</v>
      </c>
      <c r="BN91" s="134"/>
      <c r="BO91" s="118"/>
    </row>
    <row r="92" spans="1:67" customFormat="1" ht="17.25" customHeight="1" x14ac:dyDescent="0.25">
      <c r="A92" s="101"/>
      <c r="B92" s="101"/>
      <c r="C92" s="101"/>
      <c r="D92" s="101"/>
      <c r="E92" s="171"/>
      <c r="F92" s="118"/>
      <c r="G92" s="118"/>
      <c r="H92" s="399" t="s">
        <v>137</v>
      </c>
      <c r="I92" s="399"/>
      <c r="J92" s="399"/>
      <c r="K92" s="399"/>
      <c r="L92" s="399"/>
      <c r="M92" s="399"/>
      <c r="N92" s="399"/>
      <c r="O92" s="520">
        <f>S92</f>
        <v>10</v>
      </c>
      <c r="P92" s="521"/>
      <c r="Q92" s="521"/>
      <c r="R92" s="521"/>
      <c r="S92" s="396">
        <v>10</v>
      </c>
      <c r="T92" s="397"/>
      <c r="U92" s="398"/>
      <c r="V92" s="118"/>
      <c r="W92" s="118"/>
      <c r="X92" s="118"/>
      <c r="Y92" s="101"/>
      <c r="Z92" s="101"/>
      <c r="AA92" s="118"/>
      <c r="AB92" s="173"/>
      <c r="AC92" s="6" t="s">
        <v>432</v>
      </c>
      <c r="AD92" s="6">
        <f>1/TAN((O84 + 7.31 / (O84 + 4.4)) * D129)</f>
        <v>5.9670953924690036</v>
      </c>
      <c r="BN92" s="134"/>
      <c r="BO92" s="118"/>
    </row>
    <row r="93" spans="1:67" customFormat="1" ht="17.25" customHeight="1" thickBot="1" x14ac:dyDescent="0.3">
      <c r="A93" s="101"/>
      <c r="B93" s="101"/>
      <c r="C93" s="101"/>
      <c r="D93" s="101"/>
      <c r="E93" s="101"/>
      <c r="F93" s="118"/>
      <c r="G93" s="118"/>
      <c r="H93" s="399" t="s">
        <v>138</v>
      </c>
      <c r="I93" s="399"/>
      <c r="J93" s="399"/>
      <c r="K93" s="399"/>
      <c r="L93" s="399"/>
      <c r="M93" s="399"/>
      <c r="N93" s="399"/>
      <c r="O93" s="520">
        <f>S93</f>
        <v>1010</v>
      </c>
      <c r="P93" s="521"/>
      <c r="Q93" s="521"/>
      <c r="R93" s="521"/>
      <c r="S93" s="396">
        <v>1010</v>
      </c>
      <c r="T93" s="397"/>
      <c r="U93" s="398"/>
      <c r="V93" s="118"/>
      <c r="W93" s="118"/>
      <c r="X93" s="118"/>
      <c r="Y93" s="101"/>
      <c r="Z93" s="101"/>
      <c r="AA93" s="118"/>
      <c r="AB93" s="173"/>
      <c r="AC93" s="6" t="s">
        <v>433</v>
      </c>
      <c r="AD93" s="6">
        <f>AD92/60</f>
        <v>9.9451589874483395E-2</v>
      </c>
      <c r="BN93" s="134"/>
      <c r="BO93" s="118"/>
    </row>
    <row r="94" spans="1:67" customFormat="1" ht="17.25" customHeight="1" thickTop="1" thickBot="1" x14ac:dyDescent="0.3">
      <c r="A94" s="101"/>
      <c r="B94" s="101"/>
      <c r="C94" s="101"/>
      <c r="D94" s="101"/>
      <c r="E94" s="101"/>
      <c r="F94" s="118"/>
      <c r="G94" s="118"/>
      <c r="H94" s="584" t="s">
        <v>320</v>
      </c>
      <c r="I94" s="585"/>
      <c r="J94" s="585"/>
      <c r="K94" s="585"/>
      <c r="L94" s="585"/>
      <c r="M94" s="585"/>
      <c r="N94" s="586"/>
      <c r="O94" s="454">
        <f>AD95</f>
        <v>9.9381306065384825E-2</v>
      </c>
      <c r="P94" s="454"/>
      <c r="Q94" s="454"/>
      <c r="R94" s="454"/>
      <c r="S94" s="118" t="s">
        <v>100</v>
      </c>
      <c r="T94" s="118"/>
      <c r="U94" s="379" t="str" cm="1">
        <f t="array" ref="U94">angleDecimal2Txt(O94)</f>
        <v>+00°05.96 (+00.0993) [+00°05'57.77]</v>
      </c>
      <c r="V94" s="379"/>
      <c r="W94" s="379"/>
      <c r="X94" s="379"/>
      <c r="Y94" s="379"/>
      <c r="Z94" s="379"/>
      <c r="AA94" s="118"/>
      <c r="AB94" s="173"/>
      <c r="AC94" s="6" t="s">
        <v>174</v>
      </c>
      <c r="AD94" s="6">
        <f xml:space="preserve"> 0.28 * O93 / (273 + O92)</f>
        <v>0.99929328621908131</v>
      </c>
      <c r="BN94" s="134"/>
      <c r="BO94" s="118"/>
    </row>
    <row r="95" spans="1:67" customFormat="1" ht="17.25" customHeight="1" thickTop="1" x14ac:dyDescent="0.25">
      <c r="A95" s="101"/>
      <c r="B95" s="101"/>
      <c r="C95" s="101"/>
      <c r="D95" s="101"/>
      <c r="E95" s="101"/>
      <c r="F95" s="118"/>
      <c r="G95" s="118"/>
      <c r="H95" s="101"/>
      <c r="I95" s="101"/>
      <c r="J95" s="101"/>
      <c r="K95" s="101"/>
      <c r="L95" s="101"/>
      <c r="M95" s="101"/>
      <c r="N95" s="101"/>
      <c r="O95" s="101"/>
      <c r="P95" s="118"/>
      <c r="Q95" s="118"/>
      <c r="R95" s="118"/>
      <c r="S95" s="118"/>
      <c r="T95" s="118"/>
      <c r="U95" s="118"/>
      <c r="V95" s="118"/>
      <c r="W95" s="118"/>
      <c r="X95" s="118"/>
      <c r="Y95" s="101"/>
      <c r="Z95" s="101"/>
      <c r="AA95" s="118"/>
      <c r="AB95" s="173"/>
      <c r="AC95" s="6" t="s">
        <v>430</v>
      </c>
      <c r="AD95" s="6">
        <f>AD94*AD93</f>
        <v>9.9381306065384825E-2</v>
      </c>
      <c r="BN95" s="134"/>
      <c r="BO95" s="118"/>
    </row>
    <row r="96" spans="1:67" customFormat="1" ht="17.25" customHeight="1" x14ac:dyDescent="0.25">
      <c r="A96" s="101"/>
      <c r="B96" s="101"/>
      <c r="C96" s="101"/>
      <c r="D96" s="101"/>
      <c r="E96" s="101"/>
      <c r="F96" s="118"/>
      <c r="G96" s="118"/>
      <c r="H96" s="399" t="s">
        <v>180</v>
      </c>
      <c r="I96" s="399"/>
      <c r="J96" s="399"/>
      <c r="K96" s="399"/>
      <c r="L96" s="399"/>
      <c r="M96" s="399"/>
      <c r="N96" s="399"/>
      <c r="O96" s="376">
        <f>J28</f>
        <v>0</v>
      </c>
      <c r="P96" s="376"/>
      <c r="Q96" s="376"/>
      <c r="R96" s="376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thickBot="1" x14ac:dyDescent="0.3">
      <c r="A97" s="118"/>
      <c r="B97" s="101"/>
      <c r="C97" s="101"/>
      <c r="D97" s="101"/>
      <c r="E97" s="171"/>
      <c r="F97" s="171"/>
      <c r="G97" s="171"/>
      <c r="H97" s="399" t="s">
        <v>143</v>
      </c>
      <c r="I97" s="399"/>
      <c r="J97" s="399"/>
      <c r="K97" s="399"/>
      <c r="L97" s="399"/>
      <c r="M97" s="399"/>
      <c r="N97" s="399"/>
      <c r="O97" s="376" t="str">
        <f>J23</f>
        <v>Milieu</v>
      </c>
      <c r="P97" s="376"/>
      <c r="Q97" s="376"/>
      <c r="R97" s="376"/>
      <c r="S97" s="118"/>
      <c r="T97" s="118"/>
      <c r="U97" s="118"/>
      <c r="V97" s="118"/>
      <c r="W97" s="118"/>
      <c r="X97" s="118"/>
      <c r="Y97" s="118"/>
      <c r="Z97" s="118"/>
      <c r="AA97" s="118"/>
      <c r="AB97" s="173"/>
      <c r="AC97" s="6" t="s">
        <v>38</v>
      </c>
      <c r="AD97" s="391" t="str">
        <f>J22</f>
        <v>Etoile</v>
      </c>
      <c r="AE97" s="391"/>
      <c r="BN97" s="134"/>
      <c r="BO97" s="118"/>
    </row>
    <row r="98" spans="1:67" customFormat="1" ht="17.25" customHeight="1" thickTop="1" thickBot="1" x14ac:dyDescent="0.3">
      <c r="A98" s="118"/>
      <c r="B98" s="118"/>
      <c r="C98" s="171"/>
      <c r="D98" s="171"/>
      <c r="E98" s="171"/>
      <c r="F98" s="171"/>
      <c r="G98" s="171"/>
      <c r="H98" s="587" t="s">
        <v>144</v>
      </c>
      <c r="I98" s="588"/>
      <c r="J98" s="588"/>
      <c r="K98" s="588"/>
      <c r="L98" s="588"/>
      <c r="M98" s="588"/>
      <c r="N98" s="589"/>
      <c r="O98" s="560">
        <f>AD101</f>
        <v>0</v>
      </c>
      <c r="P98" s="560"/>
      <c r="Q98" s="560"/>
      <c r="R98" s="560"/>
      <c r="S98" s="118" t="s">
        <v>100</v>
      </c>
      <c r="T98" s="118"/>
      <c r="U98" s="379" t="str" cm="1">
        <f t="array" ref="U98">angleDecimal2Txt(O98)</f>
        <v>+00°00.00 (+00.0000) [+00°00'00.00]</v>
      </c>
      <c r="V98" s="379"/>
      <c r="W98" s="379"/>
      <c r="X98" s="379"/>
      <c r="Y98" s="379"/>
      <c r="Z98" s="379"/>
      <c r="AA98" s="118"/>
      <c r="AB98" s="173"/>
      <c r="AC98" s="6" t="s">
        <v>437</v>
      </c>
      <c r="AD98" s="391" t="str">
        <f>O97</f>
        <v>Milieu</v>
      </c>
      <c r="AE98" s="391"/>
      <c r="BN98" s="134"/>
      <c r="BO98" s="118"/>
    </row>
    <row r="99" spans="1:67" customFormat="1" ht="17.25" customHeight="1" thickTop="1" x14ac:dyDescent="0.25">
      <c r="A99" s="118"/>
      <c r="B99" s="118"/>
      <c r="C99" s="171"/>
      <c r="D99" s="171"/>
      <c r="E99" s="171"/>
      <c r="F99" s="171"/>
      <c r="G99" s="17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18"/>
      <c r="AB99" s="173"/>
      <c r="AC99" s="6" t="s">
        <v>438</v>
      </c>
      <c r="AD99" s="392">
        <f>HLOOKUP(AD98,AD27:AF28,2)</f>
        <v>-0.5</v>
      </c>
      <c r="AE99" s="392"/>
      <c r="BN99" s="134"/>
      <c r="BO99" s="118"/>
    </row>
    <row r="100" spans="1:67" customFormat="1" ht="17.25" customHeight="1" x14ac:dyDescent="0.25">
      <c r="A100" s="118"/>
      <c r="B100" s="118"/>
      <c r="C100" s="171"/>
      <c r="D100" s="171"/>
      <c r="E100" s="171"/>
      <c r="F100" s="171"/>
      <c r="G100" s="556" t="s">
        <v>245</v>
      </c>
      <c r="H100" s="557"/>
      <c r="I100" s="557"/>
      <c r="J100" s="557"/>
      <c r="K100" s="557"/>
      <c r="L100" s="557"/>
      <c r="M100" s="557"/>
      <c r="N100" s="557"/>
      <c r="O100" s="557"/>
      <c r="P100" s="557"/>
      <c r="Q100" s="557"/>
      <c r="R100" s="557"/>
      <c r="S100" s="558"/>
      <c r="T100" s="101"/>
      <c r="U100" s="101"/>
      <c r="V100" s="101"/>
      <c r="W100" s="101"/>
      <c r="X100" s="101"/>
      <c r="Y100" s="101"/>
      <c r="Z100" s="101"/>
      <c r="AA100" s="118"/>
      <c r="AB100" s="173"/>
      <c r="AC100" s="6" t="s">
        <v>180</v>
      </c>
      <c r="AD100" s="6" t="str">
        <f>HLOOKUP(AD97,AD23:AF25,3)</f>
        <v>0.0'</v>
      </c>
      <c r="AE100" s="6" cm="1">
        <f t="array" ref="AE100">angleConvert2Decimal(AD100)</f>
        <v>0</v>
      </c>
      <c r="BN100" s="134"/>
      <c r="BO100" s="118"/>
    </row>
    <row r="101" spans="1:67" customFormat="1" ht="17.25" customHeight="1" x14ac:dyDescent="0.25">
      <c r="A101" s="118"/>
      <c r="B101" s="118"/>
      <c r="C101" s="171"/>
      <c r="D101" s="171"/>
      <c r="E101" s="171"/>
      <c r="F101" s="171"/>
      <c r="G101" s="534" t="s">
        <v>258</v>
      </c>
      <c r="H101" s="535"/>
      <c r="I101" s="566" t="s">
        <v>250</v>
      </c>
      <c r="J101" s="567"/>
      <c r="K101" s="567"/>
      <c r="L101" s="567"/>
      <c r="M101" s="567"/>
      <c r="N101" s="568"/>
      <c r="O101" s="610">
        <f>(O89-O94-O82+O96/2) * 60</f>
        <v>-5.9628783639230898</v>
      </c>
      <c r="P101" s="400"/>
      <c r="Q101" s="400"/>
      <c r="R101" s="400"/>
      <c r="S101" s="529" t="s">
        <v>246</v>
      </c>
      <c r="T101" s="101"/>
      <c r="U101" s="101"/>
      <c r="V101" s="101"/>
      <c r="W101" s="101"/>
      <c r="X101" s="101"/>
      <c r="Y101" s="101"/>
      <c r="Z101" s="101"/>
      <c r="AA101" s="118"/>
      <c r="AB101" s="173"/>
      <c r="AC101" s="6" t="s">
        <v>438</v>
      </c>
      <c r="AD101" s="392">
        <f>AE100*AD99</f>
        <v>0</v>
      </c>
      <c r="AE101" s="392"/>
      <c r="BN101" s="134"/>
      <c r="BO101" s="118"/>
    </row>
    <row r="102" spans="1:67" customFormat="1" ht="17.25" customHeight="1" x14ac:dyDescent="0.25">
      <c r="A102" s="118"/>
      <c r="B102" s="118"/>
      <c r="C102" s="171"/>
      <c r="D102" s="171"/>
      <c r="E102" s="171"/>
      <c r="F102" s="171"/>
      <c r="G102" s="536"/>
      <c r="H102" s="537"/>
      <c r="I102" s="569" t="s">
        <v>254</v>
      </c>
      <c r="J102" s="570"/>
      <c r="K102" s="570"/>
      <c r="L102" s="570"/>
      <c r="M102" s="570"/>
      <c r="N102" s="571"/>
      <c r="O102" s="611"/>
      <c r="P102" s="401"/>
      <c r="Q102" s="401"/>
      <c r="R102" s="401"/>
      <c r="S102" s="530"/>
      <c r="T102" s="101"/>
      <c r="U102" s="101"/>
      <c r="V102" s="101"/>
      <c r="W102" s="101"/>
      <c r="X102" s="101"/>
      <c r="Y102" s="101"/>
      <c r="Z102" s="101"/>
      <c r="AA102" s="118"/>
      <c r="AB102" s="173"/>
      <c r="BN102" s="134"/>
      <c r="BO102" s="118"/>
    </row>
    <row r="103" spans="1:67" customFormat="1" ht="17.25" customHeight="1" x14ac:dyDescent="0.25">
      <c r="A103" s="118"/>
      <c r="B103" s="118"/>
      <c r="C103" s="171"/>
      <c r="D103" s="171"/>
      <c r="E103" s="171"/>
      <c r="F103" s="171"/>
      <c r="G103" s="171"/>
      <c r="H103" s="101"/>
      <c r="I103" s="566" t="s">
        <v>251</v>
      </c>
      <c r="J103" s="567"/>
      <c r="K103" s="567"/>
      <c r="L103" s="567"/>
      <c r="M103" s="567"/>
      <c r="N103" s="568"/>
      <c r="O103" s="400">
        <f>(O89-O94+O96/2)*60</f>
        <v>-5.9628783639230898</v>
      </c>
      <c r="P103" s="400"/>
      <c r="Q103" s="400"/>
      <c r="R103" s="400"/>
      <c r="S103" s="529" t="s">
        <v>246</v>
      </c>
      <c r="T103" s="101"/>
      <c r="U103" s="101"/>
      <c r="V103" s="101"/>
      <c r="W103" s="101"/>
      <c r="X103" s="101"/>
      <c r="Y103" s="101"/>
      <c r="Z103" s="101"/>
      <c r="AA103" s="118"/>
      <c r="AB103" s="173"/>
      <c r="BN103" s="134"/>
      <c r="BO103" s="118"/>
    </row>
    <row r="104" spans="1:67" customFormat="1" ht="17.25" customHeight="1" x14ac:dyDescent="0.25">
      <c r="A104" s="118"/>
      <c r="B104" s="118"/>
      <c r="C104" s="171"/>
      <c r="D104" s="171"/>
      <c r="E104" s="171"/>
      <c r="F104" s="171"/>
      <c r="G104" s="171"/>
      <c r="H104" s="101"/>
      <c r="I104" s="531" t="s">
        <v>252</v>
      </c>
      <c r="J104" s="532"/>
      <c r="K104" s="532"/>
      <c r="L104" s="532"/>
      <c r="M104" s="532"/>
      <c r="N104" s="533"/>
      <c r="O104" s="401"/>
      <c r="P104" s="401"/>
      <c r="Q104" s="401"/>
      <c r="R104" s="401"/>
      <c r="S104" s="530"/>
      <c r="T104" s="101"/>
      <c r="U104" s="101"/>
      <c r="V104" s="101"/>
      <c r="W104" s="101"/>
      <c r="X104" s="101"/>
      <c r="Y104" s="101"/>
      <c r="Z104" s="101"/>
      <c r="AA104" s="118"/>
      <c r="AB104" s="173"/>
      <c r="BN104" s="134"/>
      <c r="BO104" s="118"/>
    </row>
    <row r="105" spans="1:67" customFormat="1" ht="17.25" customHeight="1" x14ac:dyDescent="0.25">
      <c r="A105" s="118"/>
      <c r="B105" s="118"/>
      <c r="C105" s="171"/>
      <c r="D105" s="171"/>
      <c r="E105" s="171"/>
      <c r="F105" s="171"/>
      <c r="G105" s="171"/>
      <c r="H105" s="101"/>
      <c r="I105" s="593" t="s">
        <v>144</v>
      </c>
      <c r="J105" s="593"/>
      <c r="K105" s="593"/>
      <c r="L105" s="593"/>
      <c r="M105" s="593"/>
      <c r="N105" s="593"/>
      <c r="O105" s="594">
        <f>O98*60</f>
        <v>0</v>
      </c>
      <c r="P105" s="595"/>
      <c r="Q105" s="595"/>
      <c r="R105" s="595"/>
      <c r="S105" s="187" t="s">
        <v>246</v>
      </c>
      <c r="T105" s="101"/>
      <c r="U105" s="101"/>
      <c r="V105" s="101"/>
      <c r="W105" s="101"/>
      <c r="X105" s="101"/>
      <c r="Y105" s="101"/>
      <c r="Z105" s="101"/>
      <c r="AA105" s="118"/>
      <c r="AB105" s="173"/>
      <c r="BN105" s="134"/>
      <c r="BO105" s="118"/>
    </row>
    <row r="106" spans="1:67" customFormat="1" ht="17.25" customHeight="1" thickBot="1" x14ac:dyDescent="0.3">
      <c r="A106" s="118"/>
      <c r="B106" s="118"/>
      <c r="C106" s="171"/>
      <c r="D106" s="171"/>
      <c r="E106" s="171"/>
      <c r="F106" s="171"/>
      <c r="G106" s="17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73"/>
      <c r="BN106" s="134"/>
      <c r="BO106" s="118"/>
    </row>
    <row r="107" spans="1:67" customFormat="1" ht="17.25" customHeight="1" thickTop="1" thickBot="1" x14ac:dyDescent="0.3">
      <c r="A107" s="118"/>
      <c r="B107" s="118"/>
      <c r="C107" s="171"/>
      <c r="D107" s="171"/>
      <c r="E107" s="171"/>
      <c r="F107" s="171"/>
      <c r="G107" s="171"/>
      <c r="H107" s="590" t="s">
        <v>321</v>
      </c>
      <c r="I107" s="591"/>
      <c r="J107" s="591"/>
      <c r="K107" s="591"/>
      <c r="L107" s="591"/>
      <c r="M107" s="591"/>
      <c r="N107" s="592"/>
      <c r="O107" s="407">
        <f>O84-O94+O89+O98</f>
        <v>8.8672853606012847</v>
      </c>
      <c r="P107" s="454"/>
      <c r="Q107" s="454"/>
      <c r="R107" s="454"/>
      <c r="S107" s="118" t="s">
        <v>100</v>
      </c>
      <c r="T107" s="118"/>
      <c r="U107" s="379" t="str" cm="1">
        <f t="array" ref="U107">angleDecimal2Txt(O107)</f>
        <v>+08°52.03 (+08.8672) [+08°52'02.22]</v>
      </c>
      <c r="V107" s="379"/>
      <c r="W107" s="379"/>
      <c r="X107" s="379"/>
      <c r="Y107" s="379"/>
      <c r="Z107" s="379"/>
      <c r="AA107" s="118"/>
      <c r="AB107" s="173"/>
      <c r="BN107" s="134"/>
      <c r="BO107" s="118"/>
    </row>
    <row r="108" spans="1:67" customFormat="1" ht="17.25" customHeight="1" thickTop="1" x14ac:dyDescent="0.25">
      <c r="A108" s="118"/>
      <c r="B108" s="118"/>
      <c r="C108" s="171"/>
      <c r="D108" s="171"/>
      <c r="E108" s="171"/>
      <c r="F108" s="171"/>
      <c r="G108" s="171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73"/>
      <c r="BN108" s="134"/>
      <c r="BO108" s="118"/>
    </row>
    <row r="109" spans="1:67" customFormat="1" ht="17.25" customHeight="1" x14ac:dyDescent="0.25">
      <c r="A109" s="118"/>
      <c r="B109" s="118"/>
      <c r="C109" s="171"/>
      <c r="D109" s="171"/>
      <c r="E109" s="171"/>
      <c r="F109" s="452" t="s">
        <v>135</v>
      </c>
      <c r="G109" s="452"/>
      <c r="H109" s="452"/>
      <c r="I109" s="452"/>
      <c r="J109" s="454">
        <f>IF(G78=AD78,O115,"---")</f>
        <v>9.1383333333333372</v>
      </c>
      <c r="K109" s="454"/>
      <c r="L109" s="454"/>
      <c r="M109" s="118"/>
      <c r="N109" s="118"/>
      <c r="O109" s="118"/>
      <c r="P109" s="118"/>
      <c r="Q109" s="118"/>
      <c r="R109" s="148" t="s">
        <v>157</v>
      </c>
      <c r="S109" s="118" t="s">
        <v>41</v>
      </c>
      <c r="T109" s="118"/>
      <c r="U109" s="118"/>
      <c r="V109" s="118"/>
      <c r="W109" s="118"/>
      <c r="X109" s="118"/>
      <c r="Y109" s="118"/>
      <c r="Z109" s="118"/>
      <c r="AA109" s="118"/>
      <c r="AB109" s="173"/>
      <c r="BN109" s="134"/>
      <c r="BO109" s="118"/>
    </row>
    <row r="110" spans="1:67" customFormat="1" ht="17.25" customHeight="1" x14ac:dyDescent="0.25">
      <c r="A110" s="118"/>
      <c r="B110" s="118"/>
      <c r="C110" s="171"/>
      <c r="D110" s="171"/>
      <c r="E110" s="171"/>
      <c r="F110" s="171"/>
      <c r="G110" s="171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49" t="s">
        <v>153</v>
      </c>
      <c r="S110" s="118" t="s">
        <v>155</v>
      </c>
      <c r="T110" s="118"/>
      <c r="U110" s="118"/>
      <c r="V110" s="118"/>
      <c r="W110" s="118"/>
      <c r="X110" s="118"/>
      <c r="Y110" s="118"/>
      <c r="Z110" s="118"/>
      <c r="AA110" s="118"/>
      <c r="AB110" s="173"/>
      <c r="BN110" s="134"/>
      <c r="BO110" s="118"/>
    </row>
    <row r="111" spans="1:67" customFormat="1" ht="17.25" customHeight="1" x14ac:dyDescent="0.25">
      <c r="A111" s="118"/>
      <c r="B111" s="118"/>
      <c r="C111" s="171"/>
      <c r="D111" s="171"/>
      <c r="E111" s="171"/>
      <c r="F111" s="171"/>
      <c r="G111" s="171"/>
      <c r="H111" s="118" t="s">
        <v>145</v>
      </c>
      <c r="I111" s="150" t="s">
        <v>147</v>
      </c>
      <c r="J111" s="118" t="s">
        <v>132</v>
      </c>
      <c r="K111" s="150" t="s">
        <v>150</v>
      </c>
      <c r="L111" s="118" t="s">
        <v>131</v>
      </c>
      <c r="M111" s="118"/>
      <c r="N111" s="150" t="s">
        <v>151</v>
      </c>
      <c r="O111" s="118"/>
      <c r="P111" s="118"/>
      <c r="Q111" s="150" t="s">
        <v>152</v>
      </c>
      <c r="R111" s="151" t="s">
        <v>154</v>
      </c>
      <c r="S111" s="118" t="s">
        <v>156</v>
      </c>
      <c r="T111" s="118"/>
      <c r="U111" s="118"/>
      <c r="AB111" s="173"/>
      <c r="BN111" s="134"/>
      <c r="BO111" s="118"/>
    </row>
    <row r="112" spans="1:67" customFormat="1" ht="17.25" customHeight="1" thickBot="1" x14ac:dyDescent="0.3">
      <c r="A112" s="118"/>
      <c r="B112" s="118"/>
      <c r="C112" s="171"/>
      <c r="D112" s="171"/>
      <c r="E112" s="171"/>
      <c r="F112" s="171"/>
      <c r="G112" s="171"/>
      <c r="H112" s="118"/>
      <c r="I112" s="150"/>
      <c r="J112" s="152">
        <f>O80</f>
        <v>8.9666666666666703</v>
      </c>
      <c r="K112" s="150" t="s">
        <v>150</v>
      </c>
      <c r="L112" s="153">
        <f>O81</f>
        <v>0</v>
      </c>
      <c r="M112" s="118"/>
      <c r="N112" s="674" t="s">
        <v>325</v>
      </c>
      <c r="O112" s="674"/>
      <c r="P112" s="674"/>
      <c r="Q112" s="150" t="s">
        <v>152</v>
      </c>
      <c r="R112" s="154">
        <v>0</v>
      </c>
      <c r="S112" s="118"/>
      <c r="T112" s="118"/>
      <c r="U112" s="118"/>
      <c r="AB112" s="173"/>
      <c r="BN112" s="134"/>
      <c r="BO112" s="118"/>
    </row>
    <row r="113" spans="1:67" customFormat="1" ht="17.25" customHeight="1" thickTop="1" thickBot="1" x14ac:dyDescent="0.3">
      <c r="A113" s="118"/>
      <c r="B113" s="118"/>
      <c r="C113" s="171"/>
      <c r="D113" s="171"/>
      <c r="E113" s="171"/>
      <c r="F113" s="171"/>
      <c r="G113" s="171"/>
      <c r="H113" s="118"/>
      <c r="I113" s="150"/>
      <c r="K113" s="150"/>
      <c r="L113" s="188" cm="1">
        <f t="array" ref="L113">angleConvert2Decimal(L112)</f>
        <v>0</v>
      </c>
      <c r="N113" s="673" cm="1">
        <f t="array" ref="N113">angleConvert2Decimal(N112)</f>
        <v>0.17166666666666669</v>
      </c>
      <c r="O113" s="673"/>
      <c r="P113" s="673"/>
      <c r="Q113" s="42"/>
      <c r="R113" s="188" cm="1">
        <f t="array" ref="R113">angleConvert2Decimal(R112)</f>
        <v>0</v>
      </c>
      <c r="T113" s="13" t="s">
        <v>189</v>
      </c>
      <c r="U113" s="13"/>
      <c r="V113" s="13">
        <f>R113+N113</f>
        <v>0.17166666666666669</v>
      </c>
      <c r="W113" s="380" t="str" cm="1">
        <f t="array" ref="W113">angleDecimal2Txt(V113)</f>
        <v>+00°10.30 (+00.1716) [+00°10'18.00]</v>
      </c>
      <c r="X113" s="381"/>
      <c r="Y113" s="381"/>
      <c r="Z113" s="381"/>
      <c r="AA113" s="382"/>
      <c r="AB113" s="173"/>
      <c r="BN113" s="134"/>
      <c r="BO113" s="118"/>
    </row>
    <row r="114" spans="1:67" customFormat="1" ht="17.25" customHeight="1" thickTop="1" thickBot="1" x14ac:dyDescent="0.3">
      <c r="A114" s="118"/>
      <c r="B114" s="118"/>
      <c r="C114" s="171"/>
      <c r="D114" s="171"/>
      <c r="E114" s="171"/>
      <c r="F114" s="171"/>
      <c r="G114" s="171"/>
      <c r="H114" s="118"/>
      <c r="I114" s="150"/>
      <c r="J114" s="118"/>
      <c r="K114" s="150"/>
      <c r="L114" s="118"/>
      <c r="M114" s="118"/>
      <c r="N114" s="150"/>
      <c r="O114" s="118"/>
      <c r="P114" s="118"/>
      <c r="Q114" s="150"/>
      <c r="R114" s="155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73"/>
      <c r="BN114" s="134"/>
      <c r="BO114" s="118"/>
    </row>
    <row r="115" spans="1:67" customFormat="1" ht="17.25" customHeight="1" thickTop="1" thickBot="1" x14ac:dyDescent="0.3">
      <c r="A115" s="118"/>
      <c r="B115" s="118"/>
      <c r="C115" s="171"/>
      <c r="D115" s="171"/>
      <c r="E115" s="171"/>
      <c r="F115" s="171"/>
      <c r="G115" s="171"/>
      <c r="H115" s="590" t="s">
        <v>324</v>
      </c>
      <c r="I115" s="591"/>
      <c r="J115" s="591"/>
      <c r="K115" s="591"/>
      <c r="L115" s="591"/>
      <c r="M115" s="591"/>
      <c r="N115" s="592"/>
      <c r="O115" s="407">
        <f>J112-L113+N113+R113</f>
        <v>9.1383333333333372</v>
      </c>
      <c r="P115" s="454"/>
      <c r="Q115" s="454"/>
      <c r="R115" s="454"/>
      <c r="S115" s="118" t="s">
        <v>100</v>
      </c>
      <c r="T115" s="118"/>
      <c r="U115" s="379" t="str" cm="1">
        <f t="array" ref="U115">angleDecimal2Txt(O115)</f>
        <v>+09°08.30 (+09.1383) [+09°08'18.00]</v>
      </c>
      <c r="V115" s="379"/>
      <c r="W115" s="379"/>
      <c r="X115" s="379"/>
      <c r="Y115" s="379"/>
      <c r="Z115" s="379"/>
      <c r="AA115" s="118"/>
      <c r="AB115" s="173"/>
      <c r="BN115" s="134"/>
      <c r="BO115" s="118"/>
    </row>
    <row r="116" spans="1:67" customFormat="1" ht="17.25" customHeight="1" thickTop="1" thickBot="1" x14ac:dyDescent="0.3">
      <c r="A116" s="118"/>
      <c r="B116" s="118"/>
      <c r="C116" s="171"/>
      <c r="D116" s="156"/>
      <c r="E116" s="171"/>
      <c r="F116" s="171"/>
      <c r="G116" s="171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73"/>
      <c r="BN116" s="134"/>
      <c r="BO116" s="118"/>
    </row>
    <row r="117" spans="1:67" customFormat="1" ht="17.25" customHeight="1" thickBot="1" x14ac:dyDescent="0.3">
      <c r="A117" s="118"/>
      <c r="B117" s="135" t="s">
        <v>54</v>
      </c>
      <c r="C117" s="136"/>
      <c r="D117" s="157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74"/>
      <c r="BN117" s="134"/>
      <c r="BO117" s="118"/>
    </row>
    <row r="118" spans="1:67" customFormat="1" ht="17.25" customHeight="1" x14ac:dyDescent="0.25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555" t="s">
        <v>158</v>
      </c>
      <c r="P118" s="555"/>
      <c r="Q118" s="555"/>
      <c r="R118" s="555"/>
      <c r="S118" s="555"/>
      <c r="T118" s="555"/>
      <c r="U118" s="555"/>
      <c r="V118" s="555"/>
      <c r="W118" s="555"/>
      <c r="X118" s="555"/>
      <c r="Y118" s="555"/>
      <c r="Z118" s="555"/>
      <c r="AA118" s="555"/>
      <c r="AB118" s="173"/>
      <c r="BN118" s="134"/>
      <c r="BO118" s="118"/>
    </row>
    <row r="119" spans="1:67" customFormat="1" ht="17.25" customHeight="1" x14ac:dyDescent="0.25">
      <c r="A119" s="118"/>
      <c r="B119" s="118"/>
      <c r="C119" s="101"/>
      <c r="D119" s="101"/>
      <c r="E119" s="578" t="s">
        <v>25</v>
      </c>
      <c r="F119" s="579"/>
      <c r="G119" s="579"/>
      <c r="H119" s="579"/>
      <c r="I119" s="668" t="e">
        <f>AD121</f>
        <v>#NAME?</v>
      </c>
      <c r="J119" s="668"/>
      <c r="K119" s="668"/>
      <c r="L119" s="668"/>
      <c r="M119" s="668"/>
      <c r="N119" s="118"/>
      <c r="O119" s="377" t="s">
        <v>159</v>
      </c>
      <c r="P119" s="377"/>
      <c r="Q119" s="377" t="e">
        <f>D</f>
        <v>#NAME?</v>
      </c>
      <c r="R119" s="377"/>
      <c r="S119" s="377"/>
      <c r="T119" s="606" t="s">
        <v>100</v>
      </c>
      <c r="U119" s="600" t="e">
        <f>Q119*$D$129</f>
        <v>#NAME?</v>
      </c>
      <c r="V119" s="601"/>
      <c r="W119" s="602"/>
      <c r="X119" s="606" t="s">
        <v>136</v>
      </c>
      <c r="Y119" s="118"/>
      <c r="Z119" s="118"/>
      <c r="AA119" s="118"/>
      <c r="AB119" s="173"/>
      <c r="AC119" s="6" t="s">
        <v>439</v>
      </c>
      <c r="AD119" s="6" t="e">
        <f>SIN(U119)*SIN(U120)+COS(U119)*COS(U120)*COS(U121)</f>
        <v>#NAME?</v>
      </c>
      <c r="AE119" s="6"/>
      <c r="BN119" s="134"/>
      <c r="BO119" s="118"/>
    </row>
    <row r="120" spans="1:67" customFormat="1" ht="17.25" customHeight="1" thickBot="1" x14ac:dyDescent="0.3">
      <c r="A120" s="118"/>
      <c r="B120" s="118"/>
      <c r="C120" s="101"/>
      <c r="D120" s="101"/>
      <c r="E120" s="580"/>
      <c r="F120" s="581"/>
      <c r="G120" s="581"/>
      <c r="H120" s="581"/>
      <c r="I120" s="668"/>
      <c r="J120" s="668"/>
      <c r="K120" s="668"/>
      <c r="L120" s="668"/>
      <c r="M120" s="668"/>
      <c r="N120" s="158" t="s">
        <v>259</v>
      </c>
      <c r="O120" s="377" t="s">
        <v>160</v>
      </c>
      <c r="P120" s="377"/>
      <c r="Q120" s="377" t="e">
        <f>L</f>
        <v>#NAME?</v>
      </c>
      <c r="R120" s="377"/>
      <c r="S120" s="377"/>
      <c r="T120" s="606"/>
      <c r="U120" s="600" t="e">
        <f>Q120*$D$129</f>
        <v>#NAME?</v>
      </c>
      <c r="V120" s="601"/>
      <c r="W120" s="602"/>
      <c r="X120" s="606"/>
      <c r="Y120" s="118"/>
      <c r="Z120" s="118"/>
      <c r="AA120" s="118"/>
      <c r="AB120" s="173"/>
      <c r="AC120" s="6" t="s">
        <v>440</v>
      </c>
      <c r="AD120" s="6" t="e">
        <f>ASIN(AD119)</f>
        <v>#NAME?</v>
      </c>
      <c r="AE120" s="6" t="s">
        <v>136</v>
      </c>
      <c r="BN120" s="134"/>
      <c r="BO120" s="118"/>
    </row>
    <row r="121" spans="1:67" customFormat="1" ht="17.25" customHeight="1" thickTop="1" thickBot="1" x14ac:dyDescent="0.3">
      <c r="A121" s="118"/>
      <c r="B121" s="118"/>
      <c r="C121" s="101"/>
      <c r="D121" s="101"/>
      <c r="E121" s="582"/>
      <c r="F121" s="583"/>
      <c r="G121" s="583"/>
      <c r="H121" s="583"/>
      <c r="I121" s="379" t="e" cm="1">
        <f t="array" ref="I121">angleDecimal2Txt(A)</f>
        <v>#VALUE!</v>
      </c>
      <c r="J121" s="379"/>
      <c r="K121" s="379"/>
      <c r="L121" s="379"/>
      <c r="M121" s="379"/>
      <c r="N121" s="118"/>
      <c r="O121" s="377" t="s">
        <v>53</v>
      </c>
      <c r="P121" s="377"/>
      <c r="Q121" s="377">
        <f>F73</f>
        <v>349.23883388888891</v>
      </c>
      <c r="R121" s="377"/>
      <c r="S121" s="377"/>
      <c r="T121" s="606"/>
      <c r="U121" s="600">
        <f>Q121*$D$129</f>
        <v>6.0953675271866636</v>
      </c>
      <c r="V121" s="601"/>
      <c r="W121" s="602"/>
      <c r="X121" s="606"/>
      <c r="Y121" s="118"/>
      <c r="Z121" s="118"/>
      <c r="AA121" s="118"/>
      <c r="AB121" s="173"/>
      <c r="AC121" s="6"/>
      <c r="AD121" s="6" t="e">
        <f>AD120*D130</f>
        <v>#NAME?</v>
      </c>
      <c r="AE121" s="6" t="s">
        <v>100</v>
      </c>
      <c r="BN121" s="134"/>
      <c r="BO121" s="118"/>
    </row>
    <row r="122" spans="1:67" customFormat="1" ht="17.25" customHeight="1" thickTop="1" x14ac:dyDescent="0.25">
      <c r="A122" s="118"/>
      <c r="B122" s="118"/>
      <c r="C122" s="101"/>
      <c r="D122" s="101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73"/>
      <c r="BN122" s="134"/>
      <c r="BO122" s="118"/>
    </row>
    <row r="123" spans="1:67" customFormat="1" ht="17.25" customHeight="1" x14ac:dyDescent="0.25">
      <c r="A123" s="118"/>
      <c r="B123" s="118"/>
      <c r="C123" s="101"/>
      <c r="D123" s="101"/>
      <c r="E123" s="578" t="s">
        <v>32</v>
      </c>
      <c r="F123" s="579"/>
      <c r="G123" s="579"/>
      <c r="H123" s="579"/>
      <c r="I123" s="668">
        <f>F77</f>
        <v>9.1383333333333372</v>
      </c>
      <c r="J123" s="668"/>
      <c r="K123" s="668"/>
      <c r="L123" s="668"/>
      <c r="M123" s="66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73"/>
      <c r="BN123" s="134"/>
      <c r="BO123" s="118"/>
    </row>
    <row r="124" spans="1:67" customFormat="1" ht="17.25" customHeight="1" thickBot="1" x14ac:dyDescent="0.3">
      <c r="A124" s="118"/>
      <c r="B124" s="118"/>
      <c r="C124" s="101"/>
      <c r="D124" s="101"/>
      <c r="E124" s="580"/>
      <c r="F124" s="581"/>
      <c r="G124" s="581"/>
      <c r="H124" s="581"/>
      <c r="I124" s="668"/>
      <c r="J124" s="668"/>
      <c r="K124" s="668"/>
      <c r="L124" s="668"/>
      <c r="M124" s="668"/>
      <c r="N124" s="118"/>
      <c r="O124" s="603" t="s">
        <v>34</v>
      </c>
      <c r="P124" s="604"/>
      <c r="Q124" s="604"/>
      <c r="R124" s="604"/>
      <c r="S124" s="605"/>
      <c r="T124" s="159" t="e">
        <f>I123-A</f>
        <v>#NAME?</v>
      </c>
      <c r="U124" s="160" t="s">
        <v>35</v>
      </c>
      <c r="V124" s="161" t="e">
        <f>T124*60</f>
        <v>#NAME?</v>
      </c>
      <c r="W124" s="160" t="s">
        <v>200</v>
      </c>
      <c r="X124" s="101"/>
      <c r="Y124" s="455" t="e">
        <f>IF(T124&gt;0,"Vers Pg", "Oppose de Pg")</f>
        <v>#NAME?</v>
      </c>
      <c r="Z124" s="455"/>
      <c r="AA124" s="118"/>
      <c r="AB124" s="173"/>
      <c r="BN124" s="134"/>
      <c r="BO124" s="118"/>
    </row>
    <row r="125" spans="1:67" customFormat="1" ht="17.25" customHeight="1" thickTop="1" thickBot="1" x14ac:dyDescent="0.3">
      <c r="A125" s="118"/>
      <c r="B125" s="118"/>
      <c r="C125" s="101"/>
      <c r="D125" s="101"/>
      <c r="E125" s="582"/>
      <c r="F125" s="583"/>
      <c r="G125" s="583"/>
      <c r="H125" s="583"/>
      <c r="I125" s="379" t="str" cm="1">
        <f t="array" ref="I125">angleDecimal2Txt(I123)</f>
        <v>+09°08.30 (+09.1383) [+09°08'18.00]</v>
      </c>
      <c r="J125" s="379"/>
      <c r="K125" s="379"/>
      <c r="L125" s="379"/>
      <c r="M125" s="379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73"/>
      <c r="BN125" s="134"/>
      <c r="BO125" s="118"/>
    </row>
    <row r="126" spans="1:67" customFormat="1" ht="17.25" customHeight="1" thickTop="1" x14ac:dyDescent="0.25">
      <c r="A126" s="118"/>
      <c r="B126" s="118"/>
      <c r="C126" s="101"/>
      <c r="D126" s="101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01"/>
      <c r="U126" s="101"/>
      <c r="V126" s="101"/>
      <c r="W126" s="101"/>
      <c r="X126" s="101"/>
      <c r="Y126" s="101"/>
      <c r="Z126" s="118"/>
      <c r="AA126" s="118"/>
      <c r="AB126" s="173"/>
      <c r="BN126" s="134"/>
      <c r="BO126" s="118"/>
    </row>
    <row r="127" spans="1:67" customFormat="1" ht="17.25" customHeight="1" thickBot="1" x14ac:dyDescent="0.3">
      <c r="A127" s="118"/>
      <c r="B127" s="118"/>
      <c r="C127" s="118"/>
      <c r="D127" s="118"/>
      <c r="E127" s="118"/>
      <c r="F127" s="118"/>
      <c r="G127" s="171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01"/>
      <c r="U127" s="101"/>
      <c r="V127" s="101"/>
      <c r="W127" s="101"/>
      <c r="X127" s="101"/>
      <c r="Y127" s="101"/>
      <c r="Z127" s="118"/>
      <c r="AA127" s="118"/>
      <c r="AB127" s="173"/>
      <c r="BN127" s="134"/>
      <c r="BO127" s="118"/>
    </row>
    <row r="128" spans="1:67" customFormat="1" ht="17.25" customHeight="1" x14ac:dyDescent="0.25">
      <c r="A128" s="350" t="s">
        <v>186</v>
      </c>
      <c r="B128" s="351"/>
      <c r="C128" s="351"/>
      <c r="D128" s="352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01"/>
      <c r="U128" s="101"/>
      <c r="V128" s="101"/>
      <c r="W128" s="101"/>
      <c r="X128" s="101"/>
      <c r="Y128" s="101"/>
      <c r="Z128" s="118"/>
      <c r="AA128" s="118"/>
      <c r="AB128" s="173"/>
      <c r="BN128" s="134"/>
      <c r="BO128" s="118"/>
    </row>
    <row r="129" spans="1:67" customFormat="1" ht="17.25" customHeight="1" x14ac:dyDescent="0.25">
      <c r="A129" s="162" t="s">
        <v>79</v>
      </c>
      <c r="B129" s="163" t="s">
        <v>166</v>
      </c>
      <c r="C129" s="164" t="s">
        <v>385</v>
      </c>
      <c r="D129" s="165">
        <f>PI()/180</f>
        <v>1.7453292519943295E-2</v>
      </c>
      <c r="E129" s="118"/>
      <c r="F129" s="171"/>
      <c r="G129" s="171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73"/>
      <c r="BN129" s="134"/>
      <c r="BO129" s="118"/>
    </row>
    <row r="130" spans="1:67" customFormat="1" ht="17.25" customHeight="1" thickBot="1" x14ac:dyDescent="0.3">
      <c r="A130" s="124" t="s">
        <v>168</v>
      </c>
      <c r="B130" s="166" t="s">
        <v>166</v>
      </c>
      <c r="C130" s="167" t="s">
        <v>386</v>
      </c>
      <c r="D130" s="168">
        <f>180/PI()</f>
        <v>57.295779513082323</v>
      </c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408" t="s">
        <v>161</v>
      </c>
      <c r="P130" s="409"/>
      <c r="Q130" s="409"/>
      <c r="R130" s="409"/>
      <c r="S130" s="409"/>
      <c r="T130" s="409"/>
      <c r="U130" s="409"/>
      <c r="V130" s="409"/>
      <c r="W130" s="409"/>
      <c r="X130" s="409"/>
      <c r="Y130" s="409"/>
      <c r="Z130" s="409"/>
      <c r="AA130" s="409"/>
      <c r="AB130" s="173"/>
      <c r="AC130" s="6" t="s">
        <v>162</v>
      </c>
      <c r="AD130" s="6" t="e">
        <f>(SIN(U131)-SIN(U132)*SIN(AD120))/(COS(U132)*COS(AD120))</f>
        <v>#NAME?</v>
      </c>
      <c r="AE130" s="6"/>
      <c r="BN130" s="134"/>
      <c r="BO130" s="118"/>
    </row>
    <row r="131" spans="1:67" customFormat="1" ht="17.25" customHeight="1" x14ac:dyDescent="0.25">
      <c r="A131" s="101"/>
      <c r="B131" s="101"/>
      <c r="C131" s="101"/>
      <c r="D131" s="101"/>
      <c r="E131" s="578" t="s">
        <v>169</v>
      </c>
      <c r="F131" s="579"/>
      <c r="G131" s="579"/>
      <c r="H131" s="607"/>
      <c r="I131" s="475" t="e">
        <f>AD132</f>
        <v>#NAME?</v>
      </c>
      <c r="J131" s="475"/>
      <c r="K131" s="475"/>
      <c r="L131" s="475"/>
      <c r="M131" s="476"/>
      <c r="N131" s="118"/>
      <c r="O131" s="377" t="s">
        <v>159</v>
      </c>
      <c r="P131" s="377"/>
      <c r="Q131" s="377" t="e">
        <f>D</f>
        <v>#NAME?</v>
      </c>
      <c r="R131" s="377"/>
      <c r="S131" s="377"/>
      <c r="T131" s="606" t="s">
        <v>100</v>
      </c>
      <c r="U131" s="377" t="e">
        <f>Q131*$D$129</f>
        <v>#NAME?</v>
      </c>
      <c r="V131" s="377"/>
      <c r="W131" s="377"/>
      <c r="X131" s="606" t="s">
        <v>136</v>
      </c>
      <c r="Y131" s="118"/>
      <c r="Z131" s="118"/>
      <c r="AA131" s="118"/>
      <c r="AB131" s="173"/>
      <c r="AC131" s="6" t="s">
        <v>441</v>
      </c>
      <c r="AD131" s="6" t="e">
        <f>ACOS(AD130)</f>
        <v>#NAME?</v>
      </c>
      <c r="AE131" s="6" t="s">
        <v>136</v>
      </c>
      <c r="BN131" s="134"/>
      <c r="BO131" s="118"/>
    </row>
    <row r="132" spans="1:67" customFormat="1" ht="17.25" customHeight="1" thickBot="1" x14ac:dyDescent="0.3">
      <c r="A132" s="118"/>
      <c r="B132" s="118"/>
      <c r="C132" s="101"/>
      <c r="D132" s="101"/>
      <c r="E132" s="580"/>
      <c r="F132" s="581"/>
      <c r="G132" s="581"/>
      <c r="H132" s="608"/>
      <c r="I132" s="665"/>
      <c r="J132" s="665"/>
      <c r="K132" s="665"/>
      <c r="L132" s="665"/>
      <c r="M132" s="666"/>
      <c r="N132" s="158" t="s">
        <v>259</v>
      </c>
      <c r="O132" s="377" t="s">
        <v>160</v>
      </c>
      <c r="P132" s="377"/>
      <c r="Q132" s="377" t="e">
        <f>L</f>
        <v>#NAME?</v>
      </c>
      <c r="R132" s="377"/>
      <c r="S132" s="377"/>
      <c r="T132" s="606"/>
      <c r="U132" s="377" t="e">
        <f>Q132*$D$129</f>
        <v>#NAME?</v>
      </c>
      <c r="V132" s="377"/>
      <c r="W132" s="377"/>
      <c r="X132" s="606"/>
      <c r="Y132" s="118"/>
      <c r="Z132" s="118"/>
      <c r="AA132" s="118"/>
      <c r="AB132" s="173"/>
      <c r="AC132" s="6"/>
      <c r="AD132" s="6" t="e">
        <f>AD131*$D$130</f>
        <v>#NAME?</v>
      </c>
      <c r="AE132" s="6" t="s">
        <v>100</v>
      </c>
      <c r="BN132" s="134"/>
      <c r="BO132" s="118"/>
    </row>
    <row r="133" spans="1:67" customFormat="1" ht="17.25" customHeight="1" thickTop="1" thickBot="1" x14ac:dyDescent="0.3">
      <c r="A133" s="118"/>
      <c r="B133" s="118"/>
      <c r="C133" s="101"/>
      <c r="D133" s="101"/>
      <c r="E133" s="582"/>
      <c r="F133" s="583"/>
      <c r="G133" s="583"/>
      <c r="H133" s="609"/>
      <c r="I133" s="667" t="e" cm="1">
        <f t="array" ref="I133">angleDecimal2Txt(I131)</f>
        <v>#VALUE!</v>
      </c>
      <c r="J133" s="386"/>
      <c r="K133" s="386"/>
      <c r="L133" s="386"/>
      <c r="M133" s="386"/>
      <c r="N133" s="118"/>
      <c r="O133" s="377" t="s">
        <v>53</v>
      </c>
      <c r="P133" s="377"/>
      <c r="Q133" s="377">
        <f>F73</f>
        <v>349.23883388888891</v>
      </c>
      <c r="R133" s="377"/>
      <c r="S133" s="377"/>
      <c r="T133" s="606"/>
      <c r="U133" s="377">
        <f>Q133*$D$129</f>
        <v>6.0953675271866636</v>
      </c>
      <c r="V133" s="377"/>
      <c r="W133" s="377"/>
      <c r="X133" s="606"/>
      <c r="Y133" s="118"/>
      <c r="Z133" s="118"/>
      <c r="AA133" s="118"/>
      <c r="AB133" s="173"/>
      <c r="BN133" s="134"/>
      <c r="BO133" s="118"/>
    </row>
    <row r="134" spans="1:67" customFormat="1" ht="17.25" customHeight="1" thickTop="1" x14ac:dyDescent="0.25">
      <c r="A134" s="118"/>
      <c r="B134" s="118"/>
      <c r="C134" s="101"/>
      <c r="D134" s="101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73"/>
      <c r="BN134" s="134"/>
      <c r="BO134" s="118"/>
    </row>
    <row r="135" spans="1:67" customFormat="1" ht="17.25" customHeight="1" x14ac:dyDescent="0.25">
      <c r="A135" s="118"/>
      <c r="B135" s="118"/>
      <c r="C135" s="118"/>
      <c r="D135" s="118"/>
      <c r="E135" s="171"/>
      <c r="F135" s="118"/>
      <c r="G135" s="118"/>
      <c r="H135" s="118"/>
      <c r="I135" s="662" t="s">
        <v>322</v>
      </c>
      <c r="J135" s="663"/>
      <c r="K135" s="663"/>
      <c r="L135" s="663"/>
      <c r="M135" s="663"/>
      <c r="N135" s="664"/>
      <c r="O135" s="662" t="s">
        <v>323</v>
      </c>
      <c r="P135" s="663"/>
      <c r="Q135" s="663"/>
      <c r="R135" s="663"/>
      <c r="S135" s="663"/>
      <c r="T135" s="664"/>
      <c r="U135" s="118"/>
      <c r="V135" s="118"/>
      <c r="W135" s="118"/>
      <c r="X135" s="118"/>
      <c r="Y135" s="118"/>
      <c r="Z135" s="118"/>
      <c r="AA135" s="118"/>
      <c r="AB135" s="173"/>
      <c r="BN135" s="134"/>
      <c r="BO135" s="118"/>
    </row>
    <row r="136" spans="1:67" customFormat="1" ht="17.25" customHeight="1" x14ac:dyDescent="0.25">
      <c r="A136" s="118"/>
      <c r="B136" s="118"/>
      <c r="C136" s="171"/>
      <c r="D136" s="171"/>
      <c r="E136" s="171"/>
      <c r="F136" s="118"/>
      <c r="G136" s="118"/>
      <c r="H136" s="118"/>
      <c r="I136" s="394"/>
      <c r="J136" s="615" t="s">
        <v>260</v>
      </c>
      <c r="K136" s="616"/>
      <c r="L136" s="617"/>
      <c r="M136" s="621" t="s">
        <v>261</v>
      </c>
      <c r="N136" s="622"/>
      <c r="O136" s="394"/>
      <c r="P136" s="615" t="s">
        <v>260</v>
      </c>
      <c r="Q136" s="616"/>
      <c r="R136" s="617"/>
      <c r="S136" s="621" t="s">
        <v>262</v>
      </c>
      <c r="T136" s="622"/>
      <c r="U136" s="118"/>
      <c r="V136" s="118"/>
      <c r="W136" s="118"/>
      <c r="X136" s="118"/>
      <c r="Y136" s="118"/>
      <c r="Z136" s="118"/>
      <c r="AA136" s="118"/>
      <c r="AB136" s="173"/>
      <c r="BN136" s="134"/>
      <c r="BO136" s="118"/>
    </row>
    <row r="137" spans="1:67" ht="17.25" customHeight="1" x14ac:dyDescent="0.25">
      <c r="F137" s="118"/>
      <c r="G137" s="118"/>
      <c r="I137" s="395"/>
      <c r="J137" s="618" t="s">
        <v>163</v>
      </c>
      <c r="K137" s="619"/>
      <c r="L137" s="620"/>
      <c r="M137" s="623" t="s">
        <v>164</v>
      </c>
      <c r="N137" s="624"/>
      <c r="O137" s="395"/>
      <c r="P137" s="618" t="s">
        <v>163</v>
      </c>
      <c r="Q137" s="619"/>
      <c r="R137" s="620"/>
      <c r="S137" s="623" t="s">
        <v>165</v>
      </c>
      <c r="T137" s="624"/>
    </row>
    <row r="138" spans="1:67" ht="17.25" customHeight="1" x14ac:dyDescent="0.25">
      <c r="F138" s="101"/>
      <c r="G138" s="101"/>
      <c r="H138" s="101"/>
      <c r="I138" s="101"/>
      <c r="J138" s="101"/>
      <c r="K138" s="101"/>
      <c r="Q138" s="101"/>
      <c r="R138" s="101"/>
      <c r="S138" s="101"/>
      <c r="T138" s="523"/>
      <c r="U138" s="523"/>
      <c r="V138" s="523"/>
      <c r="W138" s="101"/>
      <c r="X138" s="523"/>
      <c r="Y138" s="523"/>
      <c r="Z138" s="523"/>
    </row>
    <row r="139" spans="1:67" ht="17.25" customHeight="1" x14ac:dyDescent="0.25">
      <c r="F139" s="101"/>
      <c r="N139" s="625"/>
      <c r="O139" s="625"/>
      <c r="Q139" s="523"/>
      <c r="R139" s="523"/>
      <c r="S139" s="523"/>
      <c r="T139" s="523"/>
      <c r="U139" s="523"/>
      <c r="V139" s="523"/>
      <c r="W139" s="101"/>
      <c r="X139" s="523"/>
      <c r="Y139" s="523"/>
      <c r="Z139" s="523"/>
    </row>
    <row r="140" spans="1:67" ht="17.25" customHeight="1" x14ac:dyDescent="0.25">
      <c r="I140" s="377" t="s">
        <v>160</v>
      </c>
      <c r="J140" s="377"/>
      <c r="K140" s="169" t="e">
        <f>L</f>
        <v>#NAME?</v>
      </c>
      <c r="L140" s="454" t="e">
        <f>CONCATENATE("Sens: ",IF(Q132&gt;0,"Nord","Sud"))</f>
        <v>#NAME?</v>
      </c>
      <c r="M140" s="454"/>
    </row>
    <row r="141" spans="1:67" ht="17.25" customHeight="1" thickBot="1" x14ac:dyDescent="0.3">
      <c r="I141" s="377" t="s">
        <v>53</v>
      </c>
      <c r="J141" s="377"/>
      <c r="K141" s="169">
        <f>Q133</f>
        <v>349.23883388888891</v>
      </c>
      <c r="L141" s="454" t="str">
        <f>CONCATENATE("Is &gt; 180? ", IF(Q133&gt;180,"Y", "N"))</f>
        <v>Is &gt; 180? Y</v>
      </c>
      <c r="M141" s="454"/>
      <c r="O141" s="603" t="s">
        <v>170</v>
      </c>
      <c r="P141" s="604"/>
      <c r="Q141" s="604"/>
      <c r="R141" s="604"/>
      <c r="S141" s="604"/>
      <c r="T141" s="613" t="e">
        <f>ABS(IF(Q120&gt;0,IF(Q121&gt;180,I131,360-I131),IF(Q121&gt;180,180-I131,180+I131)))</f>
        <v>#NAME?</v>
      </c>
      <c r="U141" s="614"/>
      <c r="V141" s="160" t="s">
        <v>35</v>
      </c>
      <c r="W141" s="101"/>
    </row>
    <row r="142" spans="1:67" ht="17.25" customHeight="1" thickTop="1" thickBot="1" x14ac:dyDescent="0.3">
      <c r="I142" s="600" t="s">
        <v>263</v>
      </c>
      <c r="J142" s="601"/>
      <c r="K142" s="612"/>
      <c r="L142" s="454" t="e">
        <f>IF(K140&gt;0,IF(K141&gt;180,M136,M137),IF(K141&gt;180,S136,S137))</f>
        <v>#NAME?</v>
      </c>
      <c r="M142" s="454"/>
      <c r="T142" s="379">
        <f>AC135</f>
        <v>0</v>
      </c>
      <c r="U142" s="379"/>
      <c r="V142" s="379"/>
      <c r="W142" s="379"/>
      <c r="X142" s="379"/>
      <c r="Y142" s="379"/>
    </row>
    <row r="143" spans="1:67" ht="17.25" customHeight="1" thickTop="1" x14ac:dyDescent="0.25"/>
  </sheetData>
  <dataConsolidate link="1"/>
  <mergeCells count="269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zoomScaleNormal="100" workbookViewId="0">
      <selection activeCell="T135" sqref="T135"/>
    </sheetView>
  </sheetViews>
  <sheetFormatPr baseColWidth="10" defaultColWidth="5.140625" defaultRowHeight="17.25" customHeight="1" outlineLevelCol="1" x14ac:dyDescent="0.2"/>
  <cols>
    <col min="1" max="2" width="6.42578125" style="118" customWidth="1"/>
    <col min="3" max="6" width="9" style="171" customWidth="1"/>
    <col min="7" max="7" width="7" style="171" customWidth="1"/>
    <col min="8" max="9" width="7" style="118" customWidth="1"/>
    <col min="10" max="10" width="6.42578125" style="118" customWidth="1"/>
    <col min="11" max="11" width="8" style="118" customWidth="1"/>
    <col min="12" max="19" width="6.42578125" style="118" customWidth="1"/>
    <col min="20" max="20" width="7.28515625" style="118" customWidth="1"/>
    <col min="21" max="21" width="6.42578125" style="118" customWidth="1"/>
    <col min="22" max="22" width="7.28515625" style="118" customWidth="1"/>
    <col min="23" max="33" width="6.42578125" style="118" customWidth="1"/>
    <col min="34" max="34" width="1.28515625" style="228" customWidth="1" outlineLevel="1"/>
    <col min="35" max="35" width="21.28515625" style="209" customWidth="1" outlineLevel="1"/>
    <col min="36" max="36" width="15.5703125" style="209" customWidth="1" outlineLevel="1"/>
    <col min="37" max="37" width="12.140625" style="209" customWidth="1" outlineLevel="1"/>
    <col min="38" max="38" width="28.5703125" style="209" customWidth="1" outlineLevel="1"/>
    <col min="39" max="52" width="19" style="209" customWidth="1" outlineLevel="1"/>
    <col min="53" max="71" width="15.85546875" style="209" customWidth="1" outlineLevel="1"/>
    <col min="72" max="72" width="15.85546875" style="118" customWidth="1" outlineLevel="1"/>
    <col min="73" max="16384" width="5.140625" style="118"/>
  </cols>
  <sheetData>
    <row r="1" spans="1:73" ht="17.25" customHeight="1" x14ac:dyDescent="0.2">
      <c r="C1" s="626" t="s">
        <v>311</v>
      </c>
      <c r="D1" s="626"/>
      <c r="E1" s="626"/>
      <c r="F1" s="626"/>
      <c r="G1" s="626" t="s">
        <v>312</v>
      </c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</row>
    <row r="2" spans="1:73" ht="17.25" customHeight="1" x14ac:dyDescent="0.2">
      <c r="C2" s="626"/>
      <c r="D2" s="626"/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</row>
    <row r="3" spans="1:73" ht="17.25" customHeight="1" x14ac:dyDescent="0.2">
      <c r="C3" s="626"/>
      <c r="D3" s="626"/>
      <c r="E3" s="626"/>
      <c r="F3" s="626"/>
      <c r="G3" s="830" t="s">
        <v>316</v>
      </c>
      <c r="H3" s="830"/>
      <c r="I3" s="830"/>
      <c r="J3" s="832" t="s">
        <v>315</v>
      </c>
      <c r="K3" s="832"/>
      <c r="L3" s="832"/>
    </row>
    <row r="4" spans="1:73" ht="17.25" customHeight="1" x14ac:dyDescent="0.2">
      <c r="C4" s="626"/>
      <c r="D4" s="626"/>
      <c r="E4" s="626"/>
      <c r="F4" s="626"/>
      <c r="G4" s="831"/>
      <c r="H4" s="831"/>
      <c r="I4" s="831"/>
      <c r="J4" s="833"/>
      <c r="K4" s="833"/>
      <c r="L4" s="833"/>
      <c r="O4" s="118" t="s">
        <v>49</v>
      </c>
      <c r="P4" s="118" t="s">
        <v>442</v>
      </c>
    </row>
    <row r="6" spans="1:73" ht="17.25" customHeight="1" thickBot="1" x14ac:dyDescent="0.25"/>
    <row r="7" spans="1:73" s="209" customFormat="1" ht="17.25" customHeight="1" thickBot="1" x14ac:dyDescent="0.25">
      <c r="A7" s="118"/>
      <c r="B7" s="135" t="s">
        <v>21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229"/>
      <c r="BT7" s="118"/>
      <c r="BU7" s="118"/>
    </row>
    <row r="8" spans="1:73" s="209" customFormat="1" ht="18" customHeight="1" thickBot="1" x14ac:dyDescent="0.25">
      <c r="A8" s="118"/>
      <c r="B8" s="118"/>
      <c r="C8" s="365" t="s">
        <v>22</v>
      </c>
      <c r="D8" s="365"/>
      <c r="E8" s="365"/>
      <c r="F8" s="365"/>
      <c r="G8" s="365"/>
      <c r="H8" s="365"/>
      <c r="I8" s="365"/>
      <c r="J8" s="839">
        <f>M8</f>
        <v>4</v>
      </c>
      <c r="K8" s="840"/>
      <c r="L8" s="841"/>
      <c r="M8" s="842">
        <v>4</v>
      </c>
      <c r="N8" s="842"/>
      <c r="O8" s="842"/>
      <c r="Z8" s="118"/>
      <c r="AA8" s="118"/>
      <c r="AB8" s="118"/>
      <c r="AC8" s="118"/>
      <c r="AD8" s="118"/>
      <c r="AE8" s="118"/>
      <c r="AF8" s="118"/>
      <c r="AG8" s="118"/>
      <c r="AH8" s="228"/>
      <c r="BT8" s="118"/>
      <c r="BU8" s="118"/>
    </row>
    <row r="9" spans="1:73" s="209" customFormat="1" ht="18" customHeight="1" thickTop="1" thickBot="1" x14ac:dyDescent="0.25">
      <c r="A9" s="118"/>
      <c r="C9" s="690" t="s">
        <v>23</v>
      </c>
      <c r="D9" s="691"/>
      <c r="E9" s="691"/>
      <c r="F9" s="691"/>
      <c r="G9" s="691"/>
      <c r="H9" s="691"/>
      <c r="I9" s="692"/>
      <c r="J9" s="707" cm="1">
        <f t="array" ref="J9">angleConvert2Decimal(M9)</f>
        <v>0.05</v>
      </c>
      <c r="K9" s="708"/>
      <c r="L9" s="708"/>
      <c r="M9" s="843" t="s">
        <v>536</v>
      </c>
      <c r="N9" s="842"/>
      <c r="O9" s="842"/>
      <c r="P9" s="733" t="str" cm="1">
        <f t="array" ref="P9">angleDecimal2Txt(J9)</f>
        <v>+00°03.00 (+00.0500) [+00°03'00.00]</v>
      </c>
      <c r="Q9" s="733"/>
      <c r="R9" s="733"/>
      <c r="S9" s="733"/>
      <c r="T9" s="733"/>
      <c r="U9" s="733"/>
      <c r="V9" s="733"/>
      <c r="W9" s="733"/>
      <c r="X9" s="733"/>
      <c r="Z9" s="118"/>
      <c r="AA9" s="118"/>
      <c r="AB9" s="118"/>
      <c r="AC9" s="118"/>
      <c r="AD9" s="118"/>
      <c r="AE9" s="118"/>
      <c r="AF9" s="118"/>
      <c r="AG9" s="118"/>
      <c r="AH9" s="228"/>
      <c r="BT9" s="118"/>
      <c r="BU9" s="118"/>
    </row>
    <row r="10" spans="1:73" s="209" customFormat="1" ht="17.25" customHeight="1" thickTop="1" thickBot="1" x14ac:dyDescent="0.25">
      <c r="A10" s="118"/>
      <c r="B10" s="118"/>
      <c r="Z10" s="118"/>
      <c r="AA10" s="118"/>
      <c r="AB10" s="118"/>
      <c r="AC10" s="118"/>
      <c r="AD10" s="118"/>
      <c r="AE10" s="118"/>
      <c r="AF10" s="118"/>
      <c r="AG10" s="118"/>
      <c r="AH10" s="228"/>
      <c r="AM10" s="118"/>
      <c r="AN10" s="118"/>
      <c r="BT10" s="118"/>
      <c r="BU10" s="118"/>
    </row>
    <row r="11" spans="1:73" s="209" customFormat="1" ht="17.25" customHeight="1" thickBot="1" x14ac:dyDescent="0.25">
      <c r="A11" s="118"/>
      <c r="B11" s="135" t="s">
        <v>468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228"/>
      <c r="AM11" s="118"/>
      <c r="AN11" s="118"/>
      <c r="BT11" s="118"/>
      <c r="BU11" s="118"/>
    </row>
    <row r="12" spans="1:73" s="209" customFormat="1" ht="17.25" customHeight="1" x14ac:dyDescent="0.2">
      <c r="A12" s="118"/>
      <c r="B12" s="118"/>
      <c r="E12" s="522" t="s">
        <v>8</v>
      </c>
      <c r="F12" s="522"/>
      <c r="G12" s="522"/>
      <c r="H12" s="522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228"/>
      <c r="BT12" s="118"/>
      <c r="BU12" s="118"/>
    </row>
    <row r="13" spans="1:73" s="209" customFormat="1" ht="17.25" customHeight="1" thickBot="1" x14ac:dyDescent="0.25">
      <c r="A13" s="118"/>
      <c r="B13" s="118"/>
      <c r="E13" s="522"/>
      <c r="F13" s="522"/>
      <c r="G13" s="522"/>
      <c r="H13" s="522"/>
      <c r="J13" s="209" t="s">
        <v>308</v>
      </c>
      <c r="L13" s="209" t="s">
        <v>309</v>
      </c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228"/>
      <c r="BT13" s="118"/>
      <c r="BU13" s="118"/>
    </row>
    <row r="14" spans="1:73" s="209" customFormat="1" ht="17.25" customHeight="1" thickTop="1" thickBot="1" x14ac:dyDescent="0.25">
      <c r="A14" s="243" t="s">
        <v>42</v>
      </c>
      <c r="B14" s="244"/>
      <c r="C14" s="245"/>
      <c r="F14" s="813">
        <f>AJ15</f>
        <v>48.866666666666667</v>
      </c>
      <c r="G14" s="814"/>
      <c r="H14" s="814"/>
      <c r="I14" s="815" t="s">
        <v>4</v>
      </c>
      <c r="J14" s="816" t="s">
        <v>300</v>
      </c>
      <c r="K14" s="815"/>
      <c r="L14" s="815"/>
      <c r="M14" s="815"/>
      <c r="N14" s="815"/>
      <c r="O14" s="817" t="str" cm="1">
        <f t="array" ref="O14">angleDecimal2Txt(F14)</f>
        <v>+48°52.00 (+48.8666) [+48°52'00.00]</v>
      </c>
      <c r="P14" s="817"/>
      <c r="Q14" s="817"/>
      <c r="R14" s="817"/>
      <c r="S14" s="817"/>
      <c r="T14" s="817"/>
      <c r="U14" s="817"/>
      <c r="V14" s="817"/>
      <c r="W14" s="817"/>
      <c r="X14" s="817"/>
      <c r="AG14" s="118"/>
      <c r="AH14" s="228"/>
      <c r="AI14" s="246" t="s">
        <v>412</v>
      </c>
      <c r="AJ14" s="246">
        <f>VLOOKUP(I14,A16:C17,3)</f>
        <v>1</v>
      </c>
      <c r="BT14" s="118"/>
      <c r="BU14" s="118"/>
    </row>
    <row r="15" spans="1:73" s="209" customFormat="1" ht="17.25" customHeight="1" thickTop="1" thickBot="1" x14ac:dyDescent="0.25">
      <c r="A15" s="213" t="s">
        <v>51</v>
      </c>
      <c r="B15" s="214" t="s">
        <v>52</v>
      </c>
      <c r="C15" s="215"/>
      <c r="F15" s="814"/>
      <c r="G15" s="814"/>
      <c r="H15" s="814"/>
      <c r="I15" s="815"/>
      <c r="J15" s="815"/>
      <c r="K15" s="815"/>
      <c r="L15" s="815"/>
      <c r="M15" s="815"/>
      <c r="N15" s="815"/>
      <c r="O15" s="817"/>
      <c r="P15" s="817"/>
      <c r="Q15" s="817"/>
      <c r="R15" s="817"/>
      <c r="S15" s="817"/>
      <c r="T15" s="817"/>
      <c r="U15" s="817"/>
      <c r="V15" s="817"/>
      <c r="W15" s="817"/>
      <c r="X15" s="817"/>
      <c r="AG15" s="118"/>
      <c r="AH15" s="228"/>
      <c r="AI15" s="246" t="s">
        <v>413</v>
      </c>
      <c r="AJ15" s="246" cm="1">
        <f t="array" ref="AJ15">angleConvert2Decimal(J14)*AJ14</f>
        <v>48.866666666666667</v>
      </c>
      <c r="BT15" s="118"/>
      <c r="BU15" s="118"/>
    </row>
    <row r="16" spans="1:73" s="209" customFormat="1" ht="17.25" customHeight="1" thickTop="1" x14ac:dyDescent="0.2">
      <c r="A16" s="213" t="s">
        <v>4</v>
      </c>
      <c r="B16" s="214" t="s">
        <v>6</v>
      </c>
      <c r="C16" s="215">
        <v>1</v>
      </c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228"/>
      <c r="BT16" s="118"/>
      <c r="BU16" s="118"/>
    </row>
    <row r="17" spans="1:73" s="209" customFormat="1" ht="17.25" customHeight="1" thickBot="1" x14ac:dyDescent="0.25">
      <c r="A17" s="216" t="s">
        <v>5</v>
      </c>
      <c r="B17" s="217" t="s">
        <v>7</v>
      </c>
      <c r="C17" s="218">
        <v>-1</v>
      </c>
      <c r="E17" s="511" t="s">
        <v>9</v>
      </c>
      <c r="F17" s="511"/>
      <c r="G17" s="511"/>
      <c r="H17" s="511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228"/>
      <c r="BT17" s="118"/>
      <c r="BU17" s="118"/>
    </row>
    <row r="18" spans="1:73" s="209" customFormat="1" ht="17.25" customHeight="1" thickBot="1" x14ac:dyDescent="0.25">
      <c r="A18" s="118"/>
      <c r="B18" s="118"/>
      <c r="E18" s="511"/>
      <c r="F18" s="511"/>
      <c r="G18" s="511"/>
      <c r="H18" s="511"/>
      <c r="J18" s="209" t="s">
        <v>308</v>
      </c>
      <c r="L18" s="209" t="s">
        <v>317</v>
      </c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228"/>
      <c r="BT18" s="118"/>
      <c r="BU18" s="118"/>
    </row>
    <row r="19" spans="1:73" s="209" customFormat="1" ht="17.25" customHeight="1" thickTop="1" thickBot="1" x14ac:dyDescent="0.25">
      <c r="A19" s="118"/>
      <c r="F19" s="813">
        <f>AJ20</f>
        <v>-2.25</v>
      </c>
      <c r="G19" s="814"/>
      <c r="H19" s="814"/>
      <c r="I19" s="815" t="s">
        <v>7</v>
      </c>
      <c r="J19" s="816" t="s">
        <v>542</v>
      </c>
      <c r="K19" s="815"/>
      <c r="L19" s="815"/>
      <c r="M19" s="815"/>
      <c r="N19" s="815"/>
      <c r="O19" s="817" t="str" cm="1">
        <f t="array" ref="O19">angleDecimal2Txt(F19)</f>
        <v>-02°15.00 (-02.2500) [-02°15'00.00]</v>
      </c>
      <c r="P19" s="817"/>
      <c r="Q19" s="817"/>
      <c r="R19" s="817"/>
      <c r="S19" s="817"/>
      <c r="T19" s="817"/>
      <c r="U19" s="817"/>
      <c r="V19" s="817"/>
      <c r="W19" s="817"/>
      <c r="X19" s="817"/>
      <c r="AG19" s="118"/>
      <c r="AH19" s="229"/>
      <c r="AI19" s="246" t="s">
        <v>414</v>
      </c>
      <c r="AJ19" s="246">
        <f>VLOOKUP(I19,B16:C17,2)</f>
        <v>-1</v>
      </c>
      <c r="BO19" s="118"/>
      <c r="BP19" s="118"/>
      <c r="BQ19" s="118"/>
      <c r="BR19" s="118"/>
      <c r="BS19" s="118"/>
      <c r="BT19" s="118"/>
      <c r="BU19" s="118"/>
    </row>
    <row r="20" spans="1:73" ht="17.25" customHeight="1" thickTop="1" thickBot="1" x14ac:dyDescent="0.25">
      <c r="C20" s="209"/>
      <c r="D20" s="209"/>
      <c r="E20" s="209"/>
      <c r="F20" s="814"/>
      <c r="G20" s="814"/>
      <c r="H20" s="814"/>
      <c r="I20" s="815"/>
      <c r="J20" s="815"/>
      <c r="K20" s="815"/>
      <c r="L20" s="815"/>
      <c r="M20" s="815"/>
      <c r="N20" s="815"/>
      <c r="O20" s="817"/>
      <c r="P20" s="817"/>
      <c r="Q20" s="817"/>
      <c r="R20" s="817"/>
      <c r="S20" s="817"/>
      <c r="T20" s="817"/>
      <c r="U20" s="817"/>
      <c r="V20" s="817"/>
      <c r="W20" s="817"/>
      <c r="X20" s="817"/>
      <c r="Y20" s="209"/>
      <c r="Z20" s="209"/>
      <c r="AA20" s="209"/>
      <c r="AB20" s="209"/>
      <c r="AC20" s="209"/>
      <c r="AD20" s="209"/>
      <c r="AE20" s="209"/>
      <c r="AF20" s="209"/>
      <c r="AI20" s="246" t="s">
        <v>415</v>
      </c>
      <c r="AJ20" s="246" cm="1">
        <f t="array" ref="AJ20">angleConvert2Decimal(J19)*AJ19</f>
        <v>-2.25</v>
      </c>
      <c r="BO20" s="118"/>
      <c r="BP20" s="118"/>
      <c r="BQ20" s="118"/>
      <c r="BR20" s="118"/>
      <c r="BS20" s="118"/>
    </row>
    <row r="21" spans="1:73" ht="17.25" customHeight="1" thickTop="1" x14ac:dyDescent="0.2"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BO21" s="118"/>
      <c r="BP21" s="118"/>
      <c r="BQ21" s="118"/>
      <c r="BR21" s="118"/>
      <c r="BS21" s="118"/>
    </row>
    <row r="22" spans="1:73" ht="17.25" customHeight="1" x14ac:dyDescent="0.2">
      <c r="BP22" s="118"/>
      <c r="BQ22" s="118"/>
      <c r="BR22" s="118"/>
      <c r="BS22" s="118"/>
    </row>
    <row r="23" spans="1:73" s="209" customFormat="1" ht="17.25" customHeight="1" thickBot="1" x14ac:dyDescent="0.25">
      <c r="A23" s="118"/>
      <c r="B23" s="118"/>
      <c r="C23" s="171"/>
      <c r="D23" s="171"/>
      <c r="E23" s="171"/>
      <c r="F23" s="171"/>
      <c r="G23" s="171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228"/>
      <c r="BO23" s="118"/>
      <c r="BP23" s="118"/>
    </row>
    <row r="24" spans="1:73" s="209" customFormat="1" ht="17.25" customHeight="1" x14ac:dyDescent="0.2">
      <c r="A24" s="118"/>
      <c r="B24" s="837" t="s">
        <v>469</v>
      </c>
      <c r="C24" s="838"/>
      <c r="D24" s="838"/>
      <c r="E24" s="838"/>
      <c r="F24" s="838"/>
      <c r="G24" s="838"/>
      <c r="H24" s="838"/>
      <c r="I24" s="838"/>
      <c r="J24" s="838"/>
      <c r="K24" s="838"/>
      <c r="L24" s="838"/>
      <c r="M24" s="838"/>
      <c r="N24" s="838"/>
      <c r="O24" s="838"/>
      <c r="P24" s="838"/>
      <c r="Q24" s="838"/>
      <c r="R24" s="838"/>
      <c r="S24" s="838"/>
      <c r="T24" s="838"/>
      <c r="U24" s="838"/>
      <c r="V24" s="838"/>
      <c r="W24" s="838"/>
      <c r="X24" s="838"/>
      <c r="Y24" s="838"/>
      <c r="Z24" s="838"/>
      <c r="AA24" s="838"/>
      <c r="AB24" s="838"/>
      <c r="AC24" s="838"/>
      <c r="AD24" s="838"/>
      <c r="AE24" s="838"/>
      <c r="AF24" s="838"/>
      <c r="AG24" s="838"/>
      <c r="AH24" s="228"/>
      <c r="BO24" s="118"/>
      <c r="BP24" s="118"/>
    </row>
    <row r="25" spans="1:73" ht="17.25" customHeight="1" thickBot="1" x14ac:dyDescent="0.25">
      <c r="C25" s="788" t="s">
        <v>2</v>
      </c>
      <c r="D25" s="788"/>
      <c r="E25" s="788"/>
      <c r="F25" s="788"/>
      <c r="G25" s="836" t="s">
        <v>264</v>
      </c>
      <c r="H25" s="836"/>
      <c r="I25" s="836"/>
      <c r="J25" s="836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</row>
    <row r="26" spans="1:73" s="209" customFormat="1" ht="17.25" customHeight="1" thickTop="1" thickBot="1" x14ac:dyDescent="0.25">
      <c r="A26" s="118"/>
      <c r="B26" s="118"/>
      <c r="C26" s="834" t="s">
        <v>472</v>
      </c>
      <c r="D26" s="834"/>
      <c r="E26" s="834"/>
      <c r="F26" s="834"/>
      <c r="G26" s="844" t="s">
        <v>541</v>
      </c>
      <c r="H26" s="845"/>
      <c r="I26" s="845"/>
      <c r="J26" s="845"/>
      <c r="K26" s="820" cm="1">
        <f t="array" ref="K26">heureConvert2Decimal(G26)</f>
        <v>12.019444444444446</v>
      </c>
      <c r="L26" s="821"/>
      <c r="M26" s="821"/>
      <c r="N26" s="821"/>
      <c r="O26" s="721" t="str" cm="1">
        <f t="array" ref="O26">heureDecimal2Txt(K26)</f>
        <v>12:01:10.00(12.0194)</v>
      </c>
      <c r="P26" s="722"/>
      <c r="Q26" s="722"/>
      <c r="R26" s="722"/>
      <c r="S26" s="722"/>
      <c r="T26" s="722"/>
      <c r="U26" s="722"/>
      <c r="V26" s="723"/>
      <c r="Y26" s="118"/>
      <c r="Z26" s="118"/>
      <c r="AA26" s="118"/>
      <c r="AB26" s="118"/>
      <c r="AC26" s="118"/>
      <c r="AD26" s="118"/>
      <c r="AE26" s="118"/>
      <c r="AF26" s="118"/>
      <c r="AG26" s="118"/>
      <c r="AH26" s="228"/>
      <c r="BO26" s="118"/>
      <c r="BP26" s="118"/>
    </row>
    <row r="27" spans="1:73" s="262" customFormat="1" ht="32.25" customHeight="1" thickTop="1" x14ac:dyDescent="0.25">
      <c r="A27" s="261"/>
      <c r="B27" s="261"/>
      <c r="C27" s="835" t="s">
        <v>496</v>
      </c>
      <c r="D27" s="835"/>
      <c r="E27" s="835"/>
      <c r="F27" s="835"/>
      <c r="G27" s="822" t="str" cm="1">
        <f t="array" ref="G27">heureDecimal2Txt(K27, 0)</f>
        <v>12:10:10.00</v>
      </c>
      <c r="H27" s="822"/>
      <c r="I27" s="822"/>
      <c r="J27" s="822"/>
      <c r="K27" s="818">
        <f>K26-F19/15</f>
        <v>12.169444444444446</v>
      </c>
      <c r="L27" s="819"/>
      <c r="M27" s="819"/>
      <c r="N27" s="819"/>
      <c r="O27" s="261"/>
      <c r="P27" s="261"/>
      <c r="V27" s="261"/>
      <c r="Y27" s="261"/>
      <c r="Z27" s="261"/>
      <c r="AA27" s="261"/>
      <c r="AB27" s="261"/>
      <c r="AC27" s="261"/>
      <c r="AD27" s="261"/>
      <c r="AE27" s="261"/>
      <c r="AF27" s="261"/>
      <c r="AG27" s="261"/>
      <c r="AH27" s="263"/>
      <c r="BO27" s="261"/>
      <c r="BP27" s="261"/>
    </row>
    <row r="28" spans="1:73" s="209" customFormat="1" ht="17.25" customHeight="1" x14ac:dyDescent="0.2">
      <c r="A28" s="118"/>
      <c r="B28" s="118"/>
      <c r="C28" s="827" t="s">
        <v>506</v>
      </c>
      <c r="D28" s="827"/>
      <c r="E28" s="827"/>
      <c r="F28" s="827"/>
      <c r="G28" s="826" t="str" cm="1">
        <f t="array" ref="G28">heureDecimal2Txt(AJ30,0)</f>
        <v>12:10:10.00</v>
      </c>
      <c r="H28" s="826"/>
      <c r="I28" s="826"/>
      <c r="J28" s="826"/>
      <c r="K28" s="403" t="s">
        <v>268</v>
      </c>
      <c r="L28" s="403"/>
      <c r="M28" s="403"/>
      <c r="N28" s="403"/>
      <c r="O28" s="403"/>
      <c r="P28" s="403" t="s">
        <v>269</v>
      </c>
      <c r="Q28" s="403"/>
      <c r="R28" s="403"/>
      <c r="S28" s="403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228"/>
      <c r="AI28" s="246" t="s">
        <v>406</v>
      </c>
      <c r="AJ28" s="247">
        <f>K30*3600</f>
        <v>0</v>
      </c>
      <c r="AL28" s="230" t="s">
        <v>504</v>
      </c>
      <c r="AM28" s="236">
        <f>(-1)*AM29</f>
        <v>0</v>
      </c>
      <c r="BO28" s="118"/>
      <c r="BP28" s="118"/>
    </row>
    <row r="29" spans="1:73" s="209" customFormat="1" ht="17.25" customHeight="1" x14ac:dyDescent="0.2">
      <c r="A29" s="118"/>
      <c r="B29" s="118"/>
      <c r="C29" s="827"/>
      <c r="D29" s="827"/>
      <c r="E29" s="827"/>
      <c r="F29" s="827"/>
      <c r="G29" s="826"/>
      <c r="H29" s="826"/>
      <c r="I29" s="826"/>
      <c r="J29" s="826"/>
      <c r="K29" s="403"/>
      <c r="L29" s="403"/>
      <c r="M29" s="403"/>
      <c r="N29" s="403"/>
      <c r="O29" s="403"/>
      <c r="P29" s="403"/>
      <c r="Q29" s="403"/>
      <c r="R29" s="403"/>
      <c r="S29" s="403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228"/>
      <c r="AI29" s="246" t="s">
        <v>407</v>
      </c>
      <c r="AJ29" s="247">
        <f>P30</f>
        <v>0</v>
      </c>
      <c r="AL29" s="230" t="s">
        <v>505</v>
      </c>
      <c r="AM29" s="266">
        <f>AJ29+AJ28</f>
        <v>0</v>
      </c>
      <c r="BO29" s="118"/>
      <c r="BP29" s="118"/>
    </row>
    <row r="30" spans="1:73" s="209" customFormat="1" ht="17.25" customHeight="1" x14ac:dyDescent="0.2">
      <c r="A30" s="118"/>
      <c r="B30" s="118"/>
      <c r="C30" s="827"/>
      <c r="D30" s="827"/>
      <c r="E30" s="827"/>
      <c r="F30" s="827"/>
      <c r="G30" s="826"/>
      <c r="H30" s="826"/>
      <c r="I30" s="826"/>
      <c r="J30" s="826"/>
      <c r="K30" s="825">
        <v>0</v>
      </c>
      <c r="L30" s="825"/>
      <c r="M30" s="825"/>
      <c r="N30" s="825"/>
      <c r="O30" s="825"/>
      <c r="P30" s="825">
        <v>0</v>
      </c>
      <c r="Q30" s="825"/>
      <c r="R30" s="825"/>
      <c r="S30" s="825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228"/>
      <c r="AI30" s="236" t="s">
        <v>405</v>
      </c>
      <c r="AJ30" s="267">
        <f>K27+AM28/3600</f>
        <v>12.169444444444446</v>
      </c>
      <c r="BO30" s="118"/>
      <c r="BP30" s="118"/>
    </row>
    <row r="31" spans="1:73" s="209" customFormat="1" ht="17.25" customHeight="1" thickBot="1" x14ac:dyDescent="0.25">
      <c r="A31" s="118"/>
      <c r="B31" s="118"/>
      <c r="C31" s="171"/>
      <c r="D31" s="171"/>
      <c r="E31" s="171"/>
      <c r="AG31" s="118"/>
      <c r="AH31" s="228"/>
      <c r="BO31" s="118"/>
      <c r="BP31" s="118"/>
    </row>
    <row r="32" spans="1:73" ht="17.25" customHeight="1" thickBot="1" x14ac:dyDescent="0.25">
      <c r="B32" s="135" t="s">
        <v>1</v>
      </c>
      <c r="C32" s="172"/>
      <c r="D32" s="172"/>
      <c r="E32" s="231"/>
      <c r="F32" s="231"/>
      <c r="G32" s="232"/>
      <c r="H32" s="231"/>
      <c r="I32" s="231"/>
      <c r="J32" s="172"/>
      <c r="K32" s="172"/>
      <c r="L32" s="189"/>
      <c r="M32" s="189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212"/>
      <c r="AH32" s="229"/>
      <c r="AK32" s="118"/>
      <c r="AL32" s="118"/>
    </row>
    <row r="33" spans="1:74" ht="17.25" customHeight="1" thickTop="1" thickBot="1" x14ac:dyDescent="0.25">
      <c r="C33" s="885"/>
      <c r="D33" s="886"/>
      <c r="E33" s="823" t="s">
        <v>487</v>
      </c>
      <c r="F33" s="824"/>
      <c r="G33" s="817" t="s">
        <v>492</v>
      </c>
      <c r="H33" s="817"/>
      <c r="I33" s="817"/>
      <c r="J33" s="817"/>
      <c r="K33" s="862"/>
      <c r="L33" s="828" t="s">
        <v>525</v>
      </c>
      <c r="M33" s="829"/>
      <c r="R33" s="866" t="s">
        <v>3</v>
      </c>
      <c r="S33" s="824"/>
      <c r="T33" s="804" t="s">
        <v>479</v>
      </c>
      <c r="U33" s="805"/>
      <c r="V33" s="806"/>
      <c r="W33" s="810" t="s">
        <v>497</v>
      </c>
      <c r="X33" s="811"/>
      <c r="Y33" s="812"/>
      <c r="Z33" s="810" t="s">
        <v>266</v>
      </c>
      <c r="AA33" s="811"/>
      <c r="AB33" s="812"/>
      <c r="AC33" s="209"/>
      <c r="AD33" s="209"/>
      <c r="AH33" s="234"/>
      <c r="AK33" s="118"/>
      <c r="AL33" s="118"/>
      <c r="AM33" s="118"/>
      <c r="AN33" s="118"/>
      <c r="AR33" s="118"/>
      <c r="AS33" s="118"/>
    </row>
    <row r="34" spans="1:74" ht="17.25" customHeight="1" thickTop="1" thickBot="1" x14ac:dyDescent="0.25">
      <c r="C34" s="887"/>
      <c r="D34" s="888"/>
      <c r="E34" s="419"/>
      <c r="F34" s="421"/>
      <c r="G34" s="817"/>
      <c r="H34" s="817"/>
      <c r="I34" s="817"/>
      <c r="J34" s="817"/>
      <c r="K34" s="862"/>
      <c r="L34" s="829"/>
      <c r="M34" s="829"/>
      <c r="R34" s="419"/>
      <c r="S34" s="421"/>
      <c r="T34" s="807"/>
      <c r="U34" s="808"/>
      <c r="V34" s="809"/>
      <c r="W34" s="506"/>
      <c r="X34" s="507"/>
      <c r="Y34" s="508"/>
      <c r="Z34" s="506"/>
      <c r="AA34" s="507"/>
      <c r="AB34" s="508"/>
      <c r="AC34" s="209"/>
      <c r="AD34" s="209"/>
      <c r="AI34" s="268"/>
      <c r="AJ34" s="268" t="s">
        <v>293</v>
      </c>
      <c r="AK34" s="233" t="s">
        <v>405</v>
      </c>
      <c r="AL34" s="269" t="s">
        <v>508</v>
      </c>
      <c r="AM34" s="269" t="s">
        <v>509</v>
      </c>
      <c r="AN34" s="269" t="s">
        <v>507</v>
      </c>
      <c r="BT34" s="209"/>
    </row>
    <row r="35" spans="1:74" s="209" customFormat="1" ht="17.25" customHeight="1" thickTop="1" thickBot="1" x14ac:dyDescent="0.25">
      <c r="A35" s="118"/>
      <c r="B35" s="118"/>
      <c r="C35" s="883" t="s">
        <v>473</v>
      </c>
      <c r="D35" s="884"/>
      <c r="E35" s="889" t="s">
        <v>488</v>
      </c>
      <c r="F35" s="889"/>
      <c r="G35" s="849" t="str" cm="1">
        <f t="array" ref="G35">IF(AJ35,angleDecimal2Txt(angleConvert2Decimal(E35),0),$AL$42)</f>
        <v>+02°54.00</v>
      </c>
      <c r="H35" s="849"/>
      <c r="I35" s="849"/>
      <c r="J35" s="849"/>
      <c r="K35" s="850"/>
      <c r="L35" s="854" t="str" cm="1">
        <f t="array" ref="L35">IF(AJ35,heureDecimal2Txt($K$27-R35, 0),$AL$42)</f>
        <v>02:04:59.00</v>
      </c>
      <c r="M35" s="854"/>
      <c r="R35" s="796">
        <f>IF(AJ35,AN35,$AL$42)</f>
        <v>10.086388888888889</v>
      </c>
      <c r="S35" s="797"/>
      <c r="T35" s="867" t="str" cm="1">
        <f t="array" ref="T35">IF(AJ35,heureDecimal2Txt(R35),$AL$42)</f>
        <v>10:05:11.00(10.0863)</v>
      </c>
      <c r="U35" s="868"/>
      <c r="V35" s="869"/>
      <c r="W35" s="851" t="s">
        <v>539</v>
      </c>
      <c r="X35" s="852"/>
      <c r="Y35" s="853"/>
      <c r="Z35" s="846" t="s">
        <v>265</v>
      </c>
      <c r="AA35" s="847"/>
      <c r="AB35" s="848"/>
      <c r="AH35" s="228"/>
      <c r="AI35" s="268" t="s">
        <v>473</v>
      </c>
      <c r="AJ35" s="268" t="b">
        <f>OR(NOT(ISBLANK(E35)),(E35=$AL$42))</f>
        <v>1</v>
      </c>
      <c r="AK35" s="233">
        <f>AL35/3600</f>
        <v>10.086388888888889</v>
      </c>
      <c r="AL35" s="268" cm="1">
        <f t="array" ref="AL35">IF(AJ35,(heureConvert2Decimal(W35)*3600+heureConvert2Decimal(Z35)*60),0)</f>
        <v>36311</v>
      </c>
      <c r="AM35" s="270">
        <f>AL35+$AM$29</f>
        <v>36311</v>
      </c>
      <c r="AN35" s="268">
        <f>AM35/3600</f>
        <v>10.086388888888889</v>
      </c>
      <c r="BU35" s="118"/>
      <c r="BV35" s="118"/>
    </row>
    <row r="36" spans="1:74" s="209" customFormat="1" ht="17.25" customHeight="1" thickTop="1" thickBot="1" x14ac:dyDescent="0.25">
      <c r="C36" s="881" t="s">
        <v>475</v>
      </c>
      <c r="D36" s="882"/>
      <c r="E36" s="889" t="s">
        <v>489</v>
      </c>
      <c r="F36" s="889"/>
      <c r="G36" s="849" t="str" cm="1">
        <f t="array" ref="G36">IF(AJ36,angleDecimal2Txt(angleConvert2Decimal(E36),0),$AL$42)</f>
        <v>+02°59.00</v>
      </c>
      <c r="H36" s="849"/>
      <c r="I36" s="849"/>
      <c r="J36" s="849"/>
      <c r="K36" s="850"/>
      <c r="L36" s="854" t="str" cm="1">
        <f t="array" ref="L36">IF(AJ36,heureDecimal2Txt($K$27-R36, 0),$AL$42)</f>
        <v>01:11:10.00</v>
      </c>
      <c r="M36" s="854"/>
      <c r="R36" s="796">
        <f>IF(AJ36,AN36,$AL$42)</f>
        <v>10.983333333333333</v>
      </c>
      <c r="S36" s="797"/>
      <c r="T36" s="867" t="str" cm="1">
        <f t="array" ref="T36">IF(AJ36,heureDecimal2Txt(R36),$AL$42)</f>
        <v>10:59:00.00(10.9833)</v>
      </c>
      <c r="U36" s="868"/>
      <c r="V36" s="869"/>
      <c r="W36" s="851" t="s">
        <v>486</v>
      </c>
      <c r="X36" s="852"/>
      <c r="Y36" s="853"/>
      <c r="Z36" s="846" t="s">
        <v>265</v>
      </c>
      <c r="AA36" s="847"/>
      <c r="AB36" s="848"/>
      <c r="AH36" s="235"/>
      <c r="AI36" s="271" t="s">
        <v>475</v>
      </c>
      <c r="AJ36" s="268" t="b">
        <f t="shared" ref="AJ36:AJ38" si="0">OR(NOT(ISBLANK(E36)),(E36=$AL$42))</f>
        <v>1</v>
      </c>
      <c r="AK36" s="233">
        <f t="shared" ref="AK36:AK39" si="1">AL36/3600</f>
        <v>10.983333333333333</v>
      </c>
      <c r="AL36" s="268" cm="1">
        <f t="array" ref="AL36">IF(AJ36,(heureConvert2Decimal(W36)*3600+heureConvert2Decimal(Z36)*60),0)</f>
        <v>39540</v>
      </c>
      <c r="AM36" s="270">
        <f t="shared" ref="AM36:AM39" si="2">AL36+$AM$29</f>
        <v>39540</v>
      </c>
      <c r="AN36" s="268">
        <f t="shared" ref="AN36:AN39" si="3">AM36/3600</f>
        <v>10.983333333333333</v>
      </c>
    </row>
    <row r="37" spans="1:74" s="209" customFormat="1" ht="17.25" customHeight="1" thickTop="1" thickBot="1" x14ac:dyDescent="0.25">
      <c r="C37" s="881" t="s">
        <v>477</v>
      </c>
      <c r="D37" s="882"/>
      <c r="E37" s="889" t="s">
        <v>490</v>
      </c>
      <c r="F37" s="889"/>
      <c r="G37" s="849" t="str" cm="1">
        <f t="array" ref="G37">IF(AJ37,angleDecimal2Txt(angleConvert2Decimal(E37),0),$AL$42)</f>
        <v>+03°10.00</v>
      </c>
      <c r="H37" s="849"/>
      <c r="I37" s="849"/>
      <c r="J37" s="849"/>
      <c r="K37" s="850"/>
      <c r="L37" s="854" t="str" cm="1">
        <f t="array" ref="L37">IF(AJ37,heureDecimal2Txt($K$27-R37, 0),$AL$42)</f>
        <v>00:17:10.00</v>
      </c>
      <c r="M37" s="854"/>
      <c r="R37" s="796">
        <f>IF(AJ37,AN37,$AL$42)</f>
        <v>11.883333333333333</v>
      </c>
      <c r="S37" s="797"/>
      <c r="T37" s="867" t="str" cm="1">
        <f t="array" ref="T37">IF(AJ37,heureDecimal2Txt(R37),$AL$42)</f>
        <v>11:53:00.00(11.8833)</v>
      </c>
      <c r="U37" s="868"/>
      <c r="V37" s="869"/>
      <c r="W37" s="851" t="s">
        <v>484</v>
      </c>
      <c r="X37" s="852"/>
      <c r="Y37" s="853"/>
      <c r="Z37" s="846" t="s">
        <v>265</v>
      </c>
      <c r="AA37" s="847"/>
      <c r="AB37" s="848"/>
      <c r="AH37" s="235"/>
      <c r="AI37" s="271" t="s">
        <v>477</v>
      </c>
      <c r="AJ37" s="268" t="b">
        <f t="shared" si="0"/>
        <v>1</v>
      </c>
      <c r="AK37" s="233">
        <f t="shared" si="1"/>
        <v>11.883333333333333</v>
      </c>
      <c r="AL37" s="268" cm="1">
        <f t="array" ref="AL37">IF(AJ37,(heureConvert2Decimal(W37)*3600+heureConvert2Decimal(Z37)*60),0)</f>
        <v>42780</v>
      </c>
      <c r="AM37" s="270">
        <f t="shared" si="2"/>
        <v>42780</v>
      </c>
      <c r="AN37" s="268">
        <f t="shared" si="3"/>
        <v>11.883333333333333</v>
      </c>
    </row>
    <row r="38" spans="1:74" s="209" customFormat="1" ht="17.25" customHeight="1" thickTop="1" thickBot="1" x14ac:dyDescent="0.25">
      <c r="C38" s="881" t="s">
        <v>480</v>
      </c>
      <c r="D38" s="882"/>
      <c r="E38" s="889" t="s">
        <v>491</v>
      </c>
      <c r="F38" s="889"/>
      <c r="G38" s="849" t="str" cm="1">
        <f t="array" ref="G38">IF(AJ38,angleDecimal2Txt(angleConvert2Decimal(E38),0),$AL$42)</f>
        <v>+03°20.00</v>
      </c>
      <c r="H38" s="849"/>
      <c r="I38" s="849"/>
      <c r="J38" s="849"/>
      <c r="K38" s="850"/>
      <c r="L38" s="854" t="str" cm="1">
        <f t="array" ref="L38">IF(AJ38,heureDecimal2Txt($K$27-R38, 0),$AL$42)</f>
        <v>00:16:10.00</v>
      </c>
      <c r="M38" s="854"/>
      <c r="R38" s="796">
        <f>IF(AJ38,AN38,$AL$42)</f>
        <v>11.9</v>
      </c>
      <c r="S38" s="797"/>
      <c r="T38" s="867" t="str" cm="1">
        <f t="array" ref="T38">IF(AJ38,heureDecimal2Txt(R38),$AL$42)</f>
        <v>11:54:00.00(11.9000)</v>
      </c>
      <c r="U38" s="868"/>
      <c r="V38" s="869"/>
      <c r="W38" s="851" t="s">
        <v>485</v>
      </c>
      <c r="X38" s="852"/>
      <c r="Y38" s="853"/>
      <c r="Z38" s="846" t="s">
        <v>265</v>
      </c>
      <c r="AA38" s="847"/>
      <c r="AB38" s="848"/>
      <c r="AH38" s="235"/>
      <c r="AI38" s="271" t="s">
        <v>480</v>
      </c>
      <c r="AJ38" s="268" t="b">
        <f t="shared" si="0"/>
        <v>1</v>
      </c>
      <c r="AK38" s="233">
        <f t="shared" si="1"/>
        <v>11.9</v>
      </c>
      <c r="AL38" s="268" cm="1">
        <f t="array" ref="AL38">IF(AJ38,(heureConvert2Decimal(W38)*3600+heureConvert2Decimal(Z38)*60),0)</f>
        <v>42840</v>
      </c>
      <c r="AM38" s="270">
        <f t="shared" si="2"/>
        <v>42840</v>
      </c>
      <c r="AN38" s="268">
        <f t="shared" si="3"/>
        <v>11.9</v>
      </c>
    </row>
    <row r="39" spans="1:74" s="209" customFormat="1" ht="17.25" customHeight="1" thickTop="1" thickBot="1" x14ac:dyDescent="0.25">
      <c r="C39" s="881" t="s">
        <v>482</v>
      </c>
      <c r="D39" s="882"/>
      <c r="E39" s="890"/>
      <c r="F39" s="889"/>
      <c r="G39" s="849" t="str" cm="1">
        <f t="array" ref="G39">IF(AJ39,angleDecimal2Txt(angleConvert2Decimal(E39),0),$AL$42)</f>
        <v>---</v>
      </c>
      <c r="H39" s="849"/>
      <c r="I39" s="849"/>
      <c r="J39" s="849"/>
      <c r="K39" s="850"/>
      <c r="L39" s="854" t="str" cm="1">
        <f t="array" ref="L39">IF(AJ39,heureDecimal2Txt($K$27-R39, 0),$AL$42)</f>
        <v>---</v>
      </c>
      <c r="M39" s="854"/>
      <c r="R39" s="796" t="str">
        <f>IF(AJ39,AN39,$AL$42)</f>
        <v>---</v>
      </c>
      <c r="S39" s="797"/>
      <c r="T39" s="867" t="str" cm="1">
        <f t="array" ref="T39">IF(AJ39,heureDecimal2Txt(R39),$AL$42)</f>
        <v>---</v>
      </c>
      <c r="U39" s="868"/>
      <c r="V39" s="869"/>
      <c r="W39" s="851"/>
      <c r="X39" s="852"/>
      <c r="Y39" s="853"/>
      <c r="Z39" s="846"/>
      <c r="AA39" s="847"/>
      <c r="AB39" s="848"/>
      <c r="AH39" s="235"/>
      <c r="AI39" s="271" t="s">
        <v>482</v>
      </c>
      <c r="AJ39" s="268" t="b">
        <f>OR(NOT(ISBLANK(E39)),(E39=$AL$42))</f>
        <v>0</v>
      </c>
      <c r="AK39" s="233">
        <f t="shared" si="1"/>
        <v>0</v>
      </c>
      <c r="AL39" s="268" cm="1">
        <f t="array" ref="AL39">IF(AJ39,(heureConvert2Decimal(W39)*3600+heureConvert2Decimal(Z39)*60),0)</f>
        <v>0</v>
      </c>
      <c r="AM39" s="270">
        <f t="shared" si="2"/>
        <v>0</v>
      </c>
      <c r="AN39" s="268">
        <f t="shared" si="3"/>
        <v>0</v>
      </c>
    </row>
    <row r="40" spans="1:74" s="209" customFormat="1" ht="18" customHeight="1" thickTop="1" x14ac:dyDescent="0.2">
      <c r="C40" s="903" t="s">
        <v>493</v>
      </c>
      <c r="D40" s="904"/>
      <c r="E40" s="904"/>
      <c r="F40" s="904"/>
      <c r="G40" s="904"/>
      <c r="H40" s="904"/>
      <c r="I40" s="904"/>
      <c r="J40" s="904"/>
      <c r="K40" s="904"/>
      <c r="L40" s="904"/>
      <c r="M40" s="904"/>
      <c r="N40" s="904"/>
      <c r="O40" s="904"/>
      <c r="P40" s="904"/>
      <c r="Q40" s="904"/>
      <c r="R40" s="904"/>
      <c r="S40" s="904"/>
      <c r="T40" s="904"/>
      <c r="U40" s="904"/>
      <c r="V40" s="904"/>
      <c r="W40" s="904"/>
      <c r="X40" s="904"/>
      <c r="Y40" s="904"/>
      <c r="Z40" s="904"/>
      <c r="AA40" s="904"/>
      <c r="AB40" s="904"/>
      <c r="AC40" s="904"/>
      <c r="AD40" s="904"/>
      <c r="AE40" s="904"/>
      <c r="AF40" s="904"/>
      <c r="AG40" s="905"/>
      <c r="AH40" s="235"/>
    </row>
    <row r="41" spans="1:74" s="209" customFormat="1" ht="18" customHeight="1" thickBot="1" x14ac:dyDescent="0.25">
      <c r="C41" s="903"/>
      <c r="D41" s="904"/>
      <c r="E41" s="904"/>
      <c r="F41" s="904"/>
      <c r="G41" s="904"/>
      <c r="H41" s="904"/>
      <c r="I41" s="904"/>
      <c r="J41" s="904"/>
      <c r="K41" s="904"/>
      <c r="L41" s="904"/>
      <c r="M41" s="904"/>
      <c r="N41" s="904"/>
      <c r="O41" s="904"/>
      <c r="P41" s="904"/>
      <c r="Q41" s="904"/>
      <c r="R41" s="904"/>
      <c r="S41" s="904"/>
      <c r="T41" s="904"/>
      <c r="U41" s="904"/>
      <c r="V41" s="904"/>
      <c r="W41" s="904"/>
      <c r="X41" s="904"/>
      <c r="Y41" s="904"/>
      <c r="Z41" s="904"/>
      <c r="AA41" s="904"/>
      <c r="AB41" s="904"/>
      <c r="AC41" s="904"/>
      <c r="AD41" s="904"/>
      <c r="AE41" s="904"/>
      <c r="AF41" s="904"/>
      <c r="AG41" s="905"/>
      <c r="AH41" s="235"/>
    </row>
    <row r="42" spans="1:74" s="209" customFormat="1" ht="18" customHeight="1" x14ac:dyDescent="0.2">
      <c r="C42" s="256"/>
      <c r="D42" s="257"/>
      <c r="E42" s="870" t="s">
        <v>498</v>
      </c>
      <c r="F42" s="870"/>
      <c r="G42" s="906" t="s">
        <v>495</v>
      </c>
      <c r="H42" s="907"/>
      <c r="I42" s="907"/>
      <c r="J42" s="907"/>
      <c r="K42" s="908"/>
      <c r="L42" s="875" t="s">
        <v>526</v>
      </c>
      <c r="M42" s="876"/>
      <c r="N42" s="871" t="s">
        <v>503</v>
      </c>
      <c r="O42" s="872"/>
      <c r="P42" s="910" t="s">
        <v>518</v>
      </c>
      <c r="Q42" s="911"/>
      <c r="R42" s="866" t="s">
        <v>3</v>
      </c>
      <c r="S42" s="824"/>
      <c r="T42" s="804" t="s">
        <v>479</v>
      </c>
      <c r="U42" s="805"/>
      <c r="V42" s="806"/>
      <c r="W42" s="863" t="s">
        <v>494</v>
      </c>
      <c r="X42" s="864"/>
      <c r="Y42" s="865"/>
      <c r="Z42" s="810" t="s">
        <v>266</v>
      </c>
      <c r="AA42" s="811"/>
      <c r="AB42" s="812"/>
      <c r="AH42" s="235"/>
      <c r="AI42" s="260" t="s">
        <v>502</v>
      </c>
      <c r="AJ42" s="260" t="s">
        <v>410</v>
      </c>
      <c r="AK42" s="260" t="s">
        <v>411</v>
      </c>
      <c r="AL42" s="265" t="s">
        <v>515</v>
      </c>
    </row>
    <row r="43" spans="1:74" s="209" customFormat="1" ht="18" customHeight="1" x14ac:dyDescent="0.2">
      <c r="C43" s="258"/>
      <c r="D43" s="259"/>
      <c r="E43" s="870"/>
      <c r="F43" s="870"/>
      <c r="G43" s="906"/>
      <c r="H43" s="907"/>
      <c r="I43" s="907"/>
      <c r="J43" s="907"/>
      <c r="K43" s="908"/>
      <c r="L43" s="877"/>
      <c r="M43" s="878"/>
      <c r="N43" s="871"/>
      <c r="O43" s="872"/>
      <c r="P43" s="911"/>
      <c r="Q43" s="911"/>
      <c r="R43" s="419"/>
      <c r="S43" s="421"/>
      <c r="T43" s="807"/>
      <c r="U43" s="808"/>
      <c r="V43" s="809"/>
      <c r="W43" s="506"/>
      <c r="X43" s="507"/>
      <c r="Y43" s="508"/>
      <c r="Z43" s="506"/>
      <c r="AA43" s="507"/>
      <c r="AB43" s="508"/>
      <c r="AH43" s="235"/>
      <c r="AI43" s="268"/>
      <c r="AJ43" s="268" t="s">
        <v>516</v>
      </c>
      <c r="AK43" s="268" t="s">
        <v>517</v>
      </c>
      <c r="AL43" s="272" t="s">
        <v>510</v>
      </c>
      <c r="AM43" s="269" t="s">
        <v>508</v>
      </c>
      <c r="AN43" s="269" t="s">
        <v>514</v>
      </c>
      <c r="AO43" s="269" t="s">
        <v>514</v>
      </c>
      <c r="AP43" s="233" t="s">
        <v>405</v>
      </c>
      <c r="AQ43" s="269" t="s">
        <v>508</v>
      </c>
      <c r="AR43" s="269" t="s">
        <v>509</v>
      </c>
      <c r="AS43" s="269" t="s">
        <v>507</v>
      </c>
    </row>
    <row r="44" spans="1:74" s="209" customFormat="1" ht="17.25" customHeight="1" x14ac:dyDescent="0.2">
      <c r="C44" s="788" t="s">
        <v>483</v>
      </c>
      <c r="D44" s="788"/>
      <c r="E44" s="789" t="str">
        <f>IF(AJ44,E39,$AL$42)</f>
        <v>---</v>
      </c>
      <c r="F44" s="790"/>
      <c r="G44" s="909" t="str" cm="1">
        <f t="array" ref="G44">heureDecimal2Txt(AO44, 0)</f>
        <v>24:20:20.00</v>
      </c>
      <c r="H44" s="909"/>
      <c r="I44" s="909"/>
      <c r="J44" s="909"/>
      <c r="K44" s="909"/>
      <c r="L44" s="879" t="str" cm="1">
        <f t="array" ref="L44">heureDecimal2Txt(AL44-$K$27, 0)</f>
        <v>12:10:10.00</v>
      </c>
      <c r="M44" s="880"/>
      <c r="N44" s="873" t="s">
        <v>411</v>
      </c>
      <c r="O44" s="874"/>
      <c r="P44" s="911" t="str" cm="1">
        <f t="array" ref="P44">IF(AK44,heureDecimal2Txt(AS44-AL44,0),$AL$42)</f>
        <v>---</v>
      </c>
      <c r="Q44" s="911"/>
      <c r="R44" s="796" t="str">
        <f>IF(AK44,AS44,$AL$42)</f>
        <v>---</v>
      </c>
      <c r="S44" s="797"/>
      <c r="T44" s="867" t="str" cm="1">
        <f t="array" ref="T44">IF(AK44,heureDecimal2Txt(R44),$AL$42)</f>
        <v>---</v>
      </c>
      <c r="U44" s="868"/>
      <c r="V44" s="869"/>
      <c r="W44" s="851" t="s">
        <v>501</v>
      </c>
      <c r="X44" s="852"/>
      <c r="Y44" s="853"/>
      <c r="Z44" s="846" t="s">
        <v>265</v>
      </c>
      <c r="AA44" s="855"/>
      <c r="AB44" s="856"/>
      <c r="AH44" s="235"/>
      <c r="AI44" s="268" t="s">
        <v>483</v>
      </c>
      <c r="AJ44" s="268" t="b">
        <f>AJ39</f>
        <v>0</v>
      </c>
      <c r="AK44" s="268" t="b">
        <f>AND(AJ44,(N44=$AJ$42))</f>
        <v>0</v>
      </c>
      <c r="AL44" s="233">
        <f>2*$K$27-AN39</f>
        <v>24.338888888888892</v>
      </c>
      <c r="AM44" s="268">
        <f>AL44*3600</f>
        <v>87620.000000000015</v>
      </c>
      <c r="AN44" s="270">
        <f>AM44+$AM$28</f>
        <v>87620.000000000015</v>
      </c>
      <c r="AO44" s="268">
        <f>AN44/3600</f>
        <v>24.338888888888892</v>
      </c>
      <c r="AP44" s="233">
        <f>AQ44/3600</f>
        <v>0</v>
      </c>
      <c r="AQ44" s="268" cm="1">
        <f t="array" ref="AQ44">IF(AK44,(heureConvert2Decimal(W44)*3600+heureConvert2Decimal(Z44)*60),0)</f>
        <v>0</v>
      </c>
      <c r="AR44" s="270">
        <f>AQ44+$AM$29</f>
        <v>0</v>
      </c>
      <c r="AS44" s="268">
        <f>AR44/3600</f>
        <v>0</v>
      </c>
    </row>
    <row r="45" spans="1:74" s="209" customFormat="1" ht="17.25" customHeight="1" x14ac:dyDescent="0.2">
      <c r="C45" s="788" t="s">
        <v>481</v>
      </c>
      <c r="D45" s="788"/>
      <c r="E45" s="789" t="str">
        <f>IF(AJ45,E38,$AL$42)</f>
        <v>3°20</v>
      </c>
      <c r="F45" s="790"/>
      <c r="G45" s="909" t="str" cm="1">
        <f t="array" ref="G45">heureDecimal2Txt(AO45, 0)</f>
        <v>12:26:20.00</v>
      </c>
      <c r="H45" s="909"/>
      <c r="I45" s="909"/>
      <c r="J45" s="909"/>
      <c r="K45" s="909"/>
      <c r="L45" s="879" t="str" cm="1">
        <f t="array" ref="L45">heureDecimal2Txt(AL45-$K$27, 0)</f>
        <v>00:16:10.00</v>
      </c>
      <c r="M45" s="880"/>
      <c r="N45" s="873" t="s">
        <v>411</v>
      </c>
      <c r="O45" s="874"/>
      <c r="P45" s="911" t="str" cm="1">
        <f t="array" ref="P45">IF(AK45,heureDecimal2Txt(AS45-AL45,0),$AL$42)</f>
        <v>---</v>
      </c>
      <c r="Q45" s="911"/>
      <c r="R45" s="796" t="str">
        <f>IF(AK45,AS45,$AL$42)</f>
        <v>---</v>
      </c>
      <c r="S45" s="797"/>
      <c r="T45" s="867" t="str" cm="1">
        <f t="array" ref="T45">IF(AK45,heureDecimal2Txt(R45),$AL$42)</f>
        <v>---</v>
      </c>
      <c r="U45" s="868"/>
      <c r="V45" s="869"/>
      <c r="W45" s="851" t="s">
        <v>501</v>
      </c>
      <c r="X45" s="852"/>
      <c r="Y45" s="853"/>
      <c r="Z45" s="846" t="s">
        <v>265</v>
      </c>
      <c r="AA45" s="855"/>
      <c r="AB45" s="856"/>
      <c r="AH45" s="235"/>
      <c r="AI45" s="271" t="s">
        <v>481</v>
      </c>
      <c r="AJ45" s="268" t="b">
        <f>AJ38</f>
        <v>1</v>
      </c>
      <c r="AK45" s="268" t="b">
        <f>AND(AJ45,(N45=$AJ$42))</f>
        <v>0</v>
      </c>
      <c r="AL45" s="233">
        <f>2*$K$27-AN38</f>
        <v>12.438888888888892</v>
      </c>
      <c r="AM45" s="268">
        <f t="shared" ref="AM45:AM48" si="4">AL45*3600</f>
        <v>44780.000000000007</v>
      </c>
      <c r="AN45" s="270">
        <f t="shared" ref="AN45:AN48" si="5">AM45+$AM$28</f>
        <v>44780.000000000007</v>
      </c>
      <c r="AO45" s="268">
        <f t="shared" ref="AO45:AO48" si="6">AN45/3600</f>
        <v>12.438888888888892</v>
      </c>
      <c r="AP45" s="233">
        <f t="shared" ref="AP45:AP48" si="7">AQ45/3600</f>
        <v>0</v>
      </c>
      <c r="AQ45" s="268" cm="1">
        <f t="array" ref="AQ45">IF(AK45,(heureConvert2Decimal(W45)*3600+heureConvert2Decimal(Z45)*60),0)</f>
        <v>0</v>
      </c>
      <c r="AR45" s="270">
        <f t="shared" ref="AR45:AR48" si="8">AQ45+$AM$29</f>
        <v>0</v>
      </c>
      <c r="AS45" s="268">
        <f t="shared" ref="AS45:AS48" si="9">AR45/3600</f>
        <v>0</v>
      </c>
    </row>
    <row r="46" spans="1:74" s="209" customFormat="1" ht="17.25" customHeight="1" x14ac:dyDescent="0.2">
      <c r="C46" s="788" t="s">
        <v>478</v>
      </c>
      <c r="D46" s="788"/>
      <c r="E46" s="789" t="str">
        <f>IF(AJ46,E37,$AL$42)</f>
        <v>3°10</v>
      </c>
      <c r="F46" s="790"/>
      <c r="G46" s="909" t="str" cm="1">
        <f t="array" ref="G46">heureDecimal2Txt(AO46, 0)</f>
        <v>12:27:20.00</v>
      </c>
      <c r="H46" s="909"/>
      <c r="I46" s="909"/>
      <c r="J46" s="909"/>
      <c r="K46" s="909"/>
      <c r="L46" s="879" t="str" cm="1">
        <f t="array" ref="L46">heureDecimal2Txt(AL46-$K$27, 0)</f>
        <v>00:17:10.00</v>
      </c>
      <c r="M46" s="880"/>
      <c r="N46" s="873" t="s">
        <v>411</v>
      </c>
      <c r="O46" s="874"/>
      <c r="P46" s="911" t="str" cm="1">
        <f t="array" ref="P46">IF(AK46,heureDecimal2Txt(AS46-AL46,0),$AL$42)</f>
        <v>---</v>
      </c>
      <c r="Q46" s="911"/>
      <c r="R46" s="796" t="str">
        <f>IF(AK46,AS46,$AL$42)</f>
        <v>---</v>
      </c>
      <c r="S46" s="797"/>
      <c r="T46" s="867" t="str" cm="1">
        <f t="array" ref="T46">IF(AK46,heureDecimal2Txt(R46),$AL$42)</f>
        <v>---</v>
      </c>
      <c r="U46" s="868"/>
      <c r="V46" s="869"/>
      <c r="W46" s="851" t="s">
        <v>500</v>
      </c>
      <c r="X46" s="852"/>
      <c r="Y46" s="853"/>
      <c r="Z46" s="846" t="s">
        <v>265</v>
      </c>
      <c r="AA46" s="847"/>
      <c r="AB46" s="848"/>
      <c r="AH46" s="235"/>
      <c r="AI46" s="271" t="s">
        <v>478</v>
      </c>
      <c r="AJ46" s="268" t="b">
        <f>AJ37</f>
        <v>1</v>
      </c>
      <c r="AK46" s="268" t="b">
        <f>AND(AJ46,(N46=$AJ$42))</f>
        <v>0</v>
      </c>
      <c r="AL46" s="233">
        <f>2*$K$27-AN37</f>
        <v>12.455555555555559</v>
      </c>
      <c r="AM46" s="268">
        <f t="shared" si="4"/>
        <v>44840.000000000015</v>
      </c>
      <c r="AN46" s="270">
        <f t="shared" si="5"/>
        <v>44840.000000000015</v>
      </c>
      <c r="AO46" s="268">
        <f t="shared" si="6"/>
        <v>12.455555555555559</v>
      </c>
      <c r="AP46" s="233">
        <f t="shared" si="7"/>
        <v>0</v>
      </c>
      <c r="AQ46" s="268" cm="1">
        <f t="array" ref="AQ46">IF(AK46,(heureConvert2Decimal(W46)*3600+heureConvert2Decimal(Z46)*60),0)</f>
        <v>0</v>
      </c>
      <c r="AR46" s="270">
        <f t="shared" si="8"/>
        <v>0</v>
      </c>
      <c r="AS46" s="268">
        <f t="shared" si="9"/>
        <v>0</v>
      </c>
    </row>
    <row r="47" spans="1:74" s="209" customFormat="1" ht="17.25" customHeight="1" x14ac:dyDescent="0.2">
      <c r="C47" s="788" t="s">
        <v>476</v>
      </c>
      <c r="D47" s="788"/>
      <c r="E47" s="789" t="str">
        <f>IF(AJ47,E36,$AL$42)</f>
        <v>2°59</v>
      </c>
      <c r="F47" s="790"/>
      <c r="G47" s="909" t="str" cm="1">
        <f t="array" ref="G47">heureDecimal2Txt(AO47, 0)</f>
        <v>13:21:20.00</v>
      </c>
      <c r="H47" s="909"/>
      <c r="I47" s="909"/>
      <c r="J47" s="909"/>
      <c r="K47" s="909"/>
      <c r="L47" s="879" t="str" cm="1">
        <f t="array" ref="L47">heureDecimal2Txt(AL47-$K$27, 0)</f>
        <v>01:11:10.00</v>
      </c>
      <c r="M47" s="880"/>
      <c r="N47" s="873" t="s">
        <v>411</v>
      </c>
      <c r="O47" s="874"/>
      <c r="P47" s="911" t="str" cm="1">
        <f t="array" ref="P47">IF(AK47,heureDecimal2Txt(AS47-AL47,0),$AL$42)</f>
        <v>---</v>
      </c>
      <c r="Q47" s="911"/>
      <c r="R47" s="796" t="str">
        <f>IF(AK47,AS47,$AL$42)</f>
        <v>---</v>
      </c>
      <c r="S47" s="797"/>
      <c r="T47" s="867" t="str" cm="1">
        <f t="array" ref="T47">IF(AK47,heureDecimal2Txt(R47),$AL$42)</f>
        <v>---</v>
      </c>
      <c r="U47" s="868"/>
      <c r="V47" s="869"/>
      <c r="W47" s="851" t="s">
        <v>499</v>
      </c>
      <c r="X47" s="852"/>
      <c r="Y47" s="853"/>
      <c r="Z47" s="846" t="s">
        <v>265</v>
      </c>
      <c r="AA47" s="847"/>
      <c r="AB47" s="848"/>
      <c r="AH47" s="235"/>
      <c r="AI47" s="271" t="s">
        <v>476</v>
      </c>
      <c r="AJ47" s="268" t="b">
        <f>AJ36</f>
        <v>1</v>
      </c>
      <c r="AK47" s="268" t="b">
        <f>AND(AJ47,(N47=$AJ$42))</f>
        <v>0</v>
      </c>
      <c r="AL47" s="233">
        <f>2*$K$27-AN36</f>
        <v>13.35555555555556</v>
      </c>
      <c r="AM47" s="268">
        <f t="shared" si="4"/>
        <v>48080.000000000015</v>
      </c>
      <c r="AN47" s="270">
        <f t="shared" si="5"/>
        <v>48080.000000000015</v>
      </c>
      <c r="AO47" s="268">
        <f t="shared" si="6"/>
        <v>13.35555555555556</v>
      </c>
      <c r="AP47" s="233">
        <f t="shared" si="7"/>
        <v>0</v>
      </c>
      <c r="AQ47" s="268" cm="1">
        <f t="array" ref="AQ47">IF(AK47,(heureConvert2Decimal(W47)*3600+heureConvert2Decimal(Z47)*60),0)</f>
        <v>0</v>
      </c>
      <c r="AR47" s="270">
        <f t="shared" si="8"/>
        <v>0</v>
      </c>
      <c r="AS47" s="268">
        <f t="shared" si="9"/>
        <v>0</v>
      </c>
    </row>
    <row r="48" spans="1:74" s="209" customFormat="1" ht="17.25" customHeight="1" x14ac:dyDescent="0.2">
      <c r="C48" s="788" t="s">
        <v>474</v>
      </c>
      <c r="D48" s="788"/>
      <c r="E48" s="789" t="str">
        <f>IF(AJ48,E35,$AL$42)</f>
        <v>2°54</v>
      </c>
      <c r="F48" s="790"/>
      <c r="G48" s="909" t="str" cm="1">
        <f t="array" ref="G48">heureDecimal2Txt(AO48, 0)</f>
        <v>14:15:09.00</v>
      </c>
      <c r="H48" s="909"/>
      <c r="I48" s="909"/>
      <c r="J48" s="909"/>
      <c r="K48" s="909"/>
      <c r="L48" s="879" t="str" cm="1">
        <f t="array" ref="L48">heureDecimal2Txt(AL48-$K$27, 0)</f>
        <v>02:04:59.00</v>
      </c>
      <c r="M48" s="880"/>
      <c r="N48" s="873" t="s">
        <v>410</v>
      </c>
      <c r="O48" s="874"/>
      <c r="P48" s="911" t="str" cm="1">
        <f t="array" ref="P48">IF(AK48,heureDecimal2Txt(AS48-AL48,0),$AL$42)</f>
        <v>00:00:23.99</v>
      </c>
      <c r="Q48" s="911"/>
      <c r="R48" s="796">
        <f>IF(AK48,AS48,$AL$42)</f>
        <v>14.259166666666667</v>
      </c>
      <c r="S48" s="797"/>
      <c r="T48" s="867" t="str" cm="1">
        <f t="array" ref="T48">IF(AK48,heureDecimal2Txt(R48),$AL$42)</f>
        <v>14:15:33.00(14.2591)</v>
      </c>
      <c r="U48" s="868"/>
      <c r="V48" s="869"/>
      <c r="W48" s="851" t="s">
        <v>540</v>
      </c>
      <c r="X48" s="852"/>
      <c r="Y48" s="853"/>
      <c r="Z48" s="846" t="s">
        <v>265</v>
      </c>
      <c r="AA48" s="847"/>
      <c r="AB48" s="848"/>
      <c r="AH48" s="235"/>
      <c r="AI48" s="271" t="s">
        <v>474</v>
      </c>
      <c r="AJ48" s="268" t="b">
        <f>AJ35</f>
        <v>1</v>
      </c>
      <c r="AK48" s="268" t="b">
        <f>AND(AJ48,(N48=$AJ$42))</f>
        <v>1</v>
      </c>
      <c r="AL48" s="233">
        <f>2*$K$27-AN35</f>
        <v>14.252500000000003</v>
      </c>
      <c r="AM48" s="268">
        <f t="shared" si="4"/>
        <v>51309.000000000015</v>
      </c>
      <c r="AN48" s="270">
        <f t="shared" si="5"/>
        <v>51309.000000000015</v>
      </c>
      <c r="AO48" s="268">
        <f t="shared" si="6"/>
        <v>14.252500000000005</v>
      </c>
      <c r="AP48" s="233">
        <f t="shared" si="7"/>
        <v>14.259166666666667</v>
      </c>
      <c r="AQ48" s="268" cm="1">
        <f t="array" ref="AQ48">IF(AK48,(heureConvert2Decimal(W48)*3600+heureConvert2Decimal(Z48)*60),0)</f>
        <v>51333</v>
      </c>
      <c r="AR48" s="270">
        <f t="shared" si="8"/>
        <v>51333</v>
      </c>
      <c r="AS48" s="268">
        <f t="shared" si="9"/>
        <v>14.259166666666667</v>
      </c>
    </row>
    <row r="49" spans="2:71" s="209" customFormat="1" ht="17.25" customHeight="1" x14ac:dyDescent="0.2">
      <c r="T49" s="210"/>
      <c r="U49" s="210"/>
      <c r="V49" s="210"/>
      <c r="Z49" s="210"/>
      <c r="AA49" s="210"/>
      <c r="AB49" s="210"/>
      <c r="AH49" s="235"/>
      <c r="AI49" s="271" t="s">
        <v>519</v>
      </c>
      <c r="AJ49" s="268">
        <f>IF(AK48,(AS48+AN35)/2,0)</f>
        <v>12.172777777777778</v>
      </c>
      <c r="AK49" s="268">
        <f>IF(AJ49&gt;0,1,0)</f>
        <v>1</v>
      </c>
      <c r="AL49" s="233"/>
      <c r="AM49" s="268"/>
      <c r="AN49" s="270"/>
      <c r="AO49" s="268"/>
      <c r="AP49" s="233"/>
      <c r="AQ49" s="268"/>
      <c r="AR49" s="270"/>
      <c r="AS49" s="268"/>
    </row>
    <row r="50" spans="2:71" s="209" customFormat="1" ht="17.25" customHeight="1" x14ac:dyDescent="0.2">
      <c r="D50" s="912" t="s">
        <v>527</v>
      </c>
      <c r="E50" s="912"/>
      <c r="F50" s="912"/>
      <c r="G50" s="913"/>
      <c r="H50" s="803" t="str" cm="1">
        <f t="array" ref="H50">heureDecimal2Txt(AM52)</f>
        <v>12:10:22.00(12.1727)</v>
      </c>
      <c r="I50" s="803"/>
      <c r="J50" s="803"/>
      <c r="K50" s="803"/>
      <c r="L50" s="803"/>
      <c r="M50" s="803"/>
      <c r="N50" s="803"/>
      <c r="T50" s="210"/>
      <c r="U50" s="210"/>
      <c r="V50" s="210"/>
      <c r="Z50" s="210"/>
      <c r="AA50" s="210"/>
      <c r="AB50" s="210"/>
      <c r="AH50" s="235"/>
      <c r="AI50" s="271" t="s">
        <v>520</v>
      </c>
      <c r="AJ50" s="268">
        <f>IF(AK47,(AS47+AN36)/2,0)</f>
        <v>0</v>
      </c>
      <c r="AK50" s="268">
        <f>IF(AJ50&gt;0,1,0)</f>
        <v>0</v>
      </c>
      <c r="AL50" s="233" t="s">
        <v>522</v>
      </c>
      <c r="AM50" s="268">
        <f>SUM(AK49:AK53)</f>
        <v>1</v>
      </c>
      <c r="AN50" s="270"/>
      <c r="AO50" s="268"/>
      <c r="AP50" s="233"/>
      <c r="AQ50" s="268"/>
      <c r="AR50" s="270"/>
      <c r="AS50" s="268"/>
    </row>
    <row r="51" spans="2:71" s="209" customFormat="1" ht="17.25" customHeight="1" x14ac:dyDescent="0.2">
      <c r="D51" s="914"/>
      <c r="E51" s="914"/>
      <c r="F51" s="914"/>
      <c r="G51" s="915"/>
      <c r="H51" s="803"/>
      <c r="I51" s="803"/>
      <c r="J51" s="803"/>
      <c r="K51" s="803"/>
      <c r="L51" s="803"/>
      <c r="M51" s="803"/>
      <c r="N51" s="803"/>
      <c r="T51" s="210"/>
      <c r="U51" s="210"/>
      <c r="V51" s="210"/>
      <c r="Z51" s="210"/>
      <c r="AA51" s="210"/>
      <c r="AB51" s="210"/>
      <c r="AH51" s="235"/>
      <c r="AI51" s="271" t="s">
        <v>521</v>
      </c>
      <c r="AJ51" s="268">
        <f>IF(AK46,(AS46+AN37)/2,0)</f>
        <v>0</v>
      </c>
      <c r="AK51" s="268">
        <f>IF(AJ51&gt;0,1,0)</f>
        <v>0</v>
      </c>
      <c r="AL51" s="233" t="s">
        <v>523</v>
      </c>
      <c r="AM51" s="268">
        <f>SUM(AJ49:AJ53)</f>
        <v>12.172777777777778</v>
      </c>
      <c r="AN51" s="270"/>
      <c r="AO51" s="268"/>
      <c r="AP51" s="233"/>
      <c r="AQ51" s="268"/>
      <c r="AR51" s="270"/>
      <c r="AS51" s="268"/>
    </row>
    <row r="52" spans="2:71" s="209" customFormat="1" ht="17.25" customHeight="1" x14ac:dyDescent="0.2">
      <c r="D52" s="798" t="s">
        <v>415</v>
      </c>
      <c r="E52" s="798"/>
      <c r="F52" s="798"/>
      <c r="G52" s="799"/>
      <c r="H52" s="803" t="str" cm="1">
        <f t="array" ref="H52">latitudeDecimal2Txt(O52)</f>
        <v>N 02°18.01 (N 02.3003) [N 02°18'01.10]</v>
      </c>
      <c r="I52" s="803"/>
      <c r="J52" s="803"/>
      <c r="K52" s="803"/>
      <c r="L52" s="803"/>
      <c r="M52" s="803"/>
      <c r="N52" s="803"/>
      <c r="O52" s="800">
        <f>(AM52-K26)*15.002</f>
        <v>2.3003066666666534</v>
      </c>
      <c r="P52" s="801"/>
      <c r="Q52" s="801"/>
      <c r="R52" s="801"/>
      <c r="S52" s="801"/>
      <c r="Z52" s="210"/>
      <c r="AA52" s="210"/>
      <c r="AB52" s="210"/>
      <c r="AH52" s="235"/>
      <c r="AI52" s="271" t="s">
        <v>537</v>
      </c>
      <c r="AJ52" s="268">
        <f>IF(AK45,(AS45+AN38)/2,0)</f>
        <v>0</v>
      </c>
      <c r="AK52" s="268">
        <f>IF(AJ52&gt;0,1,0)</f>
        <v>0</v>
      </c>
      <c r="AL52" s="275" t="s">
        <v>524</v>
      </c>
      <c r="AM52" s="276">
        <f>AM51/AM50</f>
        <v>12.172777777777778</v>
      </c>
      <c r="AN52" s="270"/>
      <c r="AO52" s="268"/>
      <c r="AP52" s="233"/>
      <c r="AQ52" s="268"/>
      <c r="AR52" s="270"/>
      <c r="AS52" s="268"/>
    </row>
    <row r="53" spans="2:71" s="209" customFormat="1" ht="17.25" customHeight="1" x14ac:dyDescent="0.2">
      <c r="D53" s="798"/>
      <c r="E53" s="798"/>
      <c r="F53" s="798"/>
      <c r="G53" s="799"/>
      <c r="H53" s="803"/>
      <c r="I53" s="803"/>
      <c r="J53" s="803"/>
      <c r="K53" s="803"/>
      <c r="L53" s="803"/>
      <c r="M53" s="803"/>
      <c r="N53" s="803"/>
      <c r="O53" s="802"/>
      <c r="P53" s="801"/>
      <c r="Q53" s="801"/>
      <c r="R53" s="801"/>
      <c r="S53" s="801"/>
      <c r="Z53" s="210"/>
      <c r="AA53" s="210"/>
      <c r="AB53" s="210"/>
      <c r="AH53" s="235"/>
      <c r="AI53" s="271" t="s">
        <v>538</v>
      </c>
      <c r="AJ53" s="268">
        <f>IF(AK44,(AS44+AN39)/2,0)</f>
        <v>0</v>
      </c>
      <c r="AK53" s="268">
        <f>IF(AJ53&gt;0,1,0)</f>
        <v>0</v>
      </c>
    </row>
    <row r="54" spans="2:71" s="209" customFormat="1" ht="17.25" customHeight="1" thickBot="1" x14ac:dyDescent="0.3">
      <c r="D54"/>
      <c r="E54"/>
      <c r="F54"/>
      <c r="G54"/>
      <c r="H54"/>
      <c r="I54"/>
      <c r="J54"/>
      <c r="K54"/>
      <c r="L54"/>
      <c r="M54"/>
      <c r="N54"/>
      <c r="O54" s="97"/>
      <c r="P54" s="97"/>
      <c r="Q54" s="97"/>
      <c r="R54" s="97"/>
      <c r="S54" s="97"/>
      <c r="Z54" s="210"/>
      <c r="AA54" s="210"/>
      <c r="AB54" s="210"/>
      <c r="AH54" s="235"/>
      <c r="AI54"/>
      <c r="AJ54"/>
      <c r="AK54"/>
    </row>
    <row r="55" spans="2:71" ht="17.25" customHeight="1" thickBot="1" x14ac:dyDescent="0.3">
      <c r="B55" s="135" t="s">
        <v>10</v>
      </c>
      <c r="C55" s="136"/>
      <c r="D55" s="136"/>
      <c r="E55" s="136"/>
      <c r="F55" s="465">
        <f>IF(G56=AJ56,F60,F68)</f>
        <v>23.416622222222223</v>
      </c>
      <c r="G55" s="465"/>
      <c r="H55" s="465"/>
      <c r="I55" s="136"/>
      <c r="J55" s="136"/>
      <c r="K55" s="136" t="str" cm="1">
        <f t="array" ref="K55">angleDecimal2Txt(F55)</f>
        <v>+23°24.99 (+23.4166) [+23°24'59.83]</v>
      </c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F55"/>
      <c r="AG55"/>
      <c r="AH55" s="176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134"/>
      <c r="BO55" s="118"/>
      <c r="BP55" s="118"/>
      <c r="BQ55" s="118"/>
      <c r="BR55" s="118"/>
      <c r="BS55" s="118"/>
    </row>
    <row r="56" spans="2:71" s="143" customFormat="1" ht="17.25" customHeight="1" x14ac:dyDescent="0.25">
      <c r="C56" s="375" t="s">
        <v>44</v>
      </c>
      <c r="D56" s="375"/>
      <c r="E56" s="375"/>
      <c r="F56" s="375"/>
      <c r="G56" s="637" t="s">
        <v>17</v>
      </c>
      <c r="H56" s="637"/>
      <c r="I56" s="637"/>
      <c r="AH56" s="177"/>
      <c r="AI56" s="353" t="s">
        <v>45</v>
      </c>
      <c r="AJ56" s="180" t="s">
        <v>11</v>
      </c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71" ht="17.25" customHeight="1" x14ac:dyDescent="0.25">
      <c r="C57" s="144" t="s">
        <v>11</v>
      </c>
      <c r="D57" s="144"/>
      <c r="E57" s="145"/>
      <c r="F57" s="145"/>
      <c r="G57" s="101"/>
      <c r="H57" s="101"/>
      <c r="I57" s="101"/>
      <c r="AH57" s="173"/>
      <c r="AI57" s="353"/>
      <c r="AJ57" s="180" t="s">
        <v>17</v>
      </c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134"/>
      <c r="BO57" s="118"/>
      <c r="BP57" s="118"/>
      <c r="BQ57" s="118"/>
      <c r="BR57" s="118"/>
      <c r="BS57" s="118"/>
    </row>
    <row r="58" spans="2:71" ht="17.25" customHeight="1" x14ac:dyDescent="0.25">
      <c r="F58" s="360" t="s">
        <v>10</v>
      </c>
      <c r="G58" s="360"/>
      <c r="H58" s="360"/>
      <c r="I58" s="360" t="s">
        <v>13</v>
      </c>
      <c r="J58" s="360"/>
      <c r="K58" s="360"/>
      <c r="L58" s="360"/>
      <c r="M58" s="361" t="s">
        <v>14</v>
      </c>
      <c r="N58" s="361"/>
      <c r="O58" s="361"/>
      <c r="P58" s="524" t="s">
        <v>18</v>
      </c>
      <c r="Q58" s="524"/>
      <c r="R58" s="524"/>
      <c r="S58" s="524"/>
      <c r="T58" s="524"/>
      <c r="U58" s="101"/>
      <c r="AF58"/>
      <c r="AG58"/>
      <c r="AH58" s="173"/>
      <c r="AI58"/>
      <c r="AJ58" s="185" t="s">
        <v>146</v>
      </c>
      <c r="AK58" s="6" t="s">
        <v>426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134"/>
      <c r="BO58" s="118"/>
      <c r="BP58" s="118"/>
      <c r="BQ58" s="118"/>
      <c r="BR58" s="118"/>
      <c r="BS58" s="118"/>
    </row>
    <row r="59" spans="2:71" ht="17.25" customHeight="1" thickBot="1" x14ac:dyDescent="0.3">
      <c r="F59" s="360"/>
      <c r="G59" s="360"/>
      <c r="H59" s="360"/>
      <c r="I59" s="360"/>
      <c r="J59" s="360"/>
      <c r="K59" s="360"/>
      <c r="L59" s="360"/>
      <c r="M59" s="361"/>
      <c r="N59" s="361"/>
      <c r="O59" s="361"/>
      <c r="P59" s="524"/>
      <c r="Q59" s="524"/>
      <c r="R59" s="524"/>
      <c r="S59" s="524"/>
      <c r="T59" s="524"/>
      <c r="U59" s="101"/>
      <c r="AF59"/>
      <c r="AG59"/>
      <c r="AH59" s="173"/>
      <c r="AI59" s="6" t="s">
        <v>416</v>
      </c>
      <c r="AJ59" s="6">
        <f>VLOOKUP(P60,A16:C17,3)</f>
        <v>-1</v>
      </c>
      <c r="AK59" s="6" cm="1">
        <f t="array" ref="AK59">AJ59*angleConvert2Decimal(Q60)</f>
        <v>-6.4783333333333335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134"/>
      <c r="BO59" s="118"/>
      <c r="BP59" s="118"/>
      <c r="BQ59" s="118"/>
      <c r="BR59" s="118"/>
      <c r="BS59" s="118"/>
    </row>
    <row r="60" spans="2:71" ht="17.25" customHeight="1" thickTop="1" thickBot="1" x14ac:dyDescent="0.3">
      <c r="E60" s="118"/>
      <c r="F60" s="389" t="str">
        <f>IF(G56=AJ57,"---",AJ64)</f>
        <v>---</v>
      </c>
      <c r="G60" s="389"/>
      <c r="H60" s="389"/>
      <c r="I60" s="356">
        <f>AM52</f>
        <v>12.172777777777778</v>
      </c>
      <c r="J60" s="356"/>
      <c r="K60" s="356"/>
      <c r="L60" s="356"/>
      <c r="M60" s="358">
        <v>15</v>
      </c>
      <c r="N60" s="356"/>
      <c r="O60" s="356"/>
      <c r="P60" s="356" t="s">
        <v>5</v>
      </c>
      <c r="Q60" s="519" t="s">
        <v>512</v>
      </c>
      <c r="R60" s="525"/>
      <c r="S60" s="525"/>
      <c r="T60" s="525"/>
      <c r="U60" s="386" t="str" cm="1">
        <f t="array" ref="U60">angleDecimal2Txt(AK59)</f>
        <v>-06°28.69 (-06.4783) [-06°28'42.00]</v>
      </c>
      <c r="V60" s="387"/>
      <c r="W60" s="387"/>
      <c r="X60" s="387"/>
      <c r="Y60" s="387"/>
      <c r="AF60"/>
      <c r="AG60"/>
      <c r="AH60" s="173"/>
      <c r="AI60" s="6" t="s">
        <v>417</v>
      </c>
      <c r="AJ60" s="6">
        <f>VLOOKUP(P62,A16:C17,3)</f>
        <v>-1</v>
      </c>
      <c r="AK60" s="6" cm="1">
        <f t="array" ref="AK60">AJ60*angleConvert2Decimal(Q62)</f>
        <v>-6.4616666666666669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34"/>
      <c r="BO60" s="118"/>
      <c r="BP60" s="118"/>
      <c r="BQ60" s="118"/>
      <c r="BR60" s="118"/>
      <c r="BS60" s="118"/>
    </row>
    <row r="61" spans="2:71" ht="17.25" customHeight="1" thickTop="1" thickBot="1" x14ac:dyDescent="0.3">
      <c r="F61" s="390"/>
      <c r="G61" s="390"/>
      <c r="H61" s="390"/>
      <c r="I61" s="357"/>
      <c r="J61" s="357"/>
      <c r="K61" s="357"/>
      <c r="L61" s="357"/>
      <c r="M61" s="359"/>
      <c r="N61" s="357"/>
      <c r="O61" s="357"/>
      <c r="P61" s="357"/>
      <c r="Q61" s="526"/>
      <c r="R61" s="526"/>
      <c r="S61" s="526"/>
      <c r="T61" s="526"/>
      <c r="U61" s="387"/>
      <c r="V61" s="387"/>
      <c r="W61" s="387"/>
      <c r="X61" s="387"/>
      <c r="Y61" s="387"/>
      <c r="AF61"/>
      <c r="AG61"/>
      <c r="AH61" s="173"/>
      <c r="AI61" s="6" t="s">
        <v>47</v>
      </c>
      <c r="AJ61" s="8">
        <f>AK60-AK59</f>
        <v>1.6666666666666607E-2</v>
      </c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34"/>
      <c r="BO61" s="118"/>
      <c r="BP61" s="118"/>
      <c r="BQ61" s="118"/>
      <c r="BR61" s="118"/>
      <c r="BS61" s="118"/>
    </row>
    <row r="62" spans="2:71" ht="17.25" customHeight="1" thickTop="1" thickBot="1" x14ac:dyDescent="0.3">
      <c r="F62" s="390"/>
      <c r="G62" s="390"/>
      <c r="H62" s="390"/>
      <c r="I62" s="357"/>
      <c r="J62" s="357"/>
      <c r="K62" s="357"/>
      <c r="L62" s="357"/>
      <c r="M62" s="359">
        <v>16</v>
      </c>
      <c r="N62" s="357"/>
      <c r="O62" s="357"/>
      <c r="P62" s="356" t="s">
        <v>5</v>
      </c>
      <c r="Q62" s="527" t="s">
        <v>513</v>
      </c>
      <c r="R62" s="526"/>
      <c r="S62" s="526"/>
      <c r="T62" s="526"/>
      <c r="U62" s="386" t="str" cm="1">
        <f t="array" ref="U62">angleDecimal2Txt((AK60))</f>
        <v>-06°27.69 (-06.4616) [-06°27'42.00]</v>
      </c>
      <c r="V62" s="387"/>
      <c r="W62" s="387"/>
      <c r="X62" s="387"/>
      <c r="Y62" s="387"/>
      <c r="AH62" s="173"/>
      <c r="AI62" s="6" t="s">
        <v>419</v>
      </c>
      <c r="AJ62" s="8">
        <f>M62-M60</f>
        <v>1</v>
      </c>
      <c r="AK62" s="118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  <c r="BO62" s="118"/>
      <c r="BP62" s="118"/>
      <c r="BQ62" s="118"/>
      <c r="BR62" s="118"/>
      <c r="BS62" s="118"/>
    </row>
    <row r="63" spans="2:71" ht="17.25" customHeight="1" thickTop="1" thickBot="1" x14ac:dyDescent="0.3">
      <c r="F63" s="390"/>
      <c r="G63" s="390"/>
      <c r="H63" s="390"/>
      <c r="I63" s="357"/>
      <c r="J63" s="357"/>
      <c r="K63" s="357"/>
      <c r="L63" s="357"/>
      <c r="M63" s="359"/>
      <c r="N63" s="357"/>
      <c r="O63" s="357"/>
      <c r="P63" s="357"/>
      <c r="Q63" s="526"/>
      <c r="R63" s="526"/>
      <c r="S63" s="526"/>
      <c r="T63" s="526"/>
      <c r="U63" s="387"/>
      <c r="V63" s="387"/>
      <c r="W63" s="387"/>
      <c r="X63" s="387"/>
      <c r="Y63" s="387"/>
      <c r="AF63"/>
      <c r="AG63"/>
      <c r="AH63" s="173"/>
      <c r="AI63" s="6" t="s">
        <v>48</v>
      </c>
      <c r="AJ63" s="8">
        <f>I60-M60</f>
        <v>-2.8272222222222219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  <c r="BO63" s="118"/>
      <c r="BP63" s="118"/>
      <c r="BQ63" s="118"/>
      <c r="BR63" s="118"/>
      <c r="BS63" s="118"/>
    </row>
    <row r="64" spans="2:71" ht="17.25" customHeight="1" thickTop="1" thickBot="1" x14ac:dyDescent="0.3">
      <c r="F64" s="379" t="e" cm="1">
        <f t="array" ref="F64">angleDecimal2Txt(F60)</f>
        <v>#VALUE!</v>
      </c>
      <c r="G64" s="379"/>
      <c r="H64" s="379"/>
      <c r="I64" s="379"/>
      <c r="J64" s="379"/>
      <c r="K64" s="379"/>
      <c r="AA64" s="101"/>
      <c r="AF64"/>
      <c r="AG64"/>
      <c r="AH64" s="173"/>
      <c r="AI64" s="6" t="s">
        <v>46</v>
      </c>
      <c r="AJ64" s="6">
        <f>AK59+(AJ61/AJ62)*AJ63</f>
        <v>-6.5254537037037039</v>
      </c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  <c r="BO64" s="118"/>
      <c r="BP64" s="118"/>
      <c r="BQ64" s="118"/>
      <c r="BR64" s="118"/>
      <c r="BS64" s="118"/>
    </row>
    <row r="65" spans="1:73" ht="17.25" customHeight="1" thickTop="1" x14ac:dyDescent="0.25">
      <c r="C65" s="144" t="s">
        <v>17</v>
      </c>
      <c r="D65" s="144"/>
      <c r="E65" s="145"/>
      <c r="F65" s="145"/>
      <c r="G65" s="101"/>
      <c r="H65" s="101"/>
      <c r="I65" s="101"/>
      <c r="AA65" s="101"/>
      <c r="AF65"/>
      <c r="AG65"/>
      <c r="AH65" s="173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  <c r="BO65" s="118"/>
      <c r="BP65" s="118"/>
      <c r="BQ65" s="118"/>
      <c r="BR65" s="118"/>
      <c r="BS65" s="118"/>
    </row>
    <row r="66" spans="1:73" ht="17.25" customHeight="1" x14ac:dyDescent="0.25">
      <c r="C66" s="101"/>
      <c r="D66" s="101"/>
      <c r="E66" s="101"/>
      <c r="F66" s="360" t="s">
        <v>10</v>
      </c>
      <c r="G66" s="360"/>
      <c r="H66" s="360"/>
      <c r="I66" s="360" t="s">
        <v>13</v>
      </c>
      <c r="J66" s="360"/>
      <c r="K66" s="360"/>
      <c r="L66" s="360"/>
      <c r="M66" s="361" t="s">
        <v>14</v>
      </c>
      <c r="N66" s="361"/>
      <c r="O66" s="361"/>
      <c r="P66" s="524" t="s">
        <v>19</v>
      </c>
      <c r="Q66" s="524"/>
      <c r="R66" s="524"/>
      <c r="S66" s="524"/>
      <c r="T66" s="524"/>
      <c r="U66" s="524" t="s">
        <v>310</v>
      </c>
      <c r="V66" s="524"/>
      <c r="W66" s="524"/>
      <c r="X66" s="524"/>
      <c r="Y66" s="524"/>
      <c r="AA66" s="101"/>
      <c r="AF66"/>
      <c r="AG66"/>
      <c r="AH66" s="173"/>
      <c r="AI66" s="6" t="s">
        <v>421</v>
      </c>
      <c r="AJ66" s="6">
        <f>VLOOKUP(P68,A16:C17,3)</f>
        <v>1</v>
      </c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  <c r="BO66" s="118"/>
      <c r="BP66" s="118"/>
      <c r="BQ66" s="118"/>
      <c r="BR66" s="118"/>
      <c r="BS66" s="118"/>
    </row>
    <row r="67" spans="1:73" ht="17.25" customHeight="1" x14ac:dyDescent="0.25">
      <c r="F67" s="360"/>
      <c r="G67" s="360"/>
      <c r="H67" s="360"/>
      <c r="I67" s="360"/>
      <c r="J67" s="360"/>
      <c r="K67" s="360"/>
      <c r="L67" s="360"/>
      <c r="M67" s="361"/>
      <c r="N67" s="361"/>
      <c r="O67" s="361"/>
      <c r="P67" s="524"/>
      <c r="Q67" s="524"/>
      <c r="R67" s="524"/>
      <c r="S67" s="524"/>
      <c r="T67" s="524"/>
      <c r="U67" s="524"/>
      <c r="V67" s="524"/>
      <c r="W67" s="524"/>
      <c r="X67" s="524"/>
      <c r="Y67" s="524"/>
      <c r="Z67" s="101"/>
      <c r="AA67" s="101"/>
      <c r="AF67"/>
      <c r="AG67"/>
      <c r="AH67" s="173"/>
      <c r="AI67" s="6" t="s">
        <v>422</v>
      </c>
      <c r="AJ67" s="6" cm="1">
        <f t="array" ref="AJ67">angleConvert2Decimal(Q68)*AJ66</f>
        <v>23.416666666666668</v>
      </c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  <c r="BO67" s="118"/>
      <c r="BP67" s="118"/>
      <c r="BQ67" s="118"/>
      <c r="BR67" s="118"/>
      <c r="BS67" s="118"/>
    </row>
    <row r="68" spans="1:73" ht="17.25" customHeight="1" x14ac:dyDescent="0.25">
      <c r="E68" s="118"/>
      <c r="F68" s="389">
        <f>IF(G56=AJ57,AJ70,"---")</f>
        <v>23.416622222222223</v>
      </c>
      <c r="G68" s="389"/>
      <c r="H68" s="389"/>
      <c r="I68" s="356">
        <f>AM52</f>
        <v>12.172777777777778</v>
      </c>
      <c r="J68" s="356"/>
      <c r="K68" s="356"/>
      <c r="L68" s="356"/>
      <c r="M68" s="358">
        <v>12.17</v>
      </c>
      <c r="N68" s="356"/>
      <c r="O68" s="356"/>
      <c r="P68" s="356" t="s">
        <v>4</v>
      </c>
      <c r="Q68" s="528" t="s">
        <v>543</v>
      </c>
      <c r="R68" s="356"/>
      <c r="S68" s="356"/>
      <c r="T68" s="356"/>
      <c r="U68" s="356" t="s">
        <v>5</v>
      </c>
      <c r="V68" s="528" t="s">
        <v>248</v>
      </c>
      <c r="W68" s="356"/>
      <c r="X68" s="356"/>
      <c r="Y68" s="356"/>
      <c r="Z68" s="101"/>
      <c r="AF68"/>
      <c r="AG68"/>
      <c r="AH68" s="173"/>
      <c r="AI68" s="6" t="s">
        <v>423</v>
      </c>
      <c r="AJ68" s="6">
        <f>VLOOKUP(U68,A16:C17,3)</f>
        <v>-1</v>
      </c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  <c r="BO68" s="118"/>
      <c r="BP68" s="118"/>
      <c r="BQ68" s="118"/>
      <c r="BR68" s="118"/>
      <c r="BS68" s="118"/>
    </row>
    <row r="69" spans="1:73" ht="17.25" customHeight="1" collapsed="1" thickBot="1" x14ac:dyDescent="0.3">
      <c r="F69" s="390"/>
      <c r="G69" s="390"/>
      <c r="H69" s="390"/>
      <c r="I69" s="357"/>
      <c r="J69" s="357"/>
      <c r="K69" s="357"/>
      <c r="L69" s="357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101"/>
      <c r="AF69"/>
      <c r="AG69"/>
      <c r="AH69" s="173"/>
      <c r="AI69" s="6" t="s">
        <v>424</v>
      </c>
      <c r="AJ69" s="6" cm="1">
        <f t="array" ref="AJ69">angleConvert2Decimal(V68)*AJ68</f>
        <v>-1.6E-2</v>
      </c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  <c r="BO69" s="118"/>
      <c r="BP69" s="118"/>
      <c r="BQ69" s="118"/>
      <c r="BR69" s="118"/>
      <c r="BS69" s="118"/>
    </row>
    <row r="70" spans="1:73" ht="17.25" customHeight="1" thickTop="1" thickBot="1" x14ac:dyDescent="0.3">
      <c r="F70" s="379" t="str" cm="1">
        <f t="array" ref="F70">angleDecimal2Txt(F68)</f>
        <v>+23°24.99 (+23.4166) [+23°24'59.83]</v>
      </c>
      <c r="G70" s="379"/>
      <c r="H70" s="379"/>
      <c r="I70" s="379"/>
      <c r="J70" s="379"/>
      <c r="K70" s="379"/>
      <c r="P70" s="379" t="str" cm="1">
        <f t="array" ref="P70">angleDecimal2Txt(AJ67)</f>
        <v>+23°25.00 (+23.4166) [+23°25'00.00]</v>
      </c>
      <c r="Q70" s="379"/>
      <c r="R70" s="379"/>
      <c r="S70" s="379"/>
      <c r="T70" s="379"/>
      <c r="U70" s="379" t="str" cm="1">
        <f t="array" ref="U70">angleDecimal2Txt(AJ69)</f>
        <v>-00°00.96 (-00.0160) [-00°00'57.60]</v>
      </c>
      <c r="V70" s="410"/>
      <c r="W70" s="410"/>
      <c r="X70" s="410"/>
      <c r="Y70" s="410"/>
      <c r="AF70"/>
      <c r="AG70"/>
      <c r="AH70" s="173"/>
      <c r="AI70" s="6" t="s">
        <v>425</v>
      </c>
      <c r="AJ70" s="6">
        <f>AJ67+AJ69*(I68-M68)</f>
        <v>23.416622222222223</v>
      </c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  <c r="BO70" s="118"/>
      <c r="BP70" s="118"/>
      <c r="BQ70" s="118"/>
      <c r="BR70" s="118"/>
      <c r="BS70" s="118"/>
    </row>
    <row r="71" spans="1:73" ht="17.25" customHeight="1" thickTop="1" x14ac:dyDescent="0.25">
      <c r="S71" s="101"/>
      <c r="T71" s="101"/>
      <c r="U71" s="101"/>
      <c r="V71" s="101"/>
      <c r="W71" s="101"/>
      <c r="X71" s="101"/>
      <c r="AF71"/>
      <c r="AG71"/>
      <c r="AH71" s="173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  <c r="BO71" s="118"/>
      <c r="BP71" s="118"/>
      <c r="BQ71" s="118"/>
      <c r="BR71" s="118"/>
      <c r="BS71" s="118"/>
    </row>
    <row r="72" spans="1:73" s="209" customFormat="1" ht="17.25" customHeight="1" thickBot="1" x14ac:dyDescent="0.25">
      <c r="A72" s="118"/>
      <c r="B72" s="118"/>
      <c r="C72" s="109"/>
      <c r="D72" s="109"/>
      <c r="Z72" s="118"/>
      <c r="AA72" s="118"/>
      <c r="AB72" s="118"/>
      <c r="AC72" s="118"/>
      <c r="AD72" s="118"/>
      <c r="AE72" s="118"/>
      <c r="AF72" s="118"/>
      <c r="AG72" s="118"/>
      <c r="AH72" s="228"/>
      <c r="BT72" s="118"/>
      <c r="BU72" s="118"/>
    </row>
    <row r="73" spans="1:73" s="209" customFormat="1" ht="17.25" customHeight="1" thickBot="1" x14ac:dyDescent="0.25">
      <c r="A73" s="118"/>
      <c r="B73" s="135" t="s">
        <v>470</v>
      </c>
      <c r="C73" s="189"/>
      <c r="D73" s="189"/>
      <c r="E73" s="189"/>
      <c r="F73" s="857"/>
      <c r="G73" s="857"/>
      <c r="H73" s="857"/>
      <c r="I73" s="136"/>
      <c r="J73" s="858"/>
      <c r="K73" s="858"/>
      <c r="L73" s="858"/>
      <c r="M73" s="859"/>
      <c r="N73" s="859"/>
      <c r="O73" s="859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228"/>
      <c r="BO73" s="118"/>
      <c r="BP73" s="118"/>
    </row>
    <row r="74" spans="1:73" s="209" customFormat="1" ht="17.25" customHeight="1" collapsed="1" thickTop="1" x14ac:dyDescent="0.2">
      <c r="A74" s="118"/>
      <c r="B74" s="118"/>
      <c r="C74" s="918" t="s">
        <v>471</v>
      </c>
      <c r="D74" s="919"/>
      <c r="E74" s="919"/>
      <c r="F74" s="919"/>
      <c r="G74" s="919"/>
      <c r="H74" s="920"/>
      <c r="I74" s="709" t="s">
        <v>544</v>
      </c>
      <c r="J74" s="709"/>
      <c r="K74" s="709"/>
      <c r="L74" s="710"/>
      <c r="M74" s="713" cm="1">
        <f t="array" ref="M74">angleConvert2Decimal(I74)</f>
        <v>63.116666666666667</v>
      </c>
      <c r="N74" s="713"/>
      <c r="O74" s="713"/>
      <c r="P74" s="713"/>
      <c r="Q74" s="714" t="str" cm="1">
        <f t="array" ref="Q74">angleDecimal2Txt(M74)</f>
        <v>+63°07.00 (+63.1166) [+63°07'00.00]</v>
      </c>
      <c r="R74" s="715"/>
      <c r="S74" s="715"/>
      <c r="T74" s="715"/>
      <c r="U74" s="715"/>
      <c r="V74" s="715"/>
      <c r="W74" s="715"/>
      <c r="X74" s="716"/>
      <c r="Y74" s="118"/>
      <c r="Z74" s="118"/>
      <c r="AA74" s="118"/>
      <c r="AB74" s="118"/>
      <c r="AC74" s="118"/>
      <c r="AD74" s="118"/>
      <c r="AE74" s="118"/>
      <c r="AF74" s="118"/>
      <c r="AG74" s="118"/>
      <c r="AH74" s="228"/>
      <c r="BO74" s="118"/>
      <c r="BP74" s="118"/>
    </row>
    <row r="75" spans="1:73" s="209" customFormat="1" ht="17.25" customHeight="1" thickBot="1" x14ac:dyDescent="0.25">
      <c r="A75" s="118"/>
      <c r="B75" s="118"/>
      <c r="C75" s="921"/>
      <c r="D75" s="922"/>
      <c r="E75" s="922"/>
      <c r="F75" s="922"/>
      <c r="G75" s="922"/>
      <c r="H75" s="923"/>
      <c r="I75" s="711"/>
      <c r="J75" s="711"/>
      <c r="K75" s="711"/>
      <c r="L75" s="712"/>
      <c r="M75" s="713"/>
      <c r="N75" s="713"/>
      <c r="O75" s="713"/>
      <c r="P75" s="713"/>
      <c r="Q75" s="717"/>
      <c r="R75" s="718"/>
      <c r="S75" s="718"/>
      <c r="T75" s="718"/>
      <c r="U75" s="718"/>
      <c r="V75" s="718"/>
      <c r="W75" s="718"/>
      <c r="X75" s="719"/>
      <c r="Y75" s="118"/>
      <c r="Z75" s="118"/>
      <c r="AA75" s="118"/>
      <c r="AB75" s="118"/>
      <c r="AC75" s="118"/>
      <c r="AD75" s="118"/>
      <c r="AE75" s="118"/>
      <c r="AF75" s="118"/>
      <c r="AG75" s="118"/>
      <c r="AH75" s="228"/>
      <c r="BO75" s="118"/>
      <c r="BP75" s="118"/>
    </row>
    <row r="76" spans="1:73" ht="18" customHeight="1" thickTop="1" x14ac:dyDescent="0.25">
      <c r="C76" s="924" t="s">
        <v>128</v>
      </c>
      <c r="D76" s="925"/>
      <c r="E76" s="925"/>
      <c r="F76" s="925"/>
      <c r="G76" s="925"/>
      <c r="H76" s="925"/>
      <c r="I76" s="399" t="str">
        <f>M76</f>
        <v>BordInf</v>
      </c>
      <c r="J76" s="399"/>
      <c r="K76" s="399"/>
      <c r="L76" s="399"/>
      <c r="M76" s="509" t="s">
        <v>129</v>
      </c>
      <c r="N76" s="509"/>
      <c r="O76" s="509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AH76" s="173"/>
      <c r="AI76" s="181" t="s">
        <v>436</v>
      </c>
      <c r="AJ76" s="182" t="s">
        <v>40</v>
      </c>
      <c r="AK76" s="182" t="s">
        <v>41</v>
      </c>
      <c r="AL76" s="182" t="s">
        <v>39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  <c r="BO76" s="118"/>
      <c r="BP76" s="118"/>
      <c r="BQ76" s="118"/>
      <c r="BR76" s="118"/>
      <c r="BS76" s="118"/>
    </row>
    <row r="77" spans="1:73" ht="17.25" customHeight="1" x14ac:dyDescent="0.25">
      <c r="C77" s="273" t="s">
        <v>389</v>
      </c>
      <c r="D77" s="274"/>
      <c r="E77" s="137"/>
      <c r="F77" s="137"/>
      <c r="G77" s="137"/>
      <c r="H77" s="137"/>
      <c r="I77" s="668" cm="1">
        <f t="array" ref="I77">angleConvert2Decimal(M77)</f>
        <v>0</v>
      </c>
      <c r="J77" s="668"/>
      <c r="K77" s="668"/>
      <c r="L77" s="668"/>
      <c r="M77" s="483" t="str">
        <f>P79</f>
        <v>0.173'</v>
      </c>
      <c r="N77" s="484"/>
      <c r="O77" s="484"/>
      <c r="P77" s="489" t="s">
        <v>175</v>
      </c>
      <c r="Q77" s="489"/>
      <c r="R77" s="489"/>
      <c r="S77" s="101"/>
      <c r="T77" s="101"/>
      <c r="U77" s="101"/>
      <c r="V77" s="101"/>
      <c r="W77" s="101"/>
      <c r="X77" s="101"/>
      <c r="Y77" s="101"/>
      <c r="AH77" s="173"/>
      <c r="AI77" s="181" t="s">
        <v>177</v>
      </c>
      <c r="AJ77" s="183" t="s">
        <v>178</v>
      </c>
      <c r="AK77" s="183" t="s">
        <v>179</v>
      </c>
      <c r="AL77" s="183" t="s">
        <v>149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134"/>
      <c r="BO77" s="118"/>
      <c r="BP77" s="118"/>
      <c r="BQ77" s="118"/>
      <c r="BR77" s="118"/>
      <c r="BS77" s="118"/>
    </row>
    <row r="78" spans="1:73" ht="17.25" customHeight="1" thickBot="1" x14ac:dyDescent="0.3">
      <c r="C78" s="139"/>
      <c r="D78" s="926" t="s">
        <v>390</v>
      </c>
      <c r="E78" s="926"/>
      <c r="F78" s="926"/>
      <c r="G78" s="926"/>
      <c r="H78" s="926"/>
      <c r="I78" s="668"/>
      <c r="J78" s="668"/>
      <c r="K78" s="668"/>
      <c r="L78" s="668"/>
      <c r="M78" s="485"/>
      <c r="N78" s="486"/>
      <c r="O78" s="486"/>
      <c r="P78" s="489"/>
      <c r="Q78" s="489"/>
      <c r="R78" s="489"/>
      <c r="S78" s="101"/>
      <c r="T78" s="101"/>
      <c r="U78" s="101"/>
      <c r="V78" s="101"/>
      <c r="W78" s="101"/>
      <c r="X78" s="101"/>
      <c r="Y78" s="101"/>
      <c r="AH78" s="173"/>
      <c r="AI78" s="181" t="s">
        <v>181</v>
      </c>
      <c r="AJ78" s="183" t="s">
        <v>178</v>
      </c>
      <c r="AK78" s="183" t="s">
        <v>182</v>
      </c>
      <c r="AL78" s="183" t="s">
        <v>148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134"/>
      <c r="BO78" s="118"/>
      <c r="BP78" s="118"/>
      <c r="BQ78" s="118"/>
      <c r="BR78" s="118"/>
      <c r="BS78" s="118"/>
    </row>
    <row r="79" spans="1:73" ht="17.25" customHeight="1" thickTop="1" thickBot="1" x14ac:dyDescent="0.3">
      <c r="C79" s="139"/>
      <c r="D79" s="926"/>
      <c r="E79" s="926"/>
      <c r="F79" s="926"/>
      <c r="G79" s="926"/>
      <c r="H79" s="926"/>
      <c r="I79" s="668"/>
      <c r="J79" s="668"/>
      <c r="K79" s="668"/>
      <c r="L79" s="668"/>
      <c r="M79" s="485"/>
      <c r="N79" s="486"/>
      <c r="O79" s="486"/>
      <c r="P79" s="518" t="str">
        <f>HLOOKUP("Soleil",AJ76:AL78,2,FALSE)</f>
        <v>0.173'</v>
      </c>
      <c r="Q79" s="518"/>
      <c r="R79" s="518"/>
      <c r="S79" s="516" t="str" cm="1">
        <f t="array" ref="S79">angleDecimal2Txt(angleConvert2Decimal(P79))</f>
        <v>+00°00.00 (+00.0000) [+00°00'00.00]</v>
      </c>
      <c r="T79" s="516"/>
      <c r="U79" s="516"/>
      <c r="V79" s="516"/>
      <c r="W79" s="516"/>
      <c r="X79" s="517"/>
      <c r="Y79" s="101"/>
      <c r="AG79"/>
      <c r="AH79" s="173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134"/>
      <c r="BO79" s="118"/>
      <c r="BP79" s="118"/>
      <c r="BQ79" s="118"/>
      <c r="BR79" s="118"/>
      <c r="BS79" s="118"/>
    </row>
    <row r="80" spans="1:73" ht="17.25" customHeight="1" thickTop="1" thickBot="1" x14ac:dyDescent="0.3">
      <c r="C80" s="140"/>
      <c r="D80" s="927"/>
      <c r="E80" s="927"/>
      <c r="F80" s="927"/>
      <c r="G80" s="927"/>
      <c r="H80" s="927"/>
      <c r="I80" s="668"/>
      <c r="J80" s="668"/>
      <c r="K80" s="668"/>
      <c r="L80" s="668"/>
      <c r="M80" s="487"/>
      <c r="N80" s="488"/>
      <c r="O80" s="488"/>
      <c r="P80" s="512" t="str" cm="1">
        <f t="array" ref="P80">angleDecimal2Txt(I77)</f>
        <v>+00°00.00 (+00.0000) [+00°00'00.00]</v>
      </c>
      <c r="Q80" s="512"/>
      <c r="R80" s="512"/>
      <c r="S80" s="379"/>
      <c r="T80" s="379"/>
      <c r="U80" s="379"/>
      <c r="V80" s="379"/>
      <c r="W80" s="379"/>
      <c r="X80" s="379"/>
      <c r="Y80" s="101"/>
      <c r="AG80"/>
      <c r="AH80" s="173"/>
      <c r="AI80" s="181" t="s">
        <v>176</v>
      </c>
      <c r="AJ80" s="182" t="s">
        <v>129</v>
      </c>
      <c r="AK80" s="182" t="s">
        <v>434</v>
      </c>
      <c r="AL80" s="182" t="s">
        <v>130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34"/>
      <c r="BO80" s="118"/>
      <c r="BP80" s="118"/>
      <c r="BQ80" s="118"/>
      <c r="BR80" s="118"/>
      <c r="BS80" s="118"/>
    </row>
    <row r="81" spans="1:71" ht="17.25" customHeight="1" thickTop="1" x14ac:dyDescent="0.25">
      <c r="C81" s="928" t="s">
        <v>180</v>
      </c>
      <c r="D81" s="929"/>
      <c r="E81" s="929"/>
      <c r="F81" s="929"/>
      <c r="G81" s="929"/>
      <c r="H81" s="929"/>
      <c r="I81" s="668" cm="1">
        <f t="array" ref="I81">angleConvert2Decimal(M81)</f>
        <v>0.53333333333333333</v>
      </c>
      <c r="J81" s="668"/>
      <c r="K81" s="668"/>
      <c r="L81" s="668"/>
      <c r="M81" s="483" t="str">
        <f>P83</f>
        <v>32'</v>
      </c>
      <c r="N81" s="484"/>
      <c r="O81" s="484"/>
      <c r="P81" s="489" t="s">
        <v>175</v>
      </c>
      <c r="Q81" s="489"/>
      <c r="R81" s="489"/>
      <c r="S81" s="101"/>
      <c r="T81" s="101"/>
      <c r="U81" s="101"/>
      <c r="V81" s="101"/>
      <c r="W81" s="101"/>
      <c r="X81" s="101"/>
      <c r="Y81" s="101"/>
      <c r="AG81"/>
      <c r="AH81" s="173"/>
      <c r="AI81" s="181" t="s">
        <v>435</v>
      </c>
      <c r="AJ81" s="184">
        <v>0</v>
      </c>
      <c r="AK81" s="184">
        <v>-1</v>
      </c>
      <c r="AL81" s="184">
        <v>-0.5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34"/>
      <c r="BO81" s="118"/>
      <c r="BP81" s="118"/>
      <c r="BQ81" s="118"/>
      <c r="BR81" s="118"/>
      <c r="BS81" s="118"/>
    </row>
    <row r="82" spans="1:71" ht="17.25" customHeight="1" thickBot="1" x14ac:dyDescent="0.3">
      <c r="C82" s="930"/>
      <c r="D82" s="931"/>
      <c r="E82" s="931"/>
      <c r="F82" s="931"/>
      <c r="G82" s="931"/>
      <c r="H82" s="931"/>
      <c r="I82" s="668"/>
      <c r="J82" s="668"/>
      <c r="K82" s="668"/>
      <c r="L82" s="668"/>
      <c r="M82" s="485"/>
      <c r="N82" s="486"/>
      <c r="O82" s="486"/>
      <c r="P82" s="489"/>
      <c r="Q82" s="489"/>
      <c r="R82" s="489"/>
      <c r="S82" s="101"/>
      <c r="T82" s="101"/>
      <c r="U82" s="101"/>
      <c r="V82" s="101"/>
      <c r="W82" s="101"/>
      <c r="X82" s="101"/>
      <c r="Y82" s="101"/>
      <c r="AG82"/>
      <c r="AH82" s="173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34"/>
      <c r="BO82" s="118"/>
      <c r="BP82" s="118"/>
      <c r="BQ82" s="118"/>
      <c r="BR82" s="118"/>
      <c r="BS82" s="118"/>
    </row>
    <row r="83" spans="1:71" ht="17.25" customHeight="1" thickTop="1" thickBot="1" x14ac:dyDescent="0.3">
      <c r="C83" s="930"/>
      <c r="D83" s="931"/>
      <c r="E83" s="931"/>
      <c r="F83" s="931"/>
      <c r="G83" s="931"/>
      <c r="H83" s="931"/>
      <c r="I83" s="668"/>
      <c r="J83" s="668"/>
      <c r="K83" s="668"/>
      <c r="L83" s="668"/>
      <c r="M83" s="485"/>
      <c r="N83" s="486"/>
      <c r="O83" s="486"/>
      <c r="P83" s="518" t="str">
        <f>HLOOKUP("Soleil",AJ76:AL78,3,FALSE)</f>
        <v>32'</v>
      </c>
      <c r="Q83" s="518"/>
      <c r="R83" s="518"/>
      <c r="S83" s="516" t="str" cm="1">
        <f t="array" ref="S83">angleDecimal2Txt(angleConvert2Decimal(P83))</f>
        <v>+00°32.00 (+00.5333) [+00°32'00.00]</v>
      </c>
      <c r="T83" s="516"/>
      <c r="U83" s="516"/>
      <c r="V83" s="516"/>
      <c r="W83" s="516"/>
      <c r="X83" s="517"/>
      <c r="Y83" s="101"/>
      <c r="AG83"/>
      <c r="AH83" s="17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34"/>
      <c r="BO83" s="118"/>
      <c r="BP83" s="118"/>
      <c r="BQ83" s="118"/>
      <c r="BR83" s="118"/>
      <c r="BS83" s="118"/>
    </row>
    <row r="84" spans="1:71" ht="17.25" customHeight="1" thickTop="1" thickBot="1" x14ac:dyDescent="0.3">
      <c r="C84" s="932"/>
      <c r="D84" s="933"/>
      <c r="E84" s="933"/>
      <c r="F84" s="933"/>
      <c r="G84" s="933"/>
      <c r="H84" s="933"/>
      <c r="I84" s="668"/>
      <c r="J84" s="668"/>
      <c r="K84" s="668"/>
      <c r="L84" s="668"/>
      <c r="M84" s="487"/>
      <c r="N84" s="488"/>
      <c r="O84" s="488"/>
      <c r="P84" s="512" t="str" cm="1">
        <f t="array" ref="P84">angleDecimal2Txt(I81)</f>
        <v>+00°32.00 (+00.5333) [+00°32'00.00]</v>
      </c>
      <c r="Q84" s="512"/>
      <c r="R84" s="512"/>
      <c r="S84" s="379"/>
      <c r="T84" s="379"/>
      <c r="U84" s="379"/>
      <c r="V84" s="379"/>
      <c r="W84" s="379"/>
      <c r="X84" s="379"/>
      <c r="Y84" s="101"/>
      <c r="AG84"/>
      <c r="AH84" s="173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34"/>
      <c r="BO84" s="118"/>
      <c r="BP84" s="118"/>
      <c r="BQ84" s="118"/>
      <c r="BR84" s="118"/>
      <c r="BS84" s="118"/>
    </row>
    <row r="85" spans="1:71" s="209" customFormat="1" ht="17.25" customHeight="1" thickTop="1" x14ac:dyDescent="0.25">
      <c r="A85" s="118"/>
      <c r="B85" s="118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18"/>
      <c r="Z85" s="118"/>
      <c r="AA85" s="118"/>
      <c r="AB85" s="118"/>
      <c r="AC85" s="118"/>
      <c r="AD85" s="118"/>
      <c r="AE85" s="118"/>
      <c r="AF85" s="118"/>
      <c r="AG85" s="118"/>
      <c r="AH85" s="228"/>
      <c r="AI85"/>
      <c r="AJ85"/>
      <c r="BO85" s="118"/>
      <c r="BP85" s="118"/>
    </row>
    <row r="86" spans="1:71" s="209" customFormat="1" ht="17.25" customHeight="1" x14ac:dyDescent="0.25">
      <c r="A86" s="118"/>
      <c r="B86" s="118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18"/>
      <c r="Z86" s="118"/>
      <c r="AA86" s="118"/>
      <c r="AB86" s="118"/>
      <c r="AC86" s="118"/>
      <c r="AD86" s="118"/>
      <c r="AE86" s="118"/>
      <c r="AF86" s="118"/>
      <c r="AG86" s="118"/>
      <c r="AH86" s="228"/>
      <c r="AI86"/>
      <c r="AJ86"/>
      <c r="BO86" s="118"/>
      <c r="BP86" s="118"/>
    </row>
    <row r="87" spans="1:71" s="209" customFormat="1" ht="17.25" customHeight="1" x14ac:dyDescent="0.25">
      <c r="A87" s="118"/>
      <c r="B87" s="118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18"/>
      <c r="Z87" s="118"/>
      <c r="AA87" s="118"/>
      <c r="AB87" s="118"/>
      <c r="AC87" s="118"/>
      <c r="AD87" s="118"/>
      <c r="AE87" s="118"/>
      <c r="AF87" s="118"/>
      <c r="AG87" s="118"/>
      <c r="AH87" s="228"/>
      <c r="AI87" s="916" t="s">
        <v>45</v>
      </c>
      <c r="AJ87" s="237" t="s">
        <v>61</v>
      </c>
      <c r="BO87" s="118"/>
      <c r="BP87" s="118"/>
    </row>
    <row r="88" spans="1:71" s="209" customFormat="1" ht="17.25" customHeight="1" thickBot="1" x14ac:dyDescent="0.25">
      <c r="A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H88" s="228"/>
      <c r="AI88" s="917"/>
      <c r="AJ88" s="237" t="s">
        <v>62</v>
      </c>
      <c r="BO88" s="118"/>
      <c r="BP88" s="118"/>
    </row>
    <row r="89" spans="1:71" s="209" customFormat="1" ht="17.25" customHeight="1" thickBot="1" x14ac:dyDescent="0.25">
      <c r="A89" s="118"/>
      <c r="B89" s="135" t="s">
        <v>26</v>
      </c>
      <c r="C89" s="136"/>
      <c r="D89" s="378" t="s">
        <v>145</v>
      </c>
      <c r="E89" s="393"/>
      <c r="F89" s="791">
        <f>IF(G90=AJ87,O127,O119)</f>
        <v>62.99962319343242</v>
      </c>
      <c r="G89" s="791"/>
      <c r="H89" s="791"/>
      <c r="I89" s="136"/>
      <c r="J89" s="136" t="str" cm="1">
        <f t="array" ref="J89">angleDecimal2Txt(F89)</f>
        <v>+62°59.97 (+62.9996) [+62°59'58.64]</v>
      </c>
      <c r="K89" s="136"/>
      <c r="L89" s="136"/>
      <c r="M89" s="136"/>
      <c r="N89" s="136"/>
      <c r="O89" s="136"/>
      <c r="P89" s="172"/>
      <c r="Q89" s="136" t="s">
        <v>172</v>
      </c>
      <c r="R89" s="136"/>
      <c r="S89" s="900">
        <f>-O106+O101+O110</f>
        <v>-8.4434732342498799E-3</v>
      </c>
      <c r="T89" s="901"/>
      <c r="U89" s="902"/>
      <c r="V89" s="897" t="str" cm="1">
        <f t="array" ref="V89">angleDecimal2Txt(S89)</f>
        <v>-00°00.50 (-00.0084) [-00°00'30.39]</v>
      </c>
      <c r="W89" s="898"/>
      <c r="X89" s="898"/>
      <c r="Y89" s="898"/>
      <c r="Z89" s="899"/>
      <c r="AA89" s="248"/>
      <c r="AB89" s="248"/>
      <c r="AC89" s="248"/>
      <c r="AD89" s="248"/>
      <c r="AE89" s="248"/>
      <c r="AF89" s="248"/>
      <c r="AG89" s="136"/>
      <c r="AH89" s="228"/>
      <c r="BO89" s="118"/>
      <c r="BP89" s="118"/>
    </row>
    <row r="90" spans="1:71" s="209" customFormat="1" ht="17.25" customHeight="1" x14ac:dyDescent="0.2">
      <c r="A90" s="118"/>
      <c r="B90" s="118"/>
      <c r="C90" s="375" t="s">
        <v>44</v>
      </c>
      <c r="D90" s="375"/>
      <c r="E90" s="375"/>
      <c r="F90" s="375"/>
      <c r="G90" s="861" t="s">
        <v>62</v>
      </c>
      <c r="H90" s="861"/>
      <c r="I90" s="861"/>
      <c r="J90" s="118"/>
      <c r="K90" s="118"/>
      <c r="L90" s="118"/>
      <c r="M90" s="118"/>
      <c r="N90" s="118"/>
      <c r="O90" s="118"/>
      <c r="P90" s="118" t="s">
        <v>142</v>
      </c>
      <c r="Q90" s="118"/>
      <c r="R90" s="118"/>
      <c r="S90" s="118"/>
      <c r="T90" s="118"/>
      <c r="U90" s="118"/>
      <c r="AG90" s="118"/>
      <c r="AH90" s="228"/>
      <c r="AI90" s="246" t="s">
        <v>131</v>
      </c>
      <c r="AJ90" s="250">
        <f>O93</f>
        <v>0.05</v>
      </c>
      <c r="BO90" s="118"/>
      <c r="BP90" s="118"/>
    </row>
    <row r="91" spans="1:71" s="209" customFormat="1" ht="17.25" customHeight="1" thickBot="1" x14ac:dyDescent="0.25">
      <c r="A91" s="118"/>
      <c r="B91" s="118"/>
      <c r="C91" s="219"/>
      <c r="D91" s="219"/>
      <c r="E91" s="219"/>
      <c r="F91" s="742" t="s">
        <v>134</v>
      </c>
      <c r="G91" s="742"/>
      <c r="H91" s="786"/>
      <c r="I91" s="786"/>
      <c r="J91" s="787">
        <f>IF(G90=AJ87,"---",O119)</f>
        <v>62.99962319343242</v>
      </c>
      <c r="K91" s="787"/>
      <c r="L91" s="787"/>
      <c r="M91" s="118"/>
      <c r="N91" s="118"/>
      <c r="O91" s="118"/>
      <c r="P91" s="118"/>
      <c r="Q91" s="118"/>
      <c r="R91" s="118"/>
      <c r="S91" s="118"/>
      <c r="T91" s="118"/>
      <c r="U91" s="118"/>
      <c r="AG91" s="118"/>
      <c r="AH91" s="228"/>
      <c r="AI91" s="246" t="s">
        <v>56</v>
      </c>
      <c r="AJ91" s="246">
        <f>J8</f>
        <v>4</v>
      </c>
      <c r="BO91" s="118"/>
      <c r="BP91" s="118"/>
    </row>
    <row r="92" spans="1:71" s="209" customFormat="1" ht="17.25" customHeight="1" thickTop="1" thickBot="1" x14ac:dyDescent="0.25">
      <c r="A92" s="118"/>
      <c r="B92" s="118"/>
      <c r="C92" s="118"/>
      <c r="D92" s="118"/>
      <c r="E92" s="118"/>
      <c r="F92" s="118"/>
      <c r="G92" s="118"/>
      <c r="H92" s="860" t="s">
        <v>57</v>
      </c>
      <c r="I92" s="860"/>
      <c r="J92" s="860"/>
      <c r="K92" s="860"/>
      <c r="L92" s="860"/>
      <c r="M92" s="860"/>
      <c r="N92" s="860"/>
      <c r="O92" s="729">
        <f>M74</f>
        <v>63.116666666666667</v>
      </c>
      <c r="P92" s="729"/>
      <c r="Q92" s="729"/>
      <c r="R92" s="729"/>
      <c r="S92" s="118" t="s">
        <v>100</v>
      </c>
      <c r="T92" s="118"/>
      <c r="U92" s="721" t="str" cm="1">
        <f t="array" ref="U92">angleDecimal2Txt(O92)</f>
        <v>+63°07.00 (+63.1166) [+63°07'00.00]</v>
      </c>
      <c r="V92" s="722"/>
      <c r="W92" s="722"/>
      <c r="X92" s="722"/>
      <c r="Y92" s="722"/>
      <c r="Z92" s="723"/>
      <c r="AA92" s="249"/>
      <c r="AB92" s="249"/>
      <c r="AC92" s="249"/>
      <c r="AD92" s="249"/>
      <c r="AE92" s="249"/>
      <c r="AF92" s="249"/>
      <c r="AG92" s="118"/>
      <c r="AH92" s="228"/>
      <c r="AI92" s="251" t="s">
        <v>139</v>
      </c>
      <c r="AJ92" s="246">
        <f>0.0293 * SQRT(AJ91)</f>
        <v>5.8599999999999999E-2</v>
      </c>
      <c r="BO92" s="118"/>
      <c r="BP92" s="118"/>
    </row>
    <row r="93" spans="1:71" s="209" customFormat="1" ht="17.25" customHeight="1" thickTop="1" thickBot="1" x14ac:dyDescent="0.25">
      <c r="A93" s="118"/>
      <c r="B93" s="118"/>
      <c r="C93" s="118"/>
      <c r="D93" s="118"/>
      <c r="E93" s="118"/>
      <c r="F93" s="118"/>
      <c r="G93" s="118"/>
      <c r="H93" s="860" t="s">
        <v>27</v>
      </c>
      <c r="I93" s="860"/>
      <c r="J93" s="860"/>
      <c r="K93" s="860"/>
      <c r="L93" s="860"/>
      <c r="M93" s="860"/>
      <c r="N93" s="860"/>
      <c r="O93" s="729">
        <f>J9</f>
        <v>0.05</v>
      </c>
      <c r="P93" s="729"/>
      <c r="Q93" s="729"/>
      <c r="R93" s="729"/>
      <c r="S93" s="118" t="s">
        <v>100</v>
      </c>
      <c r="T93" s="118"/>
      <c r="U93" s="721" t="str" cm="1">
        <f t="array" ref="U93">angleDecimal2Txt(O93)</f>
        <v>+00°03.00 (+00.0500) [+00°03'00.00]</v>
      </c>
      <c r="V93" s="722"/>
      <c r="W93" s="722"/>
      <c r="X93" s="722"/>
      <c r="Y93" s="722"/>
      <c r="Z93" s="723"/>
      <c r="AA93" s="249"/>
      <c r="AB93" s="249"/>
      <c r="AC93" s="249"/>
      <c r="AD93" s="249"/>
      <c r="AE93" s="249"/>
      <c r="AF93" s="249"/>
      <c r="AG93" s="118"/>
      <c r="AH93" s="238"/>
    </row>
    <row r="94" spans="1:71" ht="17.25" customHeight="1" thickTop="1" thickBot="1" x14ac:dyDescent="0.25">
      <c r="G94" s="118"/>
      <c r="H94" s="781" t="s">
        <v>140</v>
      </c>
      <c r="I94" s="781"/>
      <c r="J94" s="781"/>
      <c r="K94" s="781"/>
      <c r="L94" s="781"/>
      <c r="M94" s="781"/>
      <c r="N94" s="781"/>
      <c r="O94" s="760">
        <f>AJ92</f>
        <v>5.8599999999999999E-2</v>
      </c>
      <c r="P94" s="760"/>
      <c r="Q94" s="760"/>
      <c r="R94" s="760"/>
      <c r="S94" s="118" t="s">
        <v>100</v>
      </c>
      <c r="U94" s="721" t="str" cm="1">
        <f t="array" ref="U94">angleDecimal2Txt(O94)</f>
        <v>+00°03.51 (+00.0586) [+00°03'30.96]</v>
      </c>
      <c r="V94" s="722"/>
      <c r="W94" s="722"/>
      <c r="X94" s="722"/>
      <c r="Y94" s="722"/>
      <c r="Z94" s="723"/>
      <c r="AA94" s="249"/>
      <c r="AB94" s="249"/>
      <c r="AC94" s="249"/>
      <c r="AD94" s="249"/>
      <c r="AE94" s="249"/>
      <c r="AF94" s="249"/>
      <c r="BO94" s="118"/>
      <c r="BP94" s="118"/>
      <c r="BQ94" s="118"/>
      <c r="BR94" s="118"/>
      <c r="BS94" s="118"/>
    </row>
    <row r="95" spans="1:71" ht="17.25" customHeight="1" thickTop="1" thickBot="1" x14ac:dyDescent="0.25">
      <c r="A95" s="209"/>
      <c r="K95" s="209"/>
      <c r="L95" s="209"/>
      <c r="M95" s="782" t="s">
        <v>253</v>
      </c>
      <c r="N95" s="782"/>
      <c r="O95" s="782"/>
      <c r="P95" s="782"/>
      <c r="Q95" s="209"/>
      <c r="R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H95" s="239"/>
      <c r="BO95" s="118"/>
      <c r="BP95" s="118"/>
      <c r="BQ95" s="118"/>
      <c r="BR95" s="118"/>
      <c r="BS95" s="118"/>
    </row>
    <row r="96" spans="1:71" ht="17.25" customHeight="1" thickTop="1" thickBot="1" x14ac:dyDescent="0.25">
      <c r="G96" s="118"/>
      <c r="H96" s="783" t="s">
        <v>58</v>
      </c>
      <c r="I96" s="783"/>
      <c r="J96" s="783"/>
      <c r="K96" s="783"/>
      <c r="L96" s="783"/>
      <c r="M96" s="783"/>
      <c r="N96" s="783"/>
      <c r="O96" s="784">
        <f>O92-O93-O94</f>
        <v>63.008066666666672</v>
      </c>
      <c r="P96" s="727"/>
      <c r="Q96" s="118" t="s">
        <v>100</v>
      </c>
      <c r="R96" s="785">
        <f>O96*D141</f>
        <v>1.099698218649422</v>
      </c>
      <c r="S96" s="785"/>
      <c r="T96" s="147" t="s">
        <v>136</v>
      </c>
      <c r="U96" s="721" t="str" cm="1">
        <f t="array" ref="U96">angleDecimal2Txt(O96)</f>
        <v>+63°00.48 (+63.0080) [+63°00'29.04]</v>
      </c>
      <c r="V96" s="722"/>
      <c r="W96" s="722"/>
      <c r="X96" s="722"/>
      <c r="Y96" s="722"/>
      <c r="Z96" s="723"/>
      <c r="AA96" s="249"/>
      <c r="AB96" s="249"/>
      <c r="AC96" s="249"/>
      <c r="AD96" s="249"/>
      <c r="AE96" s="249"/>
      <c r="AF96" s="249"/>
      <c r="BO96" s="118"/>
      <c r="BP96" s="118"/>
      <c r="BQ96" s="118"/>
      <c r="BR96" s="118"/>
      <c r="BS96" s="118"/>
    </row>
    <row r="97" spans="1:71" ht="17.25" customHeight="1" thickTop="1" thickBot="1" x14ac:dyDescent="0.25">
      <c r="C97" s="118"/>
      <c r="D97" s="118"/>
      <c r="E97" s="118"/>
      <c r="F97" s="118"/>
      <c r="G97" s="118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U97" s="209"/>
      <c r="V97" s="209"/>
      <c r="W97" s="209"/>
      <c r="X97" s="209"/>
      <c r="Y97" s="209"/>
      <c r="Z97" s="209"/>
      <c r="AA97" s="209"/>
      <c r="AB97" s="209"/>
      <c r="AC97" s="209"/>
      <c r="AD97" s="209"/>
      <c r="AE97" s="209"/>
      <c r="AF97" s="209"/>
      <c r="AH97" s="238"/>
      <c r="AI97" s="246" t="s">
        <v>429</v>
      </c>
      <c r="AJ97" s="246">
        <f>O100*COS(R96)*0</f>
        <v>0</v>
      </c>
      <c r="BO97" s="118"/>
      <c r="BP97" s="118"/>
      <c r="BQ97" s="118"/>
      <c r="BR97" s="118"/>
      <c r="BS97" s="118"/>
    </row>
    <row r="98" spans="1:71" ht="17.25" customHeight="1" x14ac:dyDescent="0.2">
      <c r="G98" s="118"/>
      <c r="H98" s="209"/>
      <c r="I98" s="209"/>
      <c r="J98" s="209"/>
      <c r="K98" s="209"/>
      <c r="L98" s="209"/>
      <c r="M98" s="792" t="s">
        <v>133</v>
      </c>
      <c r="N98" s="792"/>
      <c r="O98" s="792"/>
      <c r="P98" s="792"/>
      <c r="Q98" s="209"/>
      <c r="R98" s="209"/>
      <c r="U98" s="209"/>
      <c r="V98" s="209"/>
      <c r="W98" s="209"/>
      <c r="X98" s="209"/>
      <c r="Y98" s="209"/>
      <c r="Z98" s="209"/>
      <c r="AA98" s="209"/>
      <c r="AB98" s="209"/>
      <c r="AC98" s="209"/>
      <c r="AD98" s="209"/>
      <c r="AE98" s="209"/>
      <c r="AF98" s="209"/>
      <c r="BO98" s="118"/>
      <c r="BP98" s="118"/>
      <c r="BQ98" s="118"/>
      <c r="BR98" s="118"/>
      <c r="BS98" s="118"/>
    </row>
    <row r="99" spans="1:71" ht="17.25" customHeight="1" thickBot="1" x14ac:dyDescent="0.25">
      <c r="C99" s="118"/>
      <c r="D99" s="118"/>
      <c r="E99" s="118"/>
      <c r="F99" s="118"/>
      <c r="G99" s="118"/>
      <c r="M99" s="793" t="s">
        <v>318</v>
      </c>
      <c r="N99" s="793"/>
      <c r="O99" s="792"/>
      <c r="P99" s="792"/>
      <c r="BO99" s="118"/>
      <c r="BP99" s="118"/>
      <c r="BQ99" s="118"/>
      <c r="BR99" s="118"/>
      <c r="BS99" s="118"/>
    </row>
    <row r="100" spans="1:71" ht="17.25" customHeight="1" thickTop="1" thickBot="1" x14ac:dyDescent="0.25">
      <c r="B100" s="209"/>
      <c r="C100" s="209"/>
      <c r="D100" s="209"/>
      <c r="E100" s="209"/>
      <c r="F100" s="118"/>
      <c r="G100" s="118"/>
      <c r="H100" s="760" t="s">
        <v>65</v>
      </c>
      <c r="I100" s="760"/>
      <c r="J100" s="760"/>
      <c r="K100" s="760"/>
      <c r="L100" s="760"/>
      <c r="M100" s="760"/>
      <c r="N100" s="760"/>
      <c r="O100" s="794">
        <v>0</v>
      </c>
      <c r="P100" s="795"/>
      <c r="Q100" s="795"/>
      <c r="R100" s="795"/>
      <c r="S100" s="118" t="s">
        <v>100</v>
      </c>
      <c r="U100" s="721" t="str" cm="1">
        <f t="array" ref="U100">angleDecimal2Txt(O100)</f>
        <v>+00°00.00 (+00.0000) [+00°00'00.00]</v>
      </c>
      <c r="V100" s="722"/>
      <c r="W100" s="722"/>
      <c r="X100" s="722"/>
      <c r="Y100" s="722"/>
      <c r="Z100" s="723"/>
      <c r="AA100" s="249"/>
      <c r="AB100" s="249"/>
      <c r="AC100" s="249"/>
      <c r="AD100" s="249"/>
      <c r="AE100" s="249"/>
      <c r="AF100" s="249"/>
      <c r="AI100" s="246" t="s">
        <v>60</v>
      </c>
      <c r="AJ100" s="246" t="s">
        <v>431</v>
      </c>
      <c r="BO100" s="118"/>
      <c r="BP100" s="118"/>
      <c r="BQ100" s="118"/>
      <c r="BR100" s="118"/>
      <c r="BS100" s="118"/>
    </row>
    <row r="101" spans="1:71" ht="17.25" customHeight="1" thickTop="1" thickBot="1" x14ac:dyDescent="0.25">
      <c r="B101" s="209"/>
      <c r="C101" s="209"/>
      <c r="D101" s="209"/>
      <c r="E101" s="209"/>
      <c r="F101" s="118"/>
      <c r="G101" s="118"/>
      <c r="H101" s="777" t="s">
        <v>319</v>
      </c>
      <c r="I101" s="778"/>
      <c r="J101" s="778"/>
      <c r="K101" s="778"/>
      <c r="L101" s="778"/>
      <c r="M101" s="778"/>
      <c r="N101" s="779"/>
      <c r="O101" s="707">
        <f>AJ97</f>
        <v>0</v>
      </c>
      <c r="P101" s="707"/>
      <c r="Q101" s="707"/>
      <c r="R101" s="707"/>
      <c r="S101" s="118" t="s">
        <v>100</v>
      </c>
      <c r="U101" s="721" t="str" cm="1">
        <f t="array" ref="U101">angleDecimal2Txt(O101)</f>
        <v>+00°00.00 (+00.0000) [+00°00'00.00]</v>
      </c>
      <c r="V101" s="722"/>
      <c r="W101" s="722"/>
      <c r="X101" s="722"/>
      <c r="Y101" s="722"/>
      <c r="Z101" s="723"/>
      <c r="AA101" s="249"/>
      <c r="AB101" s="249"/>
      <c r="AC101" s="249"/>
      <c r="AD101" s="249"/>
      <c r="AE101" s="249"/>
      <c r="AF101" s="249"/>
      <c r="AI101" s="246" t="s">
        <v>432</v>
      </c>
      <c r="AJ101" s="246">
        <f>1/TAN((O96 + 7.31 / (O96 + 4.4)) * D141)</f>
        <v>0.50696667439025089</v>
      </c>
      <c r="BO101" s="118"/>
      <c r="BP101" s="118"/>
      <c r="BQ101" s="118"/>
      <c r="BR101" s="118"/>
      <c r="BS101" s="118"/>
    </row>
    <row r="102" spans="1:71" ht="17.25" customHeight="1" thickTop="1" x14ac:dyDescent="0.2">
      <c r="B102" s="209"/>
      <c r="C102" s="209"/>
      <c r="D102" s="209"/>
      <c r="E102" s="209"/>
      <c r="F102" s="118"/>
      <c r="G102" s="118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  <c r="AB102" s="209"/>
      <c r="AC102" s="209"/>
      <c r="AD102" s="209"/>
      <c r="AE102" s="209"/>
      <c r="AF102" s="209"/>
      <c r="AI102" s="246" t="s">
        <v>433</v>
      </c>
      <c r="AJ102" s="246">
        <f>AJ101/60</f>
        <v>8.449444573170848E-3</v>
      </c>
      <c r="BO102" s="118"/>
      <c r="BP102" s="118"/>
      <c r="BQ102" s="118"/>
      <c r="BR102" s="118"/>
      <c r="BS102" s="118"/>
    </row>
    <row r="103" spans="1:71" ht="17.25" customHeight="1" x14ac:dyDescent="0.2">
      <c r="B103" s="209"/>
      <c r="C103" s="209"/>
      <c r="D103" s="209"/>
      <c r="F103" s="118"/>
      <c r="G103" s="118"/>
      <c r="H103" s="209"/>
      <c r="I103" s="209"/>
      <c r="J103" s="209"/>
      <c r="K103" s="209"/>
      <c r="L103" s="209"/>
      <c r="M103" s="209"/>
      <c r="N103" s="209"/>
      <c r="O103" s="209"/>
      <c r="S103" s="894" t="s">
        <v>270</v>
      </c>
      <c r="T103" s="895"/>
      <c r="U103" s="896"/>
      <c r="Y103" s="209"/>
      <c r="Z103" s="209"/>
      <c r="AA103" s="209"/>
      <c r="AB103" s="209"/>
      <c r="AC103" s="209"/>
      <c r="AD103" s="209"/>
      <c r="AE103" s="209"/>
      <c r="AF103" s="209"/>
      <c r="AI103" s="246" t="s">
        <v>174</v>
      </c>
      <c r="AJ103" s="246">
        <f xml:space="preserve"> 0.28 * O105 / (273 + O104)</f>
        <v>0.99929328621908131</v>
      </c>
      <c r="BO103" s="118"/>
      <c r="BP103" s="118"/>
      <c r="BQ103" s="118"/>
      <c r="BR103" s="118"/>
      <c r="BS103" s="118"/>
    </row>
    <row r="104" spans="1:71" ht="17.25" customHeight="1" x14ac:dyDescent="0.2">
      <c r="B104" s="209"/>
      <c r="C104" s="209"/>
      <c r="D104" s="209"/>
      <c r="F104" s="118"/>
      <c r="G104" s="118"/>
      <c r="H104" s="760" t="s">
        <v>137</v>
      </c>
      <c r="I104" s="760"/>
      <c r="J104" s="760"/>
      <c r="K104" s="760"/>
      <c r="L104" s="760"/>
      <c r="M104" s="760"/>
      <c r="N104" s="760"/>
      <c r="O104" s="758">
        <f>S104</f>
        <v>10</v>
      </c>
      <c r="P104" s="759"/>
      <c r="Q104" s="759"/>
      <c r="R104" s="759"/>
      <c r="S104" s="894">
        <v>10</v>
      </c>
      <c r="T104" s="895"/>
      <c r="U104" s="896"/>
      <c r="Y104" s="209"/>
      <c r="Z104" s="209"/>
      <c r="AA104" s="209"/>
      <c r="AB104" s="209"/>
      <c r="AC104" s="209"/>
      <c r="AD104" s="209"/>
      <c r="AE104" s="209"/>
      <c r="AF104" s="209"/>
      <c r="AI104" s="246" t="s">
        <v>430</v>
      </c>
      <c r="AJ104" s="246">
        <f>AJ103*AJ102</f>
        <v>8.4434732342498799E-3</v>
      </c>
      <c r="BO104" s="118"/>
      <c r="BP104" s="118"/>
      <c r="BQ104" s="118"/>
      <c r="BR104" s="118"/>
      <c r="BS104" s="118"/>
    </row>
    <row r="105" spans="1:71" ht="17.25" customHeight="1" thickBot="1" x14ac:dyDescent="0.25">
      <c r="B105" s="209"/>
      <c r="C105" s="209"/>
      <c r="D105" s="209"/>
      <c r="E105" s="209"/>
      <c r="F105" s="118"/>
      <c r="G105" s="118"/>
      <c r="H105" s="760" t="s">
        <v>138</v>
      </c>
      <c r="I105" s="760"/>
      <c r="J105" s="760"/>
      <c r="K105" s="760"/>
      <c r="L105" s="760"/>
      <c r="M105" s="760"/>
      <c r="N105" s="760"/>
      <c r="O105" s="758">
        <f>S105</f>
        <v>1010</v>
      </c>
      <c r="P105" s="759"/>
      <c r="Q105" s="759"/>
      <c r="R105" s="759"/>
      <c r="S105" s="891">
        <v>1010</v>
      </c>
      <c r="T105" s="892"/>
      <c r="U105" s="893"/>
      <c r="Y105" s="209"/>
      <c r="Z105" s="209"/>
      <c r="AA105" s="209"/>
      <c r="AB105" s="209"/>
      <c r="AC105" s="209"/>
      <c r="AD105" s="209"/>
      <c r="AE105" s="209"/>
      <c r="AF105" s="209"/>
      <c r="BO105" s="118"/>
      <c r="BP105" s="118"/>
      <c r="BQ105" s="118"/>
      <c r="BR105" s="118"/>
      <c r="BS105" s="118"/>
    </row>
    <row r="106" spans="1:71" ht="17.25" customHeight="1" thickTop="1" thickBot="1" x14ac:dyDescent="0.25">
      <c r="B106" s="209"/>
      <c r="C106" s="209"/>
      <c r="D106" s="209"/>
      <c r="E106" s="209"/>
      <c r="F106" s="118"/>
      <c r="G106" s="118"/>
      <c r="H106" s="777" t="s">
        <v>320</v>
      </c>
      <c r="I106" s="778"/>
      <c r="J106" s="778"/>
      <c r="K106" s="778"/>
      <c r="L106" s="778"/>
      <c r="M106" s="778"/>
      <c r="N106" s="779"/>
      <c r="O106" s="707">
        <f>AJ104</f>
        <v>8.4434732342498799E-3</v>
      </c>
      <c r="P106" s="707"/>
      <c r="Q106" s="707"/>
      <c r="R106" s="707"/>
      <c r="S106" s="118" t="s">
        <v>100</v>
      </c>
      <c r="U106" s="721" t="str" cm="1">
        <f t="array" ref="U106">angleDecimal2Txt(O106)</f>
        <v>+00°00.50 (+00.0084) [+00°00'30.39]</v>
      </c>
      <c r="V106" s="722"/>
      <c r="W106" s="722"/>
      <c r="X106" s="722"/>
      <c r="Y106" s="722"/>
      <c r="Z106" s="723"/>
      <c r="AA106" s="249"/>
      <c r="AB106" s="249"/>
      <c r="AC106" s="249"/>
      <c r="AD106" s="249"/>
      <c r="AE106" s="249"/>
      <c r="AF106" s="249"/>
      <c r="AI106" s="246" t="s">
        <v>38</v>
      </c>
      <c r="AJ106" s="707" t="s">
        <v>39</v>
      </c>
      <c r="AK106" s="707"/>
      <c r="BO106" s="118"/>
      <c r="BP106" s="118"/>
      <c r="BQ106" s="118"/>
      <c r="BR106" s="118"/>
      <c r="BS106" s="118"/>
    </row>
    <row r="107" spans="1:71" ht="17.25" customHeight="1" thickTop="1" x14ac:dyDescent="0.2">
      <c r="B107" s="209"/>
      <c r="C107" s="209"/>
      <c r="D107" s="209"/>
      <c r="E107" s="209"/>
      <c r="F107" s="118"/>
      <c r="G107" s="118"/>
      <c r="H107" s="209"/>
      <c r="I107" s="209"/>
      <c r="J107" s="209"/>
      <c r="K107" s="209"/>
      <c r="L107" s="209"/>
      <c r="M107" s="209"/>
      <c r="N107" s="209"/>
      <c r="O107" s="209"/>
      <c r="Y107" s="209"/>
      <c r="Z107" s="209"/>
      <c r="AA107" s="209"/>
      <c r="AB107" s="209"/>
      <c r="AC107" s="209"/>
      <c r="AD107" s="209"/>
      <c r="AE107" s="209"/>
      <c r="AF107" s="209"/>
      <c r="AI107" s="246" t="s">
        <v>437</v>
      </c>
      <c r="AJ107" s="707" t="str">
        <f>O109</f>
        <v>BordInf</v>
      </c>
      <c r="AK107" s="707"/>
      <c r="BO107" s="118"/>
      <c r="BP107" s="118"/>
      <c r="BQ107" s="118"/>
      <c r="BR107" s="118"/>
      <c r="BS107" s="118"/>
    </row>
    <row r="108" spans="1:71" ht="17.25" customHeight="1" x14ac:dyDescent="0.2">
      <c r="A108" s="209"/>
      <c r="B108" s="209"/>
      <c r="C108" s="209"/>
      <c r="D108" s="209"/>
      <c r="E108" s="209"/>
      <c r="F108" s="118"/>
      <c r="G108" s="118"/>
      <c r="H108" s="760" t="s">
        <v>180</v>
      </c>
      <c r="I108" s="760"/>
      <c r="J108" s="760"/>
      <c r="K108" s="760"/>
      <c r="L108" s="760"/>
      <c r="M108" s="760"/>
      <c r="N108" s="760"/>
      <c r="O108" s="780">
        <v>0</v>
      </c>
      <c r="P108" s="780"/>
      <c r="Q108" s="780"/>
      <c r="R108" s="780"/>
      <c r="AI108" s="246" t="s">
        <v>438</v>
      </c>
      <c r="AJ108" s="708">
        <f>HLOOKUP(AJ107,AJ80:AL81,2)</f>
        <v>0</v>
      </c>
      <c r="AK108" s="708"/>
      <c r="BO108" s="118"/>
      <c r="BP108" s="118"/>
      <c r="BQ108" s="118"/>
      <c r="BR108" s="118"/>
      <c r="BS108" s="118"/>
    </row>
    <row r="109" spans="1:71" s="209" customFormat="1" ht="17.25" customHeight="1" thickBot="1" x14ac:dyDescent="0.25">
      <c r="E109" s="171"/>
      <c r="F109" s="171"/>
      <c r="G109" s="171"/>
      <c r="H109" s="760" t="s">
        <v>143</v>
      </c>
      <c r="I109" s="760"/>
      <c r="J109" s="760"/>
      <c r="K109" s="760"/>
      <c r="L109" s="760"/>
      <c r="M109" s="760"/>
      <c r="N109" s="760"/>
      <c r="O109" s="780" t="str">
        <f>I76</f>
        <v>BordInf</v>
      </c>
      <c r="P109" s="780"/>
      <c r="Q109" s="780"/>
      <c r="R109" s="780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228"/>
      <c r="AI109" s="246" t="s">
        <v>180</v>
      </c>
      <c r="AJ109" s="246" t="str">
        <f>HLOOKUP(AJ106,AJ76:AL78,3)</f>
        <v>32'</v>
      </c>
      <c r="AK109" s="246" cm="1">
        <f t="array" ref="AK109">angleConvert2Decimal(AJ109)</f>
        <v>0.53333333333333333</v>
      </c>
      <c r="BO109" s="118"/>
      <c r="BP109" s="118"/>
    </row>
    <row r="110" spans="1:71" s="209" customFormat="1" ht="17.25" customHeight="1" thickTop="1" thickBot="1" x14ac:dyDescent="0.25">
      <c r="B110" s="118"/>
      <c r="C110" s="171"/>
      <c r="D110" s="171"/>
      <c r="E110" s="171"/>
      <c r="F110" s="171"/>
      <c r="G110" s="171"/>
      <c r="H110" s="773" t="s">
        <v>144</v>
      </c>
      <c r="I110" s="774"/>
      <c r="J110" s="774"/>
      <c r="K110" s="774"/>
      <c r="L110" s="774"/>
      <c r="M110" s="774"/>
      <c r="N110" s="775"/>
      <c r="O110" s="776">
        <f>AJ110</f>
        <v>0</v>
      </c>
      <c r="P110" s="776"/>
      <c r="Q110" s="776"/>
      <c r="R110" s="776"/>
      <c r="S110" s="118" t="s">
        <v>100</v>
      </c>
      <c r="T110" s="118"/>
      <c r="U110" s="721" t="str" cm="1">
        <f t="array" ref="U110">angleDecimal2Txt(O110)</f>
        <v>+00°00.00 (+00.0000) [+00°00'00.00]</v>
      </c>
      <c r="V110" s="722"/>
      <c r="W110" s="722"/>
      <c r="X110" s="722"/>
      <c r="Y110" s="722"/>
      <c r="Z110" s="723"/>
      <c r="AA110" s="249"/>
      <c r="AB110" s="249"/>
      <c r="AC110" s="249"/>
      <c r="AD110" s="249"/>
      <c r="AE110" s="249"/>
      <c r="AF110" s="249"/>
      <c r="AG110" s="118"/>
      <c r="AH110" s="228"/>
      <c r="AI110" s="246" t="s">
        <v>438</v>
      </c>
      <c r="AJ110" s="708">
        <f>AK109*AJ108</f>
        <v>0</v>
      </c>
      <c r="AK110" s="708"/>
      <c r="BO110" s="118"/>
      <c r="BP110" s="118"/>
    </row>
    <row r="111" spans="1:71" s="209" customFormat="1" ht="17.25" customHeight="1" thickTop="1" x14ac:dyDescent="0.2">
      <c r="B111" s="118"/>
      <c r="C111" s="171"/>
      <c r="D111" s="171"/>
      <c r="E111" s="171"/>
      <c r="F111" s="171"/>
      <c r="G111" s="171"/>
      <c r="AG111" s="118"/>
      <c r="AH111" s="228"/>
      <c r="BO111" s="118"/>
      <c r="BP111" s="118"/>
    </row>
    <row r="112" spans="1:71" s="209" customFormat="1" ht="17.25" customHeight="1" x14ac:dyDescent="0.2">
      <c r="B112" s="118"/>
      <c r="C112" s="171"/>
      <c r="D112" s="171"/>
      <c r="E112" s="171"/>
      <c r="F112" s="171"/>
      <c r="G112" s="761" t="s">
        <v>245</v>
      </c>
      <c r="H112" s="762"/>
      <c r="I112" s="762"/>
      <c r="J112" s="762"/>
      <c r="K112" s="762"/>
      <c r="L112" s="762"/>
      <c r="M112" s="762"/>
      <c r="N112" s="762"/>
      <c r="O112" s="762"/>
      <c r="P112" s="762"/>
      <c r="Q112" s="762"/>
      <c r="R112" s="762"/>
      <c r="S112" s="763"/>
      <c r="AG112" s="118"/>
      <c r="AH112" s="228"/>
      <c r="BO112" s="118"/>
      <c r="BP112" s="118"/>
    </row>
    <row r="113" spans="1:68" s="209" customFormat="1" ht="17.25" customHeight="1" x14ac:dyDescent="0.2">
      <c r="B113" s="118"/>
      <c r="C113" s="171"/>
      <c r="D113" s="171"/>
      <c r="E113" s="171"/>
      <c r="F113" s="171"/>
      <c r="G113" s="764" t="s">
        <v>258</v>
      </c>
      <c r="H113" s="765"/>
      <c r="I113" s="745" t="s">
        <v>250</v>
      </c>
      <c r="J113" s="746"/>
      <c r="K113" s="746"/>
      <c r="L113" s="746"/>
      <c r="M113" s="746"/>
      <c r="N113" s="747"/>
      <c r="O113" s="768">
        <f>(O101-O106-O94+O108/2) * 60</f>
        <v>-4.0226083940549922</v>
      </c>
      <c r="P113" s="748"/>
      <c r="Q113" s="748"/>
      <c r="R113" s="748"/>
      <c r="S113" s="750" t="s">
        <v>246</v>
      </c>
      <c r="AG113" s="118"/>
      <c r="AH113" s="228"/>
      <c r="BO113" s="118"/>
      <c r="BP113" s="118"/>
    </row>
    <row r="114" spans="1:68" s="209" customFormat="1" ht="17.25" customHeight="1" x14ac:dyDescent="0.2">
      <c r="B114" s="118"/>
      <c r="C114" s="171"/>
      <c r="D114" s="171"/>
      <c r="E114" s="171"/>
      <c r="F114" s="171"/>
      <c r="G114" s="766"/>
      <c r="H114" s="767"/>
      <c r="I114" s="770" t="s">
        <v>254</v>
      </c>
      <c r="J114" s="771"/>
      <c r="K114" s="771"/>
      <c r="L114" s="771"/>
      <c r="M114" s="771"/>
      <c r="N114" s="772"/>
      <c r="O114" s="769"/>
      <c r="P114" s="749"/>
      <c r="Q114" s="749"/>
      <c r="R114" s="749"/>
      <c r="S114" s="751"/>
      <c r="AG114" s="118"/>
      <c r="AH114" s="228"/>
      <c r="BO114" s="118"/>
      <c r="BP114" s="118"/>
    </row>
    <row r="115" spans="1:68" s="209" customFormat="1" ht="17.25" customHeight="1" x14ac:dyDescent="0.2">
      <c r="B115" s="118"/>
      <c r="C115" s="171"/>
      <c r="D115" s="171"/>
      <c r="E115" s="171"/>
      <c r="F115" s="171"/>
      <c r="G115" s="171"/>
      <c r="I115" s="745" t="s">
        <v>251</v>
      </c>
      <c r="J115" s="746"/>
      <c r="K115" s="746"/>
      <c r="L115" s="746"/>
      <c r="M115" s="746"/>
      <c r="N115" s="747"/>
      <c r="O115" s="748">
        <f>(O101-O106+O108/2)*60</f>
        <v>-0.50660839405499281</v>
      </c>
      <c r="P115" s="748"/>
      <c r="Q115" s="748"/>
      <c r="R115" s="748"/>
      <c r="S115" s="750" t="s">
        <v>246</v>
      </c>
      <c r="AG115" s="118"/>
      <c r="AH115" s="228"/>
      <c r="BO115" s="118"/>
      <c r="BP115" s="118"/>
    </row>
    <row r="116" spans="1:68" s="209" customFormat="1" ht="17.25" customHeight="1" x14ac:dyDescent="0.2">
      <c r="B116" s="118"/>
      <c r="C116" s="171"/>
      <c r="D116" s="171"/>
      <c r="E116" s="171"/>
      <c r="F116" s="171"/>
      <c r="G116" s="171"/>
      <c r="I116" s="752" t="s">
        <v>252</v>
      </c>
      <c r="J116" s="753"/>
      <c r="K116" s="753"/>
      <c r="L116" s="753"/>
      <c r="M116" s="753"/>
      <c r="N116" s="754"/>
      <c r="O116" s="749"/>
      <c r="P116" s="749"/>
      <c r="Q116" s="749"/>
      <c r="R116" s="749"/>
      <c r="S116" s="751"/>
      <c r="AG116" s="118"/>
      <c r="AH116" s="228"/>
      <c r="BO116" s="118"/>
      <c r="BP116" s="118"/>
    </row>
    <row r="117" spans="1:68" s="209" customFormat="1" ht="17.25" customHeight="1" x14ac:dyDescent="0.2">
      <c r="A117" s="118"/>
      <c r="B117" s="118"/>
      <c r="C117" s="171"/>
      <c r="D117" s="171"/>
      <c r="E117" s="171"/>
      <c r="F117" s="171"/>
      <c r="G117" s="171"/>
      <c r="I117" s="755" t="s">
        <v>144</v>
      </c>
      <c r="J117" s="755"/>
      <c r="K117" s="755"/>
      <c r="L117" s="755"/>
      <c r="M117" s="755"/>
      <c r="N117" s="755"/>
      <c r="O117" s="756">
        <f>O110*60</f>
        <v>0</v>
      </c>
      <c r="P117" s="757"/>
      <c r="Q117" s="757"/>
      <c r="R117" s="757"/>
      <c r="S117" s="252" t="s">
        <v>246</v>
      </c>
      <c r="AG117" s="118"/>
      <c r="AH117" s="228"/>
      <c r="BO117" s="118"/>
      <c r="BP117" s="118"/>
    </row>
    <row r="118" spans="1:68" s="209" customFormat="1" ht="17.25" customHeight="1" thickBot="1" x14ac:dyDescent="0.25">
      <c r="A118" s="118"/>
      <c r="B118" s="118"/>
      <c r="C118" s="171"/>
      <c r="D118" s="171"/>
      <c r="E118" s="171"/>
      <c r="F118" s="171"/>
      <c r="G118" s="171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228"/>
      <c r="BO118" s="118"/>
      <c r="BP118" s="118"/>
    </row>
    <row r="119" spans="1:68" s="209" customFormat="1" ht="17.25" customHeight="1" thickTop="1" thickBot="1" x14ac:dyDescent="0.25">
      <c r="A119" s="118"/>
      <c r="B119" s="118"/>
      <c r="C119" s="171"/>
      <c r="D119" s="171"/>
      <c r="E119" s="171"/>
      <c r="F119" s="171"/>
      <c r="G119" s="171"/>
      <c r="H119" s="724" t="s">
        <v>321</v>
      </c>
      <c r="I119" s="725"/>
      <c r="J119" s="725"/>
      <c r="K119" s="725"/>
      <c r="L119" s="725"/>
      <c r="M119" s="725"/>
      <c r="N119" s="726"/>
      <c r="O119" s="727">
        <f>O96-O106+O101+O110</f>
        <v>62.99962319343242</v>
      </c>
      <c r="P119" s="707"/>
      <c r="Q119" s="707"/>
      <c r="R119" s="707"/>
      <c r="S119" s="118" t="s">
        <v>100</v>
      </c>
      <c r="T119" s="118"/>
      <c r="U119" s="721" t="str" cm="1">
        <f t="array" ref="U119">angleDecimal2Txt(O119)</f>
        <v>+62°59.97 (+62.9996) [+62°59'58.64]</v>
      </c>
      <c r="V119" s="722"/>
      <c r="W119" s="722"/>
      <c r="X119" s="722"/>
      <c r="Y119" s="722"/>
      <c r="Z119" s="723"/>
      <c r="AA119" s="249"/>
      <c r="AB119" s="249"/>
      <c r="AC119" s="249"/>
      <c r="AD119" s="249"/>
      <c r="AE119" s="249"/>
      <c r="AF119" s="249"/>
      <c r="AG119" s="118"/>
      <c r="AH119" s="228"/>
      <c r="BO119" s="118"/>
      <c r="BP119" s="118"/>
    </row>
    <row r="120" spans="1:68" s="209" customFormat="1" ht="17.25" customHeight="1" thickTop="1" x14ac:dyDescent="0.2">
      <c r="A120" s="118"/>
      <c r="B120" s="118"/>
      <c r="C120" s="171"/>
      <c r="D120" s="171"/>
      <c r="E120" s="171"/>
      <c r="F120" s="171"/>
      <c r="G120" s="171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228"/>
      <c r="BO120" s="118"/>
      <c r="BP120" s="118"/>
    </row>
    <row r="121" spans="1:68" s="209" customFormat="1" ht="17.25" customHeight="1" x14ac:dyDescent="0.2">
      <c r="A121" s="118"/>
      <c r="B121" s="118"/>
      <c r="C121" s="171"/>
      <c r="D121" s="171"/>
      <c r="E121" s="171"/>
      <c r="F121" s="742" t="s">
        <v>135</v>
      </c>
      <c r="G121" s="742"/>
      <c r="H121" s="742"/>
      <c r="I121" s="742"/>
      <c r="J121" s="707" t="str">
        <f>IF(G90=AJ87,O127,"---")</f>
        <v>---</v>
      </c>
      <c r="K121" s="707"/>
      <c r="L121" s="707"/>
      <c r="M121" s="118"/>
      <c r="N121" s="118"/>
      <c r="O121" s="118"/>
      <c r="P121" s="118"/>
      <c r="Q121" s="118"/>
      <c r="R121" s="148" t="s">
        <v>157</v>
      </c>
      <c r="S121" s="118" t="s">
        <v>41</v>
      </c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228"/>
      <c r="BO121" s="118"/>
      <c r="BP121" s="118"/>
    </row>
    <row r="122" spans="1:68" s="209" customFormat="1" ht="17.25" customHeight="1" x14ac:dyDescent="0.2">
      <c r="A122" s="118"/>
      <c r="B122" s="118"/>
      <c r="C122" s="171"/>
      <c r="D122" s="171"/>
      <c r="E122" s="171"/>
      <c r="F122" s="171"/>
      <c r="G122" s="171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49" t="s">
        <v>153</v>
      </c>
      <c r="S122" s="118" t="s">
        <v>155</v>
      </c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228"/>
      <c r="BO122" s="118"/>
      <c r="BP122" s="118"/>
    </row>
    <row r="123" spans="1:68" s="209" customFormat="1" ht="17.25" customHeight="1" x14ac:dyDescent="0.2">
      <c r="A123" s="118"/>
      <c r="B123" s="118"/>
      <c r="C123" s="171"/>
      <c r="D123" s="171"/>
      <c r="E123" s="171"/>
      <c r="F123" s="171"/>
      <c r="G123" s="171"/>
      <c r="H123" s="118" t="s">
        <v>145</v>
      </c>
      <c r="I123" s="150" t="s">
        <v>147</v>
      </c>
      <c r="J123" s="118" t="s">
        <v>132</v>
      </c>
      <c r="K123" s="150" t="s">
        <v>150</v>
      </c>
      <c r="L123" s="118" t="s">
        <v>131</v>
      </c>
      <c r="M123" s="118"/>
      <c r="N123" s="150" t="s">
        <v>151</v>
      </c>
      <c r="O123" s="118"/>
      <c r="P123" s="118"/>
      <c r="Q123" s="150" t="s">
        <v>152</v>
      </c>
      <c r="R123" s="151" t="s">
        <v>154</v>
      </c>
      <c r="S123" s="118" t="s">
        <v>156</v>
      </c>
      <c r="T123" s="118"/>
      <c r="U123" s="118"/>
      <c r="AH123" s="228"/>
      <c r="BO123" s="118"/>
      <c r="BP123" s="118"/>
    </row>
    <row r="124" spans="1:68" s="209" customFormat="1" ht="17.25" customHeight="1" thickBot="1" x14ac:dyDescent="0.25">
      <c r="A124" s="118"/>
      <c r="B124" s="118"/>
      <c r="C124" s="171"/>
      <c r="D124" s="171"/>
      <c r="E124" s="171"/>
      <c r="F124" s="171"/>
      <c r="G124" s="171"/>
      <c r="H124" s="118"/>
      <c r="I124" s="150"/>
      <c r="J124" s="220">
        <f>O92</f>
        <v>63.116666666666667</v>
      </c>
      <c r="K124" s="150" t="s">
        <v>150</v>
      </c>
      <c r="L124" s="221">
        <f>O93</f>
        <v>0.05</v>
      </c>
      <c r="M124" s="118"/>
      <c r="N124" s="743" t="s">
        <v>325</v>
      </c>
      <c r="O124" s="743"/>
      <c r="P124" s="743"/>
      <c r="Q124" s="150" t="s">
        <v>152</v>
      </c>
      <c r="R124" s="222">
        <v>0</v>
      </c>
      <c r="S124" s="118"/>
      <c r="T124" s="118"/>
      <c r="U124" s="118"/>
      <c r="AH124" s="228"/>
      <c r="BO124" s="118"/>
      <c r="BP124" s="118"/>
    </row>
    <row r="125" spans="1:68" s="209" customFormat="1" ht="17.25" customHeight="1" thickTop="1" thickBot="1" x14ac:dyDescent="0.25">
      <c r="A125" s="118"/>
      <c r="B125" s="118"/>
      <c r="C125" s="171"/>
      <c r="D125" s="171"/>
      <c r="E125" s="171"/>
      <c r="F125" s="171"/>
      <c r="G125" s="171"/>
      <c r="H125" s="118"/>
      <c r="I125" s="150"/>
      <c r="K125" s="150"/>
      <c r="L125" s="240" cm="1">
        <f t="array" ref="L125">angleConvert2Decimal(L124)</f>
        <v>0.05</v>
      </c>
      <c r="N125" s="720" cm="1">
        <f t="array" ref="N125">angleConvert2Decimal(N124)</f>
        <v>0.17166666666666669</v>
      </c>
      <c r="O125" s="720"/>
      <c r="P125" s="720"/>
      <c r="Q125" s="210"/>
      <c r="R125" s="240" cm="1">
        <f t="array" ref="R125">angleConvert2Decimal(R124)</f>
        <v>0</v>
      </c>
      <c r="T125" s="241" t="s">
        <v>189</v>
      </c>
      <c r="U125" s="241"/>
      <c r="V125" s="241">
        <f>R125+N125</f>
        <v>0.17166666666666669</v>
      </c>
      <c r="W125" s="721" t="str" cm="1">
        <f t="array" ref="W125">angleDecimal2Txt(V125)</f>
        <v>+00°10.30 (+00.1716) [+00°10'18.00]</v>
      </c>
      <c r="X125" s="722"/>
      <c r="Y125" s="722"/>
      <c r="Z125" s="722"/>
      <c r="AA125" s="722"/>
      <c r="AB125" s="722"/>
      <c r="AC125" s="722"/>
      <c r="AD125" s="722"/>
      <c r="AE125" s="722"/>
      <c r="AF125" s="722"/>
      <c r="AG125" s="723"/>
      <c r="AH125" s="228"/>
      <c r="BO125" s="118"/>
      <c r="BP125" s="118"/>
    </row>
    <row r="126" spans="1:68" s="209" customFormat="1" ht="17.25" customHeight="1" thickTop="1" thickBot="1" x14ac:dyDescent="0.25">
      <c r="A126" s="118"/>
      <c r="B126" s="118"/>
      <c r="C126" s="171"/>
      <c r="D126" s="171"/>
      <c r="E126" s="171"/>
      <c r="F126" s="171"/>
      <c r="G126" s="171"/>
      <c r="H126" s="118"/>
      <c r="I126" s="150"/>
      <c r="J126" s="118"/>
      <c r="K126" s="150"/>
      <c r="L126" s="118"/>
      <c r="M126" s="118"/>
      <c r="N126" s="150"/>
      <c r="O126" s="118"/>
      <c r="P126" s="118"/>
      <c r="Q126" s="150"/>
      <c r="R126" s="155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228"/>
      <c r="BO126" s="118"/>
      <c r="BP126" s="118"/>
    </row>
    <row r="127" spans="1:68" s="209" customFormat="1" ht="17.25" customHeight="1" thickTop="1" thickBot="1" x14ac:dyDescent="0.25">
      <c r="A127" s="118"/>
      <c r="B127" s="118"/>
      <c r="C127" s="171"/>
      <c r="D127" s="171"/>
      <c r="E127" s="171"/>
      <c r="F127" s="171"/>
      <c r="G127" s="171"/>
      <c r="H127" s="724" t="s">
        <v>324</v>
      </c>
      <c r="I127" s="725"/>
      <c r="J127" s="725"/>
      <c r="K127" s="725"/>
      <c r="L127" s="725"/>
      <c r="M127" s="725"/>
      <c r="N127" s="726"/>
      <c r="O127" s="727">
        <f>J124-L125+N125+R125</f>
        <v>63.238333333333337</v>
      </c>
      <c r="P127" s="707"/>
      <c r="Q127" s="707"/>
      <c r="R127" s="707"/>
      <c r="S127" s="118" t="s">
        <v>100</v>
      </c>
      <c r="T127" s="118"/>
      <c r="U127" s="721" t="str" cm="1">
        <f t="array" ref="U127">angleDecimal2Txt(O127)</f>
        <v>+63°14.30 (+63.2383) [+63°14'18.00]</v>
      </c>
      <c r="V127" s="722"/>
      <c r="W127" s="722"/>
      <c r="X127" s="722"/>
      <c r="Y127" s="722"/>
      <c r="Z127" s="723"/>
      <c r="AA127" s="249"/>
      <c r="AB127" s="249"/>
      <c r="AC127" s="249"/>
      <c r="AD127" s="249"/>
      <c r="AE127" s="249"/>
      <c r="AF127" s="249"/>
      <c r="AG127" s="118"/>
      <c r="AH127" s="228"/>
      <c r="BO127" s="118"/>
      <c r="BP127" s="118"/>
    </row>
    <row r="128" spans="1:68" s="209" customFormat="1" ht="17.25" customHeight="1" thickTop="1" thickBot="1" x14ac:dyDescent="0.25">
      <c r="A128" s="118"/>
      <c r="B128" s="118"/>
      <c r="C128" s="171"/>
      <c r="D128" s="156"/>
      <c r="E128" s="171"/>
      <c r="F128" s="171"/>
      <c r="G128" s="171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228"/>
      <c r="AI128" s="242" t="s">
        <v>460</v>
      </c>
      <c r="AJ128" s="242"/>
      <c r="AK128" s="242"/>
      <c r="AL128" s="242"/>
      <c r="AM128" s="242"/>
      <c r="BO128" s="118"/>
      <c r="BP128" s="118"/>
    </row>
    <row r="129" spans="1:68" s="209" customFormat="1" ht="17.25" customHeight="1" thickBot="1" x14ac:dyDescent="0.25">
      <c r="A129" s="118"/>
      <c r="B129" s="135" t="s">
        <v>528</v>
      </c>
      <c r="C129" s="136"/>
      <c r="D129" s="157"/>
      <c r="E129" s="136"/>
      <c r="F129" s="189"/>
      <c r="G129" s="189"/>
      <c r="H129" s="189"/>
      <c r="I129" s="189"/>
      <c r="J129" s="189"/>
      <c r="K129" s="189"/>
      <c r="L129" s="189"/>
      <c r="M129" s="189"/>
      <c r="N129" s="189"/>
      <c r="O129" s="189"/>
      <c r="P129" s="189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228"/>
      <c r="AI129" s="242" t="s">
        <v>461</v>
      </c>
      <c r="AJ129" s="242"/>
      <c r="AK129" s="242"/>
      <c r="AL129" s="242"/>
      <c r="AM129" s="242"/>
      <c r="BO129" s="118"/>
      <c r="BP129" s="118"/>
    </row>
    <row r="130" spans="1:68" s="209" customFormat="1" ht="17.25" customHeight="1" x14ac:dyDescent="0.25">
      <c r="A130" s="118"/>
      <c r="B130" s="118"/>
      <c r="C130" s="118"/>
      <c r="D130" s="118"/>
      <c r="E130" s="118"/>
      <c r="F130" s="744" t="s">
        <v>529</v>
      </c>
      <c r="G130" s="744"/>
      <c r="H130" s="744"/>
      <c r="I130" s="744"/>
      <c r="J130" s="744"/>
      <c r="K130" s="744"/>
      <c r="L130" s="744"/>
      <c r="M130" s="744"/>
      <c r="N130" s="744"/>
      <c r="O130" s="744"/>
      <c r="P130" s="744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28"/>
      <c r="AI130" s="242" t="s">
        <v>462</v>
      </c>
      <c r="AJ130" s="242"/>
      <c r="AK130" s="242"/>
      <c r="AL130" s="242"/>
      <c r="AM130" s="242"/>
      <c r="BO130" s="118"/>
      <c r="BP130" s="118"/>
    </row>
    <row r="131" spans="1:68" s="209" customFormat="1" ht="17.25" customHeight="1" x14ac:dyDescent="0.2">
      <c r="A131" s="118"/>
      <c r="B131" s="118"/>
      <c r="F131" s="671"/>
      <c r="G131" s="671" t="s">
        <v>531</v>
      </c>
      <c r="H131" s="671"/>
      <c r="I131" s="671"/>
      <c r="J131" s="671"/>
      <c r="K131" s="671"/>
      <c r="L131" s="671" t="s">
        <v>533</v>
      </c>
      <c r="M131" s="671"/>
      <c r="N131" s="671"/>
      <c r="O131" s="671"/>
      <c r="P131" s="671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228"/>
      <c r="AI131" s="242" t="s">
        <v>463</v>
      </c>
      <c r="AJ131" s="242"/>
      <c r="AK131" s="242"/>
      <c r="AL131" s="242"/>
      <c r="AM131" s="242"/>
      <c r="BO131" s="118"/>
      <c r="BP131" s="118"/>
    </row>
    <row r="132" spans="1:68" s="209" customFormat="1" ht="17.25" customHeight="1" x14ac:dyDescent="0.2">
      <c r="A132" s="118"/>
      <c r="B132" s="118"/>
      <c r="F132" s="671"/>
      <c r="G132" s="671" t="s">
        <v>532</v>
      </c>
      <c r="H132" s="671"/>
      <c r="I132" s="671"/>
      <c r="J132" s="671"/>
      <c r="K132" s="671"/>
      <c r="L132" s="671" t="s">
        <v>534</v>
      </c>
      <c r="M132" s="671"/>
      <c r="N132" s="671"/>
      <c r="O132" s="671"/>
      <c r="P132" s="671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228"/>
      <c r="AI132" s="242" t="s">
        <v>464</v>
      </c>
      <c r="AJ132" s="242"/>
      <c r="AK132" s="242"/>
      <c r="AL132" s="242"/>
      <c r="AM132" s="242"/>
      <c r="BO132" s="118"/>
      <c r="BP132" s="118"/>
    </row>
    <row r="133" spans="1:68" s="209" customFormat="1" ht="17.25" customHeight="1" x14ac:dyDescent="0.2">
      <c r="A133" s="118"/>
      <c r="B133" s="118"/>
      <c r="F133" s="744" t="s">
        <v>530</v>
      </c>
      <c r="G133" s="744"/>
      <c r="H133" s="744"/>
      <c r="I133" s="744"/>
      <c r="J133" s="744"/>
      <c r="K133" s="744"/>
      <c r="L133" s="671" t="s">
        <v>535</v>
      </c>
      <c r="M133" s="671"/>
      <c r="N133" s="671"/>
      <c r="O133" s="671"/>
      <c r="P133" s="671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228"/>
      <c r="AI133" s="242" t="s">
        <v>465</v>
      </c>
      <c r="AJ133" s="242"/>
      <c r="AK133" s="242"/>
      <c r="AL133" s="242"/>
      <c r="AM133" s="242"/>
      <c r="BO133" s="118"/>
      <c r="BP133" s="118"/>
    </row>
    <row r="134" spans="1:68" s="209" customFormat="1" ht="17.25" customHeight="1" x14ac:dyDescent="0.2">
      <c r="A134" s="118"/>
      <c r="B134" s="118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228"/>
      <c r="AI134" s="242" t="s">
        <v>466</v>
      </c>
      <c r="AJ134" s="242"/>
      <c r="AK134" s="242"/>
      <c r="AL134" s="242"/>
      <c r="AM134" s="242"/>
      <c r="BO134" s="118"/>
      <c r="BP134" s="118"/>
    </row>
    <row r="135" spans="1:68" s="209" customFormat="1" ht="17.25" customHeight="1" x14ac:dyDescent="0.25">
      <c r="A135" s="118"/>
      <c r="B135" s="118"/>
      <c r="E135"/>
      <c r="F135" s="377" t="s">
        <v>160</v>
      </c>
      <c r="G135" s="377"/>
      <c r="H135" s="169">
        <f>V139</f>
        <v>48.866666666666667</v>
      </c>
      <c r="I135" s="399" t="str">
        <f>CONCATENATE("Lat et Dec - Meme sens ?: ",M135)</f>
        <v>Lat et Dec - Meme sens ?: VRAI</v>
      </c>
      <c r="J135" s="399"/>
      <c r="K135" s="399"/>
      <c r="L135" s="399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18"/>
      <c r="AH135" s="228"/>
      <c r="AI135" s="242"/>
      <c r="AJ135" s="242"/>
      <c r="AK135" s="242"/>
      <c r="AL135" s="242"/>
      <c r="AM135" s="242"/>
      <c r="BO135" s="118"/>
      <c r="BP135" s="118"/>
    </row>
    <row r="136" spans="1:68" s="209" customFormat="1" ht="17.25" customHeight="1" thickBot="1" x14ac:dyDescent="0.3">
      <c r="A136" s="118"/>
      <c r="B136" s="118"/>
      <c r="E136"/>
      <c r="F136" s="377" t="s">
        <v>159</v>
      </c>
      <c r="G136" s="377"/>
      <c r="H136" s="169">
        <f>V138</f>
        <v>23.416622222222223</v>
      </c>
      <c r="I136" s="399" t="str">
        <f>CONCATENATE("Lat &gt; Dec  ? : ",M136)</f>
        <v>Lat &gt; Dec  ? : VRAI</v>
      </c>
      <c r="J136" s="399"/>
      <c r="K136" s="399"/>
      <c r="L136" s="399"/>
      <c r="M136" s="209" t="b">
        <f>IF(ABS(H135)&gt;ABS(H136),TRUE, FALSE)</f>
        <v>1</v>
      </c>
      <c r="P136" s="42"/>
      <c r="Q136" s="42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18"/>
      <c r="AH136" s="228"/>
      <c r="AI136" s="242" t="s">
        <v>467</v>
      </c>
      <c r="AJ136" s="242"/>
      <c r="AK136" s="242"/>
      <c r="AL136" s="242"/>
      <c r="AM136" s="242"/>
      <c r="BO136" s="118"/>
      <c r="BP136" s="118"/>
    </row>
    <row r="137" spans="1:68" s="209" customFormat="1" ht="17.25" customHeight="1" thickBot="1" x14ac:dyDescent="0.3">
      <c r="A137" s="118"/>
      <c r="B137" s="118"/>
      <c r="E137"/>
      <c r="F137"/>
      <c r="G137"/>
      <c r="H137"/>
      <c r="I137"/>
      <c r="J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18"/>
      <c r="AH137" s="229"/>
      <c r="BO137" s="118"/>
      <c r="BP137" s="118"/>
    </row>
    <row r="138" spans="1:68" s="209" customFormat="1" ht="17.25" customHeight="1" x14ac:dyDescent="0.25">
      <c r="A138" s="118"/>
      <c r="B138" s="118"/>
      <c r="E138" s="118"/>
      <c r="J138" s="734" t="s">
        <v>528</v>
      </c>
      <c r="K138" s="735"/>
      <c r="L138" s="735"/>
      <c r="M138" s="735"/>
      <c r="N138" s="740">
        <f>IF(M135,IF(M136,(90-V140)+V138,V138-(90-V140)),(90-V140)-V138)</f>
        <v>50.416999028789803</v>
      </c>
      <c r="O138" s="740"/>
      <c r="P138" s="740"/>
      <c r="Q138" s="740"/>
      <c r="R138" s="740"/>
      <c r="S138"/>
      <c r="T138" s="729" t="s">
        <v>159</v>
      </c>
      <c r="U138" s="729"/>
      <c r="V138" s="729">
        <f>F55</f>
        <v>23.416622222222223</v>
      </c>
      <c r="W138" s="729"/>
      <c r="X138" s="729"/>
      <c r="Y138" s="741" t="s">
        <v>100</v>
      </c>
      <c r="Z138" s="730">
        <f>V138*$D$141</f>
        <v>0.40869715747344909</v>
      </c>
      <c r="AA138" s="731"/>
      <c r="AB138" s="732"/>
      <c r="AC138" s="728" t="s">
        <v>136</v>
      </c>
      <c r="AD138" s="118"/>
      <c r="AE138" s="118"/>
      <c r="AF138" s="118"/>
      <c r="AG138" s="118"/>
      <c r="AH138" s="228"/>
      <c r="BO138" s="118"/>
      <c r="BP138" s="118"/>
    </row>
    <row r="139" spans="1:68" s="209" customFormat="1" ht="17.25" customHeight="1" thickBot="1" x14ac:dyDescent="0.3">
      <c r="A139" s="118"/>
      <c r="B139" s="118"/>
      <c r="C139" s="118"/>
      <c r="D139" s="118"/>
      <c r="E139" s="118"/>
      <c r="J139" s="736"/>
      <c r="K139" s="737"/>
      <c r="L139" s="737"/>
      <c r="M139" s="737"/>
      <c r="N139" s="740"/>
      <c r="O139" s="740"/>
      <c r="P139" s="740"/>
      <c r="Q139" s="740"/>
      <c r="R139" s="740"/>
      <c r="S139"/>
      <c r="T139" s="729" t="s">
        <v>160</v>
      </c>
      <c r="U139" s="729"/>
      <c r="V139" s="729">
        <f>F14</f>
        <v>48.866666666666667</v>
      </c>
      <c r="W139" s="729"/>
      <c r="X139" s="729"/>
      <c r="Y139" s="741"/>
      <c r="Z139" s="730">
        <f>V139*$D$141</f>
        <v>0.85288422780789575</v>
      </c>
      <c r="AA139" s="731"/>
      <c r="AB139" s="732"/>
      <c r="AC139" s="728"/>
      <c r="AD139" s="118"/>
      <c r="AE139" s="118"/>
      <c r="AF139" s="118"/>
      <c r="AG139" s="118"/>
      <c r="AH139" s="228"/>
      <c r="BO139" s="118"/>
      <c r="BP139" s="118"/>
    </row>
    <row r="140" spans="1:68" s="209" customFormat="1" ht="17.25" customHeight="1" thickTop="1" thickBot="1" x14ac:dyDescent="0.3">
      <c r="A140" s="255" t="s">
        <v>186</v>
      </c>
      <c r="B140" s="253"/>
      <c r="C140" s="253"/>
      <c r="D140" s="254"/>
      <c r="E140" s="118"/>
      <c r="F140" s="118"/>
      <c r="G140" s="118"/>
      <c r="H140" s="118"/>
      <c r="I140" s="118"/>
      <c r="J140" s="738"/>
      <c r="K140" s="739"/>
      <c r="L140" s="739"/>
      <c r="M140" s="739"/>
      <c r="N140" s="733" t="str" cm="1">
        <f t="array" ref="N140">angleDecimal2Txt(N138)</f>
        <v>+50°25.01 (+50.4169) [+50°25'01.19]</v>
      </c>
      <c r="O140" s="733"/>
      <c r="P140" s="733"/>
      <c r="Q140" s="733"/>
      <c r="R140" s="733"/>
      <c r="S140"/>
      <c r="T140" s="729" t="s">
        <v>185</v>
      </c>
      <c r="U140" s="729"/>
      <c r="V140" s="729">
        <f>F89</f>
        <v>62.99962319343242</v>
      </c>
      <c r="W140" s="729"/>
      <c r="X140" s="729"/>
      <c r="Y140" s="741"/>
      <c r="Z140" s="730">
        <f>V140*$D$141</f>
        <v>1.0995508522411801</v>
      </c>
      <c r="AA140" s="731"/>
      <c r="AB140" s="732"/>
      <c r="AC140" s="728"/>
      <c r="AD140" s="118"/>
      <c r="AE140" s="118"/>
      <c r="AF140" s="118"/>
      <c r="AG140" s="118"/>
      <c r="AH140" s="228"/>
      <c r="BO140" s="118"/>
      <c r="BP140" s="118"/>
    </row>
    <row r="141" spans="1:68" s="209" customFormat="1" ht="17.25" customHeight="1" thickTop="1" x14ac:dyDescent="0.2">
      <c r="A141" s="227" t="s">
        <v>79</v>
      </c>
      <c r="B141" s="223" t="s">
        <v>166</v>
      </c>
      <c r="C141" s="224" t="s">
        <v>385</v>
      </c>
      <c r="D141" s="165">
        <f>PI()/180</f>
        <v>1.7453292519943295E-2</v>
      </c>
      <c r="E141" s="118"/>
      <c r="F141" s="171"/>
      <c r="G141" s="171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228"/>
      <c r="BO141" s="118"/>
      <c r="BP141" s="118"/>
    </row>
    <row r="142" spans="1:68" s="209" customFormat="1" ht="17.25" customHeight="1" thickBot="1" x14ac:dyDescent="0.3">
      <c r="A142" s="216" t="s">
        <v>168</v>
      </c>
      <c r="B142" s="225" t="s">
        <v>166</v>
      </c>
      <c r="C142" s="226" t="s">
        <v>386</v>
      </c>
      <c r="D142" s="168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28"/>
      <c r="BO142" s="118"/>
      <c r="BP142" s="118"/>
    </row>
    <row r="143" spans="1:68" s="209" customFormat="1" ht="17.25" customHeight="1" x14ac:dyDescent="0.25">
      <c r="A143" s="118"/>
      <c r="E143"/>
      <c r="F143"/>
      <c r="G143"/>
      <c r="H143"/>
      <c r="AC143"/>
      <c r="AD143"/>
      <c r="AE143"/>
      <c r="AF143"/>
      <c r="AG143"/>
      <c r="AH143" s="228"/>
      <c r="BO143" s="118"/>
      <c r="BP143" s="118"/>
    </row>
    <row r="144" spans="1:68" s="209" customFormat="1" ht="17.25" customHeight="1" x14ac:dyDescent="0.25">
      <c r="A144" s="118"/>
      <c r="B144" s="118"/>
      <c r="E144"/>
      <c r="F144"/>
      <c r="G144"/>
      <c r="H144"/>
      <c r="AC144"/>
      <c r="AD144"/>
      <c r="AE144"/>
      <c r="AF144"/>
      <c r="AG144"/>
      <c r="AH144" s="228"/>
      <c r="BO144" s="118"/>
      <c r="BP144" s="118"/>
    </row>
    <row r="145" spans="1:71" s="209" customFormat="1" ht="17.25" customHeight="1" x14ac:dyDescent="0.25">
      <c r="A145" s="118"/>
      <c r="B145" s="118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28"/>
      <c r="BO145" s="118"/>
      <c r="BP145" s="118"/>
    </row>
    <row r="146" spans="1:71" s="209" customFormat="1" ht="17.25" customHeight="1" x14ac:dyDescent="0.2">
      <c r="A146" s="118"/>
      <c r="B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228"/>
      <c r="BO146" s="118"/>
      <c r="BP146" s="118"/>
    </row>
    <row r="147" spans="1:71" s="209" customFormat="1" ht="17.25" customHeight="1" x14ac:dyDescent="0.2">
      <c r="A147" s="118"/>
      <c r="B147" s="118"/>
      <c r="C147" s="118"/>
      <c r="D147" s="118"/>
      <c r="E147" s="171"/>
      <c r="F147" s="118"/>
      <c r="G147" s="118"/>
      <c r="H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228"/>
      <c r="BO147" s="118"/>
      <c r="BP147" s="118"/>
    </row>
    <row r="148" spans="1:71" s="209" customFormat="1" ht="17.25" customHeight="1" x14ac:dyDescent="0.2">
      <c r="B148" s="118"/>
      <c r="C148" s="171"/>
      <c r="D148" s="171"/>
      <c r="E148" s="171"/>
      <c r="F148" s="118"/>
      <c r="G148" s="118"/>
      <c r="H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228"/>
      <c r="BO148" s="118"/>
      <c r="BP148" s="118"/>
    </row>
    <row r="149" spans="1:71" s="209" customFormat="1" ht="17.25" customHeight="1" x14ac:dyDescent="0.2">
      <c r="B149" s="118"/>
      <c r="C149" s="171"/>
      <c r="D149" s="171"/>
      <c r="E149" s="171"/>
      <c r="F149" s="118"/>
      <c r="G149" s="118"/>
      <c r="H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228"/>
      <c r="BO149" s="118"/>
      <c r="BP149" s="118"/>
    </row>
    <row r="150" spans="1:71" s="209" customFormat="1" ht="17.25" customHeight="1" x14ac:dyDescent="0.2">
      <c r="B150" s="118"/>
      <c r="C150" s="171"/>
      <c r="D150" s="171"/>
      <c r="E150" s="171"/>
      <c r="L150" s="118"/>
      <c r="M150" s="118"/>
      <c r="N150" s="118"/>
      <c r="O150" s="118"/>
      <c r="P150" s="118"/>
      <c r="T150" s="706"/>
      <c r="U150" s="706"/>
      <c r="V150" s="706"/>
      <c r="X150" s="706"/>
      <c r="Y150" s="706"/>
      <c r="Z150" s="706"/>
      <c r="AG150" s="118"/>
      <c r="AH150" s="228"/>
      <c r="BO150" s="118"/>
      <c r="BP150" s="118"/>
    </row>
    <row r="151" spans="1:71" s="209" customFormat="1" ht="17.25" customHeight="1" x14ac:dyDescent="0.25">
      <c r="B151" s="118"/>
      <c r="C151" s="171"/>
      <c r="D151" s="171"/>
      <c r="E151" s="171"/>
      <c r="G151" s="17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18"/>
      <c r="AH151" s="228"/>
      <c r="BO151" s="118"/>
      <c r="BP151" s="118"/>
    </row>
    <row r="152" spans="1:71" s="209" customFormat="1" ht="17.25" customHeight="1" x14ac:dyDescent="0.25">
      <c r="A152" s="118"/>
      <c r="B152" s="118"/>
      <c r="C152" s="171"/>
      <c r="D152" s="171"/>
      <c r="E152" s="171"/>
      <c r="F152" s="171"/>
      <c r="G152" s="171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18"/>
      <c r="AB152" s="118"/>
      <c r="AC152" s="118"/>
      <c r="AD152" s="118"/>
      <c r="AE152" s="118"/>
      <c r="AF152" s="118"/>
      <c r="AG152" s="118"/>
      <c r="AH152" s="228"/>
      <c r="BO152" s="118"/>
      <c r="BP152" s="118"/>
    </row>
    <row r="153" spans="1:71" s="209" customFormat="1" ht="17.25" customHeight="1" x14ac:dyDescent="0.25">
      <c r="A153" s="118"/>
      <c r="B153" s="118"/>
      <c r="C153" s="171"/>
      <c r="D153" s="171"/>
      <c r="E153" s="171"/>
      <c r="F153" s="171"/>
      <c r="G153" s="171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18"/>
      <c r="AB153" s="118"/>
      <c r="AC153" s="118"/>
      <c r="AD153" s="118"/>
      <c r="AE153" s="118"/>
      <c r="AF153" s="118"/>
      <c r="AG153" s="118"/>
      <c r="AH153" s="228"/>
      <c r="BO153" s="118"/>
      <c r="BP153" s="118"/>
    </row>
    <row r="154" spans="1:71" s="209" customFormat="1" ht="17.25" customHeight="1" x14ac:dyDescent="0.25">
      <c r="A154" s="118"/>
      <c r="B154" s="118"/>
      <c r="C154" s="171"/>
      <c r="D154" s="171"/>
      <c r="E154" s="171"/>
      <c r="F154" s="171"/>
      <c r="G154" s="171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18"/>
      <c r="AB154" s="118"/>
      <c r="AC154" s="118"/>
      <c r="AD154" s="118"/>
      <c r="AE154" s="118"/>
      <c r="AF154" s="118"/>
      <c r="AG154" s="118"/>
      <c r="AH154" s="228"/>
      <c r="BO154" s="118"/>
      <c r="BP154" s="118"/>
    </row>
    <row r="155" spans="1:71" s="209" customFormat="1" ht="17.25" customHeight="1" x14ac:dyDescent="0.25">
      <c r="A155" s="118"/>
      <c r="B155" s="118"/>
      <c r="C155" s="171"/>
      <c r="D155" s="171"/>
      <c r="E155" s="171"/>
      <c r="F155" s="171"/>
      <c r="G155" s="171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18"/>
      <c r="AB155" s="118"/>
      <c r="AC155" s="118"/>
      <c r="AD155" s="118"/>
      <c r="AE155" s="118"/>
      <c r="AF155" s="118"/>
      <c r="AG155" s="118"/>
      <c r="AH155" s="228"/>
      <c r="BO155" s="118"/>
      <c r="BP155" s="118"/>
    </row>
    <row r="156" spans="1:71" s="209" customFormat="1" ht="17.25" customHeight="1" x14ac:dyDescent="0.25">
      <c r="A156" s="118"/>
      <c r="B156" s="118"/>
      <c r="C156" s="171"/>
      <c r="D156" s="171"/>
      <c r="E156" s="171"/>
      <c r="F156" s="171"/>
      <c r="G156" s="171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18"/>
      <c r="AB156" s="118"/>
      <c r="AC156" s="118"/>
      <c r="AD156" s="118"/>
      <c r="AE156" s="118"/>
      <c r="AF156" s="118"/>
      <c r="AG156" s="118"/>
      <c r="AH156" s="228"/>
      <c r="BO156" s="118"/>
      <c r="BP156" s="118"/>
    </row>
    <row r="157" spans="1:71" ht="17.25" customHeight="1" x14ac:dyDescent="0.2">
      <c r="BO157" s="118"/>
      <c r="BP157" s="118"/>
      <c r="BQ157" s="118"/>
      <c r="BR157" s="118"/>
      <c r="BS157" s="118"/>
    </row>
    <row r="158" spans="1:71" ht="17.25" customHeight="1" x14ac:dyDescent="0.2">
      <c r="BO158" s="118"/>
      <c r="BP158" s="118"/>
      <c r="BQ158" s="118"/>
      <c r="BR158" s="118"/>
      <c r="BS158" s="118"/>
    </row>
    <row r="159" spans="1:71" ht="17.25" customHeight="1" x14ac:dyDescent="0.2">
      <c r="BO159" s="118"/>
      <c r="BP159" s="118"/>
      <c r="BQ159" s="118"/>
      <c r="BR159" s="118"/>
      <c r="BS159" s="118"/>
    </row>
    <row r="160" spans="1:71" ht="17.25" customHeight="1" x14ac:dyDescent="0.2">
      <c r="BO160" s="118"/>
      <c r="BP160" s="118"/>
      <c r="BQ160" s="118"/>
      <c r="BR160" s="118"/>
      <c r="BS160" s="118"/>
    </row>
    <row r="161" spans="67:71" ht="17.25" customHeight="1" x14ac:dyDescent="0.2">
      <c r="BO161" s="118"/>
      <c r="BP161" s="118"/>
      <c r="BQ161" s="118"/>
      <c r="BR161" s="118"/>
      <c r="BS161" s="118"/>
    </row>
    <row r="162" spans="67:71" ht="17.25" customHeight="1" x14ac:dyDescent="0.2">
      <c r="BO162" s="118"/>
      <c r="BP162" s="118"/>
      <c r="BQ162" s="118"/>
      <c r="BR162" s="118"/>
      <c r="BS162" s="118"/>
    </row>
    <row r="163" spans="67:71" ht="17.25" customHeight="1" x14ac:dyDescent="0.2">
      <c r="BO163" s="118"/>
      <c r="BP163" s="118"/>
      <c r="BQ163" s="118"/>
      <c r="BR163" s="118"/>
      <c r="BS163" s="118"/>
    </row>
    <row r="164" spans="67:71" ht="17.25" customHeight="1" x14ac:dyDescent="0.2">
      <c r="BO164" s="118"/>
      <c r="BP164" s="118"/>
      <c r="BQ164" s="118"/>
      <c r="BR164" s="118"/>
      <c r="BS164" s="118"/>
    </row>
  </sheetData>
  <dataConsolidate link="1"/>
  <mergeCells count="311"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99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" customWidth="1"/>
    <col min="3" max="6" width="7" style="38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206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 x14ac:dyDescent="0.25">
      <c r="B1" s="118"/>
      <c r="C1" s="634" t="s">
        <v>311</v>
      </c>
      <c r="D1" s="634"/>
      <c r="E1" s="634"/>
      <c r="F1" s="634"/>
      <c r="G1" s="626" t="s">
        <v>312</v>
      </c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118"/>
      <c r="AA1" s="118"/>
      <c r="AB1" s="173"/>
      <c r="BN1" s="134"/>
    </row>
    <row r="2" spans="2:66" customFormat="1" ht="17.25" customHeight="1" x14ac:dyDescent="0.25">
      <c r="B2" s="118"/>
      <c r="C2" s="634"/>
      <c r="D2" s="634"/>
      <c r="E2" s="634"/>
      <c r="F2" s="634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6"/>
      <c r="X2" s="626"/>
      <c r="Y2" s="626"/>
      <c r="Z2" s="118"/>
      <c r="AA2" s="118"/>
      <c r="AB2" s="173"/>
      <c r="BN2" s="134"/>
    </row>
    <row r="3" spans="2:66" customFormat="1" ht="17.25" customHeight="1" x14ac:dyDescent="0.25">
      <c r="B3" s="118"/>
      <c r="C3" s="634"/>
      <c r="D3" s="634"/>
      <c r="E3" s="634"/>
      <c r="F3" s="634"/>
      <c r="G3" s="631" t="s">
        <v>316</v>
      </c>
      <c r="H3" s="631"/>
      <c r="I3" s="631"/>
      <c r="J3" s="939" t="s">
        <v>315</v>
      </c>
      <c r="K3" s="939"/>
      <c r="L3" s="939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73"/>
      <c r="BN3" s="134"/>
    </row>
    <row r="4" spans="2:66" customFormat="1" ht="17.25" customHeight="1" x14ac:dyDescent="0.25">
      <c r="B4" s="118"/>
      <c r="C4" s="634"/>
      <c r="D4" s="634"/>
      <c r="E4" s="634"/>
      <c r="F4" s="634"/>
      <c r="G4" s="478"/>
      <c r="H4" s="478"/>
      <c r="I4" s="478"/>
      <c r="J4" s="486"/>
      <c r="K4" s="486"/>
      <c r="L4" s="486"/>
      <c r="M4" s="118"/>
      <c r="N4" s="118"/>
      <c r="O4" s="118" t="s">
        <v>49</v>
      </c>
      <c r="P4" s="118" t="s">
        <v>442</v>
      </c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73"/>
      <c r="BN4" s="134"/>
    </row>
    <row r="5" spans="2:66" s="118" customFormat="1" ht="17.25" customHeight="1" x14ac:dyDescent="0.25">
      <c r="C5" s="171"/>
      <c r="D5" s="171"/>
      <c r="E5" s="171"/>
      <c r="F5" s="171"/>
      <c r="G5" s="171"/>
      <c r="AB5" s="17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34"/>
    </row>
    <row r="6" spans="2:66" customFormat="1" ht="17.25" customHeight="1" thickBot="1" x14ac:dyDescent="0.3">
      <c r="B6" s="118"/>
      <c r="C6" s="171"/>
      <c r="D6" s="171"/>
      <c r="E6" s="171"/>
      <c r="F6" s="171"/>
      <c r="G6" s="171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73"/>
      <c r="BN6" s="134"/>
    </row>
    <row r="7" spans="2:66" customFormat="1" ht="17.25" customHeight="1" thickBot="1" x14ac:dyDescent="0.3">
      <c r="B7" s="135" t="s">
        <v>1</v>
      </c>
      <c r="C7" s="136"/>
      <c r="D7" s="136"/>
      <c r="E7" s="170" t="str">
        <f>E8</f>
        <v>15/4/2008</v>
      </c>
      <c r="F7" s="170"/>
      <c r="G7" s="170" t="str" cm="1">
        <f t="array" ref="G7">heureDecimal2Txt(E11)</f>
        <v>18:48:30.00(18.8083)</v>
      </c>
      <c r="H7" s="170"/>
      <c r="I7" s="170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74"/>
      <c r="BN7" s="134"/>
    </row>
    <row r="8" spans="2:66" customFormat="1" ht="17.25" customHeight="1" x14ac:dyDescent="0.25">
      <c r="B8" s="118"/>
      <c r="C8" s="627" t="s">
        <v>2</v>
      </c>
      <c r="D8" s="628"/>
      <c r="E8" s="460" t="s">
        <v>450</v>
      </c>
      <c r="F8" s="461"/>
      <c r="G8" s="461"/>
      <c r="H8" s="171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73"/>
      <c r="AC8" s="6" t="s">
        <v>405</v>
      </c>
      <c r="AD8" s="6" cm="1">
        <f t="array" ref="AD8">heureConvert2Decimal(I11)</f>
        <v>18.808333333333334</v>
      </c>
      <c r="BN8" s="134"/>
    </row>
    <row r="9" spans="2:66" customFormat="1" ht="17.25" customHeight="1" thickBot="1" x14ac:dyDescent="0.3">
      <c r="B9" s="118"/>
      <c r="C9" s="416" t="s">
        <v>12</v>
      </c>
      <c r="D9" s="418"/>
      <c r="E9" s="416" t="s">
        <v>3</v>
      </c>
      <c r="F9" s="417"/>
      <c r="G9" s="417"/>
      <c r="H9" s="418"/>
      <c r="I9" s="403" t="s">
        <v>267</v>
      </c>
      <c r="J9" s="403"/>
      <c r="K9" s="403"/>
      <c r="L9" s="403" t="s">
        <v>268</v>
      </c>
      <c r="M9" s="403"/>
      <c r="N9" s="403"/>
      <c r="O9" s="403"/>
      <c r="P9" s="403"/>
      <c r="Q9" s="403" t="s">
        <v>269</v>
      </c>
      <c r="R9" s="403"/>
      <c r="S9" s="403"/>
      <c r="T9" s="403"/>
      <c r="U9" s="403"/>
      <c r="V9" s="503" t="s">
        <v>266</v>
      </c>
      <c r="W9" s="504"/>
      <c r="X9" s="504"/>
      <c r="Y9" s="505"/>
      <c r="Z9" s="118"/>
      <c r="AA9" s="118"/>
      <c r="AB9" s="175"/>
      <c r="AC9" s="6" t="s">
        <v>406</v>
      </c>
      <c r="AD9" s="179">
        <f>L11</f>
        <v>0</v>
      </c>
      <c r="BN9" s="134"/>
    </row>
    <row r="10" spans="2:66" customFormat="1" ht="17.25" customHeight="1" x14ac:dyDescent="0.25">
      <c r="B10" s="118"/>
      <c r="C10" s="629"/>
      <c r="D10" s="630"/>
      <c r="E10" s="419"/>
      <c r="F10" s="420"/>
      <c r="G10" s="420"/>
      <c r="H10" s="421"/>
      <c r="I10" s="403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506"/>
      <c r="W10" s="507"/>
      <c r="X10" s="507"/>
      <c r="Y10" s="508"/>
      <c r="Z10" s="118"/>
      <c r="AA10" s="118"/>
      <c r="AB10" s="173"/>
      <c r="AC10" s="6" t="s">
        <v>407</v>
      </c>
      <c r="AD10" s="6">
        <f>Q11/3600</f>
        <v>0</v>
      </c>
      <c r="BN10" s="134"/>
    </row>
    <row r="11" spans="2:66" customFormat="1" ht="17.25" customHeight="1" thickBot="1" x14ac:dyDescent="0.3">
      <c r="B11" s="118"/>
      <c r="C11" s="419"/>
      <c r="D11" s="421"/>
      <c r="E11" s="641">
        <f>AD8+AD9+AD10+AD11</f>
        <v>18.808333333333334</v>
      </c>
      <c r="F11" s="642"/>
      <c r="G11" s="642"/>
      <c r="H11" s="643"/>
      <c r="I11" s="519" t="s">
        <v>454</v>
      </c>
      <c r="J11" s="519"/>
      <c r="K11" s="519"/>
      <c r="L11" s="491">
        <v>0</v>
      </c>
      <c r="M11" s="491"/>
      <c r="N11" s="491"/>
      <c r="O11" s="491"/>
      <c r="P11" s="491"/>
      <c r="Q11" s="491">
        <v>0</v>
      </c>
      <c r="R11" s="491"/>
      <c r="S11" s="491"/>
      <c r="T11" s="491"/>
      <c r="U11" s="492"/>
      <c r="V11" s="490" t="s">
        <v>265</v>
      </c>
      <c r="W11" s="490"/>
      <c r="X11" s="490"/>
      <c r="Y11" s="490"/>
      <c r="Z11" s="118"/>
      <c r="AA11" s="118"/>
      <c r="AB11" s="173"/>
      <c r="AC11" s="6" t="s">
        <v>37</v>
      </c>
      <c r="AD11" s="6" cm="1">
        <f t="array" ref="AD11">heureConvert2Decimal(V11) / 60</f>
        <v>0</v>
      </c>
      <c r="BN11" s="134"/>
    </row>
    <row r="12" spans="2:66" customFormat="1" ht="17.25" customHeight="1" thickTop="1" thickBot="1" x14ac:dyDescent="0.3">
      <c r="B12" s="118"/>
      <c r="E12" s="383" t="str" cm="1">
        <f t="array" ref="E12">heureDecimal2Txt(E11)</f>
        <v>18:48:30.00(18.8083)</v>
      </c>
      <c r="F12" s="384"/>
      <c r="G12" s="384"/>
      <c r="H12" s="385"/>
      <c r="I12" s="42"/>
      <c r="J12" s="42"/>
      <c r="K12" s="42"/>
      <c r="V12" s="42"/>
      <c r="W12" s="42"/>
      <c r="X12" s="42"/>
      <c r="Y12" s="42"/>
      <c r="Z12" s="118"/>
      <c r="AA12" s="118"/>
      <c r="AB12" s="173"/>
      <c r="BN12" s="134"/>
    </row>
    <row r="13" spans="2:66" customFormat="1" ht="17.25" customHeight="1" thickTop="1" thickBot="1" x14ac:dyDescent="0.3">
      <c r="B13" s="118"/>
      <c r="C13" s="109"/>
      <c r="D13" s="109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18"/>
      <c r="AA13" s="118"/>
      <c r="AB13" s="173"/>
      <c r="BN13" s="134"/>
    </row>
    <row r="14" spans="2:66" customFormat="1" ht="17.25" customHeight="1" thickBot="1" x14ac:dyDescent="0.3">
      <c r="B14" s="135" t="s">
        <v>21</v>
      </c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74"/>
      <c r="BN14" s="134"/>
    </row>
    <row r="15" spans="2:66" customFormat="1" ht="18" customHeight="1" thickBot="1" x14ac:dyDescent="0.3">
      <c r="B15" s="118"/>
      <c r="C15" s="365" t="s">
        <v>22</v>
      </c>
      <c r="D15" s="365"/>
      <c r="E15" s="365"/>
      <c r="F15" s="365"/>
      <c r="G15" s="365"/>
      <c r="H15" s="365"/>
      <c r="I15" s="365"/>
      <c r="J15" s="493">
        <f>M15</f>
        <v>5.5</v>
      </c>
      <c r="K15" s="494"/>
      <c r="L15" s="495"/>
      <c r="M15" s="514">
        <v>5.5</v>
      </c>
      <c r="N15" s="514"/>
      <c r="O15" s="514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18"/>
      <c r="AA15" s="118"/>
      <c r="AB15" s="173"/>
      <c r="BN15" s="134"/>
    </row>
    <row r="16" spans="2:66" customFormat="1" ht="18" customHeight="1" thickTop="1" thickBot="1" x14ac:dyDescent="0.3">
      <c r="B16" s="101"/>
      <c r="C16" s="690" t="s">
        <v>23</v>
      </c>
      <c r="D16" s="691"/>
      <c r="E16" s="691"/>
      <c r="F16" s="691"/>
      <c r="G16" s="691"/>
      <c r="H16" s="691"/>
      <c r="I16" s="692"/>
      <c r="J16" s="454" cm="1">
        <f t="array" ref="J16">angleConvert2Decimal(M16)</f>
        <v>0</v>
      </c>
      <c r="K16" s="455"/>
      <c r="L16" s="455"/>
      <c r="M16" s="513">
        <v>0</v>
      </c>
      <c r="N16" s="514"/>
      <c r="O16" s="514"/>
      <c r="P16" s="379" t="str" cm="1">
        <f t="array" ref="P16">angleDecimal2Txt(J16)</f>
        <v>+00°00.00 (+00.0000) [+00°00'00.00]</v>
      </c>
      <c r="Q16" s="379"/>
      <c r="R16" s="379"/>
      <c r="S16" s="379"/>
      <c r="T16" s="379"/>
      <c r="U16" s="379"/>
      <c r="V16" s="379"/>
      <c r="W16" s="379"/>
      <c r="X16" s="379"/>
      <c r="Y16" s="101"/>
      <c r="Z16" s="118"/>
      <c r="AA16" s="118"/>
      <c r="AB16" s="173"/>
      <c r="BN16" s="134"/>
    </row>
    <row r="17" spans="1:66" customFormat="1" ht="18" customHeight="1" thickTop="1" thickBot="1" x14ac:dyDescent="0.3">
      <c r="B17" s="118"/>
      <c r="C17" s="372" t="s">
        <v>33</v>
      </c>
      <c r="D17" s="372"/>
      <c r="E17" s="372"/>
      <c r="F17" s="372"/>
      <c r="G17" s="372"/>
      <c r="H17" s="372"/>
      <c r="I17" s="372"/>
      <c r="J17" s="682" cm="1">
        <f t="array" ref="J17">angleConvert2Decimal(M17)</f>
        <v>28.916666666666668</v>
      </c>
      <c r="K17" s="683"/>
      <c r="L17" s="683"/>
      <c r="M17" s="684" t="s">
        <v>455</v>
      </c>
      <c r="N17" s="685"/>
      <c r="O17" s="686"/>
      <c r="P17" s="379" t="str" cm="1">
        <f t="array" ref="P17">angleDecimal2Txt(J17)</f>
        <v>+28°55.00 (+28.9166) [+28°55'00.00]</v>
      </c>
      <c r="Q17" s="379"/>
      <c r="R17" s="379"/>
      <c r="S17" s="379"/>
      <c r="T17" s="379"/>
      <c r="U17" s="379"/>
      <c r="V17" s="379"/>
      <c r="W17" s="379"/>
      <c r="X17" s="379"/>
      <c r="Y17" s="101"/>
      <c r="Z17" s="118"/>
      <c r="AA17" s="118"/>
      <c r="AB17" s="173"/>
      <c r="BN17" s="134"/>
    </row>
    <row r="18" spans="1:66" customFormat="1" ht="18" customHeight="1" thickTop="1" x14ac:dyDescent="0.25">
      <c r="B18" s="118"/>
      <c r="C18" s="365" t="s">
        <v>38</v>
      </c>
      <c r="D18" s="365"/>
      <c r="E18" s="365"/>
      <c r="F18" s="365"/>
      <c r="G18" s="365"/>
      <c r="H18" s="365"/>
      <c r="I18" s="365"/>
      <c r="J18" s="366" t="str">
        <f>M18</f>
        <v>Polaire</v>
      </c>
      <c r="K18" s="367"/>
      <c r="L18" s="368"/>
      <c r="M18" s="462" t="s">
        <v>391</v>
      </c>
      <c r="N18" s="463"/>
      <c r="O18" s="464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18"/>
      <c r="AA18" s="118"/>
      <c r="AB18" s="173"/>
      <c r="AG18" s="118"/>
      <c r="AH18" s="118"/>
      <c r="BN18" s="134"/>
    </row>
    <row r="19" spans="1:66" customFormat="1" ht="18" customHeight="1" x14ac:dyDescent="0.25">
      <c r="B19" s="118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18"/>
      <c r="AA19" s="118"/>
      <c r="AB19" s="173"/>
      <c r="AG19" s="118"/>
      <c r="AH19" s="118"/>
      <c r="BN19" s="134"/>
    </row>
    <row r="20" spans="1:66" customFormat="1" ht="17.25" customHeight="1" thickBot="1" x14ac:dyDescent="0.3">
      <c r="B20" s="118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18"/>
      <c r="AA20" s="118"/>
      <c r="AB20" s="173"/>
      <c r="BN20" s="134"/>
    </row>
    <row r="21" spans="1:66" customFormat="1" ht="17.25" customHeight="1" thickBot="1" x14ac:dyDescent="0.3">
      <c r="B21" s="135" t="s">
        <v>20</v>
      </c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74"/>
      <c r="BN21" s="134"/>
    </row>
    <row r="22" spans="1:66" s="118" customFormat="1" ht="17.25" customHeight="1" x14ac:dyDescent="0.25">
      <c r="C22" s="101"/>
      <c r="D22" s="101"/>
      <c r="E22" s="522" t="s">
        <v>8</v>
      </c>
      <c r="F22" s="522"/>
      <c r="G22" s="522"/>
      <c r="H22" s="522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AB22" s="17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34"/>
    </row>
    <row r="23" spans="1:66" s="118" customFormat="1" ht="17.25" customHeight="1" thickBot="1" x14ac:dyDescent="0.3">
      <c r="C23" s="101"/>
      <c r="D23" s="101"/>
      <c r="E23" s="522"/>
      <c r="F23" s="522"/>
      <c r="G23" s="522"/>
      <c r="H23" s="522"/>
      <c r="I23" s="101"/>
      <c r="J23" s="101" t="s">
        <v>308</v>
      </c>
      <c r="K23" s="101"/>
      <c r="L23" s="101" t="s">
        <v>309</v>
      </c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AB23" s="17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34"/>
    </row>
    <row r="24" spans="1:66" s="118" customFormat="1" ht="17.25" customHeight="1" thickTop="1" thickBot="1" x14ac:dyDescent="0.3">
      <c r="A24" s="369" t="s">
        <v>42</v>
      </c>
      <c r="B24" s="370"/>
      <c r="C24" s="371"/>
      <c r="D24" s="101"/>
      <c r="E24" s="101"/>
      <c r="F24" s="390">
        <f>AD25</f>
        <v>29.083333333333332</v>
      </c>
      <c r="G24" s="510"/>
      <c r="H24" s="510"/>
      <c r="I24" s="357" t="s">
        <v>4</v>
      </c>
      <c r="J24" s="515" t="s">
        <v>452</v>
      </c>
      <c r="K24" s="357"/>
      <c r="L24" s="357"/>
      <c r="M24" s="357"/>
      <c r="N24" s="357"/>
      <c r="O24" s="386" t="str" cm="1">
        <f t="array" ref="O24">angleDecimal2Txt(F24)</f>
        <v>+29°05.00 (+29.0833) [+29°05'00.00]</v>
      </c>
      <c r="P24" s="386"/>
      <c r="Q24" s="386"/>
      <c r="R24" s="386"/>
      <c r="S24" s="386"/>
      <c r="T24" s="386"/>
      <c r="U24" s="386"/>
      <c r="V24" s="386"/>
      <c r="W24" s="386"/>
      <c r="X24" s="386"/>
      <c r="Y24" s="101"/>
      <c r="Z24" s="101"/>
      <c r="AB24" s="173"/>
      <c r="AC24" s="6" t="s">
        <v>412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41"/>
    </row>
    <row r="25" spans="1:66" s="118" customFormat="1" ht="17.25" customHeight="1" thickTop="1" thickBot="1" x14ac:dyDescent="0.3">
      <c r="A25" s="119" t="s">
        <v>51</v>
      </c>
      <c r="B25" s="142" t="s">
        <v>52</v>
      </c>
      <c r="C25" s="121"/>
      <c r="D25" s="101"/>
      <c r="E25" s="101"/>
      <c r="F25" s="510"/>
      <c r="G25" s="510"/>
      <c r="H25" s="510"/>
      <c r="I25" s="357"/>
      <c r="J25" s="357"/>
      <c r="K25" s="357"/>
      <c r="L25" s="357"/>
      <c r="M25" s="357"/>
      <c r="N25" s="357"/>
      <c r="O25" s="386"/>
      <c r="P25" s="386"/>
      <c r="Q25" s="386"/>
      <c r="R25" s="386"/>
      <c r="S25" s="386"/>
      <c r="T25" s="386"/>
      <c r="U25" s="386"/>
      <c r="V25" s="386"/>
      <c r="W25" s="386"/>
      <c r="X25" s="386"/>
      <c r="Y25" s="101"/>
      <c r="Z25" s="101"/>
      <c r="AB25" s="173"/>
      <c r="AC25" s="6" t="s">
        <v>413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41"/>
    </row>
    <row r="26" spans="1:66" s="118" customFormat="1" ht="17.25" customHeight="1" thickTop="1" x14ac:dyDescent="0.25">
      <c r="A26" s="119" t="s">
        <v>4</v>
      </c>
      <c r="B26" s="142" t="s">
        <v>6</v>
      </c>
      <c r="C26" s="121">
        <v>1</v>
      </c>
      <c r="D26" s="101"/>
      <c r="E26" s="101"/>
      <c r="F26" s="101"/>
      <c r="G26" s="101"/>
      <c r="H26" s="101"/>
      <c r="AB26" s="173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41"/>
    </row>
    <row r="27" spans="1:66" s="118" customFormat="1" ht="17.25" customHeight="1" thickBot="1" x14ac:dyDescent="0.3">
      <c r="A27" s="124" t="s">
        <v>5</v>
      </c>
      <c r="B27" s="125" t="s">
        <v>7</v>
      </c>
      <c r="C27" s="126">
        <v>-1</v>
      </c>
      <c r="D27" s="101"/>
      <c r="E27" s="511" t="s">
        <v>9</v>
      </c>
      <c r="F27" s="511"/>
      <c r="G27" s="511"/>
      <c r="H27" s="51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AB27" s="173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41"/>
    </row>
    <row r="28" spans="1:66" s="118" customFormat="1" ht="17.25" customHeight="1" thickBot="1" x14ac:dyDescent="0.3">
      <c r="C28" s="101"/>
      <c r="D28" s="101"/>
      <c r="E28" s="511"/>
      <c r="F28" s="511"/>
      <c r="G28" s="511"/>
      <c r="H28" s="511"/>
      <c r="I28" s="101"/>
      <c r="J28" s="101" t="s">
        <v>308</v>
      </c>
      <c r="K28" s="101"/>
      <c r="L28" s="101" t="s">
        <v>317</v>
      </c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AB28" s="173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41"/>
    </row>
    <row r="29" spans="1:66" s="118" customFormat="1" ht="17.25" customHeight="1" thickTop="1" thickBot="1" x14ac:dyDescent="0.3">
      <c r="B29" s="101"/>
      <c r="C29" s="101"/>
      <c r="D29" s="101"/>
      <c r="E29" s="101"/>
      <c r="F29" s="390">
        <f>AD30</f>
        <v>-12.5</v>
      </c>
      <c r="G29" s="510"/>
      <c r="H29" s="510"/>
      <c r="I29" s="357" t="s">
        <v>7</v>
      </c>
      <c r="J29" s="515" t="s">
        <v>453</v>
      </c>
      <c r="K29" s="357"/>
      <c r="L29" s="357"/>
      <c r="M29" s="357"/>
      <c r="N29" s="357"/>
      <c r="O29" s="386" t="str" cm="1">
        <f t="array" ref="O29">angleDecimal2Txt(F29)</f>
        <v>-12°30.00 (-12.5000) [-12°30'00.00]</v>
      </c>
      <c r="P29" s="386"/>
      <c r="Q29" s="386"/>
      <c r="R29" s="386"/>
      <c r="S29" s="386"/>
      <c r="T29" s="386"/>
      <c r="U29" s="386"/>
      <c r="V29" s="386"/>
      <c r="W29" s="386"/>
      <c r="X29" s="386"/>
      <c r="Y29" s="101"/>
      <c r="Z29" s="101"/>
      <c r="AB29" s="173"/>
      <c r="AC29" s="6" t="s">
        <v>414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34"/>
    </row>
    <row r="30" spans="1:66" s="118" customFormat="1" ht="17.25" customHeight="1" thickTop="1" thickBot="1" x14ac:dyDescent="0.3">
      <c r="C30" s="101"/>
      <c r="D30" s="101"/>
      <c r="E30" s="101"/>
      <c r="F30" s="510"/>
      <c r="G30" s="510"/>
      <c r="H30" s="510"/>
      <c r="I30" s="357"/>
      <c r="J30" s="357"/>
      <c r="K30" s="357"/>
      <c r="L30" s="357"/>
      <c r="M30" s="357"/>
      <c r="N30" s="357"/>
      <c r="O30" s="386"/>
      <c r="P30" s="386"/>
      <c r="Q30" s="386"/>
      <c r="R30" s="386"/>
      <c r="S30" s="386"/>
      <c r="T30" s="386"/>
      <c r="U30" s="386"/>
      <c r="V30" s="386"/>
      <c r="W30" s="386"/>
      <c r="X30" s="386"/>
      <c r="Y30" s="101"/>
      <c r="Z30" s="101"/>
      <c r="AB30" s="173"/>
      <c r="AC30" s="6" t="s">
        <v>415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34"/>
    </row>
    <row r="31" spans="1:66" s="118" customFormat="1" ht="17.25" customHeight="1" thickTop="1" x14ac:dyDescent="0.25"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B31" s="173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34"/>
    </row>
    <row r="32" spans="1:66" s="118" customFormat="1" ht="17.25" customHeight="1" thickBot="1" x14ac:dyDescent="0.3">
      <c r="C32" s="171"/>
      <c r="D32" s="171"/>
      <c r="E32" s="171"/>
      <c r="F32" s="171"/>
      <c r="G32" s="171"/>
      <c r="AB32" s="173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34"/>
    </row>
    <row r="33" spans="1:67" s="118" customFormat="1" ht="17.25" customHeight="1" thickBot="1" x14ac:dyDescent="0.3">
      <c r="B33" s="135" t="s">
        <v>447</v>
      </c>
      <c r="C33" s="136"/>
      <c r="D33" s="136"/>
      <c r="E33" s="136"/>
      <c r="F33" s="465">
        <f>N34</f>
        <v>89.38333333333334</v>
      </c>
      <c r="G33" s="465"/>
      <c r="H33" s="465"/>
      <c r="I33" s="189"/>
      <c r="J33" s="934" t="str" cm="1">
        <f t="array" ref="J33">angleDecimal2Txt(F33)</f>
        <v>+89°23.00 (+89.3833) [+89°23'00.00]</v>
      </c>
      <c r="K33" s="934"/>
      <c r="L33" s="934"/>
      <c r="M33" s="934"/>
      <c r="N33" s="934"/>
      <c r="O33" s="934"/>
      <c r="P33" s="934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76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34"/>
    </row>
    <row r="34" spans="1:67" s="143" customFormat="1" ht="17.25" customHeight="1" thickTop="1" x14ac:dyDescent="0.25">
      <c r="C34" s="354" t="s">
        <v>159</v>
      </c>
      <c r="D34" s="354"/>
      <c r="E34" s="354"/>
      <c r="F34" s="354"/>
      <c r="G34" s="354"/>
      <c r="H34" s="697"/>
      <c r="I34" s="701" t="s">
        <v>4</v>
      </c>
      <c r="J34" s="700" t="s">
        <v>458</v>
      </c>
      <c r="K34" s="700"/>
      <c r="L34" s="700"/>
      <c r="M34" s="700"/>
      <c r="N34" s="940">
        <f>AD35</f>
        <v>89.38333333333334</v>
      </c>
      <c r="O34" s="940"/>
      <c r="P34" s="940"/>
      <c r="Q34" s="702" t="str" cm="1">
        <f t="array" ref="Q34">angleDecimal2Txt(N34)</f>
        <v>+89°23.00 (+89.3833) [+89°23'00.00]</v>
      </c>
      <c r="R34" s="702"/>
      <c r="S34" s="702"/>
      <c r="T34" s="702"/>
      <c r="U34" s="703"/>
      <c r="AB34" s="177"/>
      <c r="AC34" s="6" t="s">
        <v>446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18" customFormat="1" ht="17.25" customHeight="1" thickBot="1" x14ac:dyDescent="0.3">
      <c r="C35" s="101"/>
      <c r="D35" s="101"/>
      <c r="E35" s="101"/>
      <c r="F35" s="101"/>
      <c r="G35" s="101"/>
      <c r="H35" s="101"/>
      <c r="I35" s="701"/>
      <c r="J35" s="700"/>
      <c r="K35" s="700"/>
      <c r="L35" s="700"/>
      <c r="M35" s="700"/>
      <c r="N35" s="940"/>
      <c r="O35" s="940"/>
      <c r="P35" s="940"/>
      <c r="Q35" s="704"/>
      <c r="R35" s="704"/>
      <c r="S35" s="704"/>
      <c r="T35" s="704"/>
      <c r="U35" s="705"/>
      <c r="AB35" s="173"/>
      <c r="AC35" s="6" t="s">
        <v>413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34"/>
    </row>
    <row r="36" spans="1:67" customFormat="1" ht="17.25" customHeight="1" thickTop="1" x14ac:dyDescent="0.25">
      <c r="A36" s="118"/>
      <c r="B36" s="118"/>
      <c r="C36" s="171"/>
      <c r="D36" s="171"/>
      <c r="E36" s="171"/>
      <c r="F36" s="171"/>
      <c r="G36" s="171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01"/>
      <c r="T36" s="101"/>
      <c r="U36" s="101"/>
      <c r="V36" s="101"/>
      <c r="W36" s="101"/>
      <c r="X36" s="101"/>
      <c r="Y36" s="118"/>
      <c r="Z36" s="118"/>
      <c r="AA36" s="118"/>
      <c r="AB36" s="173"/>
      <c r="BN36" s="134"/>
      <c r="BO36" s="118"/>
    </row>
    <row r="37" spans="1:67" customFormat="1" ht="17.25" customHeight="1" thickBot="1" x14ac:dyDescent="0.3">
      <c r="A37" s="118"/>
      <c r="B37" s="118"/>
      <c r="C37" s="171"/>
      <c r="D37" s="171"/>
      <c r="E37" s="171"/>
      <c r="F37" s="171"/>
      <c r="G37" s="171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01"/>
      <c r="T37" s="101"/>
      <c r="U37" s="101"/>
      <c r="V37" s="101"/>
      <c r="W37" s="101"/>
      <c r="X37" s="101"/>
      <c r="Y37" s="118"/>
      <c r="Z37" s="118"/>
      <c r="AA37" s="118"/>
      <c r="AB37" s="173"/>
      <c r="BN37" s="134"/>
      <c r="BO37" s="118"/>
    </row>
    <row r="38" spans="1:67" s="101" customFormat="1" ht="17.25" customHeight="1" thickBot="1" x14ac:dyDescent="0.3">
      <c r="A38" s="118"/>
      <c r="B38" s="135" t="s">
        <v>448</v>
      </c>
      <c r="C38" s="136"/>
      <c r="D38" s="136"/>
      <c r="E38" s="136"/>
      <c r="F38" s="465">
        <f>N39</f>
        <v>312</v>
      </c>
      <c r="G38" s="465"/>
      <c r="H38" s="465"/>
      <c r="I38" s="189"/>
      <c r="J38" s="695" t="s">
        <v>127</v>
      </c>
      <c r="K38" s="695"/>
      <c r="L38" s="695"/>
      <c r="M38" s="696" t="str">
        <f>J18</f>
        <v>Polaire</v>
      </c>
      <c r="N38" s="696"/>
      <c r="O38" s="696"/>
      <c r="P38" s="189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76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41"/>
    </row>
    <row r="39" spans="1:67" s="118" customFormat="1" ht="17.25" customHeight="1" thickTop="1" thickBot="1" x14ac:dyDescent="0.3">
      <c r="C39" s="354" t="s">
        <v>445</v>
      </c>
      <c r="D39" s="354"/>
      <c r="E39" s="354"/>
      <c r="F39" s="354"/>
      <c r="G39" s="354"/>
      <c r="H39" s="697"/>
      <c r="I39" s="700" t="s">
        <v>457</v>
      </c>
      <c r="J39" s="700"/>
      <c r="K39" s="700"/>
      <c r="L39" s="700"/>
      <c r="M39" s="700"/>
      <c r="N39" s="940" cm="1">
        <f t="array" ref="N39">angleConvert2Decimal(I39)</f>
        <v>312</v>
      </c>
      <c r="O39" s="940"/>
      <c r="P39" s="940"/>
      <c r="Q39" s="667" t="str" cm="1">
        <f t="array" ref="Q39">angleDecimal2Txt(N39)</f>
        <v>+312°00.00 (+312.0000) [+312°00'00.00]</v>
      </c>
      <c r="R39" s="387"/>
      <c r="S39" s="387"/>
      <c r="T39" s="387"/>
      <c r="U39" s="387"/>
      <c r="AB39" s="173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34"/>
    </row>
    <row r="40" spans="1:67" s="118" customFormat="1" ht="17.25" customHeight="1" thickTop="1" thickBot="1" x14ac:dyDescent="0.3">
      <c r="A40" s="101"/>
      <c r="C40" s="101"/>
      <c r="D40" s="101"/>
      <c r="E40" s="101"/>
      <c r="F40" s="101"/>
      <c r="G40" s="101"/>
      <c r="H40" s="101"/>
      <c r="I40" s="700"/>
      <c r="J40" s="700"/>
      <c r="K40" s="700"/>
      <c r="L40" s="700"/>
      <c r="M40" s="700"/>
      <c r="N40" s="940"/>
      <c r="O40" s="940"/>
      <c r="P40" s="940"/>
      <c r="Q40" s="699"/>
      <c r="R40" s="387"/>
      <c r="S40" s="387"/>
      <c r="T40" s="387"/>
      <c r="U40" s="387"/>
      <c r="AB40" s="178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34"/>
    </row>
    <row r="41" spans="1:67" s="118" customFormat="1" ht="17.25" customHeight="1" thickTop="1" thickBot="1" x14ac:dyDescent="0.3">
      <c r="A41" s="101"/>
      <c r="C41" s="10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78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34"/>
    </row>
    <row r="42" spans="1:67" customFormat="1" ht="17.25" customHeight="1" thickBot="1" x14ac:dyDescent="0.3">
      <c r="A42" s="143"/>
      <c r="B42" s="135" t="s">
        <v>392</v>
      </c>
      <c r="C42" s="136"/>
      <c r="D42" s="136"/>
      <c r="E42" s="136"/>
      <c r="F42" s="465">
        <f>IF(G43=AD43,F47,F55)</f>
        <v>311.63383340000001</v>
      </c>
      <c r="G42" s="465"/>
      <c r="H42" s="465"/>
      <c r="I42" s="136"/>
      <c r="J42" s="136"/>
      <c r="K42" s="136"/>
      <c r="L42" s="635">
        <f>F42-360</f>
        <v>-48.366166599999985</v>
      </c>
      <c r="M42" s="635"/>
      <c r="N42" s="136" t="s">
        <v>35</v>
      </c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76"/>
      <c r="BN42" s="134"/>
      <c r="BO42" s="118"/>
    </row>
    <row r="43" spans="1:67" customFormat="1" ht="17.25" customHeight="1" x14ac:dyDescent="0.25">
      <c r="A43" s="118"/>
      <c r="B43" s="143"/>
      <c r="C43" s="375" t="s">
        <v>44</v>
      </c>
      <c r="D43" s="375"/>
      <c r="E43" s="375"/>
      <c r="F43" s="636"/>
      <c r="G43" s="430" t="s">
        <v>17</v>
      </c>
      <c r="H43" s="431"/>
      <c r="I43" s="432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77"/>
      <c r="AC43" s="353" t="s">
        <v>45</v>
      </c>
      <c r="AD43" s="180" t="s">
        <v>11</v>
      </c>
      <c r="BN43" s="134"/>
      <c r="BO43" s="118"/>
    </row>
    <row r="44" spans="1:67" customFormat="1" ht="17.25" customHeight="1" x14ac:dyDescent="0.25">
      <c r="A44" s="118"/>
      <c r="B44" s="118"/>
      <c r="C44" s="144" t="s">
        <v>11</v>
      </c>
      <c r="D44" s="144"/>
      <c r="E44" s="145"/>
      <c r="F44" s="145"/>
      <c r="G44" s="101"/>
      <c r="H44" s="101"/>
      <c r="I44" s="101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73"/>
      <c r="AC44" s="353"/>
      <c r="AD44" s="180" t="s">
        <v>17</v>
      </c>
      <c r="BN44" s="134"/>
      <c r="BO44" s="118"/>
    </row>
    <row r="45" spans="1:67" customFormat="1" ht="17.25" customHeight="1" x14ac:dyDescent="0.25">
      <c r="A45" s="118"/>
      <c r="B45" s="118"/>
      <c r="C45" s="171"/>
      <c r="D45" s="171"/>
      <c r="E45" s="171"/>
      <c r="F45" s="416" t="s">
        <v>10</v>
      </c>
      <c r="G45" s="417"/>
      <c r="H45" s="418"/>
      <c r="I45" s="416" t="s">
        <v>13</v>
      </c>
      <c r="J45" s="417"/>
      <c r="K45" s="417"/>
      <c r="L45" s="418"/>
      <c r="M45" s="549" t="s">
        <v>14</v>
      </c>
      <c r="N45" s="550"/>
      <c r="O45" s="551"/>
      <c r="P45" s="433" t="s">
        <v>18</v>
      </c>
      <c r="Q45" s="434"/>
      <c r="R45" s="434"/>
      <c r="S45" s="434"/>
      <c r="T45" s="435"/>
      <c r="U45" s="101"/>
      <c r="V45" s="118"/>
      <c r="W45" s="118"/>
      <c r="X45" s="118"/>
      <c r="Y45" s="118"/>
      <c r="Z45" s="118"/>
      <c r="AA45" s="118"/>
      <c r="AB45" s="173"/>
      <c r="AD45" s="185" t="s">
        <v>146</v>
      </c>
      <c r="AE45" s="6" t="s">
        <v>426</v>
      </c>
      <c r="BN45" s="134"/>
      <c r="BO45" s="118"/>
    </row>
    <row r="46" spans="1:67" customFormat="1" ht="17.25" customHeight="1" thickBot="1" x14ac:dyDescent="0.3">
      <c r="A46" s="118"/>
      <c r="B46" s="118"/>
      <c r="C46" s="171"/>
      <c r="D46" s="171"/>
      <c r="E46" s="171"/>
      <c r="F46" s="419"/>
      <c r="G46" s="420"/>
      <c r="H46" s="421"/>
      <c r="I46" s="419"/>
      <c r="J46" s="420"/>
      <c r="K46" s="420"/>
      <c r="L46" s="421"/>
      <c r="M46" s="552"/>
      <c r="N46" s="553"/>
      <c r="O46" s="554"/>
      <c r="P46" s="436"/>
      <c r="Q46" s="437"/>
      <c r="R46" s="437"/>
      <c r="S46" s="437"/>
      <c r="T46" s="438"/>
      <c r="U46" s="101"/>
      <c r="V46" s="118"/>
      <c r="W46" s="118"/>
      <c r="X46" s="118"/>
      <c r="Y46" s="118"/>
      <c r="AA46" s="118"/>
      <c r="AB46" s="173"/>
      <c r="AC46" s="6" t="s">
        <v>416</v>
      </c>
      <c r="AD46" s="6">
        <f>VLOOKUP(P47,$B$26:$C$27,2)</f>
        <v>1</v>
      </c>
      <c r="AE46" s="6" cm="1">
        <f t="array" ref="AE46">AD46*angleConvert2Decimal(Q47)</f>
        <v>323.85333333333335</v>
      </c>
      <c r="BN46" s="134"/>
      <c r="BO46" s="118"/>
    </row>
    <row r="47" spans="1:67" customFormat="1" ht="17.25" customHeight="1" thickTop="1" thickBot="1" x14ac:dyDescent="0.3">
      <c r="A47" s="118"/>
      <c r="B47" s="118"/>
      <c r="C47" s="171"/>
      <c r="D47" s="171"/>
      <c r="E47" s="118"/>
      <c r="F47" s="389" t="str">
        <f>IF(G43=AD44,"---",AD51)</f>
        <v>---</v>
      </c>
      <c r="G47" s="389"/>
      <c r="H47" s="389"/>
      <c r="I47" s="938">
        <f>E11</f>
        <v>18.808333333333334</v>
      </c>
      <c r="J47" s="938"/>
      <c r="K47" s="938"/>
      <c r="L47" s="938"/>
      <c r="M47" s="427">
        <v>8</v>
      </c>
      <c r="N47" s="428"/>
      <c r="O47" s="429"/>
      <c r="P47" s="439" t="s">
        <v>6</v>
      </c>
      <c r="Q47" s="543" t="s">
        <v>451</v>
      </c>
      <c r="R47" s="544"/>
      <c r="S47" s="544"/>
      <c r="T47" s="675"/>
      <c r="U47" s="386" t="str" cm="1">
        <f t="array" ref="U47">angleDecimal2Txt(AE46)</f>
        <v>+323°51.20 (+323.8533) [+323°51'12.00]</v>
      </c>
      <c r="V47" s="387"/>
      <c r="W47" s="387"/>
      <c r="X47" s="387"/>
      <c r="Y47" s="387"/>
      <c r="AA47" s="118"/>
      <c r="AB47" s="173"/>
      <c r="AC47" s="6" t="s">
        <v>417</v>
      </c>
      <c r="AD47" s="6">
        <f>VLOOKUP(P49,$B$26:$C$27,2)</f>
        <v>1</v>
      </c>
      <c r="AE47" s="6" cm="1">
        <f t="array" ref="AE47">AD47*angleConvert2Decimal(Q49)</f>
        <v>338.89499999999998</v>
      </c>
      <c r="BN47" s="134"/>
      <c r="BO47" s="118"/>
    </row>
    <row r="48" spans="1:67" customFormat="1" ht="17.25" customHeight="1" thickTop="1" thickBot="1" x14ac:dyDescent="0.3">
      <c r="A48" s="118"/>
      <c r="B48" s="118"/>
      <c r="C48" s="171"/>
      <c r="D48" s="171"/>
      <c r="E48" s="171"/>
      <c r="F48" s="390"/>
      <c r="G48" s="390"/>
      <c r="H48" s="390"/>
      <c r="I48" s="938"/>
      <c r="J48" s="938"/>
      <c r="K48" s="938"/>
      <c r="L48" s="938"/>
      <c r="M48" s="425"/>
      <c r="N48" s="426"/>
      <c r="O48" s="358"/>
      <c r="P48" s="356"/>
      <c r="Q48" s="676"/>
      <c r="R48" s="677"/>
      <c r="S48" s="677"/>
      <c r="T48" s="678"/>
      <c r="U48" s="387"/>
      <c r="V48" s="387"/>
      <c r="W48" s="387"/>
      <c r="X48" s="387"/>
      <c r="Y48" s="387"/>
      <c r="AA48" s="118"/>
      <c r="AB48" s="173"/>
      <c r="AC48" s="6" t="s">
        <v>47</v>
      </c>
      <c r="AD48" s="8">
        <f>AE47-AE46</f>
        <v>15.041666666666629</v>
      </c>
      <c r="BN48" s="134"/>
      <c r="BO48" s="118"/>
    </row>
    <row r="49" spans="1:67" customFormat="1" ht="17.25" customHeight="1" thickTop="1" thickBot="1" x14ac:dyDescent="0.3">
      <c r="A49" s="118"/>
      <c r="B49" s="118"/>
      <c r="C49" s="171"/>
      <c r="D49" s="171"/>
      <c r="E49" s="171"/>
      <c r="F49" s="390"/>
      <c r="G49" s="390"/>
      <c r="H49" s="390"/>
      <c r="I49" s="938"/>
      <c r="J49" s="938"/>
      <c r="K49" s="938"/>
      <c r="L49" s="938"/>
      <c r="M49" s="422">
        <v>9</v>
      </c>
      <c r="N49" s="423"/>
      <c r="O49" s="424"/>
      <c r="P49" s="446" t="s">
        <v>6</v>
      </c>
      <c r="Q49" s="679" t="s">
        <v>401</v>
      </c>
      <c r="R49" s="680"/>
      <c r="S49" s="680"/>
      <c r="T49" s="681"/>
      <c r="U49" s="386" t="str" cm="1">
        <f t="array" ref="U49">angleDecimal2Txt((AE47))</f>
        <v>+338°53.70 (+338.8949) [+338°53'42.00]</v>
      </c>
      <c r="V49" s="387"/>
      <c r="W49" s="387"/>
      <c r="X49" s="387"/>
      <c r="Y49" s="387"/>
      <c r="AA49" s="118"/>
      <c r="AB49" s="173"/>
      <c r="AC49" s="6" t="s">
        <v>419</v>
      </c>
      <c r="AD49" s="8">
        <f>M49-M47</f>
        <v>1</v>
      </c>
      <c r="AE49" s="118"/>
      <c r="BN49" s="134"/>
      <c r="BO49" s="118"/>
    </row>
    <row r="50" spans="1:67" customFormat="1" ht="17.25" customHeight="1" thickTop="1" thickBot="1" x14ac:dyDescent="0.3">
      <c r="A50" s="118"/>
      <c r="B50" s="118"/>
      <c r="C50" s="171"/>
      <c r="D50" s="171"/>
      <c r="E50" s="171"/>
      <c r="F50" s="390"/>
      <c r="G50" s="390"/>
      <c r="H50" s="390"/>
      <c r="I50" s="938"/>
      <c r="J50" s="938"/>
      <c r="K50" s="938"/>
      <c r="L50" s="938"/>
      <c r="M50" s="425"/>
      <c r="N50" s="426"/>
      <c r="O50" s="358"/>
      <c r="P50" s="356"/>
      <c r="Q50" s="676"/>
      <c r="R50" s="677"/>
      <c r="S50" s="677"/>
      <c r="T50" s="678"/>
      <c r="U50" s="387"/>
      <c r="V50" s="387"/>
      <c r="W50" s="387"/>
      <c r="X50" s="387"/>
      <c r="Y50" s="387"/>
      <c r="AA50" s="118"/>
      <c r="AB50" s="173"/>
      <c r="AC50" s="6" t="s">
        <v>48</v>
      </c>
      <c r="AD50" s="8">
        <f>I47-M47</f>
        <v>10.808333333333334</v>
      </c>
      <c r="BN50" s="134"/>
      <c r="BO50" s="118"/>
    </row>
    <row r="51" spans="1:67" customFormat="1" ht="17.25" customHeight="1" thickTop="1" thickBot="1" x14ac:dyDescent="0.3">
      <c r="A51" s="118"/>
      <c r="B51" s="118"/>
      <c r="C51" s="171"/>
      <c r="D51" s="171"/>
      <c r="E51" s="171"/>
      <c r="F51" s="380" t="e" cm="1">
        <f t="array" ref="F51">angleDecimal2Txt(F47)</f>
        <v>#VALUE!</v>
      </c>
      <c r="G51" s="381"/>
      <c r="H51" s="381"/>
      <c r="I51" s="381"/>
      <c r="J51" s="381"/>
      <c r="K51" s="382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AA51" s="101"/>
      <c r="AB51" s="173"/>
      <c r="AC51" s="6" t="s">
        <v>46</v>
      </c>
      <c r="AD51" s="6">
        <f>AE46+(AD48/AD49)*AD50</f>
        <v>486.42868055555516</v>
      </c>
      <c r="BN51" s="134"/>
      <c r="BO51" s="118"/>
    </row>
    <row r="52" spans="1:67" customFormat="1" ht="17.25" customHeight="1" thickTop="1" x14ac:dyDescent="0.25">
      <c r="A52" s="118"/>
      <c r="B52" s="118"/>
      <c r="C52" s="144" t="s">
        <v>17</v>
      </c>
      <c r="D52" s="144"/>
      <c r="E52" s="145"/>
      <c r="F52" s="145"/>
      <c r="G52" s="101"/>
      <c r="H52" s="101"/>
      <c r="I52" s="101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AA52" s="101"/>
      <c r="AB52" s="173"/>
      <c r="BN52" s="134"/>
      <c r="BO52" s="118"/>
    </row>
    <row r="53" spans="1:67" customFormat="1" ht="17.25" customHeight="1" x14ac:dyDescent="0.25">
      <c r="A53" s="118"/>
      <c r="B53" s="118"/>
      <c r="C53" s="101"/>
      <c r="D53" s="101"/>
      <c r="E53" s="101"/>
      <c r="F53" s="416" t="s">
        <v>10</v>
      </c>
      <c r="G53" s="417"/>
      <c r="H53" s="418"/>
      <c r="I53" s="416" t="s">
        <v>13</v>
      </c>
      <c r="J53" s="417"/>
      <c r="K53" s="417"/>
      <c r="L53" s="418"/>
      <c r="M53" s="549" t="s">
        <v>14</v>
      </c>
      <c r="N53" s="550"/>
      <c r="O53" s="551"/>
      <c r="P53" s="433" t="s">
        <v>19</v>
      </c>
      <c r="Q53" s="434"/>
      <c r="R53" s="434"/>
      <c r="S53" s="434"/>
      <c r="T53" s="435"/>
      <c r="U53" s="433" t="s">
        <v>171</v>
      </c>
      <c r="V53" s="434"/>
      <c r="W53" s="434"/>
      <c r="X53" s="434"/>
      <c r="Y53" s="435"/>
      <c r="Z53" s="118"/>
      <c r="AA53" s="101"/>
      <c r="AB53" s="173"/>
      <c r="AC53" s="6" t="s">
        <v>421</v>
      </c>
      <c r="AD53" s="6">
        <f>VLOOKUP(P55,$B$26:$C$27,2)</f>
        <v>1</v>
      </c>
      <c r="BN53" s="134"/>
      <c r="BO53" s="118"/>
    </row>
    <row r="54" spans="1:67" customFormat="1" ht="17.25" customHeight="1" collapsed="1" x14ac:dyDescent="0.25">
      <c r="A54" s="118"/>
      <c r="B54" s="118"/>
      <c r="C54" s="171"/>
      <c r="D54" s="171"/>
      <c r="E54" s="171"/>
      <c r="F54" s="419"/>
      <c r="G54" s="420"/>
      <c r="H54" s="421"/>
      <c r="I54" s="419"/>
      <c r="J54" s="420"/>
      <c r="K54" s="420"/>
      <c r="L54" s="421"/>
      <c r="M54" s="552"/>
      <c r="N54" s="553"/>
      <c r="O54" s="554"/>
      <c r="P54" s="436"/>
      <c r="Q54" s="437"/>
      <c r="R54" s="437"/>
      <c r="S54" s="437"/>
      <c r="T54" s="438"/>
      <c r="U54" s="436"/>
      <c r="V54" s="437"/>
      <c r="W54" s="437"/>
      <c r="X54" s="437"/>
      <c r="Y54" s="438"/>
      <c r="Z54" s="101"/>
      <c r="AA54" s="101"/>
      <c r="AB54" s="173"/>
      <c r="AC54" s="6" t="s">
        <v>422</v>
      </c>
      <c r="AD54" s="6" cm="1">
        <f t="array" ref="AD54">angleConvert2Decimal(Q55)*AD53</f>
        <v>311.63333333333333</v>
      </c>
      <c r="BN54" s="134"/>
      <c r="BO54" s="118"/>
    </row>
    <row r="55" spans="1:67" customFormat="1" ht="17.25" customHeight="1" x14ac:dyDescent="0.25">
      <c r="A55" s="118"/>
      <c r="B55" s="118"/>
      <c r="C55" s="171"/>
      <c r="D55" s="171"/>
      <c r="E55" s="118"/>
      <c r="F55" s="389">
        <f>IF(G43=AD44,AD57,"---")</f>
        <v>311.63383340000001</v>
      </c>
      <c r="G55" s="389"/>
      <c r="H55" s="389"/>
      <c r="I55" s="938">
        <f>E11</f>
        <v>18.808333333333334</v>
      </c>
      <c r="J55" s="938"/>
      <c r="K55" s="938"/>
      <c r="L55" s="938"/>
      <c r="M55" s="427">
        <v>18.808299999999999</v>
      </c>
      <c r="N55" s="428"/>
      <c r="O55" s="429"/>
      <c r="P55" s="439" t="s">
        <v>6</v>
      </c>
      <c r="Q55" s="543" t="s">
        <v>456</v>
      </c>
      <c r="R55" s="544"/>
      <c r="S55" s="544"/>
      <c r="T55" s="545"/>
      <c r="U55" s="439" t="s">
        <v>6</v>
      </c>
      <c r="V55" s="543" t="s">
        <v>249</v>
      </c>
      <c r="W55" s="544"/>
      <c r="X55" s="544"/>
      <c r="Y55" s="545"/>
      <c r="Z55" s="101"/>
      <c r="AA55" s="118"/>
      <c r="AB55" s="173"/>
      <c r="AC55" s="6" t="s">
        <v>423</v>
      </c>
      <c r="AD55" s="6">
        <f>VLOOKUP(U55,$B$26:$C$27,2)</f>
        <v>1</v>
      </c>
      <c r="BN55" s="134"/>
      <c r="BO55" s="118"/>
    </row>
    <row r="56" spans="1:67" customFormat="1" ht="17.25" customHeight="1" thickBot="1" x14ac:dyDescent="0.3">
      <c r="A56" s="118"/>
      <c r="B56" s="118"/>
      <c r="C56" s="171"/>
      <c r="D56" s="171"/>
      <c r="E56" s="171"/>
      <c r="F56" s="390"/>
      <c r="G56" s="390"/>
      <c r="H56" s="390"/>
      <c r="I56" s="938"/>
      <c r="J56" s="938"/>
      <c r="K56" s="938"/>
      <c r="L56" s="938"/>
      <c r="M56" s="425"/>
      <c r="N56" s="426"/>
      <c r="O56" s="358"/>
      <c r="P56" s="654"/>
      <c r="Q56" s="546"/>
      <c r="R56" s="547"/>
      <c r="S56" s="547"/>
      <c r="T56" s="548"/>
      <c r="U56" s="654"/>
      <c r="V56" s="546"/>
      <c r="W56" s="547"/>
      <c r="X56" s="547"/>
      <c r="Y56" s="548"/>
      <c r="Z56" s="101"/>
      <c r="AA56" s="118"/>
      <c r="AB56" s="173"/>
      <c r="AC56" s="6" t="s">
        <v>424</v>
      </c>
      <c r="AD56" s="6" cm="1">
        <f t="array" ref="AD56">angleConvert2Decimal(V55)*AD55</f>
        <v>15.002000000000001</v>
      </c>
      <c r="BN56" s="134"/>
      <c r="BO56" s="118"/>
    </row>
    <row r="57" spans="1:67" customFormat="1" ht="17.25" customHeight="1" thickTop="1" thickBot="1" x14ac:dyDescent="0.3">
      <c r="A57" s="118"/>
      <c r="B57" s="118"/>
      <c r="C57" s="171"/>
      <c r="D57" s="171"/>
      <c r="E57" s="171"/>
      <c r="F57" s="379" t="str" cm="1">
        <f t="array" ref="F57">angleDecimal2Txt(F55)</f>
        <v>+311°38.03 (+311.6338) [+311°38'01.80]</v>
      </c>
      <c r="G57" s="379"/>
      <c r="H57" s="379"/>
      <c r="I57" s="379"/>
      <c r="J57" s="379"/>
      <c r="K57" s="379"/>
      <c r="L57" s="118"/>
      <c r="M57" s="118"/>
      <c r="N57" s="118"/>
      <c r="O57" s="118"/>
      <c r="P57" s="379" t="str" cm="1">
        <f t="array" ref="P57">angleDecimal2Txt(AD54)</f>
        <v>+311°38.00 (+311.6333) [+311°38'00.00]</v>
      </c>
      <c r="Q57" s="379"/>
      <c r="R57" s="379"/>
      <c r="S57" s="379"/>
      <c r="T57" s="379"/>
      <c r="U57" s="379" t="str" cm="1">
        <f t="array" ref="U57">angleDecimal2Txt(AD56)</f>
        <v>+15°00.12 (+15.0020) [+15°00'07.20]</v>
      </c>
      <c r="V57" s="410"/>
      <c r="W57" s="410"/>
      <c r="X57" s="410"/>
      <c r="Y57" s="410"/>
      <c r="Z57" s="118"/>
      <c r="AA57" s="118"/>
      <c r="AB57" s="173"/>
      <c r="AC57" s="6" t="s">
        <v>425</v>
      </c>
      <c r="AD57" s="6">
        <f>AD54+AD56*(I55-M55)</f>
        <v>311.63383340000001</v>
      </c>
      <c r="BN57" s="134"/>
      <c r="BO57" s="118"/>
    </row>
    <row r="58" spans="1:67" customFormat="1" ht="17.25" customHeight="1" thickTop="1" x14ac:dyDescent="0.25">
      <c r="A58" s="118"/>
      <c r="B58" s="118"/>
      <c r="C58" s="171"/>
      <c r="D58" s="171"/>
      <c r="E58" s="171"/>
      <c r="F58" s="171"/>
      <c r="G58" s="171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01"/>
      <c r="T58" s="101"/>
      <c r="U58" s="101"/>
      <c r="V58" s="101"/>
      <c r="W58" s="101"/>
      <c r="X58" s="101"/>
      <c r="Y58" s="118"/>
      <c r="Z58" s="118"/>
      <c r="AA58" s="118"/>
      <c r="AB58" s="173"/>
      <c r="BN58" s="134"/>
      <c r="BO58" s="118"/>
    </row>
    <row r="59" spans="1:67" customFormat="1" ht="17.25" customHeight="1" x14ac:dyDescent="0.25">
      <c r="A59" s="118"/>
      <c r="B59" s="118"/>
      <c r="C59" s="171"/>
      <c r="D59" s="171"/>
      <c r="E59" s="171"/>
      <c r="F59" s="171"/>
      <c r="G59" s="171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01"/>
      <c r="T59" s="101"/>
      <c r="U59" s="101"/>
      <c r="V59" s="101"/>
      <c r="W59" s="101"/>
      <c r="X59" s="118"/>
      <c r="Y59" s="118"/>
      <c r="Z59" s="118"/>
      <c r="AA59" s="118"/>
      <c r="AB59" s="173"/>
      <c r="BN59" s="134"/>
      <c r="BO59" s="118"/>
    </row>
    <row r="60" spans="1:67" customFormat="1" ht="17.25" customHeight="1" thickBot="1" x14ac:dyDescent="0.3">
      <c r="A60" s="118"/>
      <c r="B60" s="118"/>
      <c r="C60" s="171"/>
      <c r="D60" s="171"/>
      <c r="E60" s="17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18"/>
      <c r="AB60" s="173"/>
      <c r="AI60" s="42"/>
      <c r="BN60" s="134"/>
      <c r="BO60" s="118"/>
    </row>
    <row r="61" spans="1:67" s="101" customFormat="1" ht="17.25" customHeight="1" thickBot="1" x14ac:dyDescent="0.3">
      <c r="A61" s="118"/>
      <c r="B61" s="135" t="s">
        <v>53</v>
      </c>
      <c r="C61" s="136"/>
      <c r="D61" s="136"/>
      <c r="E61" s="136"/>
      <c r="F61" s="465">
        <f>I62</f>
        <v>251.13383339999996</v>
      </c>
      <c r="G61" s="465"/>
      <c r="H61" s="465"/>
      <c r="I61" s="136"/>
      <c r="J61" s="450" t="s">
        <v>127</v>
      </c>
      <c r="K61" s="450"/>
      <c r="L61" s="450"/>
      <c r="M61" s="538" t="str">
        <f>J18</f>
        <v>Polaire</v>
      </c>
      <c r="N61" s="538"/>
      <c r="O61" s="538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76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41"/>
    </row>
    <row r="62" spans="1:67" s="118" customFormat="1" ht="17.25" customHeight="1" thickBot="1" x14ac:dyDescent="0.3">
      <c r="C62" s="354" t="s">
        <v>24</v>
      </c>
      <c r="D62" s="354"/>
      <c r="E62" s="354"/>
      <c r="F62" s="354"/>
      <c r="G62" s="354"/>
      <c r="H62" s="355"/>
      <c r="I62" s="575">
        <f>AD63</f>
        <v>251.13383339999996</v>
      </c>
      <c r="J62" s="576"/>
      <c r="K62" s="576"/>
      <c r="L62" s="577"/>
      <c r="M62" s="146" t="s">
        <v>55</v>
      </c>
      <c r="N62" s="560">
        <f>AD62</f>
        <v>611.13383339999996</v>
      </c>
      <c r="O62" s="560"/>
      <c r="P62" s="560"/>
      <c r="Q62" s="560"/>
      <c r="AB62" s="173"/>
      <c r="AC62" s="6" t="s">
        <v>427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4"/>
    </row>
    <row r="63" spans="1:67" s="118" customFormat="1" ht="17.25" customHeight="1" thickTop="1" thickBot="1" x14ac:dyDescent="0.3">
      <c r="A63" s="101"/>
      <c r="C63" s="101"/>
      <c r="D63" s="101"/>
      <c r="E63" s="101"/>
      <c r="F63" s="101"/>
      <c r="G63" s="101"/>
      <c r="H63" s="101"/>
      <c r="I63" s="410" t="str" cm="1">
        <f t="array" ref="I63">angleDecimal2Txt(I62)</f>
        <v>+251°08.03 (+251.1338) [+251°08'01.80]</v>
      </c>
      <c r="J63" s="410"/>
      <c r="K63" s="410"/>
      <c r="L63" s="410"/>
      <c r="M63" s="410"/>
      <c r="N63" s="410"/>
      <c r="AB63" s="178"/>
      <c r="AC63" s="6" t="s">
        <v>428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4"/>
    </row>
    <row r="64" spans="1:67" s="118" customFormat="1" ht="17.25" customHeight="1" thickTop="1" thickBot="1" x14ac:dyDescent="0.3">
      <c r="B64" s="101"/>
      <c r="AA64" s="101"/>
      <c r="AB64" s="173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4"/>
    </row>
    <row r="65" spans="1:67" s="118" customFormat="1" ht="17.25" customHeight="1" thickTop="1" thickBot="1" x14ac:dyDescent="0.3">
      <c r="B65" s="135" t="s">
        <v>26</v>
      </c>
      <c r="C65" s="136"/>
      <c r="D65" s="378" t="s">
        <v>145</v>
      </c>
      <c r="E65" s="393"/>
      <c r="F65" s="465">
        <f>IF(G66=AD66,O103,O95)</f>
        <v>28.81798955310256</v>
      </c>
      <c r="G65" s="465"/>
      <c r="H65" s="465"/>
      <c r="I65" s="136"/>
      <c r="J65" s="935" t="str" cm="1">
        <f t="array" ref="J65">angleDecimal2Txt(F65)</f>
        <v>+28°49.07 (+28.8179) [+28°49'04.76]</v>
      </c>
      <c r="K65" s="936"/>
      <c r="L65" s="936"/>
      <c r="M65" s="936"/>
      <c r="N65" s="937"/>
      <c r="O65" s="136"/>
      <c r="P65" s="378"/>
      <c r="Q65" s="378"/>
      <c r="R65" s="136"/>
      <c r="S65" s="172"/>
      <c r="T65" s="136" t="s">
        <v>172</v>
      </c>
      <c r="U65" s="136"/>
      <c r="V65" s="412">
        <f>-O82+O77+O86</f>
        <v>-2.9962522682694469E-2</v>
      </c>
      <c r="W65" s="413"/>
      <c r="X65" s="414"/>
      <c r="Y65" s="207" t="str" cm="1">
        <f t="array" ref="Y65">angleDecimal2Txt(V65)</f>
        <v>-00°01.79 (-00.0299) [-00°01'47.86]</v>
      </c>
      <c r="Z65" s="207"/>
      <c r="AA65" s="207"/>
      <c r="AB65" s="208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4"/>
    </row>
    <row r="66" spans="1:67" s="118" customFormat="1" ht="17.25" customHeight="1" x14ac:dyDescent="0.25">
      <c r="C66" s="375" t="s">
        <v>44</v>
      </c>
      <c r="D66" s="375"/>
      <c r="E66" s="375"/>
      <c r="F66" s="375"/>
      <c r="G66" s="451" t="s">
        <v>62</v>
      </c>
      <c r="H66" s="451"/>
      <c r="I66" s="451"/>
      <c r="P66" s="118" t="s">
        <v>142</v>
      </c>
      <c r="V66" s="101"/>
      <c r="W66" s="101"/>
      <c r="X66" s="101"/>
      <c r="Y66" s="101"/>
      <c r="Z66" s="101"/>
      <c r="AB66" s="173"/>
      <c r="AC66" s="353" t="s">
        <v>45</v>
      </c>
      <c r="AD66" s="180" t="s">
        <v>61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4"/>
    </row>
    <row r="67" spans="1:67" s="118" customFormat="1" ht="17.25" customHeight="1" thickBot="1" x14ac:dyDescent="0.3">
      <c r="C67" s="143"/>
      <c r="D67" s="143"/>
      <c r="E67" s="143"/>
      <c r="F67" s="452" t="s">
        <v>134</v>
      </c>
      <c r="G67" s="452"/>
      <c r="H67" s="453"/>
      <c r="I67" s="453"/>
      <c r="J67" s="411">
        <f>IF(G66=AD66,"---",O95)</f>
        <v>28.81798955310256</v>
      </c>
      <c r="K67" s="411"/>
      <c r="L67" s="411"/>
      <c r="V67" s="101"/>
      <c r="W67" s="101"/>
      <c r="X67" s="101"/>
      <c r="Y67" s="101"/>
      <c r="Z67" s="101"/>
      <c r="AB67" s="173"/>
      <c r="AC67" s="353"/>
      <c r="AD67" s="180" t="s">
        <v>62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4"/>
    </row>
    <row r="68" spans="1:67" s="118" customFormat="1" ht="17.25" customHeight="1" thickTop="1" thickBot="1" x14ac:dyDescent="0.3">
      <c r="H68" s="496" t="s">
        <v>57</v>
      </c>
      <c r="I68" s="496"/>
      <c r="J68" s="496"/>
      <c r="K68" s="496"/>
      <c r="L68" s="496"/>
      <c r="M68" s="496"/>
      <c r="N68" s="496"/>
      <c r="O68" s="377">
        <f>J17</f>
        <v>28.916666666666668</v>
      </c>
      <c r="P68" s="377"/>
      <c r="Q68" s="377"/>
      <c r="R68" s="377"/>
      <c r="S68" s="118" t="s">
        <v>100</v>
      </c>
      <c r="U68" s="379" t="str" cm="1">
        <f t="array" ref="U68">angleDecimal2Txt(O68)</f>
        <v>+28°55.00 (+28.9166) [+28°55'00.00]</v>
      </c>
      <c r="V68" s="379"/>
      <c r="W68" s="379"/>
      <c r="X68" s="379"/>
      <c r="Y68" s="379"/>
      <c r="Z68" s="379"/>
      <c r="AB68" s="173"/>
      <c r="AC68" s="6" t="s">
        <v>131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4"/>
    </row>
    <row r="69" spans="1:67" s="118" customFormat="1" ht="17.25" customHeight="1" thickTop="1" thickBot="1" x14ac:dyDescent="0.3">
      <c r="H69" s="496" t="s">
        <v>27</v>
      </c>
      <c r="I69" s="496"/>
      <c r="J69" s="496"/>
      <c r="K69" s="496"/>
      <c r="L69" s="496"/>
      <c r="M69" s="496"/>
      <c r="N69" s="496"/>
      <c r="O69" s="377">
        <f>J16</f>
        <v>0</v>
      </c>
      <c r="P69" s="377"/>
      <c r="Q69" s="377"/>
      <c r="R69" s="377"/>
      <c r="S69" s="118" t="s">
        <v>100</v>
      </c>
      <c r="U69" s="379" t="str" cm="1">
        <f t="array" ref="U69">angleDecimal2Txt(O69)</f>
        <v>+00°00.00 (+00.0000) [+00°00'00.00]</v>
      </c>
      <c r="V69" s="379"/>
      <c r="W69" s="379"/>
      <c r="X69" s="379"/>
      <c r="Y69" s="379"/>
      <c r="Z69" s="379"/>
      <c r="AB69" s="173"/>
      <c r="AC69" s="6" t="s">
        <v>56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4"/>
    </row>
    <row r="70" spans="1:67" s="118" customFormat="1" ht="17.25" customHeight="1" thickTop="1" thickBot="1" x14ac:dyDescent="0.3">
      <c r="C70" s="171"/>
      <c r="D70" s="171"/>
      <c r="E70" s="171"/>
      <c r="F70" s="171"/>
      <c r="H70" s="559" t="s">
        <v>140</v>
      </c>
      <c r="I70" s="559"/>
      <c r="J70" s="559"/>
      <c r="K70" s="559"/>
      <c r="L70" s="559"/>
      <c r="M70" s="559"/>
      <c r="N70" s="559"/>
      <c r="O70" s="399">
        <f>AD70</f>
        <v>6.871459088141324E-2</v>
      </c>
      <c r="P70" s="399"/>
      <c r="Q70" s="399"/>
      <c r="R70" s="399"/>
      <c r="S70" s="118" t="s">
        <v>100</v>
      </c>
      <c r="U70" s="379" t="str" cm="1">
        <f t="array" ref="U70">angleDecimal2Txt(O70)</f>
        <v>+00°04.12 (+00.0687) [+00°04'07.37]</v>
      </c>
      <c r="V70" s="379"/>
      <c r="W70" s="379"/>
      <c r="X70" s="379"/>
      <c r="Y70" s="379"/>
      <c r="Z70" s="379"/>
      <c r="AB70" s="173"/>
      <c r="AC70" s="186" t="s">
        <v>139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4"/>
    </row>
    <row r="71" spans="1:67" s="118" customFormat="1" ht="17.25" customHeight="1" thickTop="1" thickBot="1" x14ac:dyDescent="0.3">
      <c r="C71" s="171"/>
      <c r="D71" s="171"/>
      <c r="E71" s="171"/>
      <c r="F71" s="171"/>
      <c r="G71" s="171"/>
      <c r="K71" s="101"/>
      <c r="L71" s="101"/>
      <c r="M71" s="402" t="s">
        <v>253</v>
      </c>
      <c r="N71" s="402"/>
      <c r="O71" s="402"/>
      <c r="P71" s="402"/>
      <c r="Q71" s="101"/>
      <c r="R71" s="101"/>
      <c r="U71" s="101"/>
      <c r="V71" s="101"/>
      <c r="W71" s="101"/>
      <c r="X71" s="101"/>
      <c r="Y71" s="101"/>
      <c r="Z71" s="101"/>
      <c r="AB71" s="173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4"/>
    </row>
    <row r="72" spans="1:67" s="118" customFormat="1" ht="17.25" customHeight="1" thickTop="1" thickBot="1" x14ac:dyDescent="0.3">
      <c r="C72" s="171"/>
      <c r="D72" s="171"/>
      <c r="E72" s="171"/>
      <c r="F72" s="171"/>
      <c r="H72" s="655" t="s">
        <v>58</v>
      </c>
      <c r="I72" s="655"/>
      <c r="J72" s="655"/>
      <c r="K72" s="655"/>
      <c r="L72" s="655"/>
      <c r="M72" s="655"/>
      <c r="N72" s="655"/>
      <c r="O72" s="405">
        <f>O68-O69-O70</f>
        <v>28.847952075785255</v>
      </c>
      <c r="P72" s="407"/>
      <c r="Q72" s="118" t="s">
        <v>100</v>
      </c>
      <c r="R72" s="565">
        <f>O72*D123</f>
        <v>0.50349174617998549</v>
      </c>
      <c r="S72" s="565"/>
      <c r="T72" s="147" t="s">
        <v>136</v>
      </c>
      <c r="U72" s="379" t="str" cm="1">
        <f t="array" ref="U72">angleDecimal2Txt(O72)</f>
        <v>+28°50.87 (+28.8479) [+28°50'52.62]</v>
      </c>
      <c r="V72" s="379"/>
      <c r="W72" s="379"/>
      <c r="X72" s="379"/>
      <c r="Y72" s="379"/>
      <c r="Z72" s="379"/>
      <c r="AB72" s="173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34"/>
    </row>
    <row r="73" spans="1:67" s="118" customFormat="1" ht="17.25" customHeight="1" thickTop="1" x14ac:dyDescent="0.25"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U73" s="101"/>
      <c r="V73" s="101"/>
      <c r="W73" s="101"/>
      <c r="X73" s="101"/>
      <c r="Y73" s="101"/>
      <c r="Z73" s="101"/>
      <c r="AB73" s="1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34"/>
    </row>
    <row r="74" spans="1:67" s="118" customFormat="1" ht="17.25" customHeight="1" x14ac:dyDescent="0.25">
      <c r="C74" s="171"/>
      <c r="D74" s="171"/>
      <c r="E74" s="171"/>
      <c r="F74" s="171"/>
      <c r="H74" s="101"/>
      <c r="I74" s="101"/>
      <c r="J74" s="101"/>
      <c r="K74" s="101"/>
      <c r="L74" s="101"/>
      <c r="M74" s="561" t="s">
        <v>133</v>
      </c>
      <c r="N74" s="561"/>
      <c r="O74" s="561"/>
      <c r="P74" s="561"/>
      <c r="Q74" s="101"/>
      <c r="R74" s="101"/>
      <c r="U74" s="101"/>
      <c r="V74" s="101"/>
      <c r="W74" s="101"/>
      <c r="X74" s="101"/>
      <c r="Y74" s="101"/>
      <c r="Z74" s="101"/>
      <c r="AB74" s="17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34"/>
    </row>
    <row r="75" spans="1:67" s="118" customFormat="1" ht="17.25" customHeight="1" thickBot="1" x14ac:dyDescent="0.3">
      <c r="M75" s="562" t="s">
        <v>318</v>
      </c>
      <c r="N75" s="562"/>
      <c r="O75" s="561"/>
      <c r="P75" s="561"/>
      <c r="AB75" s="17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34"/>
    </row>
    <row r="76" spans="1:67" s="118" customFormat="1" ht="17.25" customHeight="1" thickTop="1" thickBot="1" x14ac:dyDescent="0.3">
      <c r="A76" s="101"/>
      <c r="B76" s="101"/>
      <c r="C76" s="101"/>
      <c r="D76" s="101"/>
      <c r="E76" s="101"/>
      <c r="H76" s="399" t="s">
        <v>65</v>
      </c>
      <c r="I76" s="399"/>
      <c r="J76" s="399"/>
      <c r="K76" s="399"/>
      <c r="L76" s="399"/>
      <c r="M76" s="399"/>
      <c r="N76" s="399"/>
      <c r="O76" s="563">
        <v>0</v>
      </c>
      <c r="P76" s="564"/>
      <c r="Q76" s="564"/>
      <c r="R76" s="564"/>
      <c r="S76" s="118" t="s">
        <v>100</v>
      </c>
      <c r="U76" s="379" t="str" cm="1">
        <f t="array" ref="U76">angleDecimal2Txt(O76)</f>
        <v>+00°00.00 (+00.0000) [+00°00'00.00]</v>
      </c>
      <c r="V76" s="379"/>
      <c r="W76" s="379"/>
      <c r="X76" s="379"/>
      <c r="Y76" s="379"/>
      <c r="Z76" s="379"/>
      <c r="AB76" s="173"/>
      <c r="AC76" s="6" t="s">
        <v>429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4"/>
    </row>
    <row r="77" spans="1:67" customFormat="1" ht="17.25" customHeight="1" thickTop="1" thickBot="1" x14ac:dyDescent="0.3">
      <c r="A77" s="101"/>
      <c r="B77" s="101"/>
      <c r="C77" s="101"/>
      <c r="D77" s="101"/>
      <c r="E77" s="101"/>
      <c r="F77" s="118"/>
      <c r="G77" s="118"/>
      <c r="H77" s="584" t="s">
        <v>319</v>
      </c>
      <c r="I77" s="585"/>
      <c r="J77" s="585"/>
      <c r="K77" s="585"/>
      <c r="L77" s="585"/>
      <c r="M77" s="585"/>
      <c r="N77" s="586"/>
      <c r="O77" s="454">
        <f>AD76</f>
        <v>0</v>
      </c>
      <c r="P77" s="454"/>
      <c r="Q77" s="454"/>
      <c r="R77" s="454"/>
      <c r="S77" s="118" t="s">
        <v>100</v>
      </c>
      <c r="T77" s="118"/>
      <c r="U77" s="379" t="str" cm="1">
        <f t="array" ref="U77">angleDecimal2Txt(O77)</f>
        <v>+00°00.00 (+00.0000) [+00°00'00.00]</v>
      </c>
      <c r="V77" s="379"/>
      <c r="W77" s="379"/>
      <c r="X77" s="379"/>
      <c r="Y77" s="379"/>
      <c r="Z77" s="379"/>
      <c r="AA77" s="118"/>
      <c r="AB77" s="173"/>
      <c r="BN77" s="134"/>
      <c r="BO77" s="118"/>
    </row>
    <row r="78" spans="1:67" customFormat="1" ht="17.25" customHeight="1" thickTop="1" x14ac:dyDescent="0.25">
      <c r="A78" s="101"/>
      <c r="B78" s="101"/>
      <c r="C78" s="101"/>
      <c r="D78" s="101"/>
      <c r="E78" s="101"/>
      <c r="F78" s="118"/>
      <c r="G78" s="118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18"/>
      <c r="AB78" s="173"/>
      <c r="BN78" s="134"/>
      <c r="BO78" s="118"/>
    </row>
    <row r="79" spans="1:67" customFormat="1" ht="17.25" customHeight="1" x14ac:dyDescent="0.25">
      <c r="A79" s="101"/>
      <c r="B79" s="101"/>
      <c r="C79" s="101"/>
      <c r="D79" s="101"/>
      <c r="E79" s="171"/>
      <c r="F79" s="118"/>
      <c r="G79" s="118"/>
      <c r="H79" s="101"/>
      <c r="I79" s="101"/>
      <c r="J79" s="101"/>
      <c r="K79" s="101"/>
      <c r="L79" s="101"/>
      <c r="M79" s="101"/>
      <c r="N79" s="101"/>
      <c r="O79" s="101"/>
      <c r="P79" s="118"/>
      <c r="Q79" s="118"/>
      <c r="R79" s="118"/>
      <c r="S79" s="572" t="s">
        <v>270</v>
      </c>
      <c r="T79" s="573"/>
      <c r="U79" s="574"/>
      <c r="V79" s="118"/>
      <c r="W79" s="118"/>
      <c r="X79" s="118"/>
      <c r="Y79" s="101"/>
      <c r="Z79" s="101"/>
      <c r="AA79" s="118"/>
      <c r="AB79" s="173"/>
      <c r="AC79" s="6" t="s">
        <v>60</v>
      </c>
      <c r="AD79" s="6" t="s">
        <v>431</v>
      </c>
      <c r="BN79" s="134"/>
      <c r="BO79" s="118"/>
    </row>
    <row r="80" spans="1:67" customFormat="1" ht="17.25" customHeight="1" x14ac:dyDescent="0.25">
      <c r="A80" s="101"/>
      <c r="B80" s="101"/>
      <c r="C80" s="101"/>
      <c r="D80" s="101"/>
      <c r="E80" s="171"/>
      <c r="F80" s="118"/>
      <c r="G80" s="118"/>
      <c r="H80" s="399" t="s">
        <v>137</v>
      </c>
      <c r="I80" s="399"/>
      <c r="J80" s="399"/>
      <c r="K80" s="399"/>
      <c r="L80" s="399"/>
      <c r="M80" s="399"/>
      <c r="N80" s="399"/>
      <c r="O80" s="520">
        <f>S80</f>
        <v>10</v>
      </c>
      <c r="P80" s="521"/>
      <c r="Q80" s="521"/>
      <c r="R80" s="521"/>
      <c r="S80" s="396">
        <v>10</v>
      </c>
      <c r="T80" s="397"/>
      <c r="U80" s="398"/>
      <c r="V80" s="118"/>
      <c r="W80" s="118"/>
      <c r="X80" s="118"/>
      <c r="Y80" s="101"/>
      <c r="Z80" s="101"/>
      <c r="AA80" s="118"/>
      <c r="AB80" s="173"/>
      <c r="AC80" s="6" t="s">
        <v>432</v>
      </c>
      <c r="AD80" s="6">
        <f>1/TAN((O72 + 7.31 / (O72 + 4.4)) *D123)</f>
        <v>1.7990227551349083</v>
      </c>
      <c r="BN80" s="134"/>
      <c r="BO80" s="118"/>
    </row>
    <row r="81" spans="1:67" customFormat="1" ht="17.25" customHeight="1" thickBot="1" x14ac:dyDescent="0.3">
      <c r="A81" s="101"/>
      <c r="B81" s="101"/>
      <c r="C81" s="101"/>
      <c r="D81" s="101"/>
      <c r="E81" s="101"/>
      <c r="F81" s="118"/>
      <c r="G81" s="118"/>
      <c r="H81" s="399" t="s">
        <v>138</v>
      </c>
      <c r="I81" s="399"/>
      <c r="J81" s="399"/>
      <c r="K81" s="399"/>
      <c r="L81" s="399"/>
      <c r="M81" s="399"/>
      <c r="N81" s="399"/>
      <c r="O81" s="520">
        <f>S81</f>
        <v>1010</v>
      </c>
      <c r="P81" s="521"/>
      <c r="Q81" s="521"/>
      <c r="R81" s="521"/>
      <c r="S81" s="396">
        <v>1010</v>
      </c>
      <c r="T81" s="397"/>
      <c r="U81" s="398"/>
      <c r="V81" s="118"/>
      <c r="W81" s="118"/>
      <c r="X81" s="118"/>
      <c r="Y81" s="101"/>
      <c r="Z81" s="101"/>
      <c r="AA81" s="118"/>
      <c r="AB81" s="173"/>
      <c r="AC81" s="6" t="s">
        <v>433</v>
      </c>
      <c r="AD81" s="6">
        <f>AD80/60</f>
        <v>2.9983712585581804E-2</v>
      </c>
      <c r="BN81" s="134"/>
      <c r="BO81" s="118"/>
    </row>
    <row r="82" spans="1:67" customFormat="1" ht="17.25" customHeight="1" thickTop="1" thickBot="1" x14ac:dyDescent="0.3">
      <c r="A82" s="101"/>
      <c r="B82" s="101"/>
      <c r="C82" s="101"/>
      <c r="D82" s="101"/>
      <c r="E82" s="101"/>
      <c r="F82" s="118"/>
      <c r="G82" s="118"/>
      <c r="H82" s="584" t="s">
        <v>320</v>
      </c>
      <c r="I82" s="585"/>
      <c r="J82" s="585"/>
      <c r="K82" s="585"/>
      <c r="L82" s="585"/>
      <c r="M82" s="585"/>
      <c r="N82" s="586"/>
      <c r="O82" s="454">
        <f>AD83</f>
        <v>2.9962522682694469E-2</v>
      </c>
      <c r="P82" s="454"/>
      <c r="Q82" s="454"/>
      <c r="R82" s="454"/>
      <c r="S82" s="118" t="s">
        <v>100</v>
      </c>
      <c r="T82" s="118"/>
      <c r="U82" s="379" t="str" cm="1">
        <f t="array" ref="U82">angleDecimal2Txt(O82)</f>
        <v>+00°01.79 (+00.0299) [+00°01'47.86]</v>
      </c>
      <c r="V82" s="379"/>
      <c r="W82" s="379"/>
      <c r="X82" s="379"/>
      <c r="Y82" s="379"/>
      <c r="Z82" s="379"/>
      <c r="AA82" s="118"/>
      <c r="AB82" s="173"/>
      <c r="AC82" s="6" t="s">
        <v>174</v>
      </c>
      <c r="AD82" s="6">
        <f xml:space="preserve"> 0.28 * O81 / (273 + O80)</f>
        <v>0.99929328621908131</v>
      </c>
      <c r="BN82" s="134"/>
      <c r="BO82" s="118"/>
    </row>
    <row r="83" spans="1:67" customFormat="1" ht="17.25" customHeight="1" thickTop="1" x14ac:dyDescent="0.25">
      <c r="A83" s="101"/>
      <c r="B83" s="101"/>
      <c r="C83" s="101"/>
      <c r="D83" s="101"/>
      <c r="E83" s="101"/>
      <c r="F83" s="118"/>
      <c r="G83" s="118"/>
      <c r="H83" s="101"/>
      <c r="I83" s="101"/>
      <c r="J83" s="101"/>
      <c r="K83" s="101"/>
      <c r="L83" s="101"/>
      <c r="M83" s="101"/>
      <c r="N83" s="101"/>
      <c r="O83" s="101"/>
      <c r="P83" s="118"/>
      <c r="Q83" s="118"/>
      <c r="R83" s="118"/>
      <c r="S83" s="118"/>
      <c r="T83" s="118"/>
      <c r="U83" s="118"/>
      <c r="V83" s="118"/>
      <c r="W83" s="118"/>
      <c r="X83" s="118"/>
      <c r="Y83" s="101"/>
      <c r="Z83" s="101"/>
      <c r="AA83" s="118"/>
      <c r="AB83" s="173"/>
      <c r="AC83" s="6" t="s">
        <v>430</v>
      </c>
      <c r="AD83" s="6">
        <f>AD82*AD81</f>
        <v>2.9962522682694469E-2</v>
      </c>
      <c r="BN83" s="134"/>
      <c r="BO83" s="118"/>
    </row>
    <row r="84" spans="1:67" customFormat="1" ht="17.25" customHeight="1" x14ac:dyDescent="0.25">
      <c r="A84" s="101"/>
      <c r="B84" s="101"/>
      <c r="C84" s="101"/>
      <c r="D84" s="101"/>
      <c r="E84" s="101"/>
      <c r="F84" s="118"/>
      <c r="G84" s="118"/>
      <c r="H84" s="399" t="s">
        <v>180</v>
      </c>
      <c r="I84" s="399"/>
      <c r="J84" s="399"/>
      <c r="K84" s="399"/>
      <c r="L84" s="399"/>
      <c r="M84" s="399"/>
      <c r="N84" s="399"/>
      <c r="O84" s="376">
        <v>0</v>
      </c>
      <c r="P84" s="376"/>
      <c r="Q84" s="376"/>
      <c r="R84" s="376"/>
      <c r="S84" s="118"/>
      <c r="T84" s="118"/>
      <c r="U84" s="118"/>
      <c r="V84" s="118"/>
      <c r="W84" s="118"/>
      <c r="X84" s="118"/>
      <c r="Y84" s="118"/>
      <c r="Z84" s="118"/>
      <c r="AA84" s="118"/>
      <c r="AB84" s="173"/>
      <c r="BN84" s="134"/>
      <c r="BO84" s="118"/>
    </row>
    <row r="85" spans="1:67" customFormat="1" ht="17.25" customHeight="1" thickBot="1" x14ac:dyDescent="0.3">
      <c r="A85" s="118"/>
      <c r="B85" s="101"/>
      <c r="C85" s="101"/>
      <c r="D85" s="101"/>
      <c r="E85" s="171"/>
      <c r="F85" s="171"/>
      <c r="G85" s="171"/>
      <c r="H85" s="399" t="s">
        <v>143</v>
      </c>
      <c r="I85" s="399"/>
      <c r="J85" s="399"/>
      <c r="K85" s="399"/>
      <c r="L85" s="399"/>
      <c r="M85" s="399"/>
      <c r="N85" s="399"/>
      <c r="O85" s="376">
        <f>J19</f>
        <v>0</v>
      </c>
      <c r="P85" s="376"/>
      <c r="Q85" s="376"/>
      <c r="R85" s="376"/>
      <c r="S85" s="118"/>
      <c r="T85" s="118"/>
      <c r="U85" s="118"/>
      <c r="V85" s="118"/>
      <c r="W85" s="118"/>
      <c r="X85" s="118"/>
      <c r="Y85" s="118"/>
      <c r="Z85" s="118"/>
      <c r="AA85" s="118"/>
      <c r="AB85" s="173"/>
      <c r="AC85" s="6" t="s">
        <v>38</v>
      </c>
      <c r="AD85" s="391" t="str">
        <f>J18</f>
        <v>Polaire</v>
      </c>
      <c r="AE85" s="391"/>
      <c r="BN85" s="134"/>
      <c r="BO85" s="118"/>
    </row>
    <row r="86" spans="1:67" customFormat="1" ht="17.25" customHeight="1" thickTop="1" thickBot="1" x14ac:dyDescent="0.3">
      <c r="A86" s="118"/>
      <c r="B86" s="118"/>
      <c r="C86" s="171"/>
      <c r="D86" s="171"/>
      <c r="E86" s="171"/>
      <c r="F86" s="171"/>
      <c r="G86" s="171"/>
      <c r="H86" s="587" t="s">
        <v>144</v>
      </c>
      <c r="I86" s="588"/>
      <c r="J86" s="588"/>
      <c r="K86" s="588"/>
      <c r="L86" s="588"/>
      <c r="M86" s="588"/>
      <c r="N86" s="589"/>
      <c r="O86" s="560">
        <f>AD89</f>
        <v>0</v>
      </c>
      <c r="P86" s="560"/>
      <c r="Q86" s="560"/>
      <c r="R86" s="560"/>
      <c r="S86" s="118" t="s">
        <v>100</v>
      </c>
      <c r="T86" s="118"/>
      <c r="U86" s="379" t="str" cm="1">
        <f t="array" ref="U86">angleDecimal2Txt(O86)</f>
        <v>+00°00.00 (+00.0000) [+00°00'00.00]</v>
      </c>
      <c r="V86" s="379"/>
      <c r="W86" s="379"/>
      <c r="X86" s="379"/>
      <c r="Y86" s="379"/>
      <c r="Z86" s="379"/>
      <c r="AA86" s="118"/>
      <c r="AB86" s="173"/>
      <c r="AC86" s="6" t="s">
        <v>437</v>
      </c>
      <c r="AD86" s="391">
        <f>O85</f>
        <v>0</v>
      </c>
      <c r="AE86" s="391"/>
      <c r="BN86" s="134"/>
      <c r="BO86" s="118"/>
    </row>
    <row r="87" spans="1:67" customFormat="1" ht="17.25" customHeight="1" thickTop="1" x14ac:dyDescent="0.25">
      <c r="A87" s="118"/>
      <c r="B87" s="118"/>
      <c r="C87" s="171"/>
      <c r="D87" s="171"/>
      <c r="E87" s="171"/>
      <c r="F87" s="171"/>
      <c r="G87" s="17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18"/>
      <c r="AB87" s="173"/>
      <c r="AC87" s="6" t="s">
        <v>438</v>
      </c>
      <c r="AD87" s="392">
        <v>0</v>
      </c>
      <c r="AE87" s="392"/>
      <c r="BN87" s="134"/>
      <c r="BO87" s="118"/>
    </row>
    <row r="88" spans="1:67" customFormat="1" ht="17.25" customHeight="1" x14ac:dyDescent="0.25">
      <c r="A88" s="118"/>
      <c r="B88" s="118"/>
      <c r="C88" s="171"/>
      <c r="D88" s="171"/>
      <c r="E88" s="171"/>
      <c r="F88" s="171"/>
      <c r="G88" s="556" t="s">
        <v>245</v>
      </c>
      <c r="H88" s="557"/>
      <c r="I88" s="557"/>
      <c r="J88" s="557"/>
      <c r="K88" s="557"/>
      <c r="L88" s="557"/>
      <c r="M88" s="557"/>
      <c r="N88" s="557"/>
      <c r="O88" s="557"/>
      <c r="P88" s="557"/>
      <c r="Q88" s="557"/>
      <c r="R88" s="557"/>
      <c r="S88" s="558"/>
      <c r="T88" s="101"/>
      <c r="U88" s="101"/>
      <c r="V88" s="101"/>
      <c r="W88" s="101"/>
      <c r="X88" s="101"/>
      <c r="Y88" s="101"/>
      <c r="Z88" s="101"/>
      <c r="AA88" s="118"/>
      <c r="AB88" s="173"/>
      <c r="AC88" s="6" t="s">
        <v>180</v>
      </c>
      <c r="AD88" s="6">
        <v>0</v>
      </c>
      <c r="AE88" s="6" cm="1">
        <f t="array" ref="AE88">angleConvert2Decimal(AD88)</f>
        <v>0</v>
      </c>
      <c r="BN88" s="134"/>
      <c r="BO88" s="118"/>
    </row>
    <row r="89" spans="1:67" customFormat="1" ht="17.25" customHeight="1" x14ac:dyDescent="0.25">
      <c r="A89" s="118"/>
      <c r="B89" s="118"/>
      <c r="C89" s="171"/>
      <c r="D89" s="171"/>
      <c r="E89" s="171"/>
      <c r="F89" s="171"/>
      <c r="G89" s="534" t="s">
        <v>258</v>
      </c>
      <c r="H89" s="535"/>
      <c r="I89" s="566" t="s">
        <v>250</v>
      </c>
      <c r="J89" s="567"/>
      <c r="K89" s="567"/>
      <c r="L89" s="567"/>
      <c r="M89" s="567"/>
      <c r="N89" s="568"/>
      <c r="O89" s="610">
        <f>(O77-O82-O70+O84/2) * 60</f>
        <v>-5.9206268138464626</v>
      </c>
      <c r="P89" s="400"/>
      <c r="Q89" s="400"/>
      <c r="R89" s="400"/>
      <c r="S89" s="529" t="s">
        <v>246</v>
      </c>
      <c r="T89" s="101"/>
      <c r="U89" s="101"/>
      <c r="V89" s="101"/>
      <c r="W89" s="101"/>
      <c r="X89" s="101"/>
      <c r="Y89" s="101"/>
      <c r="Z89" s="101"/>
      <c r="AA89" s="118"/>
      <c r="AB89" s="173"/>
      <c r="AC89" s="6" t="s">
        <v>438</v>
      </c>
      <c r="AD89" s="392">
        <f>AE88*AD87</f>
        <v>0</v>
      </c>
      <c r="AE89" s="392"/>
      <c r="BN89" s="134"/>
      <c r="BO89" s="118"/>
    </row>
    <row r="90" spans="1:67" customFormat="1" ht="17.25" customHeight="1" x14ac:dyDescent="0.25">
      <c r="A90" s="118"/>
      <c r="B90" s="118"/>
      <c r="C90" s="171"/>
      <c r="D90" s="171"/>
      <c r="E90" s="171"/>
      <c r="F90" s="171"/>
      <c r="G90" s="536"/>
      <c r="H90" s="537"/>
      <c r="I90" s="569" t="s">
        <v>254</v>
      </c>
      <c r="J90" s="570"/>
      <c r="K90" s="570"/>
      <c r="L90" s="570"/>
      <c r="M90" s="570"/>
      <c r="N90" s="571"/>
      <c r="O90" s="611"/>
      <c r="P90" s="401"/>
      <c r="Q90" s="401"/>
      <c r="R90" s="401"/>
      <c r="S90" s="530"/>
      <c r="T90" s="101"/>
      <c r="U90" s="101"/>
      <c r="V90" s="101"/>
      <c r="W90" s="101"/>
      <c r="X90" s="101"/>
      <c r="Y90" s="101"/>
      <c r="Z90" s="101"/>
      <c r="AA90" s="118"/>
      <c r="AB90" s="173"/>
      <c r="BN90" s="134"/>
      <c r="BO90" s="118"/>
    </row>
    <row r="91" spans="1:67" customFormat="1" ht="17.25" customHeight="1" x14ac:dyDescent="0.25">
      <c r="A91" s="118"/>
      <c r="B91" s="118"/>
      <c r="C91" s="171"/>
      <c r="D91" s="171"/>
      <c r="E91" s="171"/>
      <c r="F91" s="171"/>
      <c r="G91" s="171"/>
      <c r="H91" s="101"/>
      <c r="I91" s="566" t="s">
        <v>251</v>
      </c>
      <c r="J91" s="567"/>
      <c r="K91" s="567"/>
      <c r="L91" s="567"/>
      <c r="M91" s="567"/>
      <c r="N91" s="568"/>
      <c r="O91" s="400">
        <f>(O77-O82+O84/2)*60</f>
        <v>-1.7977513609616682</v>
      </c>
      <c r="P91" s="400"/>
      <c r="Q91" s="400"/>
      <c r="R91" s="400"/>
      <c r="S91" s="529" t="s">
        <v>246</v>
      </c>
      <c r="T91" s="101"/>
      <c r="U91" s="101"/>
      <c r="V91" s="101"/>
      <c r="W91" s="101"/>
      <c r="X91" s="101"/>
      <c r="Y91" s="101"/>
      <c r="Z91" s="101"/>
      <c r="AA91" s="118"/>
      <c r="AB91" s="173"/>
      <c r="BN91" s="134"/>
      <c r="BO91" s="118"/>
    </row>
    <row r="92" spans="1:67" customFormat="1" ht="17.25" customHeight="1" x14ac:dyDescent="0.25">
      <c r="A92" s="118"/>
      <c r="B92" s="118"/>
      <c r="C92" s="171"/>
      <c r="D92" s="171"/>
      <c r="E92" s="171"/>
      <c r="F92" s="171"/>
      <c r="G92" s="171"/>
      <c r="H92" s="101"/>
      <c r="I92" s="531" t="s">
        <v>252</v>
      </c>
      <c r="J92" s="532"/>
      <c r="K92" s="532"/>
      <c r="L92" s="532"/>
      <c r="M92" s="532"/>
      <c r="N92" s="533"/>
      <c r="O92" s="401"/>
      <c r="P92" s="401"/>
      <c r="Q92" s="401"/>
      <c r="R92" s="401"/>
      <c r="S92" s="530"/>
      <c r="T92" s="101"/>
      <c r="U92" s="101"/>
      <c r="V92" s="101"/>
      <c r="W92" s="101"/>
      <c r="X92" s="101"/>
      <c r="Y92" s="101"/>
      <c r="Z92" s="101"/>
      <c r="AA92" s="118"/>
      <c r="AB92" s="173"/>
      <c r="BN92" s="134"/>
      <c r="BO92" s="118"/>
    </row>
    <row r="93" spans="1:67" customFormat="1" ht="17.25" customHeight="1" x14ac:dyDescent="0.25">
      <c r="A93" s="118"/>
      <c r="B93" s="118"/>
      <c r="C93" s="171"/>
      <c r="D93" s="171"/>
      <c r="E93" s="171"/>
      <c r="F93" s="171"/>
      <c r="G93" s="171"/>
      <c r="H93" s="101"/>
      <c r="I93" s="593" t="s">
        <v>144</v>
      </c>
      <c r="J93" s="593"/>
      <c r="K93" s="593"/>
      <c r="L93" s="593"/>
      <c r="M93" s="593"/>
      <c r="N93" s="593"/>
      <c r="O93" s="594">
        <f>O86*60</f>
        <v>0</v>
      </c>
      <c r="P93" s="595"/>
      <c r="Q93" s="595"/>
      <c r="R93" s="595"/>
      <c r="S93" s="187" t="s">
        <v>246</v>
      </c>
      <c r="T93" s="101"/>
      <c r="U93" s="101"/>
      <c r="V93" s="101"/>
      <c r="W93" s="101"/>
      <c r="X93" s="101"/>
      <c r="Y93" s="101"/>
      <c r="Z93" s="101"/>
      <c r="AA93" s="118"/>
      <c r="AB93" s="173"/>
      <c r="BN93" s="134"/>
      <c r="BO93" s="118"/>
    </row>
    <row r="94" spans="1:67" customFormat="1" ht="17.25" customHeight="1" thickBot="1" x14ac:dyDescent="0.3">
      <c r="A94" s="118"/>
      <c r="B94" s="118"/>
      <c r="C94" s="171"/>
      <c r="D94" s="171"/>
      <c r="E94" s="171"/>
      <c r="F94" s="171"/>
      <c r="G94" s="17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18"/>
      <c r="T94" s="118"/>
      <c r="U94" s="118"/>
      <c r="V94" s="118"/>
      <c r="W94" s="118"/>
      <c r="X94" s="118"/>
      <c r="Y94" s="118"/>
      <c r="Z94" s="118"/>
      <c r="AA94" s="118"/>
      <c r="AB94" s="173"/>
      <c r="BN94" s="134"/>
      <c r="BO94" s="118"/>
    </row>
    <row r="95" spans="1:67" customFormat="1" ht="17.25" customHeight="1" thickTop="1" thickBot="1" x14ac:dyDescent="0.3">
      <c r="A95" s="118"/>
      <c r="B95" s="118"/>
      <c r="C95" s="171"/>
      <c r="D95" s="171"/>
      <c r="E95" s="171"/>
      <c r="F95" s="171"/>
      <c r="G95" s="171"/>
      <c r="H95" s="590" t="s">
        <v>321</v>
      </c>
      <c r="I95" s="591"/>
      <c r="J95" s="591"/>
      <c r="K95" s="591"/>
      <c r="L95" s="591"/>
      <c r="M95" s="591"/>
      <c r="N95" s="592"/>
      <c r="O95" s="407">
        <f>O72-O82+O77+O86</f>
        <v>28.81798955310256</v>
      </c>
      <c r="P95" s="454"/>
      <c r="Q95" s="454"/>
      <c r="R95" s="454"/>
      <c r="S95" s="118" t="s">
        <v>100</v>
      </c>
      <c r="T95" s="118"/>
      <c r="U95" s="379" t="str" cm="1">
        <f t="array" ref="U95">angleDecimal2Txt(O95)</f>
        <v>+28°49.07 (+28.8179) [+28°49'04.76]</v>
      </c>
      <c r="V95" s="379"/>
      <c r="W95" s="379"/>
      <c r="X95" s="379"/>
      <c r="Y95" s="379"/>
      <c r="Z95" s="379"/>
      <c r="AA95" s="118"/>
      <c r="AB95" s="173"/>
      <c r="BN95" s="134"/>
      <c r="BO95" s="118"/>
    </row>
    <row r="96" spans="1:67" customFormat="1" ht="17.25" customHeight="1" thickTop="1" x14ac:dyDescent="0.25">
      <c r="A96" s="118"/>
      <c r="B96" s="118"/>
      <c r="C96" s="171"/>
      <c r="D96" s="171"/>
      <c r="E96" s="171"/>
      <c r="F96" s="171"/>
      <c r="G96" s="171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73"/>
      <c r="BN96" s="134"/>
      <c r="BO96" s="118"/>
    </row>
    <row r="97" spans="1:67" customFormat="1" ht="17.25" customHeight="1" x14ac:dyDescent="0.25">
      <c r="A97" s="118"/>
      <c r="B97" s="118"/>
      <c r="C97" s="171"/>
      <c r="D97" s="171"/>
      <c r="E97" s="171"/>
      <c r="F97" s="452" t="s">
        <v>135</v>
      </c>
      <c r="G97" s="452"/>
      <c r="H97" s="452"/>
      <c r="I97" s="452"/>
      <c r="J97" s="454" t="str">
        <f>IF(G66=AD66,O103,"---")</f>
        <v>---</v>
      </c>
      <c r="K97" s="454"/>
      <c r="L97" s="454"/>
      <c r="M97" s="118"/>
      <c r="N97" s="118"/>
      <c r="O97" s="118"/>
      <c r="P97" s="118"/>
      <c r="Q97" s="118"/>
      <c r="R97" s="148" t="s">
        <v>157</v>
      </c>
      <c r="S97" s="118" t="s">
        <v>41</v>
      </c>
      <c r="T97" s="118"/>
      <c r="U97" s="118"/>
      <c r="V97" s="118"/>
      <c r="W97" s="118"/>
      <c r="X97" s="118"/>
      <c r="Y97" s="118"/>
      <c r="Z97" s="118"/>
      <c r="AA97" s="118"/>
      <c r="AB97" s="173"/>
      <c r="BN97" s="134"/>
      <c r="BO97" s="118"/>
    </row>
    <row r="98" spans="1:67" customFormat="1" ht="17.25" customHeight="1" x14ac:dyDescent="0.25">
      <c r="A98" s="118"/>
      <c r="B98" s="118"/>
      <c r="C98" s="171"/>
      <c r="D98" s="171"/>
      <c r="E98" s="171"/>
      <c r="F98" s="171"/>
      <c r="G98" s="171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49" t="s">
        <v>153</v>
      </c>
      <c r="S98" s="118" t="s">
        <v>155</v>
      </c>
      <c r="T98" s="118"/>
      <c r="U98" s="118"/>
      <c r="V98" s="118"/>
      <c r="W98" s="118"/>
      <c r="X98" s="118"/>
      <c r="Y98" s="118"/>
      <c r="Z98" s="118"/>
      <c r="AA98" s="118"/>
      <c r="AB98" s="173"/>
      <c r="BN98" s="134"/>
      <c r="BO98" s="118"/>
    </row>
    <row r="99" spans="1:67" customFormat="1" ht="17.25" customHeight="1" x14ac:dyDescent="0.25">
      <c r="A99" s="118"/>
      <c r="B99" s="118"/>
      <c r="C99" s="171"/>
      <c r="D99" s="171"/>
      <c r="E99" s="171"/>
      <c r="F99" s="171"/>
      <c r="G99" s="171"/>
      <c r="H99" s="118" t="s">
        <v>145</v>
      </c>
      <c r="I99" s="150" t="s">
        <v>147</v>
      </c>
      <c r="J99" s="118" t="s">
        <v>132</v>
      </c>
      <c r="K99" s="150" t="s">
        <v>150</v>
      </c>
      <c r="L99" s="118" t="s">
        <v>131</v>
      </c>
      <c r="M99" s="118"/>
      <c r="N99" s="150" t="s">
        <v>151</v>
      </c>
      <c r="O99" s="118"/>
      <c r="P99" s="118"/>
      <c r="Q99" s="150" t="s">
        <v>152</v>
      </c>
      <c r="R99" s="151" t="s">
        <v>154</v>
      </c>
      <c r="S99" s="118" t="s">
        <v>156</v>
      </c>
      <c r="T99" s="118"/>
      <c r="U99" s="118"/>
      <c r="AB99" s="173"/>
      <c r="BN99" s="134"/>
      <c r="BO99" s="118"/>
    </row>
    <row r="100" spans="1:67" customFormat="1" ht="17.25" customHeight="1" thickBot="1" x14ac:dyDescent="0.3">
      <c r="A100" s="118"/>
      <c r="B100" s="118"/>
      <c r="C100" s="171"/>
      <c r="D100" s="171"/>
      <c r="E100" s="171"/>
      <c r="F100" s="171"/>
      <c r="G100" s="171"/>
      <c r="H100" s="118"/>
      <c r="I100" s="150"/>
      <c r="J100" s="152">
        <f>O68</f>
        <v>28.916666666666668</v>
      </c>
      <c r="K100" s="150" t="s">
        <v>150</v>
      </c>
      <c r="L100" s="153">
        <f>O69</f>
        <v>0</v>
      </c>
      <c r="M100" s="118"/>
      <c r="N100" s="674" t="s">
        <v>325</v>
      </c>
      <c r="O100" s="674"/>
      <c r="P100" s="674"/>
      <c r="Q100" s="150" t="s">
        <v>152</v>
      </c>
      <c r="R100" s="154">
        <v>0</v>
      </c>
      <c r="S100" s="118"/>
      <c r="T100" s="118"/>
      <c r="U100" s="118"/>
      <c r="AB100" s="173"/>
      <c r="BN100" s="134"/>
      <c r="BO100" s="118"/>
    </row>
    <row r="101" spans="1:67" customFormat="1" ht="17.25" customHeight="1" thickTop="1" thickBot="1" x14ac:dyDescent="0.3">
      <c r="A101" s="118"/>
      <c r="B101" s="118"/>
      <c r="C101" s="171"/>
      <c r="D101" s="171"/>
      <c r="E101" s="171"/>
      <c r="F101" s="171"/>
      <c r="G101" s="171"/>
      <c r="H101" s="118"/>
      <c r="I101" s="150"/>
      <c r="K101" s="150"/>
      <c r="L101" s="188" cm="1">
        <f t="array" ref="L101">angleConvert2Decimal(L100)</f>
        <v>0</v>
      </c>
      <c r="N101" s="673" cm="1">
        <f t="array" ref="N101">angleConvert2Decimal(N100)</f>
        <v>0.17166666666666669</v>
      </c>
      <c r="O101" s="673"/>
      <c r="P101" s="673"/>
      <c r="Q101" s="42"/>
      <c r="R101" s="188" cm="1">
        <f t="array" ref="R101">angleConvert2Decimal(R100)</f>
        <v>0</v>
      </c>
      <c r="T101" s="13" t="s">
        <v>189</v>
      </c>
      <c r="U101" s="13"/>
      <c r="V101" s="13">
        <f>R101+N101</f>
        <v>0.17166666666666669</v>
      </c>
      <c r="W101" s="380" t="str" cm="1">
        <f t="array" ref="W101">angleDecimal2Txt(V101)</f>
        <v>+00°10.30 (+00.1716) [+00°10'18.00]</v>
      </c>
      <c r="X101" s="381"/>
      <c r="Y101" s="381"/>
      <c r="Z101" s="381"/>
      <c r="AA101" s="382"/>
      <c r="AB101" s="173"/>
      <c r="BN101" s="134"/>
      <c r="BO101" s="118"/>
    </row>
    <row r="102" spans="1:67" customFormat="1" ht="17.25" customHeight="1" thickTop="1" thickBot="1" x14ac:dyDescent="0.3">
      <c r="A102" s="118"/>
      <c r="B102" s="118"/>
      <c r="C102" s="171"/>
      <c r="D102" s="171"/>
      <c r="E102" s="171"/>
      <c r="F102" s="171"/>
      <c r="G102" s="171"/>
      <c r="H102" s="118"/>
      <c r="I102" s="150"/>
      <c r="J102" s="118"/>
      <c r="K102" s="150"/>
      <c r="L102" s="118"/>
      <c r="M102" s="118"/>
      <c r="N102" s="150"/>
      <c r="O102" s="118"/>
      <c r="P102" s="118"/>
      <c r="Q102" s="150"/>
      <c r="R102" s="155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73"/>
      <c r="BN102" s="134"/>
      <c r="BO102" s="118"/>
    </row>
    <row r="103" spans="1:67" customFormat="1" ht="17.25" customHeight="1" thickTop="1" thickBot="1" x14ac:dyDescent="0.3">
      <c r="A103" s="118"/>
      <c r="B103" s="118"/>
      <c r="C103" s="171"/>
      <c r="D103" s="171"/>
      <c r="E103" s="171"/>
      <c r="F103" s="171"/>
      <c r="G103" s="171"/>
      <c r="H103" s="590" t="s">
        <v>324</v>
      </c>
      <c r="I103" s="591"/>
      <c r="J103" s="591"/>
      <c r="K103" s="591"/>
      <c r="L103" s="591"/>
      <c r="M103" s="591"/>
      <c r="N103" s="592"/>
      <c r="O103" s="407">
        <f>J100-L101+N101+R101</f>
        <v>29.088333333333335</v>
      </c>
      <c r="P103" s="454"/>
      <c r="Q103" s="454"/>
      <c r="R103" s="454"/>
      <c r="S103" s="118" t="s">
        <v>100</v>
      </c>
      <c r="T103" s="118"/>
      <c r="U103" s="379" t="str" cm="1">
        <f t="array" ref="U103">angleDecimal2Txt(O103)</f>
        <v>+29°05.29 (+29.0883) [+29°05'18.00]</v>
      </c>
      <c r="V103" s="379"/>
      <c r="W103" s="379"/>
      <c r="X103" s="379"/>
      <c r="Y103" s="379"/>
      <c r="Z103" s="379"/>
      <c r="AA103" s="118"/>
      <c r="AB103" s="173"/>
      <c r="BN103" s="134"/>
      <c r="BO103" s="118"/>
    </row>
    <row r="104" spans="1:67" customFormat="1" ht="17.25" customHeight="1" thickTop="1" thickBot="1" x14ac:dyDescent="0.3">
      <c r="A104" s="118"/>
      <c r="B104" s="118"/>
      <c r="C104" s="171"/>
      <c r="D104" s="156"/>
      <c r="E104" s="171"/>
      <c r="F104" s="171"/>
      <c r="G104" s="171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73"/>
      <c r="BN104" s="134"/>
      <c r="BO104" s="118"/>
    </row>
    <row r="105" spans="1:67" s="118" customFormat="1" ht="17.25" customHeight="1" thickBot="1" x14ac:dyDescent="0.25">
      <c r="B105" s="135" t="s">
        <v>54</v>
      </c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204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</row>
    <row r="106" spans="1:67" s="118" customFormat="1" ht="17.25" customHeight="1" x14ac:dyDescent="0.25">
      <c r="D106" s="953" t="s">
        <v>393</v>
      </c>
      <c r="E106" s="946"/>
      <c r="F106" s="946"/>
      <c r="G106" s="946"/>
      <c r="H106" s="955">
        <f>90-P107</f>
        <v>0.61666666666666003</v>
      </c>
      <c r="I106" s="955"/>
      <c r="J106" s="955"/>
      <c r="K106" s="955"/>
      <c r="L106" s="955"/>
      <c r="N106" s="941" t="s">
        <v>394</v>
      </c>
      <c r="O106" s="941"/>
      <c r="P106" s="941"/>
      <c r="Q106" s="941"/>
      <c r="R106" s="941"/>
      <c r="S106" s="941"/>
      <c r="T106" s="941"/>
      <c r="U106" s="941"/>
      <c r="V106" s="941"/>
      <c r="W106" s="941"/>
      <c r="AA106"/>
      <c r="AB106" s="208"/>
      <c r="AC106"/>
      <c r="AD106"/>
      <c r="AE106"/>
      <c r="AF106"/>
      <c r="AL106" s="193"/>
    </row>
    <row r="107" spans="1:67" s="118" customFormat="1" ht="17.25" customHeight="1" thickBot="1" x14ac:dyDescent="0.3">
      <c r="C107" s="209"/>
      <c r="D107" s="947"/>
      <c r="E107" s="948"/>
      <c r="F107" s="948"/>
      <c r="G107" s="948"/>
      <c r="H107" s="955"/>
      <c r="I107" s="955"/>
      <c r="J107" s="955"/>
      <c r="K107" s="955"/>
      <c r="L107" s="955"/>
      <c r="M107" s="158" t="s">
        <v>259</v>
      </c>
      <c r="N107" s="729" t="s">
        <v>159</v>
      </c>
      <c r="O107" s="729"/>
      <c r="P107" s="729">
        <f>F33</f>
        <v>89.38333333333334</v>
      </c>
      <c r="Q107" s="729"/>
      <c r="R107" s="729"/>
      <c r="S107" s="194" t="s">
        <v>100</v>
      </c>
      <c r="T107" s="729">
        <f>P107*$D$123</f>
        <v>1.5600334630742649</v>
      </c>
      <c r="U107" s="729"/>
      <c r="V107" s="729"/>
      <c r="W107" s="194" t="s">
        <v>136</v>
      </c>
      <c r="AA107"/>
      <c r="AB107" s="208"/>
      <c r="AC107"/>
      <c r="AD107"/>
      <c r="AE107"/>
      <c r="AF107"/>
      <c r="AL107" s="193"/>
    </row>
    <row r="108" spans="1:67" s="118" customFormat="1" ht="17.25" customHeight="1" thickTop="1" thickBot="1" x14ac:dyDescent="0.3">
      <c r="C108" s="209"/>
      <c r="D108" s="949"/>
      <c r="E108" s="950"/>
      <c r="F108" s="950"/>
      <c r="G108" s="950"/>
      <c r="H108" s="956" t="str" cm="1">
        <f t="array" ref="H108">angleDecimal2Txt(H106)</f>
        <v>+00°36.99 (+00.6166) [+00°36'59.99]</v>
      </c>
      <c r="I108" s="956"/>
      <c r="J108" s="956"/>
      <c r="K108" s="956"/>
      <c r="L108" s="956"/>
      <c r="N108" s="706"/>
      <c r="O108" s="706"/>
      <c r="P108" s="706"/>
      <c r="Q108" s="706"/>
      <c r="R108" s="706"/>
      <c r="S108" s="209"/>
      <c r="T108" s="706"/>
      <c r="U108" s="706"/>
      <c r="V108" s="706"/>
      <c r="W108" s="209"/>
      <c r="AA108"/>
      <c r="AB108" s="208"/>
      <c r="AC108"/>
      <c r="AD108"/>
      <c r="AE108"/>
      <c r="AF108"/>
      <c r="AG108" s="195" t="b">
        <f>ISNUMBER(SEARCH("°",AF108,1))</f>
        <v>0</v>
      </c>
      <c r="AH108" s="195" t="b">
        <f>ISNUMBER(SEARCH("'",AF108,1))</f>
        <v>0</v>
      </c>
      <c r="AI108" s="195" t="b">
        <f>ISNUMBER(SEARCH("""",AF108,1))</f>
        <v>0</v>
      </c>
      <c r="AJ108" s="195" t="b">
        <f>NOT(OR(AG108,AH108,AI108))</f>
        <v>1</v>
      </c>
      <c r="AK108" s="195" t="b">
        <f>OR(AJ108,AG108)</f>
        <v>1</v>
      </c>
      <c r="AL108" s="196">
        <f>IF(AJ108,VALUE(AF108),IF(AG108,LEFT(AF108,SEARCH("°",AF108,1)-1),0))</f>
        <v>0</v>
      </c>
      <c r="AM108" s="195" t="str">
        <f>IF(AJ108,"",IF(AG108,RIGHT(AF108,LEN(AF108)-SEARCH("°",AF108,1)),AF108))</f>
        <v/>
      </c>
      <c r="AN108" s="195" t="b">
        <f>(LEN(AM108)&gt;0)</f>
        <v>0</v>
      </c>
      <c r="AO108" s="195" t="b">
        <f>NOT(OR(AH108,AI108))</f>
        <v>1</v>
      </c>
      <c r="AP108" s="196">
        <f>IF(NOT(AN108),0,IF(AO108,VALUE(AM108),IF(NOT(AH108),0,VALUE(LEFT(AM108,SEARCH("'",AM108,1)-1)))))</f>
        <v>0</v>
      </c>
      <c r="AQ108" s="195" t="str">
        <f>IF(NOT(AN108),"",IF(AO108,"",IF(NOT(AH108),AM108,RIGHT(AM108,LEN(AM108)-SEARCH("'",AM108,1)))))</f>
        <v/>
      </c>
      <c r="AR108" s="195" t="b">
        <f>(LEN(AQ108)&gt;0)</f>
        <v>0</v>
      </c>
      <c r="AS108" s="195" t="b">
        <f>NOT(AI108)</f>
        <v>1</v>
      </c>
      <c r="AT108" s="195" t="b">
        <f>ISNUMBER(SEARCH(".",AQ108,1))</f>
        <v>0</v>
      </c>
      <c r="AU108" s="196">
        <f>IF(AR108,IF(AI108,IF(AT108,VALUE(SUBSTITUTE(AQ108, """", "")),VALUE(SUBSTITUTE(AQ108, """", "."))),VALUE(AQ108)),0)</f>
        <v>0</v>
      </c>
      <c r="AV108" s="196">
        <f>AL108*3600+AP108*60+AU108</f>
        <v>0</v>
      </c>
      <c r="AW108" s="196">
        <f>AV108/3600</f>
        <v>0</v>
      </c>
      <c r="AX108" s="196">
        <f>_xlfn.FLOOR.MATH((AW108))</f>
        <v>0</v>
      </c>
      <c r="AY108" s="196">
        <f>(AV108-3600*AX108)/60</f>
        <v>0</v>
      </c>
      <c r="AZ108" s="196">
        <f>_xlfn.FLOOR.MATH((AY108))</f>
        <v>0</v>
      </c>
      <c r="BA108" s="196">
        <f>AV108-3600*AX108-60*AZ108</f>
        <v>0</v>
      </c>
      <c r="BB108" s="196">
        <f>AW108*IF(AD108&lt;0,-1,1)</f>
        <v>0</v>
      </c>
      <c r="BC108" s="197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18" customFormat="1" ht="17.25" customHeight="1" thickTop="1" x14ac:dyDescent="0.25">
      <c r="N109" s="954"/>
      <c r="O109" s="706"/>
      <c r="P109" s="706"/>
      <c r="Q109" s="706"/>
      <c r="R109" s="706"/>
      <c r="S109" s="706"/>
      <c r="T109" s="706"/>
      <c r="U109" s="706"/>
      <c r="V109" s="706"/>
      <c r="W109" s="706"/>
      <c r="X109" s="706"/>
      <c r="Y109" s="706"/>
      <c r="Z109" s="706"/>
      <c r="AA109"/>
      <c r="AB109" s="208"/>
      <c r="AC109"/>
      <c r="AD109"/>
      <c r="AE109"/>
      <c r="AF109"/>
      <c r="AL109" s="193"/>
    </row>
    <row r="110" spans="1:67" s="118" customFormat="1" ht="17.25" customHeight="1" x14ac:dyDescent="0.25">
      <c r="D110" s="953" t="s">
        <v>395</v>
      </c>
      <c r="E110" s="946"/>
      <c r="F110" s="946"/>
      <c r="G110" s="946"/>
      <c r="H110" s="955">
        <f>-H106*COS(T111)</f>
        <v>0.19940452818420051</v>
      </c>
      <c r="I110" s="955"/>
      <c r="J110" s="955"/>
      <c r="K110" s="955"/>
      <c r="L110" s="955"/>
      <c r="N110" s="957" t="s">
        <v>398</v>
      </c>
      <c r="O110" s="941"/>
      <c r="P110" s="941"/>
      <c r="Q110" s="941"/>
      <c r="R110" s="941"/>
      <c r="S110" s="941"/>
      <c r="T110" s="941"/>
      <c r="U110" s="941"/>
      <c r="V110" s="941"/>
      <c r="W110" s="941"/>
      <c r="X110" s="209"/>
      <c r="Y110" s="209"/>
      <c r="Z110" s="209"/>
      <c r="AA110"/>
      <c r="AB110" s="208"/>
      <c r="AC110"/>
      <c r="AD110"/>
      <c r="AE110"/>
      <c r="AF110"/>
      <c r="AL110" s="193"/>
    </row>
    <row r="111" spans="1:67" s="118" customFormat="1" ht="17.25" customHeight="1" thickBot="1" x14ac:dyDescent="0.3">
      <c r="C111" s="209"/>
      <c r="D111" s="947"/>
      <c r="E111" s="948"/>
      <c r="F111" s="948"/>
      <c r="G111" s="948"/>
      <c r="H111" s="955"/>
      <c r="I111" s="955"/>
      <c r="J111" s="955"/>
      <c r="K111" s="955"/>
      <c r="L111" s="955"/>
      <c r="M111" s="158" t="s">
        <v>259</v>
      </c>
      <c r="N111" s="729" t="s">
        <v>53</v>
      </c>
      <c r="O111" s="729"/>
      <c r="P111" s="729">
        <f>F61</f>
        <v>251.13383339999996</v>
      </c>
      <c r="Q111" s="729"/>
      <c r="R111" s="729"/>
      <c r="S111" s="194" t="s">
        <v>100</v>
      </c>
      <c r="T111" s="729">
        <f>P111*$D$123</f>
        <v>4.3831122559849049</v>
      </c>
      <c r="U111" s="729"/>
      <c r="V111" s="729"/>
      <c r="W111" s="194" t="s">
        <v>136</v>
      </c>
      <c r="X111" s="209"/>
      <c r="Y111" s="209"/>
      <c r="Z111" s="209"/>
      <c r="AA111"/>
      <c r="AB111" s="208"/>
      <c r="AC111"/>
      <c r="AD111"/>
      <c r="AE111"/>
      <c r="AF111"/>
      <c r="AL111" s="193"/>
    </row>
    <row r="112" spans="1:67" s="118" customFormat="1" ht="17.25" customHeight="1" thickTop="1" thickBot="1" x14ac:dyDescent="0.3">
      <c r="C112" s="209"/>
      <c r="D112" s="949"/>
      <c r="E112" s="950"/>
      <c r="F112" s="950"/>
      <c r="G112" s="950"/>
      <c r="H112" s="952" t="str" cm="1">
        <f t="array" ref="H112">angleDecimal2Txt(H110)</f>
        <v>+00°11.96 (+00.1994) [+00°11'57.85]</v>
      </c>
      <c r="I112" s="952"/>
      <c r="J112" s="952"/>
      <c r="K112" s="952"/>
      <c r="L112" s="952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  <c r="AA112"/>
      <c r="AB112" s="208"/>
      <c r="AC112"/>
      <c r="AD112"/>
      <c r="AE112"/>
      <c r="AF112"/>
      <c r="AG112" s="195" t="b">
        <f>ISNUMBER(SEARCH("°",AF112,1))</f>
        <v>0</v>
      </c>
      <c r="AH112" s="195" t="b">
        <f>ISNUMBER(SEARCH("'",AF112,1))</f>
        <v>0</v>
      </c>
      <c r="AI112" s="195" t="b">
        <f>ISNUMBER(SEARCH("""",AF112,1))</f>
        <v>0</v>
      </c>
      <c r="AJ112" s="195" t="b">
        <f>NOT(OR(AG112,AH112,AI112))</f>
        <v>1</v>
      </c>
      <c r="AK112" s="195" t="b">
        <f>OR(AJ112,AG112)</f>
        <v>1</v>
      </c>
      <c r="AL112" s="196">
        <f>IF(AJ112,VALUE(AF112),IF(AG112,LEFT(AF112,SEARCH("°",AF112,1)-1),0))</f>
        <v>0</v>
      </c>
      <c r="AM112" s="195" t="str">
        <f>IF(AJ112,"",IF(AG112,RIGHT(AF112,LEN(AF112)-SEARCH("°",AF112,1)),AF112))</f>
        <v/>
      </c>
      <c r="AN112" s="195" t="b">
        <f>(LEN(AM112)&gt;0)</f>
        <v>0</v>
      </c>
      <c r="AO112" s="195" t="b">
        <f>NOT(OR(AH112,AI112))</f>
        <v>1</v>
      </c>
      <c r="AP112" s="196">
        <f>IF(NOT(AN112),0,IF(AO112,VALUE(AM112),IF(NOT(AH112),0,VALUE(LEFT(AM112,SEARCH("'",AM112,1)-1)))))</f>
        <v>0</v>
      </c>
      <c r="AQ112" s="195" t="str">
        <f>IF(NOT(AN112),"",IF(AO112,"",IF(NOT(AH112),AM112,RIGHT(AM112,LEN(AM112)-SEARCH("'",AM112,1)))))</f>
        <v/>
      </c>
      <c r="AR112" s="195" t="b">
        <f>(LEN(AQ112)&gt;0)</f>
        <v>0</v>
      </c>
      <c r="AS112" s="195" t="b">
        <f>NOT(AI112)</f>
        <v>1</v>
      </c>
      <c r="AT112" s="195" t="b">
        <f>ISNUMBER(SEARCH(".",AQ112,1))</f>
        <v>0</v>
      </c>
      <c r="AU112" s="196">
        <f>IF(AR112,IF(AI112,IF(AT112,VALUE(SUBSTITUTE(AQ112, """", "")),VALUE(SUBSTITUTE(AQ112, """", "."))),VALUE(AQ112)),0)</f>
        <v>0</v>
      </c>
      <c r="AV112" s="196">
        <f>AL112*3600+AP112*60+AU112</f>
        <v>0</v>
      </c>
      <c r="AW112" s="196">
        <f>AV112/3600</f>
        <v>0</v>
      </c>
      <c r="AX112" s="196">
        <f>_xlfn.FLOOR.MATH((AW112))</f>
        <v>0</v>
      </c>
      <c r="AY112" s="196">
        <f>(AV112-3600*AX112)/60</f>
        <v>0</v>
      </c>
      <c r="AZ112" s="196">
        <f>_xlfn.FLOOR.MATH((AY112))</f>
        <v>0</v>
      </c>
      <c r="BA112" s="196">
        <f>AV112-3600*AX112-60*AZ112</f>
        <v>0</v>
      </c>
      <c r="BB112" s="196">
        <f>AW112*IF(AD112&lt;0,-1,1)</f>
        <v>0</v>
      </c>
      <c r="BC112" s="197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18" customFormat="1" ht="17.25" customHeight="1" thickTop="1" x14ac:dyDescent="0.25">
      <c r="C113" s="209"/>
      <c r="AA113"/>
      <c r="AB113" s="208"/>
      <c r="AC113"/>
      <c r="AD113"/>
      <c r="AE113"/>
      <c r="AF113"/>
      <c r="AG113" s="211" t="s">
        <v>95</v>
      </c>
      <c r="AH113" s="211" t="s">
        <v>96</v>
      </c>
      <c r="AI113" s="211" t="s">
        <v>97</v>
      </c>
      <c r="AJ113" s="211" t="s">
        <v>98</v>
      </c>
      <c r="AK113" s="211" t="s">
        <v>99</v>
      </c>
      <c r="AL113" s="211" t="s">
        <v>100</v>
      </c>
      <c r="AM113" s="211" t="s">
        <v>77</v>
      </c>
      <c r="AN113" s="211" t="s">
        <v>104</v>
      </c>
      <c r="AO113" s="211" t="s">
        <v>103</v>
      </c>
      <c r="AP113" s="211" t="s">
        <v>101</v>
      </c>
      <c r="AQ113" s="211" t="s">
        <v>102</v>
      </c>
      <c r="AR113" s="211" t="s">
        <v>104</v>
      </c>
      <c r="AS113" s="211" t="s">
        <v>103</v>
      </c>
      <c r="AT113" s="211" t="s">
        <v>105</v>
      </c>
      <c r="AU113" s="211" t="s">
        <v>87</v>
      </c>
      <c r="AV113" s="211" t="s">
        <v>92</v>
      </c>
      <c r="AW113" s="211" t="s">
        <v>118</v>
      </c>
      <c r="AX113" s="211" t="s">
        <v>122</v>
      </c>
      <c r="AY113" s="211" t="s">
        <v>106</v>
      </c>
      <c r="AZ113" s="211" t="s">
        <v>123</v>
      </c>
      <c r="BA113" s="211" t="s">
        <v>87</v>
      </c>
      <c r="BB113" s="211" t="s">
        <v>243</v>
      </c>
      <c r="BC113" s="211" t="s">
        <v>124</v>
      </c>
    </row>
    <row r="114" spans="1:55" s="118" customFormat="1" ht="17.25" customHeight="1" x14ac:dyDescent="0.25">
      <c r="D114" s="945" t="s">
        <v>396</v>
      </c>
      <c r="E114" s="946"/>
      <c r="F114" s="946"/>
      <c r="G114" s="946"/>
      <c r="H114" s="955">
        <f>F65+H110</f>
        <v>29.01739408128676</v>
      </c>
      <c r="I114" s="955"/>
      <c r="J114" s="955"/>
      <c r="K114" s="955"/>
      <c r="L114" s="955"/>
      <c r="N114" s="941" t="s">
        <v>400</v>
      </c>
      <c r="O114" s="941"/>
      <c r="P114" s="941"/>
      <c r="Q114" s="941"/>
      <c r="R114" s="941"/>
      <c r="S114" s="941"/>
      <c r="T114" s="941"/>
      <c r="U114" s="941"/>
      <c r="V114" s="941"/>
      <c r="W114" s="941"/>
      <c r="X114" s="209"/>
      <c r="Y114" s="209"/>
      <c r="AA114"/>
      <c r="AB114" s="208"/>
      <c r="AC114"/>
      <c r="AD114"/>
      <c r="AE114"/>
      <c r="AF114"/>
    </row>
    <row r="115" spans="1:55" s="118" customFormat="1" ht="17.25" customHeight="1" thickBot="1" x14ac:dyDescent="0.3">
      <c r="C115" s="209"/>
      <c r="D115" s="947"/>
      <c r="E115" s="948"/>
      <c r="F115" s="948"/>
      <c r="G115" s="948"/>
      <c r="H115" s="955"/>
      <c r="I115" s="955"/>
      <c r="J115" s="955"/>
      <c r="K115" s="955"/>
      <c r="L115" s="955"/>
      <c r="M115" s="158" t="s">
        <v>259</v>
      </c>
      <c r="N115" s="729" t="s">
        <v>185</v>
      </c>
      <c r="O115" s="729"/>
      <c r="P115" s="729">
        <f>F65</f>
        <v>28.81798955310256</v>
      </c>
      <c r="Q115" s="729"/>
      <c r="R115" s="729"/>
      <c r="S115" s="194" t="s">
        <v>100</v>
      </c>
      <c r="T115" s="729">
        <f>P115*$D$123</f>
        <v>0.50296880150696899</v>
      </c>
      <c r="U115" s="729"/>
      <c r="V115" s="729"/>
      <c r="W115" s="194" t="s">
        <v>136</v>
      </c>
      <c r="X115" s="706"/>
      <c r="Y115" s="706"/>
      <c r="AA115"/>
      <c r="AB115" s="208"/>
      <c r="AC115"/>
      <c r="AD115"/>
      <c r="AE115"/>
      <c r="AF115"/>
      <c r="AG115" s="195" t="e">
        <f>NOT(OR(AD115,AE115,AF115))</f>
        <v>#VALUE!</v>
      </c>
      <c r="AH115" s="195" t="e">
        <f>OR(AG115,AD115)</f>
        <v>#VALUE!</v>
      </c>
      <c r="AI115" s="196" t="e">
        <f>IF(AG115,VALUE(AA115),IF(AD115,LEFT(AA115,SEARCH("°",AA115,1)-1),0))</f>
        <v>#VALUE!</v>
      </c>
      <c r="AJ115" s="195" t="e">
        <f>IF(AG115,"",IF(AD115,RIGHT(AA115,LEN(AA115)-SEARCH("°",AA115,1)),AA115))</f>
        <v>#VALUE!</v>
      </c>
      <c r="AK115" s="195" t="e">
        <f>(LEN(AJ115)&gt;0)</f>
        <v>#VALUE!</v>
      </c>
      <c r="AL115" s="195" t="e">
        <f>NOT(OR(AE115,AF115))</f>
        <v>#VALUE!</v>
      </c>
      <c r="AM115" s="196" t="e">
        <f>IF(NOT(AK115),0,IF(AL115,VALUE(AJ115),IF(NOT(AE115),0,VALUE(LEFT(AJ115,SEARCH("'",AJ115,1)-1)))))</f>
        <v>#VALUE!</v>
      </c>
      <c r="AN115" s="195" t="e">
        <f>IF(NOT(AK115),"",IF(AL115,"",IF(NOT(AE115),AJ115,RIGHT(AJ115,LEN(AJ115)-SEARCH("'",AJ115,1)))))</f>
        <v>#VALUE!</v>
      </c>
      <c r="AO115" s="195" t="e">
        <f>(LEN(AN115)&gt;0)</f>
        <v>#VALUE!</v>
      </c>
      <c r="AP115" s="195" t="b">
        <f>NOT(AF115)</f>
        <v>1</v>
      </c>
      <c r="AQ115" s="195" t="b">
        <f>ISNUMBER(SEARCH(".",AN115,1))</f>
        <v>0</v>
      </c>
      <c r="AR115" s="196" t="e">
        <f>IF(AO115,IF(AF115,IF(AQ115,VALUE(SUBSTITUTE(AN115, """", "")),VALUE(SUBSTITUTE(AN115, """", "."))),VALUE(AN115)),0)</f>
        <v>#VALUE!</v>
      </c>
      <c r="AS115" s="196" t="e">
        <f>AI115*3600+AM115*60+AR115</f>
        <v>#VALUE!</v>
      </c>
      <c r="AT115" s="196" t="e">
        <f>AS115/3600</f>
        <v>#VALUE!</v>
      </c>
      <c r="AU115" s="196" t="e">
        <f>_xlfn.FLOOR.MATH((AT115))</f>
        <v>#VALUE!</v>
      </c>
      <c r="AV115" s="196" t="e">
        <f>(AS115-3600*AU115)/60</f>
        <v>#VALUE!</v>
      </c>
      <c r="AW115" s="196" t="e">
        <f>_xlfn.FLOOR.MATH((AV115))</f>
        <v>#VALUE!</v>
      </c>
      <c r="AX115" s="196" t="e">
        <f>AS115-3600*AU115-60*AW115</f>
        <v>#VALUE!</v>
      </c>
      <c r="AY115" s="197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18" customFormat="1" ht="17.25" customHeight="1" thickTop="1" thickBot="1" x14ac:dyDescent="0.3">
      <c r="C116" s="209"/>
      <c r="D116" s="949"/>
      <c r="E116" s="950"/>
      <c r="F116" s="950"/>
      <c r="G116" s="950"/>
      <c r="H116" s="956" t="str" cm="1">
        <f t="array" ref="H116">angleDecimal2Txt(H114)</f>
        <v>+29°01.04 (+29.0173) [+29°01'02.61]</v>
      </c>
      <c r="I116" s="956"/>
      <c r="J116" s="956"/>
      <c r="K116" s="956"/>
      <c r="L116" s="956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AA116"/>
      <c r="AB116" s="208"/>
      <c r="AC116"/>
      <c r="AD116"/>
      <c r="AE116"/>
      <c r="AF116"/>
      <c r="AL116" s="193"/>
    </row>
    <row r="117" spans="1:55" s="118" customFormat="1" ht="17.25" customHeight="1" thickTop="1" x14ac:dyDescent="0.25">
      <c r="C117" s="209"/>
      <c r="S117" s="209"/>
      <c r="T117" s="209"/>
      <c r="U117" s="209"/>
      <c r="V117" s="209"/>
      <c r="W117" s="209"/>
      <c r="X117" s="209"/>
      <c r="AA117"/>
      <c r="AB117" s="208"/>
      <c r="AC117" t="s">
        <v>459</v>
      </c>
      <c r="AD117"/>
      <c r="AE117"/>
      <c r="AF117"/>
      <c r="AL117" s="193"/>
    </row>
    <row r="118" spans="1:55" s="118" customFormat="1" ht="17.25" customHeight="1" x14ac:dyDescent="0.25">
      <c r="D118" s="945" t="s">
        <v>397</v>
      </c>
      <c r="E118" s="946"/>
      <c r="F118" s="946"/>
      <c r="G118" s="946"/>
      <c r="H118" s="951">
        <f>IF(AD118&lt;0,AD118+360,AD118)</f>
        <v>1.1121698407406929E-2</v>
      </c>
      <c r="I118" s="951"/>
      <c r="J118" s="951"/>
      <c r="K118" s="951"/>
      <c r="L118" s="951"/>
      <c r="N118" s="957" t="s">
        <v>399</v>
      </c>
      <c r="O118" s="941"/>
      <c r="P118" s="941"/>
      <c r="Q118" s="941"/>
      <c r="R118" s="941"/>
      <c r="S118" s="941"/>
      <c r="T118" s="941"/>
      <c r="U118" s="941"/>
      <c r="V118" s="941"/>
      <c r="W118" s="941"/>
      <c r="X118" s="209"/>
      <c r="AA118"/>
      <c r="AB118" s="208"/>
      <c r="AC118" s="150" t="s">
        <v>449</v>
      </c>
      <c r="AD118" s="118">
        <f>(-H106*SIN(T119)/COS(T120))/60</f>
        <v>1.1121698407406929E-2</v>
      </c>
      <c r="AE118"/>
      <c r="AF118"/>
      <c r="AL118" s="193"/>
    </row>
    <row r="119" spans="1:55" s="118" customFormat="1" ht="17.25" customHeight="1" thickBot="1" x14ac:dyDescent="0.3">
      <c r="D119" s="947"/>
      <c r="E119" s="948"/>
      <c r="F119" s="948"/>
      <c r="G119" s="948"/>
      <c r="H119" s="951"/>
      <c r="I119" s="951"/>
      <c r="J119" s="951"/>
      <c r="K119" s="951"/>
      <c r="L119" s="951"/>
      <c r="M119" s="158" t="s">
        <v>259</v>
      </c>
      <c r="N119" s="729" t="s">
        <v>53</v>
      </c>
      <c r="O119" s="729"/>
      <c r="P119" s="729">
        <f>F61</f>
        <v>251.13383339999996</v>
      </c>
      <c r="Q119" s="729"/>
      <c r="R119" s="729"/>
      <c r="S119" s="194" t="s">
        <v>100</v>
      </c>
      <c r="T119" s="729">
        <f>P119*$D$123</f>
        <v>4.3831122559849049</v>
      </c>
      <c r="U119" s="729"/>
      <c r="V119" s="729"/>
      <c r="W119" s="194" t="s">
        <v>136</v>
      </c>
      <c r="X119" s="209"/>
      <c r="AA119"/>
      <c r="AB119" s="208"/>
      <c r="AC119"/>
      <c r="AD119"/>
      <c r="AE119"/>
      <c r="AF119"/>
      <c r="AL119" s="193"/>
    </row>
    <row r="120" spans="1:55" s="118" customFormat="1" ht="17.25" customHeight="1" thickTop="1" thickBot="1" x14ac:dyDescent="0.3">
      <c r="D120" s="949"/>
      <c r="E120" s="950"/>
      <c r="F120" s="950"/>
      <c r="G120" s="950"/>
      <c r="H120" s="952" t="str" cm="1">
        <f t="array" ref="H120">angleDecimal2Txt(H118)</f>
        <v>+00°00.66 (+00.0111) [+00°00'40.03]</v>
      </c>
      <c r="I120" s="952"/>
      <c r="J120" s="952"/>
      <c r="K120" s="952"/>
      <c r="L120" s="952"/>
      <c r="N120" s="729" t="s">
        <v>51</v>
      </c>
      <c r="O120" s="729"/>
      <c r="P120" s="729">
        <f>H114</f>
        <v>29.01739408128676</v>
      </c>
      <c r="Q120" s="729"/>
      <c r="R120" s="729"/>
      <c r="S120" s="194" t="s">
        <v>100</v>
      </c>
      <c r="T120" s="729">
        <f>P120*$D$123</f>
        <v>0.50644906706716908</v>
      </c>
      <c r="U120" s="729"/>
      <c r="V120" s="729"/>
      <c r="W120" s="194" t="s">
        <v>136</v>
      </c>
      <c r="AA120"/>
      <c r="AB120" s="208"/>
      <c r="AC120"/>
      <c r="AD120"/>
      <c r="AE120"/>
      <c r="AF120"/>
      <c r="AG120" s="195" t="b">
        <f>ISNUMBER(SEARCH("°",AF120,1))</f>
        <v>0</v>
      </c>
      <c r="AH120" s="195" t="b">
        <f>ISNUMBER(SEARCH("'",AF120,1))</f>
        <v>0</v>
      </c>
      <c r="AI120" s="195" t="b">
        <f>ISNUMBER(SEARCH("""",AF120,1))</f>
        <v>0</v>
      </c>
      <c r="AJ120" s="195" t="b">
        <f>NOT(OR(AG120,AH120,AI120))</f>
        <v>1</v>
      </c>
      <c r="AK120" s="195" t="b">
        <f>OR(AJ120,AG120)</f>
        <v>1</v>
      </c>
      <c r="AL120" s="196">
        <f>IF(AJ120,VALUE(AF120),IF(AG120,LEFT(AF120,SEARCH("°",AF120,1)-1),0))</f>
        <v>0</v>
      </c>
      <c r="AM120" s="195" t="str">
        <f>IF(AJ120,"",IF(AG120,RIGHT(AF120,LEN(AF120)-SEARCH("°",AF120,1)),AF120))</f>
        <v/>
      </c>
      <c r="AN120" s="195" t="b">
        <f>(LEN(AM120)&gt;0)</f>
        <v>0</v>
      </c>
      <c r="AO120" s="195" t="b">
        <f>NOT(OR(AH120,AI120))</f>
        <v>1</v>
      </c>
      <c r="AP120" s="196">
        <f>IF(NOT(AN120),0,IF(AO120,VALUE(AM120),IF(NOT(AH120),0,VALUE(LEFT(AM120,SEARCH("'",AM120,1)-1)))))</f>
        <v>0</v>
      </c>
      <c r="AQ120" s="195" t="str">
        <f>IF(NOT(AN120),"",IF(AO120,"",IF(NOT(AH120),AM120,RIGHT(AM120,LEN(AM120)-SEARCH("'",AM120,1)))))</f>
        <v/>
      </c>
      <c r="AR120" s="195" t="b">
        <f>(LEN(AQ120)&gt;0)</f>
        <v>0</v>
      </c>
      <c r="AS120" s="195" t="b">
        <f>NOT(AI120)</f>
        <v>1</v>
      </c>
      <c r="AT120" s="195" t="b">
        <f>ISNUMBER(SEARCH(".",AQ120,1))</f>
        <v>0</v>
      </c>
      <c r="AU120" s="196">
        <f>IF(AR120,IF(AI120,IF(AT120,VALUE(SUBSTITUTE(AQ120, """", "")),VALUE(SUBSTITUTE(AQ120, """", "."))),VALUE(AQ120)),0)</f>
        <v>0</v>
      </c>
      <c r="AV120" s="196">
        <f>AL120*3600+AP120*60+AU120</f>
        <v>0</v>
      </c>
      <c r="AW120" s="196">
        <f>AV120/3600</f>
        <v>0</v>
      </c>
      <c r="AX120" s="196">
        <f>_xlfn.FLOOR.MATH((AW120))</f>
        <v>0</v>
      </c>
      <c r="AY120" s="196">
        <f>(AV120-3600*AX120)/60</f>
        <v>0</v>
      </c>
      <c r="AZ120" s="196">
        <f>_xlfn.FLOOR.MATH((AY120))</f>
        <v>0</v>
      </c>
      <c r="BA120" s="196">
        <f>AV120-3600*AX120-60*AZ120</f>
        <v>0</v>
      </c>
      <c r="BB120" s="196">
        <f>AW120*IF(AD120&lt;0,-1,1)</f>
        <v>0</v>
      </c>
      <c r="BC120" s="197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18" customFormat="1" ht="17.25" customHeight="1" thickTop="1" thickBot="1" x14ac:dyDescent="0.3"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  <c r="AA121"/>
      <c r="AB121" s="208"/>
      <c r="AC121"/>
      <c r="AD121"/>
      <c r="AE121"/>
      <c r="AF121"/>
      <c r="AL121" s="193"/>
    </row>
    <row r="122" spans="1:55" s="118" customFormat="1" ht="17.25" customHeight="1" x14ac:dyDescent="0.25">
      <c r="A122" s="942" t="s">
        <v>186</v>
      </c>
      <c r="B122" s="943"/>
      <c r="C122" s="943"/>
      <c r="D122" s="944"/>
      <c r="E122" s="209"/>
      <c r="F122" s="171"/>
      <c r="G122" s="209"/>
      <c r="H122" s="209"/>
      <c r="I122" s="209"/>
      <c r="J122" s="209"/>
      <c r="K122" s="209"/>
      <c r="L122" s="209"/>
      <c r="M122" s="706"/>
      <c r="N122" s="706"/>
      <c r="O122" s="209"/>
      <c r="P122" s="706"/>
      <c r="Q122" s="706"/>
      <c r="R122" s="706"/>
      <c r="S122" s="706"/>
      <c r="T122" s="706"/>
      <c r="U122" s="706"/>
      <c r="V122" s="209"/>
      <c r="W122" s="706"/>
      <c r="X122" s="706"/>
      <c r="Y122" s="706"/>
      <c r="Z122" s="209"/>
      <c r="AA122"/>
      <c r="AB122" s="208"/>
      <c r="AC122"/>
      <c r="AD122"/>
      <c r="AE122"/>
      <c r="AF122"/>
      <c r="AL122" s="193"/>
    </row>
    <row r="123" spans="1:55" s="118" customFormat="1" ht="17.25" customHeight="1" x14ac:dyDescent="0.25">
      <c r="A123" s="198" t="s">
        <v>79</v>
      </c>
      <c r="B123" s="199" t="s">
        <v>166</v>
      </c>
      <c r="C123" s="200" t="s">
        <v>167</v>
      </c>
      <c r="D123" s="191">
        <f>PI()/180</f>
        <v>1.7453292519943295E-2</v>
      </c>
      <c r="E123" s="171"/>
      <c r="F123" s="171"/>
      <c r="G123" s="209"/>
      <c r="H123" s="706"/>
      <c r="I123" s="706"/>
      <c r="J123" s="209"/>
      <c r="K123" s="706"/>
      <c r="L123" s="706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  <c r="AA123"/>
      <c r="AB123" s="208"/>
      <c r="AC123"/>
      <c r="AD123"/>
      <c r="AE123"/>
      <c r="AF123"/>
      <c r="AL123" s="193"/>
    </row>
    <row r="124" spans="1:55" s="118" customFormat="1" ht="17.25" customHeight="1" thickBot="1" x14ac:dyDescent="0.3">
      <c r="A124" s="201" t="s">
        <v>168</v>
      </c>
      <c r="B124" s="202" t="s">
        <v>166</v>
      </c>
      <c r="C124" s="203" t="s">
        <v>79</v>
      </c>
      <c r="D124" s="192">
        <f>180/PI()</f>
        <v>57.295779513082323</v>
      </c>
      <c r="H124" s="706"/>
      <c r="I124" s="706"/>
      <c r="J124" s="209"/>
      <c r="K124" s="706"/>
      <c r="L124" s="706"/>
      <c r="M124" s="209"/>
      <c r="N124" s="706"/>
      <c r="O124" s="706"/>
      <c r="P124" s="706"/>
      <c r="Q124" s="706"/>
      <c r="R124" s="706"/>
      <c r="S124" s="706"/>
      <c r="T124" s="706"/>
      <c r="U124" s="209"/>
      <c r="V124" s="209"/>
      <c r="W124" s="209"/>
      <c r="X124" s="209"/>
      <c r="Y124" s="209"/>
      <c r="Z124" s="209"/>
      <c r="AA124"/>
      <c r="AB124" s="208"/>
      <c r="AC124"/>
      <c r="AD124"/>
      <c r="AE124"/>
      <c r="AF124"/>
      <c r="AL124" s="193"/>
    </row>
    <row r="125" spans="1:55" s="118" customFormat="1" ht="17.25" customHeight="1" x14ac:dyDescent="0.25">
      <c r="C125" s="171"/>
      <c r="H125" s="706"/>
      <c r="I125" s="706"/>
      <c r="J125" s="706"/>
      <c r="K125" s="706"/>
      <c r="L125" s="706"/>
      <c r="M125" s="209"/>
      <c r="N125" s="209"/>
      <c r="O125" s="209"/>
      <c r="P125" s="209"/>
      <c r="Q125" s="209"/>
      <c r="R125" s="209"/>
      <c r="S125" s="706"/>
      <c r="T125" s="706"/>
      <c r="U125" s="706"/>
      <c r="V125" s="706"/>
      <c r="W125" s="706"/>
      <c r="X125" s="706"/>
      <c r="Y125" s="209"/>
      <c r="Z125" s="209"/>
      <c r="AA125"/>
      <c r="AB125" s="208"/>
      <c r="AC125"/>
      <c r="AD125"/>
      <c r="AE125"/>
      <c r="AF125"/>
      <c r="AL125" s="193"/>
    </row>
    <row r="126" spans="1:55" s="118" customFormat="1" ht="17.25" customHeight="1" x14ac:dyDescent="0.25">
      <c r="C126" s="171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  <c r="AA126"/>
      <c r="AB126" s="208"/>
      <c r="AC126"/>
      <c r="AD126"/>
      <c r="AE126"/>
      <c r="AF126"/>
      <c r="AL126" s="193"/>
    </row>
    <row r="127" spans="1:55" s="118" customFormat="1" ht="17.25" customHeight="1" x14ac:dyDescent="0.25">
      <c r="C127" s="171"/>
      <c r="D127" s="171"/>
      <c r="E127" s="171"/>
      <c r="F127" s="171"/>
      <c r="G127" s="209"/>
      <c r="H127" s="209"/>
      <c r="I127" s="209"/>
      <c r="J127" s="209"/>
      <c r="K127" s="209"/>
      <c r="V127" s="209"/>
      <c r="W127" s="209"/>
      <c r="X127" s="209"/>
      <c r="Y127" s="209"/>
      <c r="Z127" s="209"/>
      <c r="AA127"/>
      <c r="AB127" s="208"/>
      <c r="AC127"/>
      <c r="AD127"/>
      <c r="AE127"/>
      <c r="AF127"/>
      <c r="AL127" s="193"/>
    </row>
    <row r="128" spans="1:55" s="118" customFormat="1" ht="17.25" customHeight="1" x14ac:dyDescent="0.25">
      <c r="C128" s="171"/>
      <c r="D128" s="171"/>
      <c r="E128" s="171"/>
      <c r="F128" s="171"/>
      <c r="G128" s="209"/>
      <c r="H128" s="209"/>
      <c r="I128" s="209"/>
      <c r="J128" s="209"/>
      <c r="K128" s="209"/>
      <c r="V128" s="209"/>
      <c r="W128" s="209"/>
      <c r="X128" s="209"/>
      <c r="Y128" s="209"/>
      <c r="Z128" s="209"/>
      <c r="AA128"/>
      <c r="AB128" s="208"/>
      <c r="AC128"/>
      <c r="AD128"/>
      <c r="AE128"/>
      <c r="AF128"/>
      <c r="AL128" s="193"/>
    </row>
    <row r="129" spans="3:65" s="118" customFormat="1" ht="17.25" customHeight="1" x14ac:dyDescent="0.25">
      <c r="C129" s="171"/>
      <c r="D129" s="171"/>
      <c r="E129" s="171"/>
      <c r="F129" s="171"/>
      <c r="AA129"/>
      <c r="AB129" s="208"/>
      <c r="AC129"/>
      <c r="AD129"/>
      <c r="AE129"/>
      <c r="AF129"/>
      <c r="AL129" s="193"/>
    </row>
    <row r="130" spans="3:65" s="118" customFormat="1" ht="17.25" customHeight="1" x14ac:dyDescent="0.25">
      <c r="C130" s="171"/>
      <c r="D130" s="171"/>
      <c r="E130" s="171"/>
      <c r="AA130"/>
      <c r="AB130" s="208"/>
      <c r="AC130"/>
      <c r="AD130"/>
      <c r="AE130"/>
      <c r="AF130"/>
      <c r="AL130" s="193"/>
    </row>
    <row r="131" spans="3:65" s="118" customFormat="1" ht="17.25" customHeight="1" x14ac:dyDescent="0.25">
      <c r="C131" s="171"/>
      <c r="D131" s="171"/>
      <c r="E131" s="171"/>
      <c r="AA131"/>
      <c r="AB131" s="208"/>
      <c r="AC131"/>
      <c r="AD131"/>
      <c r="AE131"/>
      <c r="AF131"/>
      <c r="AL131" s="193"/>
    </row>
    <row r="132" spans="3:65" s="118" customFormat="1" ht="17.25" customHeight="1" x14ac:dyDescent="0.25">
      <c r="C132" s="171"/>
      <c r="D132" s="171"/>
      <c r="E132" s="171"/>
      <c r="AA132"/>
      <c r="AB132" s="208"/>
      <c r="AC132"/>
      <c r="AD132"/>
      <c r="AE132"/>
      <c r="AF132"/>
      <c r="AL132" s="193"/>
    </row>
    <row r="133" spans="3:65" s="118" customFormat="1" ht="17.25" customHeight="1" x14ac:dyDescent="0.25">
      <c r="C133" s="171"/>
      <c r="D133" s="171"/>
      <c r="E133" s="171"/>
      <c r="F133" s="171"/>
      <c r="AA133"/>
      <c r="AB133" s="208"/>
      <c r="AC133"/>
      <c r="AD133"/>
      <c r="AE133"/>
      <c r="AF133"/>
      <c r="AL133" s="193"/>
    </row>
    <row r="134" spans="3:65" s="118" customFormat="1" ht="17.25" customHeight="1" x14ac:dyDescent="0.25">
      <c r="C134" s="171"/>
      <c r="D134" s="171"/>
      <c r="E134" s="171"/>
      <c r="F134" s="171"/>
      <c r="AA134"/>
      <c r="AB134" s="208"/>
      <c r="AC134"/>
      <c r="AD134"/>
      <c r="AE134"/>
      <c r="AF134"/>
      <c r="AG134" s="134"/>
      <c r="AH134" s="134"/>
      <c r="AI134" s="134"/>
      <c r="AJ134" s="134"/>
      <c r="AK134" s="134"/>
      <c r="AL134" s="190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</row>
    <row r="135" spans="3:65" s="118" customFormat="1" ht="17.25" customHeight="1" x14ac:dyDescent="0.25">
      <c r="C135" s="171"/>
      <c r="D135" s="171"/>
      <c r="E135" s="171"/>
      <c r="F135" s="171"/>
      <c r="AA135"/>
      <c r="AB135" s="208"/>
      <c r="AC135"/>
      <c r="AD135"/>
      <c r="AE135"/>
      <c r="AF135"/>
      <c r="AG135" s="134"/>
      <c r="AH135" s="134"/>
      <c r="AI135" s="134"/>
      <c r="AJ135" s="134"/>
      <c r="AK135" s="134"/>
      <c r="AL135" s="190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</row>
    <row r="136" spans="3:65" s="118" customFormat="1" ht="17.25" customHeight="1" x14ac:dyDescent="0.25">
      <c r="C136" s="171"/>
      <c r="D136" s="171"/>
      <c r="E136" s="171"/>
      <c r="F136" s="171"/>
      <c r="AA136"/>
      <c r="AB136" s="208"/>
      <c r="AC136"/>
      <c r="AD136"/>
      <c r="AE136"/>
      <c r="AF136"/>
      <c r="AG136" s="134"/>
      <c r="AH136" s="134"/>
      <c r="AI136" s="134"/>
      <c r="AJ136" s="134"/>
      <c r="AK136" s="134"/>
      <c r="AL136" s="190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</row>
    <row r="137" spans="3:65" s="118" customFormat="1" ht="17.25" customHeight="1" x14ac:dyDescent="0.25">
      <c r="C137" s="171"/>
      <c r="D137" s="171"/>
      <c r="E137" s="171"/>
      <c r="F137" s="171"/>
      <c r="AA137"/>
      <c r="AB137" s="208"/>
      <c r="AC137"/>
      <c r="AD137"/>
      <c r="AE137"/>
      <c r="AF137"/>
      <c r="AG137" s="134"/>
      <c r="AH137" s="134"/>
      <c r="AI137" s="134"/>
      <c r="AJ137" s="134"/>
      <c r="AK137" s="134"/>
      <c r="AL137" s="190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</row>
    <row r="138" spans="3:65" s="118" customFormat="1" ht="17.25" customHeight="1" x14ac:dyDescent="0.25">
      <c r="C138" s="171"/>
      <c r="D138" s="171"/>
      <c r="E138" s="171"/>
      <c r="F138" s="171"/>
      <c r="AA138"/>
      <c r="AB138" s="208"/>
      <c r="AC138"/>
      <c r="AD138"/>
      <c r="AE138"/>
      <c r="AF138"/>
      <c r="AG138" s="134"/>
      <c r="AH138" s="134"/>
      <c r="AI138" s="134"/>
      <c r="AJ138" s="134"/>
      <c r="AK138" s="134"/>
      <c r="AL138" s="190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</row>
    <row r="139" spans="3:65" s="118" customFormat="1" ht="17.25" customHeight="1" x14ac:dyDescent="0.25">
      <c r="C139" s="171"/>
      <c r="D139" s="171"/>
      <c r="E139" s="171"/>
      <c r="F139" s="171"/>
      <c r="AA139"/>
      <c r="AB139" s="208"/>
      <c r="AC139"/>
      <c r="AD139"/>
      <c r="AE139"/>
      <c r="AF139"/>
      <c r="AG139" s="134"/>
      <c r="AH139" s="134"/>
      <c r="AI139" s="134"/>
      <c r="AJ139" s="134"/>
      <c r="AK139" s="134"/>
      <c r="AL139" s="190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</row>
    <row r="140" spans="3:65" s="118" customFormat="1" ht="17.25" customHeight="1" x14ac:dyDescent="0.25">
      <c r="C140" s="171"/>
      <c r="D140" s="171"/>
      <c r="E140" s="171"/>
      <c r="F140" s="171"/>
      <c r="AA140"/>
      <c r="AB140" s="208"/>
      <c r="AC140"/>
      <c r="AD140"/>
      <c r="AE140"/>
      <c r="AF140"/>
      <c r="AG140" s="134"/>
      <c r="AH140" s="134"/>
      <c r="AI140" s="134"/>
      <c r="AJ140" s="134"/>
      <c r="AK140" s="134"/>
      <c r="AL140" s="190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</row>
    <row r="141" spans="3:65" s="118" customFormat="1" ht="17.25" customHeight="1" x14ac:dyDescent="0.25">
      <c r="C141" s="171"/>
      <c r="D141" s="171"/>
      <c r="E141" s="171"/>
      <c r="F141" s="171"/>
      <c r="AA141"/>
      <c r="AB141" s="208"/>
      <c r="AC141"/>
      <c r="AD141"/>
      <c r="AE141"/>
      <c r="AF141"/>
      <c r="AG141" s="134"/>
      <c r="AH141" s="134"/>
      <c r="AI141" s="134"/>
      <c r="AJ141" s="134"/>
      <c r="AK141" s="134"/>
      <c r="AL141" s="190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</row>
    <row r="142" spans="3:65" s="118" customFormat="1" ht="17.25" customHeight="1" x14ac:dyDescent="0.25">
      <c r="C142" s="171"/>
      <c r="D142" s="171"/>
      <c r="E142" s="171"/>
      <c r="F142" s="171"/>
      <c r="AA142"/>
      <c r="AB142" s="208"/>
      <c r="AC142"/>
      <c r="AD142"/>
      <c r="AE142"/>
      <c r="AF142"/>
      <c r="AG142" s="134"/>
      <c r="AH142" s="134"/>
      <c r="AI142" s="134"/>
      <c r="AJ142" s="134"/>
      <c r="AK142" s="134"/>
      <c r="AL142" s="190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</row>
    <row r="143" spans="3:65" s="118" customFormat="1" ht="17.25" customHeight="1" x14ac:dyDescent="0.25">
      <c r="C143" s="171"/>
      <c r="D143" s="171"/>
      <c r="E143" s="171"/>
      <c r="F143" s="171"/>
      <c r="AA143"/>
      <c r="AB143" s="208"/>
      <c r="AC143"/>
      <c r="AD143"/>
      <c r="AE143"/>
      <c r="AF143"/>
      <c r="AG143" s="134"/>
      <c r="AH143" s="134"/>
      <c r="AI143" s="134"/>
      <c r="AJ143" s="134"/>
      <c r="AK143" s="134"/>
      <c r="AL143" s="190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</row>
    <row r="144" spans="3:65" s="118" customFormat="1" ht="17.25" customHeight="1" x14ac:dyDescent="0.25">
      <c r="C144" s="171"/>
      <c r="D144" s="171"/>
      <c r="E144" s="171"/>
      <c r="F144" s="171"/>
      <c r="AA144"/>
      <c r="AB144" s="208"/>
      <c r="AC144"/>
      <c r="AD144"/>
      <c r="AE144"/>
      <c r="AF144"/>
      <c r="AG144" s="134"/>
      <c r="AH144" s="134"/>
      <c r="AI144" s="134"/>
      <c r="AJ144" s="134"/>
      <c r="AK144" s="134"/>
      <c r="AL144" s="190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</row>
    <row r="145" spans="3:65" s="118" customFormat="1" ht="17.25" customHeight="1" x14ac:dyDescent="0.25">
      <c r="C145" s="171"/>
      <c r="D145" s="171"/>
      <c r="E145" s="171"/>
      <c r="F145" s="171"/>
      <c r="AA145"/>
      <c r="AB145" s="208"/>
      <c r="AC145"/>
      <c r="AD145"/>
      <c r="AE145"/>
      <c r="AF145"/>
      <c r="AG145" s="134"/>
      <c r="AH145" s="134"/>
      <c r="AI145" s="134"/>
      <c r="AJ145" s="134"/>
      <c r="AK145" s="134"/>
      <c r="AL145" s="190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</row>
    <row r="146" spans="3:65" s="118" customFormat="1" ht="17.25" customHeight="1" x14ac:dyDescent="0.25">
      <c r="C146" s="171"/>
      <c r="D146" s="171"/>
      <c r="E146" s="171"/>
      <c r="F146" s="171"/>
      <c r="AA146"/>
      <c r="AB146" s="208"/>
      <c r="AC146"/>
      <c r="AD146"/>
      <c r="AE146"/>
      <c r="AF146"/>
      <c r="AG146" s="134"/>
      <c r="AH146" s="134"/>
      <c r="AI146" s="134"/>
      <c r="AJ146" s="134"/>
      <c r="AK146" s="134"/>
      <c r="AL146" s="190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</row>
    <row r="147" spans="3:65" s="118" customFormat="1" ht="17.25" customHeight="1" x14ac:dyDescent="0.25">
      <c r="C147" s="171"/>
      <c r="D147" s="171"/>
      <c r="E147" s="171"/>
      <c r="F147" s="171"/>
      <c r="AA147"/>
      <c r="AB147" s="208"/>
      <c r="AC147"/>
      <c r="AD147"/>
      <c r="AE147"/>
      <c r="AF147"/>
      <c r="AG147" s="134"/>
      <c r="AH147" s="134"/>
      <c r="AI147" s="134"/>
      <c r="AJ147" s="134"/>
      <c r="AK147" s="134"/>
      <c r="AL147" s="190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</row>
    <row r="148" spans="3:65" s="118" customFormat="1" ht="17.25" customHeight="1" x14ac:dyDescent="0.25">
      <c r="C148" s="171"/>
      <c r="D148" s="171"/>
      <c r="E148" s="171"/>
      <c r="F148" s="171"/>
      <c r="AA148"/>
      <c r="AB148" s="208"/>
      <c r="AC148"/>
      <c r="AD148"/>
      <c r="AE148"/>
      <c r="AF148"/>
      <c r="AG148" s="134"/>
      <c r="AH148" s="134"/>
      <c r="AI148" s="134"/>
      <c r="AJ148" s="134"/>
      <c r="AK148" s="134"/>
      <c r="AL148" s="190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</row>
    <row r="149" spans="3:65" s="118" customFormat="1" ht="17.25" customHeight="1" x14ac:dyDescent="0.25">
      <c r="C149" s="171"/>
      <c r="D149" s="171"/>
      <c r="E149" s="171"/>
      <c r="F149" s="171"/>
      <c r="AA149"/>
      <c r="AB149" s="208"/>
      <c r="AC149"/>
      <c r="AD149"/>
      <c r="AE149"/>
      <c r="AF149"/>
      <c r="AG149" s="134"/>
      <c r="AH149" s="134"/>
      <c r="AI149" s="134"/>
      <c r="AJ149" s="134"/>
      <c r="AK149" s="134"/>
      <c r="AL149" s="190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</row>
    <row r="150" spans="3:65" s="118" customFormat="1" ht="17.25" customHeight="1" x14ac:dyDescent="0.25">
      <c r="C150" s="171"/>
      <c r="D150" s="171"/>
      <c r="E150" s="171"/>
      <c r="F150" s="171"/>
      <c r="AA150"/>
      <c r="AB150" s="208"/>
      <c r="AC150"/>
      <c r="AD150"/>
      <c r="AE150"/>
      <c r="AF150"/>
      <c r="AG150" s="134"/>
      <c r="AH150" s="134"/>
      <c r="AI150" s="134"/>
      <c r="AJ150" s="134"/>
      <c r="AK150" s="134"/>
      <c r="AL150" s="190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</row>
    <row r="151" spans="3:65" s="118" customFormat="1" ht="17.25" customHeight="1" x14ac:dyDescent="0.25">
      <c r="C151" s="171"/>
      <c r="D151" s="171"/>
      <c r="E151" s="171"/>
      <c r="F151" s="171"/>
      <c r="AA151"/>
      <c r="AB151" s="208"/>
      <c r="AC151"/>
      <c r="AD151"/>
      <c r="AE151"/>
      <c r="AF151"/>
      <c r="AG151" s="134"/>
      <c r="AH151" s="134"/>
      <c r="AI151" s="134"/>
      <c r="AJ151" s="134"/>
      <c r="AK151" s="134"/>
      <c r="AL151" s="190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</row>
    <row r="152" spans="3:65" s="118" customFormat="1" ht="17.25" customHeight="1" x14ac:dyDescent="0.25">
      <c r="C152" s="171"/>
      <c r="D152" s="171"/>
      <c r="E152" s="171"/>
      <c r="F152" s="171"/>
      <c r="AA152"/>
      <c r="AB152" s="208"/>
      <c r="AC152"/>
      <c r="AD152"/>
      <c r="AE152"/>
      <c r="AF152"/>
      <c r="AG152" s="134"/>
      <c r="AH152" s="134"/>
      <c r="AI152" s="134"/>
      <c r="AJ152" s="134"/>
      <c r="AK152" s="134"/>
      <c r="AL152" s="190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</row>
    <row r="153" spans="3:65" s="118" customFormat="1" ht="17.25" customHeight="1" x14ac:dyDescent="0.2">
      <c r="C153" s="171"/>
      <c r="D153" s="171"/>
      <c r="E153" s="171"/>
      <c r="F153" s="171"/>
      <c r="AA153" s="133"/>
      <c r="AB153" s="205"/>
      <c r="AC153" s="130"/>
      <c r="AD153" s="134"/>
      <c r="AE153" s="134"/>
      <c r="AF153" s="134"/>
      <c r="AG153" s="134"/>
      <c r="AH153" s="134"/>
      <c r="AI153" s="134"/>
      <c r="AJ153" s="134"/>
      <c r="AK153" s="134"/>
      <c r="AL153" s="190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</row>
    <row r="154" spans="3:65" s="118" customFormat="1" ht="17.25" customHeight="1" x14ac:dyDescent="0.2">
      <c r="C154" s="171"/>
      <c r="D154" s="171"/>
      <c r="E154" s="171"/>
      <c r="F154" s="171"/>
      <c r="AA154" s="133"/>
      <c r="AB154" s="205"/>
      <c r="AC154" s="130"/>
      <c r="AD154" s="134"/>
      <c r="AE154" s="134"/>
      <c r="AF154" s="134"/>
      <c r="AG154" s="134"/>
      <c r="AH154" s="134"/>
      <c r="AI154" s="134"/>
      <c r="AJ154" s="134"/>
      <c r="AK154" s="134"/>
      <c r="AL154" s="190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</row>
    <row r="155" spans="3:65" s="118" customFormat="1" ht="17.25" customHeight="1" x14ac:dyDescent="0.2">
      <c r="C155" s="171"/>
      <c r="D155" s="171"/>
      <c r="E155" s="171"/>
      <c r="F155" s="171"/>
      <c r="AA155" s="133"/>
      <c r="AB155" s="205"/>
      <c r="AC155" s="130"/>
      <c r="AD155" s="134"/>
      <c r="AE155" s="134"/>
      <c r="AF155" s="134"/>
      <c r="AG155" s="134"/>
      <c r="AH155" s="134"/>
      <c r="AI155" s="134"/>
      <c r="AJ155" s="134"/>
      <c r="AK155" s="134"/>
      <c r="AL155" s="190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</row>
    <row r="156" spans="3:65" s="118" customFormat="1" ht="17.25" customHeight="1" x14ac:dyDescent="0.2">
      <c r="C156" s="171"/>
      <c r="D156" s="171"/>
      <c r="E156" s="171"/>
      <c r="F156" s="171"/>
      <c r="AA156" s="133"/>
      <c r="AB156" s="205"/>
      <c r="AC156" s="130"/>
      <c r="AD156" s="134"/>
      <c r="AE156" s="134"/>
      <c r="AF156" s="134"/>
      <c r="AG156" s="134"/>
      <c r="AH156" s="134"/>
      <c r="AI156" s="134"/>
      <c r="AJ156" s="134"/>
      <c r="AK156" s="134"/>
      <c r="AL156" s="190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</row>
    <row r="157" spans="3:65" s="118" customFormat="1" ht="17.25" customHeight="1" x14ac:dyDescent="0.2">
      <c r="C157" s="171"/>
      <c r="D157" s="171"/>
      <c r="E157" s="171"/>
      <c r="F157" s="171"/>
      <c r="AA157" s="133"/>
      <c r="AB157" s="205"/>
      <c r="AC157" s="130"/>
      <c r="AD157" s="134"/>
      <c r="AE157" s="134"/>
      <c r="AF157" s="134"/>
      <c r="AG157" s="134"/>
      <c r="AH157" s="134"/>
      <c r="AI157" s="134"/>
      <c r="AJ157" s="134"/>
      <c r="AK157" s="134"/>
      <c r="AL157" s="190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</row>
    <row r="158" spans="3:65" s="118" customFormat="1" ht="17.25" customHeight="1" x14ac:dyDescent="0.2">
      <c r="C158" s="171"/>
      <c r="D158" s="171"/>
      <c r="E158" s="171"/>
      <c r="F158" s="171"/>
      <c r="AA158" s="133"/>
      <c r="AB158" s="205"/>
      <c r="AC158" s="130"/>
      <c r="AD158" s="134"/>
      <c r="AE158" s="134"/>
      <c r="AF158" s="134"/>
      <c r="AG158" s="134"/>
      <c r="AH158" s="134"/>
      <c r="AI158" s="134"/>
      <c r="AJ158" s="134"/>
      <c r="AK158" s="134"/>
      <c r="AL158" s="190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</row>
    <row r="159" spans="3:65" s="118" customFormat="1" ht="17.25" customHeight="1" x14ac:dyDescent="0.2">
      <c r="C159" s="171"/>
      <c r="D159" s="171"/>
      <c r="E159" s="171"/>
      <c r="F159" s="171"/>
      <c r="AA159" s="133"/>
      <c r="AB159" s="205"/>
      <c r="AC159" s="130"/>
      <c r="AD159" s="134"/>
      <c r="AE159" s="134"/>
      <c r="AF159" s="134"/>
      <c r="AG159" s="134"/>
      <c r="AH159" s="134"/>
      <c r="AI159" s="134"/>
      <c r="AJ159" s="134"/>
      <c r="AK159" s="134"/>
      <c r="AL159" s="190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</row>
    <row r="160" spans="3:65" s="118" customFormat="1" ht="17.25" customHeight="1" x14ac:dyDescent="0.2">
      <c r="C160" s="171"/>
      <c r="D160" s="171"/>
      <c r="E160" s="171"/>
      <c r="F160" s="171"/>
      <c r="AA160" s="133"/>
      <c r="AB160" s="205"/>
      <c r="AC160" s="130"/>
      <c r="AD160" s="134"/>
      <c r="AE160" s="134"/>
      <c r="AF160" s="134"/>
      <c r="AG160" s="134"/>
      <c r="AH160" s="134"/>
      <c r="AI160" s="134"/>
      <c r="AJ160" s="134"/>
      <c r="AK160" s="134"/>
      <c r="AL160" s="190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</row>
    <row r="161" spans="3:65" s="118" customFormat="1" ht="17.25" customHeight="1" x14ac:dyDescent="0.2">
      <c r="C161" s="171"/>
      <c r="D161" s="171"/>
      <c r="E161" s="171"/>
      <c r="F161" s="171"/>
      <c r="AA161" s="133"/>
      <c r="AB161" s="205"/>
      <c r="AC161" s="130"/>
      <c r="AD161" s="134"/>
      <c r="AE161" s="134"/>
      <c r="AF161" s="134"/>
      <c r="AG161" s="134"/>
      <c r="AH161" s="134"/>
      <c r="AI161" s="134"/>
      <c r="AJ161" s="134"/>
      <c r="AK161" s="134"/>
      <c r="AL161" s="190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</row>
    <row r="162" spans="3:65" s="118" customFormat="1" ht="17.25" customHeight="1" x14ac:dyDescent="0.2">
      <c r="C162" s="171"/>
      <c r="D162" s="171"/>
      <c r="E162" s="171"/>
      <c r="F162" s="171"/>
      <c r="AA162" s="133"/>
      <c r="AB162" s="205"/>
      <c r="AC162" s="130"/>
      <c r="AD162" s="134"/>
      <c r="AE162" s="134"/>
      <c r="AF162" s="134"/>
      <c r="AG162" s="134"/>
      <c r="AH162" s="134"/>
      <c r="AI162" s="134"/>
      <c r="AJ162" s="134"/>
      <c r="AK162" s="134"/>
      <c r="AL162" s="190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</row>
    <row r="163" spans="3:65" s="118" customFormat="1" ht="17.25" customHeight="1" x14ac:dyDescent="0.2">
      <c r="C163" s="171"/>
      <c r="D163" s="171"/>
      <c r="E163" s="171"/>
      <c r="F163" s="171"/>
      <c r="AA163" s="133"/>
      <c r="AB163" s="205"/>
      <c r="AC163" s="130"/>
      <c r="AD163" s="134"/>
      <c r="AE163" s="134"/>
      <c r="AF163" s="134"/>
      <c r="AG163" s="134"/>
      <c r="AH163" s="134"/>
      <c r="AI163" s="134"/>
      <c r="AJ163" s="134"/>
      <c r="AK163" s="134"/>
      <c r="AL163" s="190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</row>
    <row r="164" spans="3:65" s="118" customFormat="1" ht="17.25" customHeight="1" x14ac:dyDescent="0.2">
      <c r="C164" s="171"/>
      <c r="D164" s="171"/>
      <c r="E164" s="171"/>
      <c r="F164" s="171"/>
      <c r="AA164" s="133"/>
      <c r="AB164" s="205"/>
      <c r="AC164" s="130"/>
      <c r="AD164" s="134"/>
      <c r="AE164" s="134"/>
      <c r="AF164" s="134"/>
      <c r="AG164" s="134"/>
      <c r="AH164" s="134"/>
      <c r="AI164" s="134"/>
      <c r="AJ164" s="134"/>
      <c r="AK164" s="134"/>
      <c r="AL164" s="190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</row>
    <row r="165" spans="3:65" s="118" customFormat="1" ht="17.25" customHeight="1" x14ac:dyDescent="0.2">
      <c r="C165" s="171"/>
      <c r="D165" s="171"/>
      <c r="E165" s="171"/>
      <c r="F165" s="171"/>
      <c r="AA165" s="133"/>
      <c r="AB165" s="205"/>
      <c r="AC165" s="130"/>
      <c r="AD165" s="134"/>
      <c r="AE165" s="134"/>
      <c r="AF165" s="134"/>
      <c r="AG165" s="134"/>
      <c r="AH165" s="134"/>
      <c r="AI165" s="134"/>
      <c r="AJ165" s="134"/>
      <c r="AK165" s="134"/>
      <c r="AL165" s="190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</row>
    <row r="166" spans="3:65" s="118" customFormat="1" ht="17.25" customHeight="1" x14ac:dyDescent="0.2">
      <c r="C166" s="171"/>
      <c r="D166" s="171"/>
      <c r="E166" s="171"/>
      <c r="F166" s="171"/>
      <c r="AA166" s="133"/>
      <c r="AB166" s="205"/>
      <c r="AC166" s="130"/>
      <c r="AD166" s="134"/>
      <c r="AE166" s="134"/>
      <c r="AF166" s="134"/>
      <c r="AG166" s="134"/>
      <c r="AH166" s="134"/>
      <c r="AI166" s="134"/>
      <c r="AJ166" s="134"/>
      <c r="AK166" s="134"/>
      <c r="AL166" s="190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</row>
    <row r="167" spans="3:65" s="118" customFormat="1" ht="17.25" customHeight="1" x14ac:dyDescent="0.2">
      <c r="C167" s="171"/>
      <c r="D167" s="171"/>
      <c r="E167" s="171"/>
      <c r="F167" s="171"/>
      <c r="AA167" s="133"/>
      <c r="AB167" s="205"/>
      <c r="AC167" s="130"/>
      <c r="AD167" s="134"/>
      <c r="AE167" s="134"/>
      <c r="AF167" s="134"/>
      <c r="AG167" s="134"/>
      <c r="AH167" s="134"/>
      <c r="AI167" s="134"/>
      <c r="AJ167" s="134"/>
      <c r="AK167" s="134"/>
      <c r="AL167" s="190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</row>
    <row r="168" spans="3:65" s="118" customFormat="1" ht="17.25" customHeight="1" x14ac:dyDescent="0.2">
      <c r="C168" s="171"/>
      <c r="D168" s="171"/>
      <c r="E168" s="171"/>
      <c r="F168" s="171"/>
      <c r="AA168" s="133"/>
      <c r="AB168" s="205"/>
      <c r="AC168" s="130"/>
      <c r="AD168" s="134"/>
      <c r="AE168" s="134"/>
      <c r="AF168" s="134"/>
      <c r="AG168" s="134"/>
      <c r="AH168" s="134"/>
      <c r="AI168" s="134"/>
      <c r="AJ168" s="134"/>
      <c r="AK168" s="134"/>
      <c r="AL168" s="190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</row>
    <row r="169" spans="3:65" s="118" customFormat="1" ht="17.25" customHeight="1" x14ac:dyDescent="0.2">
      <c r="C169" s="171"/>
      <c r="D169" s="171"/>
      <c r="E169" s="171"/>
      <c r="F169" s="171"/>
      <c r="AA169" s="133"/>
      <c r="AB169" s="205"/>
      <c r="AC169" s="130"/>
      <c r="AD169" s="134"/>
      <c r="AE169" s="134"/>
      <c r="AF169" s="134"/>
      <c r="AG169" s="134"/>
      <c r="AH169" s="134"/>
      <c r="AI169" s="134"/>
      <c r="AJ169" s="134"/>
      <c r="AK169" s="134"/>
      <c r="AL169" s="190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</row>
    <row r="170" spans="3:65" s="118" customFormat="1" ht="17.25" customHeight="1" x14ac:dyDescent="0.2">
      <c r="C170" s="171"/>
      <c r="D170" s="171"/>
      <c r="E170" s="171"/>
      <c r="F170" s="171"/>
      <c r="AA170" s="133"/>
      <c r="AB170" s="205"/>
      <c r="AC170" s="130"/>
      <c r="AD170" s="134"/>
      <c r="AE170" s="134"/>
      <c r="AF170" s="134"/>
      <c r="AG170" s="134"/>
      <c r="AH170" s="134"/>
      <c r="AI170" s="134"/>
      <c r="AJ170" s="134"/>
      <c r="AK170" s="134"/>
      <c r="AL170" s="190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</row>
    <row r="171" spans="3:65" s="118" customFormat="1" ht="17.25" customHeight="1" x14ac:dyDescent="0.2">
      <c r="C171" s="171"/>
      <c r="D171" s="171"/>
      <c r="E171" s="171"/>
      <c r="F171" s="171"/>
      <c r="AA171" s="133"/>
      <c r="AB171" s="205"/>
      <c r="AC171" s="130"/>
      <c r="AD171" s="134"/>
      <c r="AE171" s="134"/>
      <c r="AF171" s="134"/>
      <c r="AG171" s="134"/>
      <c r="AH171" s="134"/>
      <c r="AI171" s="134"/>
      <c r="AJ171" s="134"/>
      <c r="AK171" s="134"/>
      <c r="AL171" s="190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</row>
    <row r="172" spans="3:65" s="118" customFormat="1" ht="17.25" customHeight="1" x14ac:dyDescent="0.2">
      <c r="C172" s="171"/>
      <c r="D172" s="171"/>
      <c r="E172" s="171"/>
      <c r="F172" s="171"/>
      <c r="AA172" s="133"/>
      <c r="AB172" s="205"/>
      <c r="AC172" s="130"/>
      <c r="AD172" s="134"/>
      <c r="AE172" s="134"/>
      <c r="AF172" s="134"/>
      <c r="AG172" s="134"/>
      <c r="AH172" s="134"/>
      <c r="AI172" s="134"/>
      <c r="AJ172" s="134"/>
      <c r="AK172" s="134"/>
      <c r="AL172" s="190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</row>
    <row r="173" spans="3:65" s="118" customFormat="1" ht="17.25" customHeight="1" x14ac:dyDescent="0.2">
      <c r="C173" s="171"/>
      <c r="D173" s="171"/>
      <c r="E173" s="171"/>
      <c r="F173" s="171"/>
      <c r="AA173" s="133"/>
      <c r="AB173" s="205"/>
      <c r="AC173" s="130"/>
      <c r="AD173" s="134"/>
      <c r="AE173" s="134"/>
      <c r="AF173" s="134"/>
      <c r="AG173" s="134"/>
      <c r="AH173" s="134"/>
      <c r="AI173" s="134"/>
      <c r="AJ173" s="134"/>
      <c r="AK173" s="134"/>
      <c r="AL173" s="190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</row>
    <row r="174" spans="3:65" s="118" customFormat="1" ht="17.25" customHeight="1" x14ac:dyDescent="0.2">
      <c r="C174" s="171"/>
      <c r="D174" s="171"/>
      <c r="E174" s="171"/>
      <c r="F174" s="171"/>
      <c r="AA174" s="133"/>
      <c r="AB174" s="205"/>
      <c r="AC174" s="130"/>
      <c r="AD174" s="134"/>
      <c r="AE174" s="134"/>
      <c r="AF174" s="134"/>
      <c r="AG174" s="134"/>
      <c r="AH174" s="134"/>
      <c r="AI174" s="134"/>
      <c r="AJ174" s="134"/>
      <c r="AK174" s="134"/>
      <c r="AL174" s="190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</row>
    <row r="175" spans="3:65" s="118" customFormat="1" ht="17.25" customHeight="1" x14ac:dyDescent="0.2">
      <c r="C175" s="171"/>
      <c r="D175" s="171"/>
      <c r="E175" s="171"/>
      <c r="F175" s="171"/>
      <c r="AA175" s="133"/>
      <c r="AB175" s="205"/>
      <c r="AC175" s="130"/>
      <c r="AD175" s="134"/>
      <c r="AE175" s="134"/>
      <c r="AF175" s="134"/>
      <c r="AG175" s="134"/>
      <c r="AH175" s="134"/>
      <c r="AI175" s="134"/>
      <c r="AJ175" s="134"/>
      <c r="AK175" s="134"/>
      <c r="AL175" s="190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</row>
    <row r="176" spans="3:65" s="118" customFormat="1" ht="17.25" customHeight="1" x14ac:dyDescent="0.2">
      <c r="C176" s="171"/>
      <c r="D176" s="171"/>
      <c r="E176" s="171"/>
      <c r="F176" s="171"/>
      <c r="AA176" s="133"/>
      <c r="AB176" s="205"/>
      <c r="AC176" s="130"/>
      <c r="AD176" s="134"/>
      <c r="AE176" s="134"/>
      <c r="AF176" s="134"/>
      <c r="AG176" s="134"/>
      <c r="AH176" s="134"/>
      <c r="AI176" s="134"/>
      <c r="AJ176" s="134"/>
      <c r="AK176" s="134"/>
      <c r="AL176" s="190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</row>
    <row r="177" spans="3:65" s="118" customFormat="1" ht="17.25" customHeight="1" x14ac:dyDescent="0.2">
      <c r="C177" s="171"/>
      <c r="D177" s="171"/>
      <c r="E177" s="171"/>
      <c r="F177" s="171"/>
      <c r="AA177" s="133"/>
      <c r="AB177" s="205"/>
      <c r="AC177" s="130"/>
      <c r="AD177" s="134"/>
      <c r="AE177" s="134"/>
      <c r="AF177" s="134"/>
      <c r="AG177" s="134"/>
      <c r="AH177" s="134"/>
      <c r="AI177" s="134"/>
      <c r="AJ177" s="134"/>
      <c r="AK177" s="134"/>
      <c r="AL177" s="190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</row>
    <row r="178" spans="3:65" s="118" customFormat="1" ht="17.25" customHeight="1" x14ac:dyDescent="0.2">
      <c r="C178" s="171"/>
      <c r="D178" s="171"/>
      <c r="E178" s="171"/>
      <c r="F178" s="171"/>
      <c r="AA178" s="133"/>
      <c r="AB178" s="205"/>
      <c r="AC178" s="130"/>
      <c r="AD178" s="134"/>
      <c r="AE178" s="134"/>
      <c r="AF178" s="134"/>
      <c r="AG178" s="134"/>
      <c r="AH178" s="134"/>
      <c r="AI178" s="134"/>
      <c r="AJ178" s="134"/>
      <c r="AK178" s="134"/>
      <c r="AL178" s="190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</row>
    <row r="179" spans="3:65" s="118" customFormat="1" ht="17.25" customHeight="1" x14ac:dyDescent="0.2">
      <c r="C179" s="171"/>
      <c r="D179" s="171"/>
      <c r="E179" s="171"/>
      <c r="F179" s="171"/>
      <c r="AA179" s="133"/>
      <c r="AB179" s="205"/>
      <c r="AC179" s="130"/>
      <c r="AD179" s="134"/>
      <c r="AE179" s="134"/>
      <c r="AF179" s="134"/>
      <c r="AG179" s="134"/>
      <c r="AH179" s="134"/>
      <c r="AI179" s="134"/>
      <c r="AJ179" s="134"/>
      <c r="AK179" s="134"/>
      <c r="AL179" s="190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</row>
    <row r="180" spans="3:65" s="118" customFormat="1" ht="17.25" customHeight="1" x14ac:dyDescent="0.2">
      <c r="C180" s="171"/>
      <c r="D180" s="171"/>
      <c r="E180" s="171"/>
      <c r="F180" s="171"/>
      <c r="AA180" s="133"/>
      <c r="AB180" s="205"/>
      <c r="AC180" s="130"/>
      <c r="AD180" s="134"/>
      <c r="AE180" s="134"/>
      <c r="AF180" s="134"/>
      <c r="AG180" s="134"/>
      <c r="AH180" s="134"/>
      <c r="AI180" s="134"/>
      <c r="AJ180" s="134"/>
      <c r="AK180" s="134"/>
      <c r="AL180" s="190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</row>
    <row r="181" spans="3:65" s="118" customFormat="1" ht="17.25" customHeight="1" x14ac:dyDescent="0.2">
      <c r="C181" s="171"/>
      <c r="D181" s="171"/>
      <c r="E181" s="171"/>
      <c r="F181" s="171"/>
      <c r="AA181" s="133"/>
      <c r="AB181" s="205"/>
      <c r="AC181" s="130"/>
      <c r="AD181" s="134"/>
      <c r="AE181" s="134"/>
      <c r="AF181" s="134"/>
      <c r="AG181" s="134"/>
      <c r="AH181" s="134"/>
      <c r="AI181" s="134"/>
      <c r="AJ181" s="134"/>
      <c r="AK181" s="134"/>
      <c r="AL181" s="190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</row>
    <row r="182" spans="3:65" s="118" customFormat="1" ht="17.25" customHeight="1" x14ac:dyDescent="0.2">
      <c r="C182" s="171"/>
      <c r="D182" s="171"/>
      <c r="E182" s="171"/>
      <c r="F182" s="171"/>
      <c r="AA182" s="133"/>
      <c r="AB182" s="205"/>
      <c r="AC182" s="130"/>
      <c r="AD182" s="134"/>
      <c r="AE182" s="134"/>
      <c r="AF182" s="134"/>
      <c r="AG182" s="134"/>
      <c r="AH182" s="134"/>
      <c r="AI182" s="134"/>
      <c r="AJ182" s="134"/>
      <c r="AK182" s="134"/>
      <c r="AL182" s="190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</row>
    <row r="183" spans="3:65" s="118" customFormat="1" ht="17.25" customHeight="1" x14ac:dyDescent="0.2">
      <c r="C183" s="171"/>
      <c r="D183" s="171"/>
      <c r="E183" s="171"/>
      <c r="F183" s="171"/>
      <c r="AA183" s="133"/>
      <c r="AB183" s="205"/>
      <c r="AC183" s="130"/>
      <c r="AD183" s="134"/>
      <c r="AE183" s="134"/>
      <c r="AF183" s="134"/>
      <c r="AG183" s="134"/>
      <c r="AH183" s="134"/>
      <c r="AI183" s="134"/>
      <c r="AJ183" s="134"/>
      <c r="AK183" s="134"/>
      <c r="AL183" s="190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</row>
    <row r="184" spans="3:65" s="118" customFormat="1" ht="17.25" customHeight="1" x14ac:dyDescent="0.2">
      <c r="C184" s="171"/>
      <c r="D184" s="171"/>
      <c r="E184" s="171"/>
      <c r="F184" s="171"/>
      <c r="AA184" s="133"/>
      <c r="AB184" s="205"/>
      <c r="AC184" s="130"/>
      <c r="AD184" s="134"/>
      <c r="AE184" s="134"/>
      <c r="AF184" s="134"/>
      <c r="AG184" s="134"/>
      <c r="AH184" s="134"/>
      <c r="AI184" s="134"/>
      <c r="AJ184" s="134"/>
      <c r="AK184" s="134"/>
      <c r="AL184" s="190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 x14ac:dyDescent="0.25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89" customWidth="1" outlineLevel="1"/>
    <col min="29" max="29" width="15" style="289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 x14ac:dyDescent="0.25">
      <c r="C1" s="1003" t="s">
        <v>311</v>
      </c>
      <c r="D1" s="1003"/>
      <c r="E1" s="1003"/>
      <c r="F1" s="1003"/>
      <c r="G1" s="1004" t="s">
        <v>312</v>
      </c>
      <c r="H1" s="1004"/>
      <c r="I1" s="1004"/>
      <c r="J1" s="1004"/>
      <c r="K1" s="1004"/>
      <c r="L1" s="1004"/>
      <c r="M1" s="1004"/>
      <c r="N1" s="1004"/>
      <c r="O1" s="1004"/>
      <c r="P1" s="1004"/>
      <c r="Q1" s="1004"/>
      <c r="R1" s="1004"/>
      <c r="S1" s="1004"/>
      <c r="T1" s="1004"/>
      <c r="U1" s="1004"/>
      <c r="V1" s="1004"/>
      <c r="W1" s="1004"/>
      <c r="X1" s="1004"/>
      <c r="Y1" s="1004"/>
      <c r="AB1" s="15"/>
      <c r="AC1" s="279"/>
      <c r="AD1" s="279"/>
      <c r="AM1" s="30"/>
    </row>
    <row r="2" spans="1:54" s="1" customFormat="1" ht="17.25" customHeight="1" x14ac:dyDescent="0.25">
      <c r="C2" s="1003"/>
      <c r="D2" s="1003"/>
      <c r="E2" s="1003"/>
      <c r="F2" s="1003"/>
      <c r="G2" s="1004"/>
      <c r="H2" s="1004"/>
      <c r="I2" s="1004"/>
      <c r="J2" s="1004"/>
      <c r="K2" s="1004"/>
      <c r="L2" s="1004"/>
      <c r="M2" s="1004"/>
      <c r="N2" s="1004"/>
      <c r="O2" s="1004"/>
      <c r="P2" s="1004"/>
      <c r="Q2" s="1004"/>
      <c r="R2" s="1004"/>
      <c r="S2" s="1004"/>
      <c r="T2" s="1004"/>
      <c r="U2" s="1004"/>
      <c r="V2" s="1004"/>
      <c r="W2" s="1004"/>
      <c r="X2" s="1004"/>
      <c r="Y2" s="1004"/>
      <c r="AB2" s="15"/>
      <c r="AC2" s="279"/>
      <c r="AD2" s="279"/>
      <c r="AM2" s="30"/>
    </row>
    <row r="3" spans="1:54" s="1" customFormat="1" ht="17.25" customHeight="1" x14ac:dyDescent="0.25">
      <c r="C3" s="1003"/>
      <c r="D3" s="1003"/>
      <c r="E3" s="1003"/>
      <c r="F3" s="1003"/>
      <c r="G3" s="1005" t="s">
        <v>316</v>
      </c>
      <c r="H3" s="1005"/>
      <c r="I3" s="1005"/>
      <c r="J3" s="1007" t="s">
        <v>315</v>
      </c>
      <c r="K3" s="1007"/>
      <c r="L3" s="1007"/>
      <c r="AB3" s="15"/>
      <c r="AC3" s="279"/>
      <c r="AD3" s="279"/>
      <c r="AM3" s="30"/>
    </row>
    <row r="4" spans="1:54" s="1" customFormat="1" ht="17.25" customHeight="1" x14ac:dyDescent="0.25">
      <c r="C4" s="1003"/>
      <c r="D4" s="1003"/>
      <c r="E4" s="1003"/>
      <c r="F4" s="1003"/>
      <c r="G4" s="1006"/>
      <c r="H4" s="1006"/>
      <c r="I4" s="1006"/>
      <c r="J4" s="1008"/>
      <c r="K4" s="1008"/>
      <c r="L4" s="1008"/>
      <c r="AB4" s="15"/>
      <c r="AC4" s="279"/>
      <c r="AD4" s="279"/>
      <c r="AM4" s="30"/>
    </row>
    <row r="5" spans="1:54" s="1" customFormat="1" ht="17.25" customHeight="1" x14ac:dyDescent="0.25">
      <c r="C5" s="38"/>
      <c r="D5" s="38"/>
      <c r="E5" s="38"/>
      <c r="F5" s="38"/>
      <c r="G5" s="38"/>
      <c r="AB5" s="15"/>
      <c r="AC5" s="279"/>
      <c r="AD5" s="279"/>
      <c r="AM5" s="30"/>
    </row>
    <row r="6" spans="1:54" s="1" customFormat="1" ht="17.25" customHeight="1" x14ac:dyDescent="0.25">
      <c r="C6" s="38"/>
      <c r="D6" s="38"/>
      <c r="E6" s="38"/>
      <c r="F6" s="38"/>
      <c r="G6" s="38"/>
      <c r="AB6" s="15"/>
      <c r="AC6" s="279"/>
      <c r="AD6" s="279"/>
      <c r="AM6" s="30"/>
    </row>
    <row r="7" spans="1:54" s="1" customFormat="1" ht="17.25" customHeight="1" thickBot="1" x14ac:dyDescent="0.3">
      <c r="A7" s="1" t="s">
        <v>49</v>
      </c>
      <c r="B7" s="1" t="s">
        <v>50</v>
      </c>
      <c r="C7" s="38"/>
      <c r="D7" s="1025" t="s">
        <v>28</v>
      </c>
      <c r="E7" s="1025"/>
      <c r="F7" s="1025"/>
      <c r="G7" s="1025"/>
      <c r="H7" s="1025"/>
      <c r="I7" s="1025"/>
      <c r="J7" s="16"/>
      <c r="O7" s="1026" t="s">
        <v>29</v>
      </c>
      <c r="P7" s="1027"/>
      <c r="Q7" s="1027"/>
      <c r="R7" s="1027"/>
      <c r="S7" s="1027"/>
      <c r="T7" s="1027"/>
      <c r="U7" s="1028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 x14ac:dyDescent="0.3">
      <c r="C8" s="38"/>
      <c r="D8" s="1029" t="s">
        <v>16</v>
      </c>
      <c r="E8" s="1029"/>
      <c r="F8" s="1029"/>
      <c r="G8" s="1030" t="s">
        <v>15</v>
      </c>
      <c r="H8" s="1030"/>
      <c r="I8" s="1030"/>
      <c r="J8" s="1031" t="s">
        <v>36</v>
      </c>
      <c r="K8" s="1031"/>
      <c r="L8" s="1031"/>
      <c r="M8" s="1031"/>
      <c r="N8" s="1031"/>
      <c r="O8" s="1032" t="s">
        <v>30</v>
      </c>
      <c r="P8" s="1033"/>
      <c r="Q8" s="1033"/>
      <c r="R8" s="1034"/>
      <c r="S8" s="1035" t="s">
        <v>31</v>
      </c>
      <c r="T8" s="1036"/>
      <c r="U8" s="1037"/>
      <c r="V8" s="1031" t="s">
        <v>36</v>
      </c>
      <c r="W8" s="1031"/>
      <c r="X8" s="1031"/>
      <c r="Y8" s="1031"/>
      <c r="Z8" s="1031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 x14ac:dyDescent="0.3">
      <c r="C9" s="38"/>
      <c r="D9" s="1038" t="s">
        <v>120</v>
      </c>
      <c r="E9" s="1039"/>
      <c r="F9" s="1039"/>
      <c r="G9" s="1030" cm="1">
        <f t="array" ref="G9">heureConvert2Decimal(D9)</f>
        <v>11.983333333333333</v>
      </c>
      <c r="H9" s="1030"/>
      <c r="I9" s="1030"/>
      <c r="J9" s="1040" t="str" cm="1">
        <f t="array" ref="J9">heureDecimal2Txt(G9)</f>
        <v>11:59:00.00(11.9833)</v>
      </c>
      <c r="K9" s="1040"/>
      <c r="L9" s="1040"/>
      <c r="M9" s="1040"/>
      <c r="N9" s="1040"/>
      <c r="O9" s="1049" t="s">
        <v>609</v>
      </c>
      <c r="P9" s="1050"/>
      <c r="Q9" s="1050"/>
      <c r="R9" s="1051"/>
      <c r="S9" s="1043" cm="1">
        <f t="array" ref="S9">angleConvert2Decimal(O9)</f>
        <v>0.46666666666666667</v>
      </c>
      <c r="T9" s="1044"/>
      <c r="U9" s="1045"/>
      <c r="V9" s="1040" t="str" cm="1">
        <f t="array" ref="V9">angleDecimal2Txt(S9)</f>
        <v>+00°28.00 (+00.4666) [+00°28'00.00]</v>
      </c>
      <c r="W9" s="1040"/>
      <c r="X9" s="1040"/>
      <c r="Y9" s="1040"/>
      <c r="Z9" s="1040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 x14ac:dyDescent="0.3">
      <c r="C10" s="38"/>
      <c r="D10" s="1039"/>
      <c r="E10" s="1039"/>
      <c r="F10" s="1039"/>
      <c r="G10" s="1030"/>
      <c r="H10" s="1030"/>
      <c r="I10" s="1030"/>
      <c r="J10" s="1040"/>
      <c r="K10" s="1040"/>
      <c r="L10" s="1040"/>
      <c r="M10" s="1040"/>
      <c r="N10" s="1040"/>
      <c r="O10" s="1052"/>
      <c r="P10" s="1053"/>
      <c r="Q10" s="1053"/>
      <c r="R10" s="1054"/>
      <c r="S10" s="1046"/>
      <c r="T10" s="1047"/>
      <c r="U10" s="1048"/>
      <c r="V10" s="1040"/>
      <c r="W10" s="1040"/>
      <c r="X10" s="1040"/>
      <c r="Y10" s="1040"/>
      <c r="Z10" s="1040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 x14ac:dyDescent="0.3">
      <c r="C11" s="38"/>
      <c r="D11" s="1038"/>
      <c r="E11" s="1039"/>
      <c r="F11" s="1039"/>
      <c r="G11" s="1030">
        <v>11.9</v>
      </c>
      <c r="H11" s="1030"/>
      <c r="I11" s="1030"/>
      <c r="J11" s="1040" t="str" cm="1">
        <f t="array" ref="J11">heureDecimal2Txt(G11)</f>
        <v>11:54:00.00(11.9000)</v>
      </c>
      <c r="K11" s="1040"/>
      <c r="L11" s="1040"/>
      <c r="M11" s="1040"/>
      <c r="N11" s="1040"/>
      <c r="O11" s="1049"/>
      <c r="P11" s="1050"/>
      <c r="Q11" s="1050"/>
      <c r="R11" s="1051"/>
      <c r="S11" s="1043">
        <f>S9-59.2166667</f>
        <v>-58.750000033333329</v>
      </c>
      <c r="T11" s="1044"/>
      <c r="U11" s="1045"/>
      <c r="V11" s="1040" t="str" cm="1">
        <f t="array" ref="V11">angleDecimal2Txt(S11)</f>
        <v>-58°45.00 (-58.7500) [-58°45'00.00]</v>
      </c>
      <c r="W11" s="1040"/>
      <c r="X11" s="1040"/>
      <c r="Y11" s="1040"/>
      <c r="Z11" s="1040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 x14ac:dyDescent="0.3">
      <c r="C12" s="38"/>
      <c r="D12" s="1039"/>
      <c r="E12" s="1039"/>
      <c r="F12" s="1039"/>
      <c r="G12" s="1030"/>
      <c r="H12" s="1030"/>
      <c r="I12" s="1030"/>
      <c r="J12" s="1040"/>
      <c r="K12" s="1040"/>
      <c r="L12" s="1040"/>
      <c r="M12" s="1040"/>
      <c r="N12" s="1040"/>
      <c r="O12" s="1052"/>
      <c r="P12" s="1053"/>
      <c r="Q12" s="1053"/>
      <c r="R12" s="1054"/>
      <c r="S12" s="1046"/>
      <c r="T12" s="1047"/>
      <c r="U12" s="1048"/>
      <c r="V12" s="1040"/>
      <c r="W12" s="1040"/>
      <c r="X12" s="1040"/>
      <c r="Y12" s="1040"/>
      <c r="Z12" s="1040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 x14ac:dyDescent="0.3">
      <c r="C13" s="38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 x14ac:dyDescent="0.3">
      <c r="C14" s="38"/>
      <c r="D14" s="1055" t="s">
        <v>42</v>
      </c>
      <c r="E14" s="1056"/>
      <c r="F14" s="1057"/>
      <c r="G14" s="16"/>
      <c r="H14" s="16"/>
      <c r="I14" s="1055" t="s">
        <v>195</v>
      </c>
      <c r="J14" s="1056"/>
      <c r="K14" s="1057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41" t="s">
        <v>205</v>
      </c>
      <c r="X14" s="1041"/>
      <c r="Y14" s="280" t="s">
        <v>10</v>
      </c>
      <c r="Z14" s="280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 x14ac:dyDescent="0.25">
      <c r="C15" s="38"/>
      <c r="D15" s="18" t="s">
        <v>51</v>
      </c>
      <c r="E15" s="19" t="s">
        <v>52</v>
      </c>
      <c r="F15" s="20"/>
      <c r="G15" s="16"/>
      <c r="H15" s="16"/>
      <c r="I15" s="21" t="s">
        <v>79</v>
      </c>
      <c r="J15" s="22" t="s">
        <v>167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41" t="s">
        <v>206</v>
      </c>
      <c r="X15" s="1041"/>
      <c r="Y15" s="280" t="s">
        <v>207</v>
      </c>
      <c r="Z15" s="280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 x14ac:dyDescent="0.3">
      <c r="C16" s="38"/>
      <c r="D16" s="18" t="s">
        <v>4</v>
      </c>
      <c r="E16" s="19" t="s">
        <v>6</v>
      </c>
      <c r="F16" s="20">
        <v>1</v>
      </c>
      <c r="G16" s="16"/>
      <c r="H16" s="16"/>
      <c r="I16" s="24" t="s">
        <v>167</v>
      </c>
      <c r="J16" s="25" t="s">
        <v>79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70" t="s">
        <v>211</v>
      </c>
      <c r="X16" s="1070"/>
      <c r="Y16" s="281" t="s">
        <v>210</v>
      </c>
      <c r="Z16" s="281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 x14ac:dyDescent="0.3">
      <c r="C17" s="38"/>
      <c r="D17" s="27" t="s">
        <v>5</v>
      </c>
      <c r="E17" s="28" t="s">
        <v>7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41" t="s">
        <v>208</v>
      </c>
      <c r="X17" s="1042"/>
      <c r="Y17" s="282"/>
      <c r="Z17" s="283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 x14ac:dyDescent="0.25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41" t="s">
        <v>209</v>
      </c>
      <c r="X18" s="1042"/>
      <c r="Y18" s="284"/>
      <c r="Z18" s="285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41" t="s">
        <v>214</v>
      </c>
      <c r="X19" s="1041"/>
      <c r="Y19" s="286" t="s">
        <v>212</v>
      </c>
      <c r="Z19" s="286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 x14ac:dyDescent="0.25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41" t="s">
        <v>213</v>
      </c>
      <c r="X20" s="1042"/>
      <c r="Y20" s="282"/>
      <c r="Z20" s="283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41" t="s">
        <v>215</v>
      </c>
      <c r="X21" s="1042"/>
      <c r="Y21" s="284"/>
      <c r="Z21" s="285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 x14ac:dyDescent="0.25">
      <c r="B22" s="287" t="s">
        <v>218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41" t="s">
        <v>216</v>
      </c>
      <c r="X22" s="1041"/>
      <c r="Y22" s="1014" t="s">
        <v>217</v>
      </c>
      <c r="Z22" s="1014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13"/>
      <c r="X23" s="1013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 x14ac:dyDescent="0.25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 x14ac:dyDescent="0.25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 x14ac:dyDescent="0.3">
      <c r="C30" s="38"/>
      <c r="D30" s="38"/>
      <c r="E30" s="38"/>
      <c r="F30" s="38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 x14ac:dyDescent="0.3">
      <c r="B31" s="10" t="s">
        <v>194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 x14ac:dyDescent="0.3">
      <c r="C32" s="16"/>
      <c r="AA32" s="15"/>
      <c r="AB32" s="292" t="s">
        <v>560</v>
      </c>
      <c r="AC32" s="292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 x14ac:dyDescent="0.25">
      <c r="C33" s="966" t="s">
        <v>196</v>
      </c>
      <c r="D33" s="1058" t="s">
        <v>51</v>
      </c>
      <c r="E33" s="989" cm="1">
        <f t="array" ref="E33">angleConvert2Decimal(I33)*VLOOKUP(H33,$D$16:$F$17,3)</f>
        <v>49.1</v>
      </c>
      <c r="F33" s="989"/>
      <c r="G33" s="990"/>
      <c r="H33" s="1062" t="s">
        <v>4</v>
      </c>
      <c r="I33" s="1064">
        <v>49.1</v>
      </c>
      <c r="J33" s="1065"/>
      <c r="K33" s="1065"/>
      <c r="L33" s="1065"/>
      <c r="M33" s="1066"/>
      <c r="N33" s="977" t="str" cm="1">
        <f t="array" ref="N33">angleDecimal2Txt(E33)</f>
        <v>+49°06.00 (+49.1000) [+49°06'00.00]</v>
      </c>
      <c r="O33" s="977"/>
      <c r="P33" s="977"/>
      <c r="Q33" s="977"/>
      <c r="R33" s="977"/>
      <c r="S33" s="977"/>
      <c r="T33" s="977"/>
      <c r="U33" s="977"/>
      <c r="V33" s="977"/>
      <c r="W33" s="978"/>
      <c r="AA33" s="15"/>
      <c r="AB33" s="292" t="s">
        <v>561</v>
      </c>
      <c r="AC33" s="292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 x14ac:dyDescent="0.3">
      <c r="C34" s="984"/>
      <c r="D34" s="1059"/>
      <c r="E34" s="991"/>
      <c r="F34" s="991"/>
      <c r="G34" s="992"/>
      <c r="H34" s="1063"/>
      <c r="I34" s="1067"/>
      <c r="J34" s="1068"/>
      <c r="K34" s="1068"/>
      <c r="L34" s="1068"/>
      <c r="M34" s="1069"/>
      <c r="N34" s="979"/>
      <c r="O34" s="979"/>
      <c r="P34" s="979"/>
      <c r="Q34" s="979"/>
      <c r="R34" s="979"/>
      <c r="S34" s="979"/>
      <c r="T34" s="979"/>
      <c r="U34" s="979"/>
      <c r="V34" s="979"/>
      <c r="W34" s="980"/>
      <c r="X34" s="1" t="s">
        <v>568</v>
      </c>
      <c r="AA34" s="15"/>
      <c r="AB34" s="291" t="s">
        <v>556</v>
      </c>
      <c r="AC34" s="16"/>
      <c r="AD34" s="278" t="s">
        <v>100</v>
      </c>
      <c r="AE34" s="278" t="s">
        <v>136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 x14ac:dyDescent="0.25">
      <c r="C35" s="984"/>
      <c r="D35" s="1060" t="s">
        <v>52</v>
      </c>
      <c r="E35" s="989" cm="1">
        <f t="array" ref="E35">angleConvert2Decimal(I35)*VLOOKUP(H35,$E$16:$F$17,2)</f>
        <v>2.5</v>
      </c>
      <c r="F35" s="989"/>
      <c r="G35" s="990"/>
      <c r="H35" s="993" t="s">
        <v>6</v>
      </c>
      <c r="I35" s="995">
        <v>2.5</v>
      </c>
      <c r="J35" s="996"/>
      <c r="K35" s="996"/>
      <c r="L35" s="996"/>
      <c r="M35" s="997"/>
      <c r="N35" s="977" t="str" cm="1">
        <f t="array" ref="N35">angleDecimal2Txt(E35)</f>
        <v>+02°30.00 (+02.5000) [+02°30'00.00]</v>
      </c>
      <c r="O35" s="977"/>
      <c r="P35" s="977"/>
      <c r="Q35" s="977"/>
      <c r="R35" s="977"/>
      <c r="S35" s="977"/>
      <c r="T35" s="977"/>
      <c r="U35" s="977"/>
      <c r="V35" s="977"/>
      <c r="W35" s="978"/>
      <c r="AA35" s="15"/>
      <c r="AB35" s="16"/>
      <c r="AC35" s="296" t="s">
        <v>557</v>
      </c>
      <c r="AD35" s="297">
        <f>$E$41-$E$35</f>
        <v>136.6</v>
      </c>
      <c r="AE35" s="278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 x14ac:dyDescent="0.3">
      <c r="C36" s="985"/>
      <c r="D36" s="1061"/>
      <c r="E36" s="991"/>
      <c r="F36" s="991"/>
      <c r="G36" s="992"/>
      <c r="H36" s="994"/>
      <c r="I36" s="998"/>
      <c r="J36" s="999"/>
      <c r="K36" s="999"/>
      <c r="L36" s="999"/>
      <c r="M36" s="1000"/>
      <c r="N36" s="979"/>
      <c r="O36" s="979"/>
      <c r="P36" s="979"/>
      <c r="Q36" s="979"/>
      <c r="R36" s="979"/>
      <c r="S36" s="979"/>
      <c r="T36" s="979"/>
      <c r="U36" s="979"/>
      <c r="V36" s="979"/>
      <c r="W36" s="980"/>
      <c r="Z36"/>
      <c r="AA36" s="305"/>
      <c r="AB36" s="16"/>
      <c r="AC36" s="296" t="s">
        <v>558</v>
      </c>
      <c r="AD36" s="297">
        <f>$E$39-$E$33</f>
        <v>-0.10000000000000142</v>
      </c>
      <c r="AE36" s="278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305"/>
      <c r="AB37" s="16"/>
      <c r="AC37" s="296" t="s">
        <v>559</v>
      </c>
      <c r="AD37" s="296">
        <f>(E39+E33)/2</f>
        <v>49.05</v>
      </c>
      <c r="AE37" s="278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 x14ac:dyDescent="0.3">
      <c r="C38" s="16"/>
      <c r="Y38" s="16"/>
      <c r="Z38"/>
      <c r="AA38" s="305"/>
      <c r="AB38" s="16"/>
      <c r="AC38" s="296" t="s">
        <v>578</v>
      </c>
      <c r="AD38" s="296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 x14ac:dyDescent="0.25">
      <c r="C39" s="966" t="s">
        <v>20</v>
      </c>
      <c r="D39" s="1058" t="s">
        <v>51</v>
      </c>
      <c r="E39" s="989" cm="1">
        <f t="array" ref="E39">angleConvert2Decimal(I39)</f>
        <v>49</v>
      </c>
      <c r="F39" s="989"/>
      <c r="G39" s="990"/>
      <c r="H39" s="1062" t="s">
        <v>4</v>
      </c>
      <c r="I39" s="1064">
        <v>49</v>
      </c>
      <c r="J39" s="1065"/>
      <c r="K39" s="1065"/>
      <c r="L39" s="1065"/>
      <c r="M39" s="1066"/>
      <c r="N39" s="977" t="str" cm="1">
        <f t="array" ref="N39">angleDecimal2Txt(E39)</f>
        <v>+49°00.00 (+49.0000) [+49°00'00.00]</v>
      </c>
      <c r="O39" s="977"/>
      <c r="P39" s="977"/>
      <c r="Q39" s="977"/>
      <c r="R39" s="977"/>
      <c r="S39" s="977"/>
      <c r="T39" s="977"/>
      <c r="U39" s="977"/>
      <c r="V39" s="977"/>
      <c r="W39" s="978"/>
      <c r="Y39" s="16"/>
      <c r="Z39"/>
      <c r="AA39" s="305"/>
      <c r="AB39" s="16"/>
      <c r="AC39" s="293" t="s">
        <v>569</v>
      </c>
      <c r="AD39" s="293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 x14ac:dyDescent="0.3">
      <c r="C40" s="984"/>
      <c r="D40" s="1059"/>
      <c r="E40" s="991"/>
      <c r="F40" s="991"/>
      <c r="G40" s="992"/>
      <c r="H40" s="1063"/>
      <c r="I40" s="1067"/>
      <c r="J40" s="1068"/>
      <c r="K40" s="1068"/>
      <c r="L40" s="1068"/>
      <c r="M40" s="1069"/>
      <c r="N40" s="979"/>
      <c r="O40" s="979"/>
      <c r="P40" s="979"/>
      <c r="Q40" s="979"/>
      <c r="R40" s="979"/>
      <c r="S40" s="979"/>
      <c r="T40" s="979"/>
      <c r="U40" s="979"/>
      <c r="V40" s="979"/>
      <c r="W40" s="980"/>
      <c r="X40" s="1" t="s">
        <v>567</v>
      </c>
      <c r="Y40" s="16"/>
      <c r="Z40"/>
      <c r="AA40" s="305"/>
      <c r="AB40" s="16"/>
      <c r="AC40" s="293" t="s">
        <v>570</v>
      </c>
      <c r="AD40" s="293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 x14ac:dyDescent="0.25">
      <c r="C41" s="984"/>
      <c r="D41" s="1060" t="s">
        <v>52</v>
      </c>
      <c r="E41" s="989" cm="1">
        <f t="array" ref="E41">angleConvert2Decimal(I41)*VLOOKUP(H41,$E$16:$F$17,2)</f>
        <v>139.1</v>
      </c>
      <c r="F41" s="989"/>
      <c r="G41" s="990"/>
      <c r="H41" s="993" t="s">
        <v>6</v>
      </c>
      <c r="I41" s="995">
        <v>139.1</v>
      </c>
      <c r="J41" s="996"/>
      <c r="K41" s="996"/>
      <c r="L41" s="996"/>
      <c r="M41" s="997"/>
      <c r="N41" s="977" t="str" cm="1">
        <f t="array" ref="N41">angleDecimal2Txt(E41)</f>
        <v>+139°06.00 (+139.0999) [+139°06'00.00]</v>
      </c>
      <c r="O41" s="977"/>
      <c r="P41" s="977"/>
      <c r="Q41" s="977"/>
      <c r="R41" s="977"/>
      <c r="S41" s="977"/>
      <c r="T41" s="977"/>
      <c r="U41" s="977"/>
      <c r="V41" s="977"/>
      <c r="W41" s="978"/>
      <c r="Y41" s="16"/>
      <c r="Z41"/>
      <c r="AA41" s="305"/>
      <c r="AB41" s="16"/>
      <c r="AC41" s="293" t="s">
        <v>199</v>
      </c>
      <c r="AD41" s="293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 x14ac:dyDescent="0.3">
      <c r="C42" s="985"/>
      <c r="D42" s="1061"/>
      <c r="E42" s="991"/>
      <c r="F42" s="991"/>
      <c r="G42" s="992"/>
      <c r="H42" s="994"/>
      <c r="I42" s="998"/>
      <c r="J42" s="999"/>
      <c r="K42" s="999"/>
      <c r="L42" s="999"/>
      <c r="M42" s="1000"/>
      <c r="N42" s="979"/>
      <c r="O42" s="979"/>
      <c r="P42" s="979"/>
      <c r="Q42" s="979"/>
      <c r="R42" s="979"/>
      <c r="S42" s="979"/>
      <c r="T42" s="979"/>
      <c r="U42" s="979"/>
      <c r="V42" s="979"/>
      <c r="W42" s="980"/>
      <c r="Y42" s="16"/>
      <c r="Z42"/>
      <c r="AA42" s="305"/>
      <c r="AB42" s="16"/>
      <c r="AC42" s="293" t="s">
        <v>562</v>
      </c>
      <c r="AD42" s="293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 x14ac:dyDescent="0.25">
      <c r="Z43"/>
      <c r="AA43" s="305"/>
      <c r="AB43" s="4" t="s">
        <v>563</v>
      </c>
      <c r="AC43" s="16"/>
      <c r="AE43"/>
      <c r="AF43"/>
      <c r="AG43"/>
    </row>
    <row r="44" spans="2:65" x14ac:dyDescent="0.25">
      <c r="Z44"/>
      <c r="AA44" s="305"/>
      <c r="AB44" s="16"/>
      <c r="AC44" s="300" t="s">
        <v>557</v>
      </c>
      <c r="AD44" s="301">
        <f>$E$41-$E$35</f>
        <v>136.6</v>
      </c>
      <c r="AE44" s="302">
        <f>AD44*AC33</f>
        <v>2.3841197582242541</v>
      </c>
      <c r="AF44"/>
      <c r="AG44"/>
    </row>
    <row r="45" spans="2:65" x14ac:dyDescent="0.25">
      <c r="E45" s="1018" t="s">
        <v>580</v>
      </c>
      <c r="F45" s="1018"/>
      <c r="G45" s="1018"/>
      <c r="H45" s="1018"/>
      <c r="I45" s="1018"/>
      <c r="J45" s="1018"/>
      <c r="K45" s="1018"/>
      <c r="L45" s="1018"/>
      <c r="M45" s="1018"/>
      <c r="N45" s="1018"/>
      <c r="O45" s="1018"/>
      <c r="P45" s="1018"/>
      <c r="Q45" s="1018"/>
      <c r="R45" s="1018"/>
      <c r="S45" s="1018"/>
      <c r="U45" s="1074" t="s">
        <v>197</v>
      </c>
      <c r="V45" s="1075"/>
      <c r="W45" s="1075"/>
      <c r="X45" s="1076"/>
      <c r="AB45" s="16"/>
      <c r="AC45" s="277" t="s">
        <v>558</v>
      </c>
      <c r="AD45" s="297">
        <f>$E$39-$E$33</f>
        <v>-0.10000000000000142</v>
      </c>
      <c r="AE45" s="299" t="s">
        <v>572</v>
      </c>
      <c r="AF45" s="299" t="s">
        <v>573</v>
      </c>
      <c r="AG45" s="299" t="s">
        <v>574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1017" t="s">
        <v>579</v>
      </c>
      <c r="C46" s="1017"/>
      <c r="D46" s="16"/>
      <c r="E46" s="1096" t="str" cm="1">
        <f t="array" ref="E46">angleDecimal2Txt(I46,0)</f>
        <v>+90°00.00</v>
      </c>
      <c r="F46" s="1096"/>
      <c r="G46" s="1096"/>
      <c r="H46" s="1096"/>
      <c r="I46" s="958">
        <f>IF(OR(AF57,AE55),AD58,AD41)</f>
        <v>90</v>
      </c>
      <c r="J46" s="958"/>
      <c r="K46" s="958"/>
      <c r="L46" s="959" t="str" cm="1">
        <f t="array" ref="L46">angleDecimal2Txt(I46)</f>
        <v>+90°00.00 (+90.0000) [+90°00'00.00]</v>
      </c>
      <c r="M46" s="959"/>
      <c r="N46" s="959"/>
      <c r="O46" s="959"/>
      <c r="P46" s="959"/>
      <c r="Q46" s="959"/>
      <c r="R46" s="959"/>
      <c r="S46" s="959"/>
      <c r="U46" s="960">
        <f>IF(OR(AF57,AE55),AD59,AD42)</f>
        <v>5371.6598007930643</v>
      </c>
      <c r="V46" s="961"/>
      <c r="W46" s="961"/>
      <c r="X46" s="962"/>
      <c r="AA46" s="15"/>
      <c r="AB46" s="16"/>
      <c r="AC46" s="277" t="s">
        <v>565</v>
      </c>
      <c r="AD46" s="298">
        <f>AG46</f>
        <v>0.98647087183363136</v>
      </c>
      <c r="AE46" s="299">
        <f>PI()/4 + E33*$AC$33/2</f>
        <v>1.2138764947620562</v>
      </c>
      <c r="AF46" s="299">
        <f>TAN(AE46)</f>
        <v>2.6817535005930826</v>
      </c>
      <c r="AG46" s="299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1017"/>
      <c r="C47" s="1017"/>
      <c r="D47" s="16"/>
      <c r="E47" s="1096"/>
      <c r="F47" s="1096"/>
      <c r="G47" s="1096"/>
      <c r="H47" s="1096"/>
      <c r="I47" s="958"/>
      <c r="J47" s="958"/>
      <c r="K47" s="958"/>
      <c r="L47" s="959"/>
      <c r="M47" s="959"/>
      <c r="N47" s="959"/>
      <c r="O47" s="959"/>
      <c r="P47" s="959"/>
      <c r="Q47" s="959"/>
      <c r="R47" s="959"/>
      <c r="S47" s="959"/>
      <c r="U47" s="963"/>
      <c r="V47" s="964"/>
      <c r="W47" s="964"/>
      <c r="X47" s="965"/>
      <c r="AA47" s="15"/>
      <c r="AB47" s="16"/>
      <c r="AC47" s="277" t="s">
        <v>564</v>
      </c>
      <c r="AD47" s="298">
        <f>AG47</f>
        <v>0.98380787273879144</v>
      </c>
      <c r="AE47" s="299">
        <f>PI()/4 + E39*$AC$33/2</f>
        <v>1.2130038301360591</v>
      </c>
      <c r="AF47" s="299">
        <f>TAN(AE47)</f>
        <v>2.674621493926824</v>
      </c>
      <c r="AG47" s="299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16"/>
      <c r="AC48" s="277" t="s">
        <v>566</v>
      </c>
      <c r="AD48" s="298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973" t="s">
        <v>563</v>
      </c>
      <c r="C49" s="973"/>
      <c r="E49" s="1096" t="str" cm="1">
        <f t="array" ref="E49">angleDecimal2Txt(I49,0)</f>
        <v>+90°03.83</v>
      </c>
      <c r="F49" s="1096"/>
      <c r="G49" s="1096"/>
      <c r="H49" s="1096"/>
      <c r="I49" s="958">
        <f>AD52</f>
        <v>90.063997852876852</v>
      </c>
      <c r="J49" s="958"/>
      <c r="K49" s="958"/>
      <c r="L49" s="959" t="str" cm="1">
        <f t="array" ref="L49">angleDecimal2Txt(I49)</f>
        <v>+90°03.83 (+90.0639) [+90°03'50.39]</v>
      </c>
      <c r="M49" s="959"/>
      <c r="N49" s="959"/>
      <c r="O49" s="959"/>
      <c r="P49" s="959"/>
      <c r="Q49" s="959"/>
      <c r="R49" s="959"/>
      <c r="S49" s="959"/>
      <c r="T49" s="1"/>
      <c r="U49" s="960">
        <f>AD53</f>
        <v>5371.6606590521533</v>
      </c>
      <c r="V49" s="961"/>
      <c r="W49" s="961"/>
      <c r="X49" s="962"/>
      <c r="AB49" s="16"/>
      <c r="AC49" s="296" t="s">
        <v>578</v>
      </c>
      <c r="AD49" s="278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973"/>
      <c r="C50" s="973"/>
      <c r="E50" s="1096"/>
      <c r="F50" s="1096"/>
      <c r="G50" s="1096"/>
      <c r="H50" s="1096"/>
      <c r="I50" s="958"/>
      <c r="J50" s="958"/>
      <c r="K50" s="958"/>
      <c r="L50" s="959"/>
      <c r="M50" s="959"/>
      <c r="N50" s="959"/>
      <c r="O50" s="959"/>
      <c r="P50" s="959"/>
      <c r="Q50" s="959"/>
      <c r="R50" s="959"/>
      <c r="S50" s="959"/>
      <c r="T50" s="1"/>
      <c r="U50" s="963"/>
      <c r="V50" s="964"/>
      <c r="W50" s="964"/>
      <c r="X50" s="965"/>
      <c r="AA50" s="15"/>
      <c r="AB50" s="16"/>
      <c r="AC50" s="293" t="s">
        <v>569</v>
      </c>
      <c r="AD50" s="288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5"/>
      <c r="AB51" s="16"/>
      <c r="AC51" s="293" t="s">
        <v>570</v>
      </c>
      <c r="AD51" s="293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/>
      <c r="AC52" s="293" t="s">
        <v>199</v>
      </c>
      <c r="AD52" s="293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x14ac:dyDescent="0.25">
      <c r="AB53"/>
      <c r="AC53" s="293" t="s">
        <v>562</v>
      </c>
      <c r="AD53" s="293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 x14ac:dyDescent="0.25">
      <c r="AB54" s="291" t="s">
        <v>571</v>
      </c>
      <c r="AC54"/>
      <c r="AD54"/>
      <c r="AE54" t="s">
        <v>576</v>
      </c>
      <c r="AF54" t="s">
        <v>577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 x14ac:dyDescent="0.25">
      <c r="AB55"/>
      <c r="AC55" s="306" t="s">
        <v>575</v>
      </c>
      <c r="AD55" s="304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 x14ac:dyDescent="0.25">
      <c r="AB56"/>
      <c r="AC56" s="306" t="s">
        <v>557</v>
      </c>
      <c r="AD56" s="301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 x14ac:dyDescent="0.25">
      <c r="AB57"/>
      <c r="AC57" s="303" t="s">
        <v>578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 x14ac:dyDescent="0.25">
      <c r="AB58"/>
      <c r="AC58" s="293" t="s">
        <v>199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 x14ac:dyDescent="0.25">
      <c r="E59" s="1018" t="s">
        <v>581</v>
      </c>
      <c r="F59" s="1018"/>
      <c r="G59" s="1018"/>
      <c r="H59" s="1018"/>
      <c r="I59" s="1018"/>
      <c r="J59" s="1018"/>
      <c r="K59" s="1018"/>
      <c r="L59" s="1018"/>
      <c r="M59" s="1018"/>
      <c r="N59" s="1018"/>
      <c r="O59" s="1018"/>
      <c r="P59" s="1018"/>
      <c r="Q59" s="1018"/>
      <c r="R59" s="1018"/>
      <c r="S59" s="1018"/>
      <c r="U59" s="1074" t="s">
        <v>197</v>
      </c>
      <c r="V59" s="1075"/>
      <c r="W59" s="1075"/>
      <c r="X59" s="1076"/>
      <c r="AB59"/>
      <c r="AC59" s="307" t="s">
        <v>562</v>
      </c>
      <c r="AD59" s="307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 x14ac:dyDescent="0.25">
      <c r="B60" s="1017" t="s">
        <v>563</v>
      </c>
      <c r="C60" s="1017"/>
      <c r="E60" s="1096" t="str" cm="1">
        <f t="array" ref="E60">angleDecimal2Txt(I60,0)</f>
        <v>+67°43.11</v>
      </c>
      <c r="F60" s="1096"/>
      <c r="G60" s="1096"/>
      <c r="H60" s="1096"/>
      <c r="I60" s="958">
        <f>AD66</f>
        <v>67.718563531590618</v>
      </c>
      <c r="J60" s="958"/>
      <c r="K60" s="958"/>
      <c r="L60" s="959" t="str" cm="1">
        <f t="array" ref="L60">angleDecimal2Txt(I60)</f>
        <v>+67°43.11 (+67.7185) [+67°43'06.82]</v>
      </c>
      <c r="M60" s="959"/>
      <c r="N60" s="959"/>
      <c r="O60" s="959"/>
      <c r="P60" s="959"/>
      <c r="Q60" s="959"/>
      <c r="R60" s="959"/>
      <c r="S60" s="959"/>
      <c r="T60" s="1"/>
      <c r="U60" s="960">
        <f>AD64</f>
        <v>4501.6667210167871</v>
      </c>
      <c r="V60" s="961"/>
      <c r="W60" s="961"/>
      <c r="X60" s="962"/>
      <c r="AB60" s="291" t="s">
        <v>582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 x14ac:dyDescent="0.25">
      <c r="B61" s="1017"/>
      <c r="C61" s="1017"/>
      <c r="E61" s="1096"/>
      <c r="F61" s="1096"/>
      <c r="G61" s="1096"/>
      <c r="H61" s="1096"/>
      <c r="I61" s="958"/>
      <c r="J61" s="958"/>
      <c r="K61" s="958"/>
      <c r="L61" s="959"/>
      <c r="M61" s="959"/>
      <c r="N61" s="959"/>
      <c r="O61" s="959"/>
      <c r="P61" s="959"/>
      <c r="Q61" s="959"/>
      <c r="R61" s="959"/>
      <c r="S61" s="959"/>
      <c r="T61" s="1"/>
      <c r="U61" s="963"/>
      <c r="V61" s="964"/>
      <c r="W61" s="964"/>
      <c r="X61" s="965"/>
      <c r="AB61"/>
      <c r="AC61" t="s">
        <v>583</v>
      </c>
      <c r="AD61" s="304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 x14ac:dyDescent="0.25">
      <c r="AB62"/>
      <c r="AC62" t="s">
        <v>584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 x14ac:dyDescent="0.25">
      <c r="AB63"/>
      <c r="AC63" s="16" t="s">
        <v>206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 x14ac:dyDescent="0.25">
      <c r="AB64"/>
      <c r="AC64" s="308" t="s">
        <v>586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 x14ac:dyDescent="0.25">
      <c r="AB65"/>
      <c r="AC65" t="s">
        <v>585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 x14ac:dyDescent="0.3">
      <c r="AB66"/>
      <c r="AC66" s="3" t="s">
        <v>587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 x14ac:dyDescent="0.3">
      <c r="B67" s="10" t="s">
        <v>198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94"/>
      <c r="AB67" s="295"/>
      <c r="AC67" s="295"/>
      <c r="AD67" s="294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 x14ac:dyDescent="0.3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966" t="s">
        <v>196</v>
      </c>
      <c r="D69" s="1019" t="s">
        <v>51</v>
      </c>
      <c r="E69" s="989" cm="1">
        <f t="array" ref="E69">angleConvert2Decimal(I69)*VLOOKUP(H69,D16:F17,3)</f>
        <v>40.016666666666666</v>
      </c>
      <c r="F69" s="989"/>
      <c r="G69" s="990"/>
      <c r="H69" s="1062" t="s">
        <v>4</v>
      </c>
      <c r="I69" s="1064" t="s">
        <v>554</v>
      </c>
      <c r="J69" s="1065"/>
      <c r="K69" s="1065"/>
      <c r="L69" s="1065"/>
      <c r="M69" s="1066"/>
      <c r="N69" s="977" t="str" cm="1">
        <f t="array" ref="N69">angleDecimal2Txt(E69)</f>
        <v>+40°01.00 (+40.0166) [+40°01'00.00]</v>
      </c>
      <c r="O69" s="977"/>
      <c r="P69" s="977"/>
      <c r="Q69" s="977"/>
      <c r="R69" s="977"/>
      <c r="S69" s="977"/>
      <c r="T69" s="977"/>
      <c r="U69" s="977"/>
      <c r="V69" s="977"/>
      <c r="W69" s="978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984"/>
      <c r="D70" s="1020"/>
      <c r="E70" s="991"/>
      <c r="F70" s="991"/>
      <c r="G70" s="992"/>
      <c r="H70" s="1063"/>
      <c r="I70" s="1067"/>
      <c r="J70" s="1068"/>
      <c r="K70" s="1068"/>
      <c r="L70" s="1068"/>
      <c r="M70" s="1069"/>
      <c r="N70" s="979"/>
      <c r="O70" s="979"/>
      <c r="P70" s="979"/>
      <c r="Q70" s="979"/>
      <c r="R70" s="979"/>
      <c r="S70" s="979"/>
      <c r="T70" s="979"/>
      <c r="U70" s="979"/>
      <c r="V70" s="979"/>
      <c r="W70" s="980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 x14ac:dyDescent="0.25">
      <c r="C71" s="984"/>
      <c r="D71" s="1020" t="s">
        <v>52</v>
      </c>
      <c r="E71" s="989" cm="1">
        <f t="array" ref="E71">angleConvert2Decimal(I71)*VLOOKUP(H71,E16:F18,2)</f>
        <v>5.7166666666666668</v>
      </c>
      <c r="F71" s="989"/>
      <c r="G71" s="990"/>
      <c r="H71" s="993" t="s">
        <v>6</v>
      </c>
      <c r="I71" s="995" t="s">
        <v>555</v>
      </c>
      <c r="J71" s="996"/>
      <c r="K71" s="996"/>
      <c r="L71" s="996"/>
      <c r="M71" s="997"/>
      <c r="N71" s="977" t="str" cm="1">
        <f t="array" ref="N71">angleDecimal2Txt(E71)</f>
        <v>+05°43.00 (+05.7166) [+05°43'00.00]</v>
      </c>
      <c r="O71" s="977"/>
      <c r="P71" s="977"/>
      <c r="Q71" s="977"/>
      <c r="R71" s="977"/>
      <c r="S71" s="977"/>
      <c r="T71" s="977"/>
      <c r="U71" s="977"/>
      <c r="V71" s="977"/>
      <c r="W71" s="978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 x14ac:dyDescent="0.3">
      <c r="C72" s="985"/>
      <c r="D72" s="1021"/>
      <c r="E72" s="991"/>
      <c r="F72" s="991"/>
      <c r="G72" s="992"/>
      <c r="H72" s="994"/>
      <c r="I72" s="998"/>
      <c r="J72" s="999"/>
      <c r="K72" s="999"/>
      <c r="L72" s="999"/>
      <c r="M72" s="1000"/>
      <c r="N72" s="979"/>
      <c r="O72" s="979"/>
      <c r="P72" s="979"/>
      <c r="Q72" s="979"/>
      <c r="R72" s="979"/>
      <c r="S72" s="979"/>
      <c r="T72" s="979"/>
      <c r="U72" s="979"/>
      <c r="V72" s="979"/>
      <c r="W72" s="980"/>
      <c r="AA72" s="15"/>
      <c r="AB72" t="s">
        <v>589</v>
      </c>
      <c r="AC72">
        <f>F75*K15</f>
        <v>2.0943951023931953</v>
      </c>
      <c r="AD72" t="s">
        <v>136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 x14ac:dyDescent="0.25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562</v>
      </c>
      <c r="AC73">
        <f>F77*F79/60</f>
        <v>0.33333333333333331</v>
      </c>
      <c r="AD73" t="s">
        <v>100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 x14ac:dyDescent="0.3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966" t="s">
        <v>201</v>
      </c>
      <c r="D75" s="971" t="s">
        <v>202</v>
      </c>
      <c r="E75" s="972"/>
      <c r="F75" s="987">
        <v>120</v>
      </c>
      <c r="G75" s="988"/>
      <c r="H75" s="988"/>
      <c r="I75" s="1024">
        <v>120</v>
      </c>
      <c r="J75" s="1024"/>
      <c r="K75" s="1024"/>
      <c r="L75" s="1024"/>
      <c r="M75" s="1024"/>
      <c r="N75" s="977" t="str" cm="1">
        <f t="array" ref="N75">angleDecimal2Txt(F75)</f>
        <v>+120°00.00 (+120.0000) [+120°00'00.00]</v>
      </c>
      <c r="O75" s="977"/>
      <c r="P75" s="977"/>
      <c r="Q75" s="977"/>
      <c r="R75" s="977"/>
      <c r="S75" s="977"/>
      <c r="T75" s="977"/>
      <c r="U75" s="977"/>
      <c r="V75" s="977"/>
      <c r="W75" s="978"/>
      <c r="AA75" s="15"/>
      <c r="AB75" t="s">
        <v>590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967"/>
      <c r="D76" s="973"/>
      <c r="E76" s="974"/>
      <c r="F76" s="987"/>
      <c r="G76" s="988"/>
      <c r="H76" s="988"/>
      <c r="I76" s="1024"/>
      <c r="J76" s="1024"/>
      <c r="K76" s="1024"/>
      <c r="L76" s="1024"/>
      <c r="M76" s="1024"/>
      <c r="N76" s="979"/>
      <c r="O76" s="979"/>
      <c r="P76" s="979"/>
      <c r="Q76" s="979"/>
      <c r="R76" s="979"/>
      <c r="S76" s="979"/>
      <c r="T76" s="979"/>
      <c r="U76" s="979"/>
      <c r="V76" s="979"/>
      <c r="W76" s="980"/>
      <c r="AA76" s="15"/>
      <c r="AB76" t="s">
        <v>591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 x14ac:dyDescent="0.25">
      <c r="C77" s="967"/>
      <c r="D77" s="973" t="s">
        <v>201</v>
      </c>
      <c r="E77" s="974"/>
      <c r="F77" s="987">
        <f>I77</f>
        <v>10</v>
      </c>
      <c r="G77" s="988"/>
      <c r="H77" s="988"/>
      <c r="I77" s="1024">
        <v>10</v>
      </c>
      <c r="J77" s="1024"/>
      <c r="K77" s="1024"/>
      <c r="L77" s="1024"/>
      <c r="M77" s="1024"/>
      <c r="N77" s="1097"/>
      <c r="O77" s="1097"/>
      <c r="P77" s="1097"/>
      <c r="Q77" s="1097"/>
      <c r="R77" s="1097"/>
      <c r="S77" s="1097"/>
      <c r="T77" s="1097"/>
      <c r="U77" s="1097"/>
      <c r="V77" s="1097"/>
      <c r="W77" s="1097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 x14ac:dyDescent="0.3">
      <c r="C78" s="967"/>
      <c r="D78" s="973"/>
      <c r="E78" s="974"/>
      <c r="F78" s="987"/>
      <c r="G78" s="988"/>
      <c r="H78" s="988"/>
      <c r="I78" s="1024"/>
      <c r="J78" s="1024"/>
      <c r="K78" s="1024"/>
      <c r="L78" s="1024"/>
      <c r="M78" s="1024"/>
      <c r="N78" s="1097"/>
      <c r="O78" s="1097"/>
      <c r="P78" s="1097"/>
      <c r="Q78" s="1097"/>
      <c r="R78" s="1097"/>
      <c r="S78" s="1097"/>
      <c r="T78" s="1097"/>
      <c r="U78" s="1097"/>
      <c r="V78" s="1097"/>
      <c r="W78" s="1097"/>
      <c r="AA78" s="15"/>
      <c r="AB78" s="1" t="s">
        <v>216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 x14ac:dyDescent="0.25">
      <c r="C79" s="967"/>
      <c r="D79" s="973" t="s">
        <v>204</v>
      </c>
      <c r="E79" s="974"/>
      <c r="F79" s="987">
        <v>2</v>
      </c>
      <c r="G79" s="988"/>
      <c r="H79" s="988"/>
      <c r="I79" s="986" t="s">
        <v>588</v>
      </c>
      <c r="J79" s="986"/>
      <c r="K79" s="986"/>
      <c r="L79" s="986"/>
      <c r="M79" s="986"/>
      <c r="N79" s="977" t="str" cm="1">
        <f t="array" ref="N79">heureDecimal2Txt(F79)</f>
        <v>02:00:00.00(02.0000)</v>
      </c>
      <c r="O79" s="977"/>
      <c r="P79" s="977"/>
      <c r="Q79" s="977"/>
      <c r="R79" s="977"/>
      <c r="S79" s="977"/>
      <c r="T79" s="977"/>
      <c r="U79" s="977"/>
      <c r="V79" s="977"/>
      <c r="W79" s="978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968"/>
      <c r="D80" s="1001"/>
      <c r="E80" s="1002"/>
      <c r="F80" s="987"/>
      <c r="G80" s="988"/>
      <c r="H80" s="988"/>
      <c r="I80" s="986"/>
      <c r="J80" s="986"/>
      <c r="K80" s="986"/>
      <c r="L80" s="986"/>
      <c r="M80" s="986"/>
      <c r="N80" s="979"/>
      <c r="O80" s="979"/>
      <c r="P80" s="979"/>
      <c r="Q80" s="979"/>
      <c r="R80" s="979"/>
      <c r="S80" s="979"/>
      <c r="T80" s="979"/>
      <c r="U80" s="979"/>
      <c r="V80" s="979"/>
      <c r="W80" s="9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38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 x14ac:dyDescent="0.25">
      <c r="C83" s="38"/>
      <c r="D83" s="16"/>
      <c r="F83" s="981" t="s">
        <v>203</v>
      </c>
      <c r="G83" s="982"/>
      <c r="H83" s="982"/>
      <c r="I83" s="982"/>
      <c r="J83" s="982"/>
      <c r="K83" s="982"/>
      <c r="L83" s="982"/>
      <c r="M83" s="982"/>
      <c r="N83" s="982"/>
      <c r="O83" s="982"/>
      <c r="P83" s="982"/>
      <c r="Q83" s="982"/>
      <c r="R83" s="982"/>
      <c r="S83" s="982"/>
      <c r="T83" s="982"/>
      <c r="U83" s="982"/>
      <c r="V83" s="982"/>
      <c r="W83" s="982"/>
      <c r="X83" s="982"/>
      <c r="Y83" s="983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 x14ac:dyDescent="0.25">
      <c r="F84" s="1022" t="s">
        <v>51</v>
      </c>
      <c r="G84" s="969">
        <f>E69+F77*F79*COS(F75*K15)/60</f>
        <v>39.85</v>
      </c>
      <c r="H84" s="969"/>
      <c r="I84" s="969"/>
      <c r="J84" s="969"/>
      <c r="K84" s="969"/>
      <c r="L84" s="969"/>
      <c r="M84" s="969"/>
      <c r="N84" s="969"/>
      <c r="O84" s="969"/>
      <c r="P84" s="1098" t="str" cm="1">
        <f t="array" ref="P84">angleDecimal2Txt(G84)</f>
        <v>+39°51.00 (+39.8500) [+39°51'00.00]</v>
      </c>
      <c r="Q84" s="1098"/>
      <c r="R84" s="1098"/>
      <c r="S84" s="1098"/>
      <c r="T84" s="1098"/>
      <c r="U84" s="1098"/>
      <c r="V84" s="1098"/>
      <c r="W84" s="1098"/>
      <c r="X84" s="1098"/>
      <c r="Y84" s="1099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23"/>
      <c r="G85" s="969"/>
      <c r="H85" s="969"/>
      <c r="I85" s="969"/>
      <c r="J85" s="969"/>
      <c r="K85" s="969"/>
      <c r="L85" s="969"/>
      <c r="M85" s="969"/>
      <c r="N85" s="969"/>
      <c r="O85" s="969"/>
      <c r="P85" s="979"/>
      <c r="Q85" s="979"/>
      <c r="R85" s="979"/>
      <c r="S85" s="979"/>
      <c r="T85" s="979"/>
      <c r="U85" s="979"/>
      <c r="V85" s="979"/>
      <c r="W85" s="979"/>
      <c r="X85" s="979"/>
      <c r="Y85" s="980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975" t="s">
        <v>52</v>
      </c>
      <c r="G86" s="970">
        <f>AC78</f>
        <v>6.0931379837585844</v>
      </c>
      <c r="H86" s="969"/>
      <c r="I86" s="969"/>
      <c r="J86" s="969"/>
      <c r="K86" s="969"/>
      <c r="L86" s="969"/>
      <c r="M86" s="969"/>
      <c r="N86" s="969"/>
      <c r="O86" s="969"/>
      <c r="P86" s="977" t="str" cm="1">
        <f t="array" ref="P86">angleDecimal2Txt(G86)</f>
        <v>+06°05.58 (+06.0931) [+06°05'35.29]</v>
      </c>
      <c r="Q86" s="977"/>
      <c r="R86" s="977"/>
      <c r="S86" s="977"/>
      <c r="T86" s="977"/>
      <c r="U86" s="977"/>
      <c r="V86" s="977"/>
      <c r="W86" s="977"/>
      <c r="X86" s="977"/>
      <c r="Y86" s="978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976"/>
      <c r="G87" s="969"/>
      <c r="H87" s="969"/>
      <c r="I87" s="969"/>
      <c r="J87" s="969"/>
      <c r="K87" s="969"/>
      <c r="L87" s="969"/>
      <c r="M87" s="969"/>
      <c r="N87" s="969"/>
      <c r="O87" s="969"/>
      <c r="P87" s="979"/>
      <c r="Q87" s="979"/>
      <c r="R87" s="979"/>
      <c r="S87" s="979"/>
      <c r="T87" s="979"/>
      <c r="U87" s="979"/>
      <c r="V87" s="979"/>
      <c r="W87" s="979"/>
      <c r="X87" s="979"/>
      <c r="Y87" s="980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x14ac:dyDescent="0.25">
      <c r="F89" s="63" t="s">
        <v>558</v>
      </c>
      <c r="G89" s="63"/>
      <c r="H89" s="1015">
        <f>G84-E69</f>
        <v>-0.1666666666666643</v>
      </c>
      <c r="I89" s="1016"/>
      <c r="J89" s="1016" t="str" cm="1">
        <f t="array" ref="J89">angleDecimal2Txt(H89)</f>
        <v>-00°09.99 (-00.1666) [-00°09'59.99]</v>
      </c>
      <c r="K89" s="1016"/>
      <c r="L89" s="1016"/>
      <c r="M89" s="1016"/>
      <c r="N89" s="1016"/>
      <c r="O89" s="1016"/>
      <c r="AB89"/>
      <c r="AC89"/>
      <c r="AD89"/>
    </row>
    <row r="90" spans="2:61" x14ac:dyDescent="0.25">
      <c r="F90" s="63" t="s">
        <v>592</v>
      </c>
      <c r="G90" s="63"/>
      <c r="H90" s="1015">
        <f>G86-E71</f>
        <v>0.37647131709191761</v>
      </c>
      <c r="I90" s="1016"/>
      <c r="J90" s="1016" t="str" cm="1">
        <f t="array" ref="J90">angleDecimal2Txt(H90)</f>
        <v>+00°22.58 (+00.3764) [+00°22'35.29]</v>
      </c>
      <c r="K90" s="1016"/>
      <c r="L90" s="1016"/>
      <c r="M90" s="1016"/>
      <c r="N90" s="1016"/>
      <c r="O90" s="1016"/>
      <c r="AB90"/>
      <c r="AC90"/>
      <c r="AD90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0" t="s">
        <v>611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90"/>
      <c r="AC94" s="29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 x14ac:dyDescent="0.3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16"/>
      <c r="C96" s="1078" t="s">
        <v>23</v>
      </c>
      <c r="D96" s="1079"/>
      <c r="E96" s="1079"/>
      <c r="F96" s="1079"/>
      <c r="G96" s="1079"/>
      <c r="H96" s="1080"/>
      <c r="I96" s="1084">
        <f>AB96</f>
        <v>-0.05</v>
      </c>
      <c r="J96" s="1085"/>
      <c r="K96" s="1085"/>
      <c r="L96" s="1086" t="s">
        <v>247</v>
      </c>
      <c r="M96" s="1087"/>
      <c r="N96" s="1087"/>
      <c r="O96" s="1012">
        <f>AB96</f>
        <v>-0.05</v>
      </c>
      <c r="P96" s="1012"/>
      <c r="Q96" s="1012"/>
      <c r="R96" s="1012"/>
      <c r="S96" s="1012"/>
      <c r="T96" s="1012"/>
      <c r="U96" s="1012"/>
      <c r="V96" s="1012"/>
      <c r="W96" s="1012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09" t="s">
        <v>33</v>
      </c>
      <c r="D97" s="1009"/>
      <c r="E97" s="1009"/>
      <c r="F97" s="1009"/>
      <c r="G97" s="1009"/>
      <c r="H97" s="1009"/>
      <c r="I97" s="1010">
        <f>AB97</f>
        <v>2.5833333333333335</v>
      </c>
      <c r="J97" s="1011"/>
      <c r="K97" s="1011"/>
      <c r="L97" s="1081" t="s">
        <v>610</v>
      </c>
      <c r="M97" s="1082"/>
      <c r="N97" s="1083"/>
      <c r="O97" s="1012">
        <f>AB97</f>
        <v>2.5833333333333335</v>
      </c>
      <c r="P97" s="1012"/>
      <c r="Q97" s="1012"/>
      <c r="R97" s="1012"/>
      <c r="S97" s="1012"/>
      <c r="T97" s="1012"/>
      <c r="U97" s="1012"/>
      <c r="V97" s="1012"/>
      <c r="W97" s="1012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09" t="s">
        <v>255</v>
      </c>
      <c r="D98" s="1009"/>
      <c r="E98" s="1009"/>
      <c r="F98" s="1009"/>
      <c r="G98" s="1009"/>
      <c r="H98" s="1009"/>
      <c r="I98" s="1010">
        <f>AB98</f>
        <v>2.5333333333333337</v>
      </c>
      <c r="J98" s="1011"/>
      <c r="K98" s="1011"/>
      <c r="L98" s="1081" t="s">
        <v>610</v>
      </c>
      <c r="M98" s="1082"/>
      <c r="N98" s="1083"/>
      <c r="O98" s="1012" t="str" cm="1">
        <f t="array" ref="O98">angleDecimal2Txt(AC98)</f>
        <v>+00°00.00 (+00.0000) [+00°00'00.00]</v>
      </c>
      <c r="P98" s="1012"/>
      <c r="Q98" s="1012"/>
      <c r="R98" s="1012"/>
      <c r="S98" s="1012"/>
      <c r="T98" s="1012"/>
      <c r="U98" s="1012"/>
      <c r="V98" s="1012"/>
      <c r="W98" s="1012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09" t="s">
        <v>256</v>
      </c>
      <c r="D99" s="1009"/>
      <c r="E99" s="1009"/>
      <c r="F99" s="1009"/>
      <c r="G99" s="1009"/>
      <c r="H99" s="1009"/>
      <c r="I99" s="1010">
        <v>13</v>
      </c>
      <c r="J99" s="1011"/>
      <c r="K99" s="1011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 x14ac:dyDescent="0.25">
      <c r="AA100" s="16"/>
      <c r="AB100" s="16"/>
      <c r="AC100" s="16"/>
    </row>
    <row r="101" spans="1:60" ht="17.25" customHeight="1" x14ac:dyDescent="0.25">
      <c r="AA101" s="16"/>
      <c r="AB101" s="16"/>
      <c r="AC101" s="16"/>
    </row>
    <row r="102" spans="1:60" ht="17.25" customHeight="1" x14ac:dyDescent="0.25">
      <c r="I102" s="1077" t="s">
        <v>257</v>
      </c>
      <c r="J102" s="1077"/>
      <c r="K102" s="1077"/>
      <c r="L102" s="1077">
        <f>I99/TAN(I98*PI()/180)</f>
        <v>293.82619257974028</v>
      </c>
      <c r="M102" s="1077"/>
      <c r="AA102" s="16"/>
      <c r="AB102" s="16"/>
      <c r="AC102" s="16"/>
    </row>
    <row r="103" spans="1:60" ht="17.25" customHeight="1" x14ac:dyDescent="0.25">
      <c r="I103" s="1077" t="s">
        <v>197</v>
      </c>
      <c r="J103" s="1077"/>
      <c r="K103" s="1077"/>
      <c r="L103" s="1077">
        <f>L102/1852</f>
        <v>0.15865345171692238</v>
      </c>
      <c r="M103" s="1077"/>
      <c r="AA103" s="16"/>
      <c r="AB103" s="16"/>
      <c r="AC103" s="16"/>
    </row>
    <row r="104" spans="1:60" ht="17.25" customHeight="1" x14ac:dyDescent="0.25">
      <c r="AA104" s="16"/>
      <c r="AB104" s="16"/>
      <c r="AC104" s="16"/>
    </row>
    <row r="105" spans="1:60" ht="17.25" customHeight="1" x14ac:dyDescent="0.25">
      <c r="AA105" s="16"/>
      <c r="AB105" s="16"/>
      <c r="AC105" s="16"/>
    </row>
    <row r="106" spans="1:60" x14ac:dyDescent="0.25">
      <c r="AA106" s="16"/>
      <c r="AB106" s="16"/>
      <c r="AC106" s="16"/>
    </row>
    <row r="107" spans="1:60" ht="15.75" thickBot="1" x14ac:dyDescent="0.3">
      <c r="AA107" s="16"/>
      <c r="AB107" s="16"/>
      <c r="AC107" s="16"/>
    </row>
    <row r="108" spans="1:60" ht="15.75" thickBot="1" x14ac:dyDescent="0.3">
      <c r="A108" s="1"/>
      <c r="B108" s="10" t="s">
        <v>593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 x14ac:dyDescent="0.25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 x14ac:dyDescent="0.35">
      <c r="A110" s="1"/>
      <c r="C110"/>
      <c r="D110"/>
      <c r="E110" s="299" t="s">
        <v>159</v>
      </c>
      <c r="F110" s="299" t="s">
        <v>597</v>
      </c>
      <c r="G110" s="299" t="s">
        <v>53</v>
      </c>
      <c r="H110"/>
      <c r="I110"/>
      <c r="J110"/>
      <c r="K110"/>
      <c r="L110" s="42"/>
      <c r="M110"/>
      <c r="N110"/>
      <c r="O110"/>
      <c r="P110" t="s">
        <v>185</v>
      </c>
      <c r="Q110" t="s">
        <v>598</v>
      </c>
      <c r="R110" t="s">
        <v>599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 x14ac:dyDescent="0.25">
      <c r="A111" s="1"/>
      <c r="B111" s="1"/>
      <c r="C111"/>
      <c r="D111"/>
      <c r="E111" s="299">
        <v>23.13</v>
      </c>
      <c r="F111" s="299">
        <v>27.25</v>
      </c>
      <c r="G111" s="299">
        <v>328.93</v>
      </c>
      <c r="H111"/>
      <c r="I111" s="312" t="s">
        <v>595</v>
      </c>
      <c r="J111" s="312">
        <f>SIN(E112)*SIN(F112)+COS(E112)*COS(G112)*COS(F112)</f>
        <v>0.88012731306072611</v>
      </c>
      <c r="K111"/>
      <c r="L111" s="310" t="s">
        <v>594</v>
      </c>
      <c r="M111" s="311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 x14ac:dyDescent="0.25">
      <c r="A112" s="1"/>
      <c r="B112" s="1"/>
      <c r="C112"/>
      <c r="D112"/>
      <c r="E112" s="313">
        <f>E111*$K$15</f>
        <v>0.4036946559862884</v>
      </c>
      <c r="F112" s="313">
        <f>F111*$K$15</f>
        <v>0.4756022211684548</v>
      </c>
      <c r="G112" s="313">
        <f>G111*$K$15</f>
        <v>5.740911508584948</v>
      </c>
      <c r="H112"/>
      <c r="I112"/>
      <c r="J112"/>
      <c r="K112"/>
      <c r="L112" s="309"/>
      <c r="M112" s="312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 x14ac:dyDescent="0.25">
      <c r="A113" s="1"/>
      <c r="B113" s="1"/>
      <c r="C113"/>
      <c r="D113"/>
      <c r="E113"/>
      <c r="F113"/>
      <c r="G113"/>
      <c r="H113"/>
      <c r="I113" s="312" t="s">
        <v>596</v>
      </c>
      <c r="J113" s="312">
        <f>((SIN(E112)-SIN(F112)*SIN(M112))/(COS(F112)*COS(M112)))</f>
        <v>-2.4093493424369321E-2</v>
      </c>
      <c r="K113"/>
      <c r="L113" s="63" t="s">
        <v>169</v>
      </c>
      <c r="M113" s="63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 x14ac:dyDescent="0.25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 x14ac:dyDescent="0.25">
      <c r="H115"/>
      <c r="I115"/>
      <c r="J115"/>
      <c r="K115"/>
      <c r="L115"/>
      <c r="M115"/>
      <c r="N115"/>
      <c r="AA115" s="16"/>
      <c r="AB115" s="16"/>
      <c r="AC115" s="16"/>
    </row>
    <row r="116" spans="1:29" x14ac:dyDescent="0.25">
      <c r="H116"/>
      <c r="I116"/>
      <c r="J116"/>
      <c r="K116"/>
      <c r="L116"/>
      <c r="M116"/>
      <c r="N116"/>
      <c r="AA116" s="16"/>
    </row>
    <row r="117" spans="1:29" ht="15.75" thickBot="1" x14ac:dyDescent="0.3">
      <c r="H117"/>
      <c r="I117"/>
      <c r="J117"/>
      <c r="K117"/>
      <c r="L117"/>
      <c r="M117"/>
      <c r="N117"/>
      <c r="AA117" s="16"/>
    </row>
    <row r="118" spans="1:29" s="209" customFormat="1" ht="13.5" thickBot="1" x14ac:dyDescent="0.25">
      <c r="B118" s="135" t="s">
        <v>649</v>
      </c>
      <c r="C118" s="136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342"/>
      <c r="AB118" s="236"/>
      <c r="AC118" s="236"/>
    </row>
    <row r="119" spans="1:29" s="209" customFormat="1" ht="12.75" x14ac:dyDescent="0.2">
      <c r="H119" s="101"/>
      <c r="I119" s="101"/>
      <c r="J119" s="101"/>
      <c r="K119" s="101"/>
      <c r="L119" s="101"/>
      <c r="M119" s="101"/>
      <c r="N119" s="101"/>
      <c r="AA119" s="343"/>
      <c r="AB119" s="236"/>
      <c r="AC119" s="236"/>
    </row>
    <row r="120" spans="1:29" s="209" customFormat="1" ht="13.5" thickBot="1" x14ac:dyDescent="0.25">
      <c r="B120" s="209" t="s">
        <v>650</v>
      </c>
      <c r="O120" s="209" t="s">
        <v>651</v>
      </c>
      <c r="AA120" s="343"/>
      <c r="AB120" s="236"/>
      <c r="AC120" s="236"/>
    </row>
    <row r="121" spans="1:29" s="209" customFormat="1" ht="14.25" thickTop="1" thickBot="1" x14ac:dyDescent="0.25">
      <c r="C121" s="1071" t="s">
        <v>16</v>
      </c>
      <c r="D121" s="1071"/>
      <c r="E121" s="1071"/>
      <c r="F121" s="1072" t="s">
        <v>15</v>
      </c>
      <c r="G121" s="1072"/>
      <c r="H121" s="1072"/>
      <c r="I121" s="1073" t="s">
        <v>36</v>
      </c>
      <c r="J121" s="1073"/>
      <c r="K121" s="1073"/>
      <c r="L121" s="1073"/>
      <c r="M121" s="1073"/>
      <c r="N121" s="348"/>
      <c r="O121" s="1106" t="s">
        <v>30</v>
      </c>
      <c r="P121" s="1107"/>
      <c r="Q121" s="1107"/>
      <c r="R121" s="1108"/>
      <c r="S121" s="1109" t="s">
        <v>31</v>
      </c>
      <c r="T121" s="1110"/>
      <c r="U121" s="1111"/>
      <c r="V121" s="1073" t="s">
        <v>36</v>
      </c>
      <c r="W121" s="1073"/>
      <c r="X121" s="1073"/>
      <c r="Y121" s="1073"/>
      <c r="Z121" s="1073"/>
      <c r="AA121" s="343"/>
      <c r="AB121" s="236"/>
      <c r="AC121" s="236"/>
    </row>
    <row r="122" spans="1:29" s="209" customFormat="1" ht="14.25" thickTop="1" thickBot="1" x14ac:dyDescent="0.25">
      <c r="C122" s="1088" t="s">
        <v>120</v>
      </c>
      <c r="D122" s="1089"/>
      <c r="E122" s="1090"/>
      <c r="F122" s="1091" cm="1">
        <f t="array" ref="F122">heureConvert2Decimal(C122)</f>
        <v>11.983333333333333</v>
      </c>
      <c r="G122" s="1092"/>
      <c r="H122" s="1093"/>
      <c r="I122" s="862" t="str" cm="1">
        <f t="array" ref="I122">heureDecimal2Txt(F122)</f>
        <v>11:59:00.00(11.9833)</v>
      </c>
      <c r="J122" s="1094"/>
      <c r="K122" s="1094"/>
      <c r="L122" s="1094"/>
      <c r="M122" s="1095"/>
      <c r="O122" s="1100" t="s">
        <v>663</v>
      </c>
      <c r="P122" s="1101"/>
      <c r="Q122" s="1101"/>
      <c r="R122" s="1102"/>
      <c r="S122" s="1103" cm="1">
        <f t="array" ref="S122">angleConvert2Decimal(O122)</f>
        <v>1</v>
      </c>
      <c r="T122" s="1104"/>
      <c r="U122" s="1105"/>
      <c r="V122" s="862" t="str" cm="1">
        <f t="array" ref="V122">angleDecimal2Txt(S122)</f>
        <v>+01°00.00 (+01.0000) [+01°00'00.00]</v>
      </c>
      <c r="W122" s="1094"/>
      <c r="X122" s="1094"/>
      <c r="Y122" s="1094"/>
      <c r="Z122" s="1095"/>
      <c r="AA122" s="343"/>
      <c r="AB122" s="236"/>
      <c r="AC122" s="236"/>
    </row>
    <row r="123" spans="1:29" s="209" customFormat="1" ht="14.25" thickTop="1" thickBot="1" x14ac:dyDescent="0.25">
      <c r="C123" s="1088" t="s">
        <v>120</v>
      </c>
      <c r="D123" s="1089"/>
      <c r="E123" s="1090"/>
      <c r="F123" s="1091" cm="1">
        <f t="array" ref="F123">heureConvert2Decimal(C123)</f>
        <v>11.983333333333333</v>
      </c>
      <c r="G123" s="1092"/>
      <c r="H123" s="1093"/>
      <c r="I123" s="862" t="str" cm="1">
        <f t="array" ref="I123">heureDecimal2Txt(F123)</f>
        <v>11:59:00.00(11.9833)</v>
      </c>
      <c r="J123" s="1094"/>
      <c r="K123" s="1094"/>
      <c r="L123" s="1094"/>
      <c r="M123" s="1095"/>
      <c r="O123" s="1100" t="s">
        <v>609</v>
      </c>
      <c r="P123" s="1101"/>
      <c r="Q123" s="1101"/>
      <c r="R123" s="1102"/>
      <c r="S123" s="1103" cm="1">
        <f t="array" ref="S123">angleConvert2Decimal(O123)</f>
        <v>0.46666666666666667</v>
      </c>
      <c r="T123" s="1104"/>
      <c r="U123" s="1105"/>
      <c r="V123" s="862" t="str" cm="1">
        <f t="array" ref="V123">angleDecimal2Txt(S123)</f>
        <v>+00°28.00 (+00.4666) [+00°28'00.00]</v>
      </c>
      <c r="W123" s="1094"/>
      <c r="X123" s="1094"/>
      <c r="Y123" s="1094"/>
      <c r="Z123" s="1095"/>
      <c r="AA123" s="343"/>
      <c r="AB123" s="236"/>
      <c r="AC123" s="236"/>
    </row>
    <row r="124" spans="1:29" s="209" customFormat="1" ht="14.25" thickTop="1" thickBot="1" x14ac:dyDescent="0.25">
      <c r="C124" s="1088" t="s">
        <v>120</v>
      </c>
      <c r="D124" s="1089"/>
      <c r="E124" s="1090"/>
      <c r="F124" s="1091" cm="1">
        <f t="array" ref="F124">heureConvert2Decimal(C124)</f>
        <v>11.983333333333333</v>
      </c>
      <c r="G124" s="1092"/>
      <c r="H124" s="1093"/>
      <c r="I124" s="862" t="str" cm="1">
        <f t="array" ref="I124">heureDecimal2Txt(F124)</f>
        <v>11:59:00.00(11.9833)</v>
      </c>
      <c r="J124" s="1094"/>
      <c r="K124" s="1094"/>
      <c r="L124" s="1094"/>
      <c r="M124" s="1095"/>
      <c r="O124" s="1100" t="s">
        <v>609</v>
      </c>
      <c r="P124" s="1101"/>
      <c r="Q124" s="1101"/>
      <c r="R124" s="1102"/>
      <c r="S124" s="1103" cm="1">
        <f t="array" ref="S124">angleConvert2Decimal(O124)</f>
        <v>0.46666666666666667</v>
      </c>
      <c r="T124" s="1104"/>
      <c r="U124" s="1105"/>
      <c r="V124" s="862" t="str" cm="1">
        <f t="array" ref="V124">angleDecimal2Txt(S124)</f>
        <v>+00°28.00 (+00.4666) [+00°28'00.00]</v>
      </c>
      <c r="W124" s="1094"/>
      <c r="X124" s="1094"/>
      <c r="Y124" s="1094"/>
      <c r="Z124" s="1095"/>
      <c r="AA124" s="343"/>
      <c r="AB124" s="236"/>
      <c r="AC124" s="236"/>
    </row>
    <row r="125" spans="1:29" s="209" customFormat="1" ht="14.25" thickTop="1" thickBot="1" x14ac:dyDescent="0.25">
      <c r="C125" s="1088" t="s">
        <v>120</v>
      </c>
      <c r="D125" s="1089"/>
      <c r="E125" s="1090"/>
      <c r="F125" s="1091" cm="1">
        <f t="array" ref="F125">heureConvert2Decimal(C125)</f>
        <v>11.983333333333333</v>
      </c>
      <c r="G125" s="1092"/>
      <c r="H125" s="1093"/>
      <c r="I125" s="862" t="str" cm="1">
        <f t="array" ref="I125">heureDecimal2Txt(F125)</f>
        <v>11:59:00.00(11.9833)</v>
      </c>
      <c r="J125" s="1094"/>
      <c r="K125" s="1094"/>
      <c r="L125" s="1094"/>
      <c r="M125" s="1095"/>
      <c r="O125" s="1100" t="s">
        <v>609</v>
      </c>
      <c r="P125" s="1101"/>
      <c r="Q125" s="1101"/>
      <c r="R125" s="1102"/>
      <c r="S125" s="1103" cm="1">
        <f t="array" ref="S125">angleConvert2Decimal(O125)</f>
        <v>0.46666666666666667</v>
      </c>
      <c r="T125" s="1104"/>
      <c r="U125" s="1105"/>
      <c r="V125" s="862" t="str" cm="1">
        <f t="array" ref="V125">angleDecimal2Txt(S125)</f>
        <v>+00°28.00 (+00.4666) [+00°28'00.00]</v>
      </c>
      <c r="W125" s="1094"/>
      <c r="X125" s="1094"/>
      <c r="Y125" s="1094"/>
      <c r="Z125" s="1095"/>
      <c r="AA125" s="343"/>
      <c r="AB125" s="236"/>
      <c r="AC125" s="236"/>
    </row>
    <row r="126" spans="1:29" s="209" customFormat="1" ht="14.25" thickTop="1" thickBot="1" x14ac:dyDescent="0.25">
      <c r="C126" s="1088" t="s">
        <v>120</v>
      </c>
      <c r="D126" s="1089"/>
      <c r="E126" s="1090"/>
      <c r="F126" s="1091" cm="1">
        <f t="array" ref="F126">heureConvert2Decimal(C126)</f>
        <v>11.983333333333333</v>
      </c>
      <c r="G126" s="1092"/>
      <c r="H126" s="1093"/>
      <c r="I126" s="862" t="str" cm="1">
        <f t="array" ref="I126">heureDecimal2Txt(F126)</f>
        <v>11:59:00.00(11.9833)</v>
      </c>
      <c r="J126" s="1094"/>
      <c r="K126" s="1094"/>
      <c r="L126" s="1094"/>
      <c r="M126" s="1095"/>
      <c r="O126" s="1100" t="s">
        <v>609</v>
      </c>
      <c r="P126" s="1101"/>
      <c r="Q126" s="1101"/>
      <c r="R126" s="1102"/>
      <c r="S126" s="1103" cm="1">
        <f t="array" ref="S126">angleConvert2Decimal(O126)</f>
        <v>0.46666666666666667</v>
      </c>
      <c r="T126" s="1104"/>
      <c r="U126" s="1105"/>
      <c r="V126" s="862" t="str" cm="1">
        <f t="array" ref="V126">angleDecimal2Txt(S126)</f>
        <v>+00°28.00 (+00.4666) [+00°28'00.00]</v>
      </c>
      <c r="W126" s="1094"/>
      <c r="X126" s="1094"/>
      <c r="Y126" s="1094"/>
      <c r="Z126" s="1095"/>
      <c r="AA126" s="343"/>
      <c r="AB126" s="236"/>
      <c r="AC126" s="236"/>
    </row>
    <row r="127" spans="1:29" s="209" customFormat="1" ht="14.25" thickTop="1" thickBot="1" x14ac:dyDescent="0.25">
      <c r="C127" s="1088" t="s">
        <v>120</v>
      </c>
      <c r="D127" s="1089"/>
      <c r="E127" s="1090"/>
      <c r="F127" s="1091" cm="1">
        <f t="array" ref="F127">heureConvert2Decimal(C127)</f>
        <v>11.983333333333333</v>
      </c>
      <c r="G127" s="1092"/>
      <c r="H127" s="1093"/>
      <c r="I127" s="862" t="str" cm="1">
        <f t="array" ref="I127">heureDecimal2Txt(F127)</f>
        <v>11:59:00.00(11.9833)</v>
      </c>
      <c r="J127" s="1094"/>
      <c r="K127" s="1094"/>
      <c r="L127" s="1094"/>
      <c r="M127" s="1095"/>
      <c r="O127" s="1100" t="s">
        <v>609</v>
      </c>
      <c r="P127" s="1101"/>
      <c r="Q127" s="1101"/>
      <c r="R127" s="1102"/>
      <c r="S127" s="1103" cm="1">
        <f t="array" ref="S127">angleConvert2Decimal(O127)</f>
        <v>0.46666666666666667</v>
      </c>
      <c r="T127" s="1104"/>
      <c r="U127" s="1105"/>
      <c r="V127" s="862" t="str" cm="1">
        <f t="array" ref="V127">angleDecimal2Txt(S127)</f>
        <v>+00°28.00 (+00.4666) [+00°28'00.00]</v>
      </c>
      <c r="W127" s="1094"/>
      <c r="X127" s="1094"/>
      <c r="Y127" s="1094"/>
      <c r="Z127" s="1095"/>
      <c r="AA127" s="343"/>
      <c r="AB127" s="236"/>
      <c r="AC127" s="236"/>
    </row>
    <row r="128" spans="1:29" s="209" customFormat="1" ht="14.25" thickTop="1" thickBot="1" x14ac:dyDescent="0.25">
      <c r="C128" s="1088" t="s">
        <v>120</v>
      </c>
      <c r="D128" s="1089"/>
      <c r="E128" s="1090"/>
      <c r="F128" s="1091" cm="1">
        <f t="array" ref="F128">heureConvert2Decimal(C128)</f>
        <v>11.983333333333333</v>
      </c>
      <c r="G128" s="1092"/>
      <c r="H128" s="1093"/>
      <c r="I128" s="862" t="str" cm="1">
        <f t="array" ref="I128">heureDecimal2Txt(F128)</f>
        <v>11:59:00.00(11.9833)</v>
      </c>
      <c r="J128" s="1094"/>
      <c r="K128" s="1094"/>
      <c r="L128" s="1094"/>
      <c r="M128" s="1095"/>
      <c r="O128" s="1100" t="s">
        <v>609</v>
      </c>
      <c r="P128" s="1101"/>
      <c r="Q128" s="1101"/>
      <c r="R128" s="1102"/>
      <c r="S128" s="1103" cm="1">
        <f t="array" ref="S128">angleConvert2Decimal(O128)</f>
        <v>0.46666666666666667</v>
      </c>
      <c r="T128" s="1104"/>
      <c r="U128" s="1105"/>
      <c r="V128" s="862" t="str" cm="1">
        <f t="array" ref="V128">angleDecimal2Txt(S128)</f>
        <v>+00°28.00 (+00.4666) [+00°28'00.00]</v>
      </c>
      <c r="W128" s="1094"/>
      <c r="X128" s="1094"/>
      <c r="Y128" s="1094"/>
      <c r="Z128" s="1095"/>
      <c r="AA128" s="343"/>
      <c r="AB128" s="236"/>
      <c r="AC128" s="236"/>
    </row>
    <row r="129" spans="2:29" s="209" customFormat="1" ht="14.25" thickTop="1" thickBot="1" x14ac:dyDescent="0.25">
      <c r="O129" s="1100" t="s">
        <v>609</v>
      </c>
      <c r="P129" s="1101"/>
      <c r="Q129" s="1101"/>
      <c r="R129" s="1102"/>
      <c r="S129" s="1103" cm="1">
        <f t="array" ref="S129">angleConvert2Decimal(O129)</f>
        <v>0.46666666666666667</v>
      </c>
      <c r="T129" s="1104"/>
      <c r="U129" s="1105"/>
      <c r="V129" s="862" t="str" cm="1">
        <f t="array" ref="V129">angleDecimal2Txt(S129)</f>
        <v>+00°28.00 (+00.4666) [+00°28'00.00]</v>
      </c>
      <c r="W129" s="1094"/>
      <c r="X129" s="1094"/>
      <c r="Y129" s="1094"/>
      <c r="Z129" s="1095"/>
      <c r="AA129" s="343"/>
      <c r="AB129" s="236"/>
      <c r="AC129" s="236"/>
    </row>
    <row r="130" spans="2:29" s="209" customFormat="1" ht="14.25" thickTop="1" thickBot="1" x14ac:dyDescent="0.25">
      <c r="O130" s="1100" t="s">
        <v>609</v>
      </c>
      <c r="P130" s="1101"/>
      <c r="Q130" s="1101"/>
      <c r="R130" s="1102"/>
      <c r="S130" s="1103" cm="1">
        <f t="array" ref="S130">angleConvert2Decimal(O130)</f>
        <v>0.46666666666666667</v>
      </c>
      <c r="T130" s="1104"/>
      <c r="U130" s="1105"/>
      <c r="V130" s="862" t="str" cm="1">
        <f t="array" ref="V130">angleDecimal2Txt(S130)</f>
        <v>+00°28.00 (+00.4666) [+00°28'00.00]</v>
      </c>
      <c r="W130" s="1094"/>
      <c r="X130" s="1094"/>
      <c r="Y130" s="1094"/>
      <c r="Z130" s="1095"/>
      <c r="AA130" s="343"/>
      <c r="AB130" s="236"/>
      <c r="AC130" s="236"/>
    </row>
    <row r="131" spans="2:29" s="209" customFormat="1" ht="14.25" thickTop="1" thickBot="1" x14ac:dyDescent="0.25">
      <c r="O131" s="1100" t="s">
        <v>609</v>
      </c>
      <c r="P131" s="1101"/>
      <c r="Q131" s="1101"/>
      <c r="R131" s="1102"/>
      <c r="S131" s="1103" cm="1">
        <f t="array" ref="S131">angleConvert2Decimal(O131)</f>
        <v>0.46666666666666667</v>
      </c>
      <c r="T131" s="1104"/>
      <c r="U131" s="1105"/>
      <c r="V131" s="862" t="str" cm="1">
        <f t="array" ref="V131">angleDecimal2Txt(S131)</f>
        <v>+00°28.00 (+00.4666) [+00°28'00.00]</v>
      </c>
      <c r="W131" s="1094"/>
      <c r="X131" s="1094"/>
      <c r="Y131" s="1094"/>
      <c r="Z131" s="1095"/>
      <c r="AA131" s="343"/>
      <c r="AB131" s="236"/>
      <c r="AC131" s="236"/>
    </row>
    <row r="132" spans="2:29" s="209" customFormat="1" ht="14.25" thickTop="1" thickBot="1" x14ac:dyDescent="0.25">
      <c r="O132" s="1100" t="s">
        <v>609</v>
      </c>
      <c r="P132" s="1101"/>
      <c r="Q132" s="1101"/>
      <c r="R132" s="1102"/>
      <c r="S132" s="1103" cm="1">
        <f t="array" ref="S132">angleConvert2Decimal(O132)</f>
        <v>0.46666666666666667</v>
      </c>
      <c r="T132" s="1104"/>
      <c r="U132" s="1105"/>
      <c r="V132" s="862" t="str" cm="1">
        <f t="array" ref="V132">angleDecimal2Txt(S132)</f>
        <v>+00°28.00 (+00.4666) [+00°28'00.00]</v>
      </c>
      <c r="W132" s="1094"/>
      <c r="X132" s="1094"/>
      <c r="Y132" s="1094"/>
      <c r="Z132" s="1095"/>
      <c r="AA132" s="343"/>
      <c r="AB132" s="236"/>
      <c r="AC132" s="236"/>
    </row>
    <row r="133" spans="2:29" ht="16.5" thickTop="1" thickBot="1" x14ac:dyDescent="0.3">
      <c r="O133" s="1100" t="s">
        <v>609</v>
      </c>
      <c r="P133" s="1101"/>
      <c r="Q133" s="1101"/>
      <c r="R133" s="1102"/>
      <c r="S133" s="1103" cm="1">
        <f t="array" ref="S133">angleConvert2Decimal(O133)</f>
        <v>0.46666666666666667</v>
      </c>
      <c r="T133" s="1104"/>
      <c r="U133" s="1105"/>
      <c r="V133" s="862" t="str" cm="1">
        <f t="array" ref="V133">angleDecimal2Txt(S133)</f>
        <v>+00°28.00 (+00.4666) [+00°28'00.00]</v>
      </c>
      <c r="W133" s="1094"/>
      <c r="X133" s="1094"/>
      <c r="Y133" s="1094"/>
      <c r="Z133" s="1095"/>
    </row>
    <row r="134" spans="2:29" ht="16.5" thickTop="1" thickBot="1" x14ac:dyDescent="0.3">
      <c r="O134" s="1100" t="s">
        <v>609</v>
      </c>
      <c r="P134" s="1101"/>
      <c r="Q134" s="1101"/>
      <c r="R134" s="1102"/>
      <c r="S134" s="1103" cm="1">
        <f t="array" ref="S134">angleConvert2Decimal(O134)</f>
        <v>0.46666666666666667</v>
      </c>
      <c r="T134" s="1104"/>
      <c r="U134" s="1105"/>
      <c r="V134" s="862" t="str" cm="1">
        <f t="array" ref="V134">angleDecimal2Txt(S134)</f>
        <v>+00°28.00 (+00.4666) [+00°28'00.00]</v>
      </c>
      <c r="W134" s="1094"/>
      <c r="X134" s="1094"/>
      <c r="Y134" s="1094"/>
      <c r="Z134" s="1095"/>
    </row>
    <row r="135" spans="2:29" ht="16.5" thickTop="1" thickBot="1" x14ac:dyDescent="0.3">
      <c r="B135" s="135" t="s">
        <v>662</v>
      </c>
      <c r="C135" s="136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5"/>
    </row>
    <row r="136" spans="2:29" x14ac:dyDescent="0.25">
      <c r="C136" s="1112" t="s">
        <v>658</v>
      </c>
      <c r="D136" s="344" t="s">
        <v>652</v>
      </c>
      <c r="E136" s="40">
        <v>5</v>
      </c>
      <c r="F136" s="33"/>
      <c r="G136" s="1077" t="s">
        <v>660</v>
      </c>
      <c r="H136" s="1077"/>
      <c r="I136" s="1077"/>
      <c r="J136" s="1077"/>
      <c r="L136" s="16" t="s">
        <v>656</v>
      </c>
      <c r="M136" s="16">
        <f>(E137-E139)/(E136-E138)</f>
        <v>4.9616666666666669</v>
      </c>
    </row>
    <row r="137" spans="2:29" x14ac:dyDescent="0.25">
      <c r="C137" s="1112"/>
      <c r="D137" s="344" t="s">
        <v>653</v>
      </c>
      <c r="E137" s="40">
        <v>23.23</v>
      </c>
      <c r="F137" s="347" t="s">
        <v>661</v>
      </c>
      <c r="G137" s="344" t="s">
        <v>244</v>
      </c>
      <c r="H137" s="40">
        <v>10.5</v>
      </c>
      <c r="I137" s="315" t="s">
        <v>643</v>
      </c>
      <c r="J137" s="345">
        <f>M136*H137+M137</f>
        <v>50.519166666666671</v>
      </c>
      <c r="L137" s="16" t="s">
        <v>657</v>
      </c>
      <c r="M137" s="16">
        <f>E137-M136*(E136)</f>
        <v>-1.5783333333333331</v>
      </c>
    </row>
    <row r="138" spans="2:29" x14ac:dyDescent="0.25">
      <c r="C138" s="1113" t="s">
        <v>659</v>
      </c>
      <c r="D138" s="346" t="s">
        <v>654</v>
      </c>
      <c r="E138" s="40">
        <v>11</v>
      </c>
      <c r="F138" s="33"/>
      <c r="G138" s="33"/>
      <c r="H138" s="33"/>
      <c r="I138" s="33"/>
      <c r="J138" s="33"/>
    </row>
    <row r="139" spans="2:29" x14ac:dyDescent="0.25">
      <c r="C139" s="1113"/>
      <c r="D139" s="346" t="s">
        <v>655</v>
      </c>
      <c r="E139" s="40">
        <v>53</v>
      </c>
      <c r="F139" s="33"/>
      <c r="G139" s="33"/>
      <c r="H139" s="33"/>
      <c r="I139" s="33"/>
      <c r="J139" s="33"/>
    </row>
    <row r="141" spans="2:29" x14ac:dyDescent="0.25">
      <c r="C141" s="1112" t="s">
        <v>658</v>
      </c>
      <c r="D141" s="344" t="s">
        <v>652</v>
      </c>
      <c r="E141" s="40">
        <v>0</v>
      </c>
      <c r="F141" s="33"/>
      <c r="G141" s="1077" t="s">
        <v>660</v>
      </c>
      <c r="H141" s="1077"/>
      <c r="I141" s="1077"/>
      <c r="J141" s="1077"/>
      <c r="L141" s="16" t="s">
        <v>656</v>
      </c>
      <c r="M141" s="16">
        <f>(E142-E144)/(E141-E143)</f>
        <v>1</v>
      </c>
    </row>
    <row r="142" spans="2:29" x14ac:dyDescent="0.25">
      <c r="C142" s="1112"/>
      <c r="D142" s="344" t="s">
        <v>653</v>
      </c>
      <c r="E142" s="40">
        <v>0</v>
      </c>
      <c r="F142" s="347" t="s">
        <v>661</v>
      </c>
      <c r="G142" s="344" t="s">
        <v>244</v>
      </c>
      <c r="H142" s="40">
        <v>10.5</v>
      </c>
      <c r="I142" s="315" t="s">
        <v>643</v>
      </c>
      <c r="J142" s="345">
        <f>M141*H142+M142</f>
        <v>10.5</v>
      </c>
      <c r="L142" s="16" t="s">
        <v>657</v>
      </c>
      <c r="M142" s="16">
        <f>E142-M141*(E141)</f>
        <v>0</v>
      </c>
    </row>
    <row r="143" spans="2:29" x14ac:dyDescent="0.25">
      <c r="C143" s="1113" t="s">
        <v>659</v>
      </c>
      <c r="D143" s="346" t="s">
        <v>654</v>
      </c>
      <c r="E143" s="40">
        <v>11</v>
      </c>
      <c r="F143" s="33"/>
      <c r="G143" s="33"/>
      <c r="H143" s="33"/>
      <c r="I143" s="33"/>
      <c r="J143" s="33"/>
    </row>
    <row r="144" spans="2:29" x14ac:dyDescent="0.25">
      <c r="C144" s="1113"/>
      <c r="D144" s="346" t="s">
        <v>655</v>
      </c>
      <c r="E144" s="40">
        <v>11</v>
      </c>
      <c r="F144" s="33"/>
      <c r="G144" s="33"/>
      <c r="H144" s="33"/>
      <c r="I144" s="33"/>
      <c r="J144" s="33"/>
    </row>
    <row r="146" spans="3:13" x14ac:dyDescent="0.25">
      <c r="C146" s="1112" t="s">
        <v>658</v>
      </c>
      <c r="D146" s="344" t="s">
        <v>652</v>
      </c>
      <c r="E146" s="40">
        <v>0</v>
      </c>
      <c r="F146" s="33"/>
      <c r="G146" s="1077" t="s">
        <v>660</v>
      </c>
      <c r="H146" s="1077"/>
      <c r="I146" s="1077"/>
      <c r="J146" s="1077"/>
      <c r="L146" s="16" t="s">
        <v>656</v>
      </c>
      <c r="M146" s="16">
        <f>(E147-E149)/(E146-E148)</f>
        <v>-1</v>
      </c>
    </row>
    <row r="147" spans="3:13" x14ac:dyDescent="0.25">
      <c r="C147" s="1112"/>
      <c r="D147" s="344" t="s">
        <v>653</v>
      </c>
      <c r="E147" s="40">
        <v>11</v>
      </c>
      <c r="F147" s="347" t="s">
        <v>661</v>
      </c>
      <c r="G147" s="344" t="s">
        <v>244</v>
      </c>
      <c r="H147" s="40">
        <v>10.5</v>
      </c>
      <c r="I147" s="315" t="s">
        <v>643</v>
      </c>
      <c r="J147" s="345">
        <f>M146*H147+M147</f>
        <v>0.5</v>
      </c>
      <c r="L147" s="16" t="s">
        <v>657</v>
      </c>
      <c r="M147" s="16">
        <f>E147-M146*(E146)</f>
        <v>11</v>
      </c>
    </row>
    <row r="148" spans="3:13" x14ac:dyDescent="0.25">
      <c r="C148" s="1113" t="s">
        <v>659</v>
      </c>
      <c r="D148" s="346" t="s">
        <v>654</v>
      </c>
      <c r="E148" s="40">
        <v>11</v>
      </c>
      <c r="F148" s="33"/>
      <c r="G148" s="33"/>
      <c r="H148" s="33"/>
      <c r="I148" s="33"/>
      <c r="J148" s="33"/>
    </row>
    <row r="149" spans="3:13" x14ac:dyDescent="0.25">
      <c r="C149" s="1113"/>
      <c r="D149" s="346" t="s">
        <v>655</v>
      </c>
      <c r="E149" s="40">
        <v>0</v>
      </c>
      <c r="F149" s="33"/>
      <c r="G149" s="33"/>
      <c r="H149" s="33"/>
      <c r="I149" s="33"/>
      <c r="J149" s="3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 x14ac:dyDescent="0.25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 x14ac:dyDescent="0.25">
      <c r="C1" s="1003" t="s">
        <v>311</v>
      </c>
      <c r="D1" s="1003"/>
      <c r="E1" s="1003"/>
      <c r="F1" s="1003"/>
      <c r="G1" s="1004" t="s">
        <v>312</v>
      </c>
      <c r="H1" s="1004"/>
      <c r="I1" s="1004"/>
      <c r="J1" s="1004"/>
      <c r="K1" s="1004"/>
      <c r="L1" s="1004"/>
      <c r="M1" s="1004"/>
      <c r="N1" s="1004"/>
      <c r="O1" s="1004"/>
      <c r="P1" s="1004"/>
      <c r="Q1" s="1004"/>
      <c r="R1" s="1004"/>
      <c r="S1" s="1004"/>
      <c r="T1" s="1004"/>
      <c r="U1" s="1004"/>
      <c r="V1" s="1004"/>
      <c r="W1" s="1004"/>
      <c r="X1" s="1004"/>
      <c r="Y1" s="1004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 x14ac:dyDescent="0.25">
      <c r="C2" s="1003"/>
      <c r="D2" s="1003"/>
      <c r="E2" s="1003"/>
      <c r="F2" s="1003"/>
      <c r="G2" s="1004"/>
      <c r="H2" s="1004"/>
      <c r="I2" s="1004"/>
      <c r="J2" s="1004"/>
      <c r="K2" s="1004"/>
      <c r="L2" s="1004"/>
      <c r="M2" s="1004"/>
      <c r="N2" s="1004"/>
      <c r="O2" s="1004"/>
      <c r="P2" s="1004"/>
      <c r="Q2" s="1004"/>
      <c r="R2" s="1004"/>
      <c r="S2" s="1004"/>
      <c r="T2" s="1004"/>
      <c r="U2" s="1004"/>
      <c r="V2" s="1004"/>
      <c r="W2" s="1004"/>
      <c r="X2" s="1004"/>
      <c r="Y2" s="1004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 x14ac:dyDescent="0.25">
      <c r="C3" s="1003"/>
      <c r="D3" s="1003"/>
      <c r="E3" s="1003"/>
      <c r="F3" s="1003"/>
      <c r="G3" s="1135" t="s">
        <v>316</v>
      </c>
      <c r="H3" s="1135"/>
      <c r="I3" s="1135"/>
      <c r="J3" s="1137" t="s">
        <v>315</v>
      </c>
      <c r="K3" s="1137"/>
      <c r="L3" s="1137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 x14ac:dyDescent="0.25">
      <c r="C4" s="1003"/>
      <c r="D4" s="1003"/>
      <c r="E4" s="1003"/>
      <c r="F4" s="1003"/>
      <c r="G4" s="1136"/>
      <c r="H4" s="1136"/>
      <c r="I4" s="1136"/>
      <c r="J4" s="1138"/>
      <c r="K4" s="1138"/>
      <c r="L4" s="1138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 x14ac:dyDescent="0.25">
      <c r="C5" s="38"/>
      <c r="D5" s="38"/>
      <c r="E5" s="38"/>
      <c r="F5" s="38"/>
      <c r="G5" s="38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 x14ac:dyDescent="0.25">
      <c r="C6" s="38"/>
      <c r="D6" s="38"/>
      <c r="E6" s="38"/>
      <c r="F6" s="38"/>
      <c r="G6" s="38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25">
      <c r="AC7" s="16" t="s">
        <v>339</v>
      </c>
      <c r="AD7" s="51">
        <f ca="1">TODAY()</f>
        <v>45499</v>
      </c>
      <c r="AI7" s="34">
        <f ca="1">AD7</f>
        <v>45499</v>
      </c>
      <c r="AQ7" s="16" t="s">
        <v>346</v>
      </c>
      <c r="AR7" s="16" t="s">
        <v>146</v>
      </c>
      <c r="AS7" s="16" t="s">
        <v>347</v>
      </c>
      <c r="AT7" s="16" t="s">
        <v>93</v>
      </c>
      <c r="AU7" s="16" t="s">
        <v>347</v>
      </c>
    </row>
    <row r="8" spans="1:66" ht="18.75" x14ac:dyDescent="0.3">
      <c r="C8" s="39" t="s">
        <v>276</v>
      </c>
      <c r="D8" s="47" t="s">
        <v>244</v>
      </c>
      <c r="E8"/>
      <c r="F8" s="1134" t="s">
        <v>172</v>
      </c>
      <c r="G8" s="1134"/>
      <c r="H8" s="1134"/>
      <c r="I8" s="1134"/>
      <c r="J8" s="1134"/>
      <c r="K8" s="1134"/>
      <c r="L8" s="1134"/>
      <c r="M8" s="1134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 x14ac:dyDescent="0.3">
      <c r="C9" s="39" t="s">
        <v>278</v>
      </c>
      <c r="D9" s="47" t="s">
        <v>244</v>
      </c>
      <c r="E9"/>
      <c r="F9" s="1129" t="s">
        <v>279</v>
      </c>
      <c r="G9" s="1129"/>
      <c r="H9" s="1129"/>
      <c r="I9" s="1129"/>
      <c r="J9" s="1129" t="s">
        <v>282</v>
      </c>
      <c r="K9" s="1129"/>
      <c r="L9" s="1129"/>
      <c r="M9" s="1129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 x14ac:dyDescent="0.25">
      <c r="F10" s="1129" t="s">
        <v>280</v>
      </c>
      <c r="G10" s="1129"/>
      <c r="H10" s="1129" t="s">
        <v>281</v>
      </c>
      <c r="I10" s="1129"/>
      <c r="J10" s="1129" t="s">
        <v>280</v>
      </c>
      <c r="K10" s="1129"/>
      <c r="L10" s="1129" t="s">
        <v>281</v>
      </c>
      <c r="M10" s="1129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 x14ac:dyDescent="0.3">
      <c r="C11"/>
      <c r="D11" s="48" t="s">
        <v>276</v>
      </c>
      <c r="E11" s="48" t="s">
        <v>278</v>
      </c>
      <c r="F11" s="35" t="s">
        <v>283</v>
      </c>
      <c r="G11" s="35" t="s">
        <v>284</v>
      </c>
      <c r="H11" s="35" t="s">
        <v>283</v>
      </c>
      <c r="I11" s="35" t="s">
        <v>284</v>
      </c>
      <c r="J11" s="35" t="s">
        <v>283</v>
      </c>
      <c r="K11" s="35" t="s">
        <v>284</v>
      </c>
      <c r="L11" s="35" t="s">
        <v>283</v>
      </c>
      <c r="M11" s="35" t="s">
        <v>284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 x14ac:dyDescent="0.25">
      <c r="A12" s="66" t="s">
        <v>329</v>
      </c>
      <c r="B12" s="66" t="s">
        <v>383</v>
      </c>
      <c r="C12" s="66" t="s">
        <v>278</v>
      </c>
      <c r="D12" s="1131" t="s">
        <v>277</v>
      </c>
      <c r="E12" s="49" t="s">
        <v>295</v>
      </c>
      <c r="F12" s="43">
        <v>0.23</v>
      </c>
      <c r="G12" s="44" t="s">
        <v>286</v>
      </c>
      <c r="H12" s="43">
        <v>-2.1</v>
      </c>
      <c r="I12" s="45" t="s">
        <v>285</v>
      </c>
      <c r="J12" s="43">
        <v>0.13</v>
      </c>
      <c r="K12" s="44" t="s">
        <v>286</v>
      </c>
      <c r="L12" s="43">
        <v>-0.78</v>
      </c>
      <c r="M12" s="45" t="s">
        <v>292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 x14ac:dyDescent="0.25">
      <c r="A13" s="50" t="s">
        <v>280</v>
      </c>
      <c r="B13" s="3" t="s">
        <v>244</v>
      </c>
      <c r="C13" s="63" t="s">
        <v>244</v>
      </c>
      <c r="D13" s="1132"/>
      <c r="E13" s="49" t="s">
        <v>326</v>
      </c>
      <c r="F13" s="43">
        <v>0.23</v>
      </c>
      <c r="G13" s="44" t="s">
        <v>286</v>
      </c>
      <c r="H13" s="43">
        <v>-2.1</v>
      </c>
      <c r="I13" s="45" t="s">
        <v>348</v>
      </c>
      <c r="J13" s="43">
        <v>0.13</v>
      </c>
      <c r="K13" s="44" t="s">
        <v>286</v>
      </c>
      <c r="L13" s="43">
        <v>-0.78</v>
      </c>
      <c r="M13" s="45" t="s">
        <v>292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 x14ac:dyDescent="0.25">
      <c r="A14" s="50" t="s">
        <v>281</v>
      </c>
      <c r="B14" s="63" t="s">
        <v>277</v>
      </c>
      <c r="C14" s="63" t="s">
        <v>295</v>
      </c>
      <c r="D14" s="1133"/>
      <c r="E14" s="49" t="s">
        <v>327</v>
      </c>
      <c r="F14" s="43">
        <v>0.23</v>
      </c>
      <c r="G14" s="44" t="s">
        <v>286</v>
      </c>
      <c r="H14" s="43">
        <v>-2.1</v>
      </c>
      <c r="I14" s="45" t="s">
        <v>285</v>
      </c>
      <c r="J14" s="43">
        <v>0.13</v>
      </c>
      <c r="K14" s="44" t="s">
        <v>286</v>
      </c>
      <c r="L14" s="43">
        <v>-0.78</v>
      </c>
      <c r="M14" s="45" t="s">
        <v>292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 x14ac:dyDescent="0.25">
      <c r="B15" s="67" t="s">
        <v>328</v>
      </c>
      <c r="C15" s="63" t="s">
        <v>326</v>
      </c>
      <c r="D15" s="1131" t="s">
        <v>328</v>
      </c>
      <c r="E15" s="49" t="s">
        <v>295</v>
      </c>
      <c r="F15" s="43">
        <v>0.23</v>
      </c>
      <c r="G15" s="44" t="s">
        <v>286</v>
      </c>
      <c r="H15" s="43">
        <v>-2.1</v>
      </c>
      <c r="I15" s="45" t="s">
        <v>285</v>
      </c>
      <c r="J15" s="43">
        <v>0.13</v>
      </c>
      <c r="K15" s="44" t="s">
        <v>286</v>
      </c>
      <c r="L15" s="43">
        <v>-0.78</v>
      </c>
      <c r="M15" s="45" t="s">
        <v>292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 x14ac:dyDescent="0.25">
      <c r="C16" s="63" t="s">
        <v>327</v>
      </c>
      <c r="D16" s="1132"/>
      <c r="E16" s="49" t="s">
        <v>326</v>
      </c>
      <c r="F16" s="43">
        <v>0.23</v>
      </c>
      <c r="G16" s="44" t="s">
        <v>286</v>
      </c>
      <c r="H16" s="43">
        <v>-2.1</v>
      </c>
      <c r="I16" s="45" t="s">
        <v>285</v>
      </c>
      <c r="J16" s="43">
        <v>0.13</v>
      </c>
      <c r="K16" s="44" t="s">
        <v>286</v>
      </c>
      <c r="L16" s="43">
        <v>-0.78</v>
      </c>
      <c r="M16" s="45" t="s">
        <v>292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 x14ac:dyDescent="0.25">
      <c r="C17" s="63"/>
      <c r="D17" s="1133"/>
      <c r="E17" s="49" t="s">
        <v>327</v>
      </c>
      <c r="F17" s="43">
        <v>0.23</v>
      </c>
      <c r="G17" s="44" t="s">
        <v>286</v>
      </c>
      <c r="H17" s="43">
        <v>-2.1</v>
      </c>
      <c r="I17" s="45" t="s">
        <v>285</v>
      </c>
      <c r="J17" s="43">
        <v>0.13</v>
      </c>
      <c r="K17" s="44" t="s">
        <v>286</v>
      </c>
      <c r="L17" s="43">
        <v>-0.78</v>
      </c>
      <c r="M17" s="45" t="s">
        <v>292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 x14ac:dyDescent="0.25">
      <c r="D18" s="49" t="s">
        <v>244</v>
      </c>
      <c r="E18" s="49" t="s">
        <v>244</v>
      </c>
      <c r="F18" s="43">
        <v>0</v>
      </c>
      <c r="G18" s="44" t="s">
        <v>384</v>
      </c>
      <c r="H18" s="43">
        <v>0</v>
      </c>
      <c r="I18" s="44" t="s">
        <v>384</v>
      </c>
      <c r="J18" s="43">
        <v>0</v>
      </c>
      <c r="K18" s="44" t="s">
        <v>384</v>
      </c>
      <c r="L18" s="43">
        <v>0</v>
      </c>
      <c r="M18" s="44" t="s">
        <v>384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 x14ac:dyDescent="0.3">
      <c r="P19" s="16"/>
      <c r="Q19" s="16"/>
      <c r="S19"/>
      <c r="T19"/>
      <c r="U19"/>
    </row>
    <row r="20" spans="2:53" ht="20.25" thickTop="1" thickBot="1" x14ac:dyDescent="0.35">
      <c r="C20" s="1114" t="s">
        <v>294</v>
      </c>
      <c r="D20" s="1114"/>
      <c r="E20" s="1114"/>
      <c r="F20" s="1114"/>
      <c r="G20" s="1114"/>
      <c r="H20" s="1115" t="s">
        <v>387</v>
      </c>
      <c r="I20" s="1116"/>
      <c r="J20" s="1116"/>
      <c r="K20" s="1116"/>
      <c r="L20"/>
      <c r="M20"/>
      <c r="P20" s="16"/>
      <c r="Q20" s="16"/>
    </row>
    <row r="21" spans="2:53" ht="17.25" thickTop="1" thickBot="1" x14ac:dyDescent="0.3">
      <c r="C21" s="41" t="s">
        <v>329</v>
      </c>
      <c r="D21" s="41" t="s">
        <v>2</v>
      </c>
      <c r="E21" s="41" t="s">
        <v>12</v>
      </c>
      <c r="F21" s="41" t="s">
        <v>271</v>
      </c>
      <c r="G21" s="41" t="s">
        <v>374</v>
      </c>
      <c r="H21" s="74" t="s">
        <v>332</v>
      </c>
      <c r="I21" s="69" t="s">
        <v>343</v>
      </c>
      <c r="J21" s="69" t="s">
        <v>12</v>
      </c>
      <c r="K21" s="69" t="s">
        <v>272</v>
      </c>
      <c r="P21" s="16"/>
      <c r="Q21" s="16"/>
      <c r="AB21" s="16" t="s">
        <v>333</v>
      </c>
      <c r="AC21" s="16" t="s">
        <v>2</v>
      </c>
      <c r="AD21" s="16" t="s">
        <v>12</v>
      </c>
      <c r="AE21" s="16" t="s">
        <v>334</v>
      </c>
      <c r="AF21" s="16" t="s">
        <v>335</v>
      </c>
      <c r="AG21" s="16" t="s">
        <v>336</v>
      </c>
      <c r="AH21" s="16" t="s">
        <v>337</v>
      </c>
      <c r="AI21" s="16" t="s">
        <v>338</v>
      </c>
      <c r="AJ21" s="16" t="s">
        <v>340</v>
      </c>
      <c r="AK21" s="16" t="s">
        <v>341</v>
      </c>
      <c r="AL21" s="16" t="s">
        <v>355</v>
      </c>
      <c r="AM21" s="16" t="s">
        <v>342</v>
      </c>
      <c r="AN21" s="16" t="s">
        <v>271</v>
      </c>
      <c r="AO21" s="16" t="s">
        <v>288</v>
      </c>
      <c r="AQ21" s="16" t="s">
        <v>349</v>
      </c>
      <c r="AR21" s="16" t="s">
        <v>350</v>
      </c>
      <c r="AS21" s="16" t="s">
        <v>351</v>
      </c>
      <c r="AT21" s="16" t="s">
        <v>352</v>
      </c>
      <c r="AU21" s="16" t="s">
        <v>12</v>
      </c>
      <c r="AW21" s="16" t="s">
        <v>349</v>
      </c>
      <c r="AX21" s="16" t="s">
        <v>350</v>
      </c>
      <c r="AY21" s="16" t="s">
        <v>351</v>
      </c>
      <c r="AZ21" s="16" t="s">
        <v>352</v>
      </c>
      <c r="BA21" s="16" t="s">
        <v>272</v>
      </c>
    </row>
    <row r="22" spans="2:53" ht="17.25" thickTop="1" thickBot="1" x14ac:dyDescent="0.3">
      <c r="B22" s="73" t="s">
        <v>330</v>
      </c>
      <c r="C22" s="40" t="s">
        <v>280</v>
      </c>
      <c r="D22" s="75" t="s">
        <v>344</v>
      </c>
      <c r="E22" s="76" t="s">
        <v>273</v>
      </c>
      <c r="F22" s="77">
        <v>90</v>
      </c>
      <c r="G22" s="77">
        <v>9.56</v>
      </c>
      <c r="H22" s="74" t="str">
        <f ca="1">IF(AM22,"Y","N")</f>
        <v>Y</v>
      </c>
      <c r="I22" s="70" t="str">
        <f ca="1">IF(AO22,"Y","N")</f>
        <v>Y</v>
      </c>
      <c r="J22" s="71">
        <f ca="1">AU22</f>
        <v>45646.416666666664</v>
      </c>
      <c r="K22" s="72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3" t="b">
        <f>ISNUMBER(AC22)</f>
        <v>1</v>
      </c>
      <c r="AF22" s="53" t="b">
        <f>ISNUMBER(AD22)</f>
        <v>1</v>
      </c>
      <c r="AG22" s="53" t="b">
        <f t="shared" ref="AG22:AG31" si="6">IF(AB22,IF(AND(ISNUMBER(F22),F22&gt;20,F22&lt;120),TRUE,FALSE),TRUE)</f>
        <v>1</v>
      </c>
      <c r="AH22" s="53" t="b">
        <f>ISNUMBER(G22)</f>
        <v>1</v>
      </c>
      <c r="AI22" s="53" t="b">
        <f t="shared" ref="AI22:AI31" ca="1" si="7">IF(AE22, IF(AND(AC22&gt;$AI$7,AC22&lt;$AI$7+365),TRUE,FALSE),FALSE)</f>
        <v>1</v>
      </c>
      <c r="AJ22" s="53" t="b">
        <f t="shared" ref="AJ22:AJ31" si="8">IF(AF22,IF(AND(AD22&gt;=0,AD22&lt;=1),TRUE,FALSE),FALSE)</f>
        <v>1</v>
      </c>
      <c r="AK22" s="53" t="b">
        <f t="shared" ref="AK22:AK31" si="9">IF(AH22,IF(G22&gt;0,TRUE,FALSE),FALSE)</f>
        <v>1</v>
      </c>
      <c r="AL22" s="16">
        <f ca="1">IF(AND(AJ22,AI22),1,0)</f>
        <v>1</v>
      </c>
      <c r="AM22" s="53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 x14ac:dyDescent="0.3">
      <c r="C23" s="79" t="str">
        <f>IF(C22=$A$13,$A$14,$A$13)</f>
        <v>BM</v>
      </c>
      <c r="D23" s="75" t="s">
        <v>344</v>
      </c>
      <c r="E23" s="76" t="s">
        <v>274</v>
      </c>
      <c r="F23" s="77"/>
      <c r="G23" s="77">
        <v>5</v>
      </c>
      <c r="H23" s="74" t="str">
        <f t="shared" ref="H23:H31" ca="1" si="19">IF(AM23,"Y","N")</f>
        <v>Y</v>
      </c>
      <c r="I23" s="70" t="str">
        <f t="shared" ref="I23:I31" ca="1" si="20">IF(AO23,"Y","N")</f>
        <v>Y</v>
      </c>
      <c r="J23" s="71">
        <f t="shared" ref="J23:J31" ca="1" si="21">AU23</f>
        <v>45646.675000000003</v>
      </c>
      <c r="K23" s="72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0.67499999999999993</v>
      </c>
      <c r="AE23" s="53" t="b">
        <f t="shared" ref="AE23:AF31" si="24">ISNUMBER(AC23)</f>
        <v>1</v>
      </c>
      <c r="AF23" s="53" t="b">
        <f t="shared" si="24"/>
        <v>1</v>
      </c>
      <c r="AG23" s="53" t="b">
        <f t="shared" si="6"/>
        <v>1</v>
      </c>
      <c r="AH23" s="53" t="b">
        <f t="shared" ref="AH23:AH31" si="25">ISNUMBER(G23)</f>
        <v>1</v>
      </c>
      <c r="AI23" s="53" t="b">
        <f t="shared" ca="1" si="7"/>
        <v>1</v>
      </c>
      <c r="AJ23" s="53" t="b">
        <f t="shared" si="8"/>
        <v>1</v>
      </c>
      <c r="AK23" s="53" t="b">
        <f t="shared" si="9"/>
        <v>1</v>
      </c>
      <c r="AL23" s="16">
        <f ca="1">IF(AND(AI23,AJ23),((AC23+AD23)-(AC22+AD22))*24/6,0)</f>
        <v>1.0333333333546761</v>
      </c>
      <c r="AM23" s="53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 x14ac:dyDescent="0.3">
      <c r="C24" s="79" t="str">
        <f t="shared" ref="C24:C31" si="29">IF(C23=$A$13,$A$14,$A$13)</f>
        <v>PM</v>
      </c>
      <c r="D24" s="75" t="s">
        <v>345</v>
      </c>
      <c r="E24" s="78" t="s">
        <v>356</v>
      </c>
      <c r="F24" s="77">
        <v>50</v>
      </c>
      <c r="G24" s="77">
        <v>10.199999999999999</v>
      </c>
      <c r="H24" s="74" t="str">
        <f t="shared" ca="1" si="19"/>
        <v>Y</v>
      </c>
      <c r="I24" s="70" t="str">
        <f t="shared" ca="1" si="20"/>
        <v>N</v>
      </c>
      <c r="J24" s="71">
        <f t="shared" ca="1" si="21"/>
        <v>45647.008333333331</v>
      </c>
      <c r="K24" s="72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3" t="b">
        <f t="shared" si="24"/>
        <v>1</v>
      </c>
      <c r="AF24" s="53" t="b">
        <f t="shared" si="24"/>
        <v>1</v>
      </c>
      <c r="AG24" s="53" t="b">
        <f t="shared" si="6"/>
        <v>1</v>
      </c>
      <c r="AH24" s="53" t="b">
        <f t="shared" si="25"/>
        <v>1</v>
      </c>
      <c r="AI24" s="53" t="b">
        <f t="shared" ca="1" si="7"/>
        <v>1</v>
      </c>
      <c r="AJ24" s="53" t="b">
        <f t="shared" si="8"/>
        <v>1</v>
      </c>
      <c r="AK24" s="53" t="b">
        <f t="shared" si="9"/>
        <v>1</v>
      </c>
      <c r="AL24" s="16">
        <f t="shared" ref="AL24:AL31" ca="1" si="30">IF(AND(AI24,AJ24),((AC24+AD24)-(AC23+AD23))*24/6,0)</f>
        <v>1.3333333333139308</v>
      </c>
      <c r="AM24" s="53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 x14ac:dyDescent="0.3">
      <c r="C25" s="79" t="str">
        <f t="shared" si="29"/>
        <v>BM</v>
      </c>
      <c r="D25" s="75" t="s">
        <v>345</v>
      </c>
      <c r="E25" s="78" t="s">
        <v>357</v>
      </c>
      <c r="F25" s="77"/>
      <c r="G25" s="77">
        <v>4.75</v>
      </c>
      <c r="H25" s="74" t="str">
        <f t="shared" ca="1" si="19"/>
        <v>Y</v>
      </c>
      <c r="I25" s="70" t="str">
        <f t="shared" ca="1" si="20"/>
        <v>N</v>
      </c>
      <c r="J25" s="71">
        <f t="shared" ca="1" si="21"/>
        <v>45647.258333333331</v>
      </c>
      <c r="K25" s="72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3" t="b">
        <f t="shared" si="24"/>
        <v>1</v>
      </c>
      <c r="AF25" s="53" t="b">
        <f t="shared" si="24"/>
        <v>1</v>
      </c>
      <c r="AG25" s="53" t="b">
        <f t="shared" si="6"/>
        <v>1</v>
      </c>
      <c r="AH25" s="53" t="b">
        <f t="shared" si="25"/>
        <v>1</v>
      </c>
      <c r="AI25" s="53" t="b">
        <f t="shared" ca="1" si="7"/>
        <v>1</v>
      </c>
      <c r="AJ25" s="53" t="b">
        <f t="shared" si="8"/>
        <v>1</v>
      </c>
      <c r="AK25" s="53" t="b">
        <f t="shared" si="9"/>
        <v>1</v>
      </c>
      <c r="AL25" s="16">
        <f t="shared" ca="1" si="30"/>
        <v>1</v>
      </c>
      <c r="AM25" s="53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 x14ac:dyDescent="0.3">
      <c r="C26" s="79" t="str">
        <f t="shared" si="29"/>
        <v>PM</v>
      </c>
      <c r="D26" s="75" t="str">
        <f>D25</f>
        <v>2024/12/21</v>
      </c>
      <c r="E26" s="78" t="s">
        <v>388</v>
      </c>
      <c r="F26" s="77">
        <v>80</v>
      </c>
      <c r="G26" s="77">
        <v>9.7200000000000006</v>
      </c>
      <c r="H26" s="74" t="str">
        <f t="shared" ca="1" si="19"/>
        <v>Y</v>
      </c>
      <c r="I26" s="70" t="str">
        <f t="shared" ca="1" si="20"/>
        <v>Y</v>
      </c>
      <c r="J26" s="71">
        <f t="shared" ca="1" si="21"/>
        <v>45647.51666666667</v>
      </c>
      <c r="K26" s="72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3" t="b">
        <f t="shared" si="24"/>
        <v>1</v>
      </c>
      <c r="AF26" s="53" t="b">
        <f t="shared" si="24"/>
        <v>1</v>
      </c>
      <c r="AG26" s="53" t="b">
        <f t="shared" si="6"/>
        <v>1</v>
      </c>
      <c r="AH26" s="53" t="b">
        <f t="shared" si="25"/>
        <v>1</v>
      </c>
      <c r="AI26" s="53" t="b">
        <f t="shared" ca="1" si="7"/>
        <v>1</v>
      </c>
      <c r="AJ26" s="53" t="b">
        <f t="shared" si="8"/>
        <v>1</v>
      </c>
      <c r="AK26" s="53" t="b">
        <f t="shared" si="9"/>
        <v>1</v>
      </c>
      <c r="AL26" s="16">
        <f t="shared" ca="1" si="30"/>
        <v>1.0333333333546761</v>
      </c>
      <c r="AM26" s="53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 x14ac:dyDescent="0.3">
      <c r="C27" s="79" t="str">
        <f t="shared" si="29"/>
        <v>BM</v>
      </c>
      <c r="D27" s="75"/>
      <c r="E27" s="78"/>
      <c r="F27" s="77"/>
      <c r="G27" s="77"/>
      <c r="H27" s="74" t="str">
        <f t="shared" si="19"/>
        <v>N</v>
      </c>
      <c r="I27" s="70" t="str">
        <f t="shared" si="20"/>
        <v>N</v>
      </c>
      <c r="J27" s="71" t="str">
        <f t="shared" si="21"/>
        <v>-</v>
      </c>
      <c r="K27" s="72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3" t="b">
        <f t="shared" si="24"/>
        <v>0</v>
      </c>
      <c r="AF27" s="53" t="b">
        <f t="shared" si="24"/>
        <v>0</v>
      </c>
      <c r="AG27" s="53" t="b">
        <f t="shared" si="6"/>
        <v>1</v>
      </c>
      <c r="AH27" s="53" t="b">
        <f t="shared" si="25"/>
        <v>0</v>
      </c>
      <c r="AI27" s="53" t="b">
        <f t="shared" si="7"/>
        <v>0</v>
      </c>
      <c r="AJ27" s="53" t="b">
        <f t="shared" si="8"/>
        <v>0</v>
      </c>
      <c r="AK27" s="53" t="b">
        <f t="shared" si="9"/>
        <v>0</v>
      </c>
      <c r="AL27" s="16">
        <f t="shared" si="30"/>
        <v>0</v>
      </c>
      <c r="AM27" s="53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 x14ac:dyDescent="0.3">
      <c r="C28" s="79" t="str">
        <f t="shared" si="29"/>
        <v>PM</v>
      </c>
      <c r="D28" s="76"/>
      <c r="E28" s="78"/>
      <c r="F28" s="77"/>
      <c r="G28" s="77"/>
      <c r="H28" s="74" t="str">
        <f t="shared" si="19"/>
        <v>N</v>
      </c>
      <c r="I28" s="70" t="str">
        <f t="shared" si="20"/>
        <v>N</v>
      </c>
      <c r="J28" s="71" t="str">
        <f t="shared" si="21"/>
        <v>-</v>
      </c>
      <c r="K28" s="72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3" t="b">
        <f t="shared" si="24"/>
        <v>0</v>
      </c>
      <c r="AF28" s="53" t="b">
        <f t="shared" si="24"/>
        <v>0</v>
      </c>
      <c r="AG28" s="53" t="b">
        <f t="shared" si="6"/>
        <v>0</v>
      </c>
      <c r="AH28" s="53" t="b">
        <f t="shared" si="25"/>
        <v>0</v>
      </c>
      <c r="AI28" s="53" t="b">
        <f t="shared" si="7"/>
        <v>0</v>
      </c>
      <c r="AJ28" s="53" t="b">
        <f t="shared" si="8"/>
        <v>0</v>
      </c>
      <c r="AK28" s="53" t="b">
        <f t="shared" si="9"/>
        <v>0</v>
      </c>
      <c r="AL28" s="16">
        <f t="shared" si="30"/>
        <v>0</v>
      </c>
      <c r="AM28" s="53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 x14ac:dyDescent="0.3">
      <c r="C29" s="79" t="str">
        <f t="shared" si="29"/>
        <v>BM</v>
      </c>
      <c r="D29" s="76"/>
      <c r="E29" s="78"/>
      <c r="F29" s="77"/>
      <c r="G29" s="77"/>
      <c r="H29" s="74" t="str">
        <f t="shared" si="19"/>
        <v>N</v>
      </c>
      <c r="I29" s="70" t="str">
        <f t="shared" si="20"/>
        <v>N</v>
      </c>
      <c r="J29" s="71" t="str">
        <f t="shared" si="21"/>
        <v>-</v>
      </c>
      <c r="K29" s="72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3" t="b">
        <f t="shared" si="24"/>
        <v>0</v>
      </c>
      <c r="AF29" s="53" t="b">
        <f t="shared" si="24"/>
        <v>0</v>
      </c>
      <c r="AG29" s="53" t="b">
        <f t="shared" si="6"/>
        <v>1</v>
      </c>
      <c r="AH29" s="53" t="b">
        <f t="shared" si="25"/>
        <v>0</v>
      </c>
      <c r="AI29" s="53" t="b">
        <f t="shared" si="7"/>
        <v>0</v>
      </c>
      <c r="AJ29" s="53" t="b">
        <f t="shared" si="8"/>
        <v>0</v>
      </c>
      <c r="AK29" s="53" t="b">
        <f t="shared" si="9"/>
        <v>0</v>
      </c>
      <c r="AL29" s="16">
        <f t="shared" si="30"/>
        <v>0</v>
      </c>
      <c r="AM29" s="53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 x14ac:dyDescent="0.3">
      <c r="C30" s="79" t="str">
        <f t="shared" si="29"/>
        <v>PM</v>
      </c>
      <c r="D30" s="76"/>
      <c r="E30" s="78"/>
      <c r="F30" s="77"/>
      <c r="G30" s="77"/>
      <c r="H30" s="74" t="str">
        <f t="shared" si="19"/>
        <v>N</v>
      </c>
      <c r="I30" s="70" t="str">
        <f t="shared" si="20"/>
        <v>N</v>
      </c>
      <c r="J30" s="71" t="str">
        <f t="shared" si="21"/>
        <v>-</v>
      </c>
      <c r="K30" s="72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3" t="b">
        <f t="shared" si="24"/>
        <v>0</v>
      </c>
      <c r="AF30" s="53" t="b">
        <f t="shared" si="24"/>
        <v>0</v>
      </c>
      <c r="AG30" s="53" t="b">
        <f t="shared" si="6"/>
        <v>0</v>
      </c>
      <c r="AH30" s="53" t="b">
        <f t="shared" si="25"/>
        <v>0</v>
      </c>
      <c r="AI30" s="53" t="b">
        <f t="shared" si="7"/>
        <v>0</v>
      </c>
      <c r="AJ30" s="53" t="b">
        <f t="shared" si="8"/>
        <v>0</v>
      </c>
      <c r="AK30" s="53" t="b">
        <f t="shared" si="9"/>
        <v>0</v>
      </c>
      <c r="AL30" s="16">
        <f t="shared" si="30"/>
        <v>0</v>
      </c>
      <c r="AM30" s="53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 x14ac:dyDescent="0.3">
      <c r="B31" s="73" t="s">
        <v>331</v>
      </c>
      <c r="C31" s="79" t="str">
        <f t="shared" si="29"/>
        <v>BM</v>
      </c>
      <c r="D31" s="76"/>
      <c r="E31" s="78"/>
      <c r="F31" s="77"/>
      <c r="G31" s="77"/>
      <c r="H31" s="74" t="str">
        <f t="shared" si="19"/>
        <v>N</v>
      </c>
      <c r="I31" s="70" t="str">
        <f t="shared" si="20"/>
        <v>N</v>
      </c>
      <c r="J31" s="71" t="str">
        <f t="shared" si="21"/>
        <v>-</v>
      </c>
      <c r="K31" s="72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3" t="b">
        <f t="shared" si="24"/>
        <v>0</v>
      </c>
      <c r="AF31" s="53" t="b">
        <f t="shared" si="24"/>
        <v>0</v>
      </c>
      <c r="AG31" s="53" t="b">
        <f t="shared" si="6"/>
        <v>1</v>
      </c>
      <c r="AH31" s="53" t="b">
        <f t="shared" si="25"/>
        <v>0</v>
      </c>
      <c r="AI31" s="53" t="b">
        <f t="shared" si="7"/>
        <v>0</v>
      </c>
      <c r="AJ31" s="53" t="b">
        <f t="shared" si="8"/>
        <v>0</v>
      </c>
      <c r="AK31" s="53" t="b">
        <f t="shared" si="9"/>
        <v>0</v>
      </c>
      <c r="AL31" s="16">
        <f t="shared" si="30"/>
        <v>0</v>
      </c>
      <c r="AM31" s="53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 x14ac:dyDescent="0.25">
      <c r="P32" s="16"/>
      <c r="Q32" s="16"/>
      <c r="X32"/>
      <c r="Y32" s="1123"/>
      <c r="Z32" s="1123"/>
      <c r="AA32" s="1123"/>
    </row>
    <row r="33" spans="3:83" x14ac:dyDescent="0.25">
      <c r="P33" s="16"/>
      <c r="Q33" s="16"/>
      <c r="X33"/>
      <c r="Y33" s="1123"/>
      <c r="Z33" s="1123"/>
      <c r="AA33" s="1123"/>
    </row>
    <row r="34" spans="3:83" x14ac:dyDescent="0.25">
      <c r="X34"/>
      <c r="Y34" s="1123"/>
      <c r="Z34" s="1123"/>
      <c r="AA34" s="1123"/>
      <c r="AC34" s="52">
        <f ca="1">IF(AM22,J22,AD7)</f>
        <v>45646.416666666664</v>
      </c>
      <c r="AD34" s="16" t="s">
        <v>354</v>
      </c>
      <c r="AE34" s="16" t="s">
        <v>354</v>
      </c>
      <c r="AF34" s="16" t="s">
        <v>354</v>
      </c>
      <c r="AG34" s="16" t="s">
        <v>354</v>
      </c>
      <c r="AH34" s="16" t="s">
        <v>354</v>
      </c>
      <c r="AI34" s="52">
        <f ca="1">IF($AM$23,$J$23,AC34+6/24)</f>
        <v>45646.675000000003</v>
      </c>
      <c r="AJ34" s="16" t="s">
        <v>354</v>
      </c>
      <c r="AK34" s="16" t="s">
        <v>354</v>
      </c>
      <c r="AL34" s="16" t="s">
        <v>354</v>
      </c>
      <c r="AM34" s="16" t="s">
        <v>354</v>
      </c>
      <c r="AN34" s="16" t="s">
        <v>354</v>
      </c>
      <c r="AO34" s="52">
        <f ca="1">IF($AM$24,$J$24,AI34+6/24)</f>
        <v>45647.008333333331</v>
      </c>
      <c r="AP34" s="16" t="s">
        <v>354</v>
      </c>
      <c r="AQ34" s="16" t="s">
        <v>354</v>
      </c>
      <c r="AR34" s="16" t="s">
        <v>354</v>
      </c>
      <c r="AS34" s="16" t="s">
        <v>354</v>
      </c>
      <c r="AT34" s="16" t="s">
        <v>354</v>
      </c>
      <c r="AU34" s="52">
        <f ca="1">IF($AM$25,$J$25,AO34+6/24)</f>
        <v>45647.258333333331</v>
      </c>
      <c r="AV34" s="16" t="s">
        <v>354</v>
      </c>
      <c r="AW34" s="16" t="s">
        <v>354</v>
      </c>
      <c r="AX34" s="16" t="s">
        <v>354</v>
      </c>
      <c r="AY34" s="16" t="s">
        <v>354</v>
      </c>
      <c r="AZ34" s="16" t="s">
        <v>354</v>
      </c>
      <c r="BA34" s="52">
        <f ca="1">IF($AM$26,$J$26,AU34+6/24)</f>
        <v>45647.51666666667</v>
      </c>
      <c r="BB34" s="16" t="s">
        <v>354</v>
      </c>
      <c r="BC34" s="16" t="s">
        <v>354</v>
      </c>
      <c r="BD34" s="16" t="s">
        <v>354</v>
      </c>
      <c r="BE34" s="16" t="s">
        <v>354</v>
      </c>
      <c r="BF34" s="16" t="s">
        <v>354</v>
      </c>
      <c r="BG34" s="52">
        <f ca="1">IF($AM$27,$J$27,BA34+6/24)</f>
        <v>45647.76666666667</v>
      </c>
      <c r="BH34" s="16" t="s">
        <v>354</v>
      </c>
      <c r="BI34" s="16" t="s">
        <v>354</v>
      </c>
      <c r="BJ34" s="16" t="s">
        <v>354</v>
      </c>
      <c r="BK34" s="16" t="s">
        <v>354</v>
      </c>
      <c r="BL34" s="16" t="s">
        <v>354</v>
      </c>
      <c r="BM34" s="52">
        <f ca="1">IF($AM$28,$J$28,BG34+6/24)</f>
        <v>45648.01666666667</v>
      </c>
      <c r="BN34" s="16" t="s">
        <v>354</v>
      </c>
      <c r="BO34" s="16" t="s">
        <v>354</v>
      </c>
      <c r="BP34" s="16" t="s">
        <v>354</v>
      </c>
      <c r="BQ34" s="16" t="s">
        <v>354</v>
      </c>
      <c r="BR34" s="16" t="s">
        <v>354</v>
      </c>
      <c r="BS34" s="52">
        <f ca="1">IF($AM$29,$J$29,BM34+6/24)</f>
        <v>45648.26666666667</v>
      </c>
      <c r="BT34" s="16" t="s">
        <v>354</v>
      </c>
      <c r="BU34" s="16" t="s">
        <v>354</v>
      </c>
      <c r="BV34" s="16" t="s">
        <v>354</v>
      </c>
      <c r="BW34" s="16" t="s">
        <v>354</v>
      </c>
      <c r="BX34" s="16" t="s">
        <v>354</v>
      </c>
      <c r="BY34" s="52">
        <f ca="1">IF($AM$30,$J$30,BS34+6/24)</f>
        <v>45648.51666666667</v>
      </c>
      <c r="BZ34" s="16" t="s">
        <v>354</v>
      </c>
      <c r="CA34" s="16" t="s">
        <v>354</v>
      </c>
      <c r="CB34" s="16" t="s">
        <v>354</v>
      </c>
      <c r="CC34" s="16" t="s">
        <v>354</v>
      </c>
      <c r="CD34" s="16" t="s">
        <v>354</v>
      </c>
      <c r="CE34" s="52">
        <f ca="1">IF($AM$31,$J$31,BY34+6/24)</f>
        <v>45648.76666666667</v>
      </c>
    </row>
    <row r="35" spans="3:83" ht="18.75" x14ac:dyDescent="0.3">
      <c r="C35" s="1126" t="s">
        <v>375</v>
      </c>
      <c r="D35" s="1127"/>
      <c r="E35" s="1127"/>
      <c r="F35" s="1128"/>
      <c r="AB35" s="16" t="s">
        <v>353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 x14ac:dyDescent="0.25">
      <c r="C36" s="16" t="s">
        <v>364</v>
      </c>
      <c r="D36" s="16">
        <v>5.01</v>
      </c>
      <c r="E36" s="16" t="s">
        <v>275</v>
      </c>
      <c r="AB36" s="16" t="s">
        <v>12</v>
      </c>
      <c r="AC36" s="52">
        <f ca="1">AC34</f>
        <v>45646.416666666664</v>
      </c>
      <c r="AD36" s="52">
        <f ca="1">AC36+(AI34-AC34)/6</f>
        <v>45646.459722222222</v>
      </c>
      <c r="AE36" s="52">
        <f ca="1">AD36+(AI34-AC34)/6</f>
        <v>45646.50277777778</v>
      </c>
      <c r="AF36" s="52">
        <f ca="1">AE36+(AI34-AC34)/6</f>
        <v>45646.545833333337</v>
      </c>
      <c r="AG36" s="52">
        <f ca="1">AF36+(AI34-AC34)/6</f>
        <v>45646.588888888895</v>
      </c>
      <c r="AH36" s="52">
        <f ca="1">AG36+(AI34-AC34)/6</f>
        <v>45646.631944444453</v>
      </c>
      <c r="AI36" s="52">
        <f ca="1">AI34</f>
        <v>45646.675000000003</v>
      </c>
      <c r="AJ36" s="52">
        <f ca="1">AI36+(AO34-AI34)/6</f>
        <v>45646.730555555558</v>
      </c>
      <c r="AK36" s="52">
        <f ca="1">AJ36+(AO34-AI34)/6</f>
        <v>45646.786111111112</v>
      </c>
      <c r="AL36" s="52">
        <f ca="1">AK36+(AO34-AI34)/6</f>
        <v>45646.841666666667</v>
      </c>
      <c r="AM36" s="52">
        <f ca="1">AL36+(AO34-AI34)/6</f>
        <v>45646.897222222222</v>
      </c>
      <c r="AN36" s="52">
        <f ca="1">AM36+(AO34-AI34)/6</f>
        <v>45646.952777777777</v>
      </c>
      <c r="AO36" s="52">
        <f ca="1">AO34</f>
        <v>45647.008333333331</v>
      </c>
      <c r="AP36" s="52">
        <f ca="1">AO36+(AU34-AO34)/6</f>
        <v>45647.049999999996</v>
      </c>
      <c r="AQ36" s="52">
        <f ca="1">AP36+(AU34-AO34)/6</f>
        <v>45647.09166666666</v>
      </c>
      <c r="AR36" s="52">
        <f ca="1">AQ36+(AU34-AO34)/6</f>
        <v>45647.133333333324</v>
      </c>
      <c r="AS36" s="52">
        <f ca="1">AR36+(AU34-AO34)/6</f>
        <v>45647.174999999988</v>
      </c>
      <c r="AT36" s="52">
        <f ca="1">AS36+(AU34-AO34)/6</f>
        <v>45647.216666666653</v>
      </c>
      <c r="AU36" s="52">
        <f ca="1">AU34</f>
        <v>45647.258333333331</v>
      </c>
      <c r="AV36" s="52">
        <f ca="1">AU36+(BA34-AU34)/6</f>
        <v>45647.301388888889</v>
      </c>
      <c r="AW36" s="52">
        <f ca="1">AV36+(BA34-AU34)/6</f>
        <v>45647.344444444447</v>
      </c>
      <c r="AX36" s="52">
        <f ca="1">AW36+(BA34-AU34)/6</f>
        <v>45647.387500000004</v>
      </c>
      <c r="AY36" s="52">
        <f ca="1">AX36+(BA34-AU34)/6</f>
        <v>45647.430555555562</v>
      </c>
      <c r="AZ36" s="52">
        <f ca="1">AY36+(BA34-AU34)/6</f>
        <v>45647.47361111112</v>
      </c>
      <c r="BA36" s="52">
        <f ca="1">BA34</f>
        <v>45647.51666666667</v>
      </c>
      <c r="BB36" s="52">
        <f ca="1">BA36+(BG34-BA34)/6</f>
        <v>45647.558333333334</v>
      </c>
      <c r="BC36" s="52">
        <f ca="1">BB36+(BG34-BA34)/6</f>
        <v>45647.6</v>
      </c>
      <c r="BD36" s="52">
        <f ca="1">BC36+(BG34-BA34)/6</f>
        <v>45647.641666666663</v>
      </c>
      <c r="BE36" s="52">
        <f ca="1">BD36+(BG34-BA34)/6</f>
        <v>45647.683333333327</v>
      </c>
      <c r="BF36" s="52">
        <f ca="1">BE36+(BG34-BA34)/6</f>
        <v>45647.724999999991</v>
      </c>
      <c r="BG36" s="52">
        <f ca="1">BG34</f>
        <v>45647.76666666667</v>
      </c>
      <c r="BH36" s="52">
        <f ca="1">BG36+(BM34-BG34)/6</f>
        <v>45647.808333333334</v>
      </c>
      <c r="BI36" s="52">
        <f ca="1">BH36+(BM34-BG34)/6</f>
        <v>45647.85</v>
      </c>
      <c r="BJ36" s="52">
        <f ca="1">BI36+(BM34-BG34)/6</f>
        <v>45647.891666666663</v>
      </c>
      <c r="BK36" s="52">
        <f ca="1">BJ36+(BM34-BG34)/6</f>
        <v>45647.933333333327</v>
      </c>
      <c r="BL36" s="52">
        <f ca="1">BK36+(BM34-BG34)/6</f>
        <v>45647.974999999991</v>
      </c>
      <c r="BM36" s="52">
        <f ca="1">BM34</f>
        <v>45648.01666666667</v>
      </c>
      <c r="BN36" s="52">
        <f ca="1">BM36+(BS34-BM34)/6</f>
        <v>45648.058333333334</v>
      </c>
      <c r="BO36" s="52">
        <f ca="1">BN36+(BS34-BM34)/6</f>
        <v>45648.1</v>
      </c>
      <c r="BP36" s="52">
        <f ca="1">BO36+(BS34-BM34)/6</f>
        <v>45648.141666666663</v>
      </c>
      <c r="BQ36" s="52">
        <f ca="1">BP36+(BS34-BM34)/6</f>
        <v>45648.183333333327</v>
      </c>
      <c r="BR36" s="52">
        <f ca="1">BQ36+(BS34-BM34)/6</f>
        <v>45648.224999999991</v>
      </c>
      <c r="BS36" s="52">
        <f ca="1">BS34</f>
        <v>45648.26666666667</v>
      </c>
      <c r="BT36" s="52">
        <f ca="1">BS36+(BY34-BS34)/6</f>
        <v>45648.308333333334</v>
      </c>
      <c r="BU36" s="52">
        <f ca="1">BT36+(BY34-BS34)/6</f>
        <v>45648.35</v>
      </c>
      <c r="BV36" s="52">
        <f ca="1">BU36+(BY34-BS34)/6</f>
        <v>45648.391666666663</v>
      </c>
      <c r="BW36" s="52">
        <f ca="1">BV36+(BY34-BS34)/6</f>
        <v>45648.433333333327</v>
      </c>
      <c r="BX36" s="52">
        <f ca="1">BW36+(BY34-BS34)/6</f>
        <v>45648.474999999991</v>
      </c>
      <c r="BY36" s="52">
        <f ca="1">BY34</f>
        <v>45648.51666666667</v>
      </c>
      <c r="BZ36" s="52">
        <f ca="1">BY36+(CE34-BY34)/6</f>
        <v>45648.558333333334</v>
      </c>
      <c r="CA36" s="52">
        <f ca="1">BZ36+(CE34-BY34)/6</f>
        <v>45648.6</v>
      </c>
      <c r="CB36" s="52">
        <f ca="1">CA36+(CE34-BY34)/6</f>
        <v>45648.641666666663</v>
      </c>
      <c r="CC36" s="52">
        <f ca="1">CB36+(CE34-BY34)/6</f>
        <v>45648.683333333327</v>
      </c>
      <c r="CD36" s="52">
        <f ca="1">CC36+(CE34-BY34)/6</f>
        <v>45648.724999999991</v>
      </c>
      <c r="CE36" s="52">
        <f ca="1">CE34</f>
        <v>45648.76666666667</v>
      </c>
    </row>
    <row r="37" spans="3:83" x14ac:dyDescent="0.25">
      <c r="C37" s="16" t="s">
        <v>376</v>
      </c>
      <c r="D37" s="54" t="s">
        <v>372</v>
      </c>
      <c r="AB37" s="16" t="s">
        <v>272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 x14ac:dyDescent="0.25">
      <c r="D38" s="1129" t="s">
        <v>377</v>
      </c>
      <c r="E38" s="1129"/>
    </row>
    <row r="39" spans="3:83" x14ac:dyDescent="0.25">
      <c r="D39" s="60" t="s">
        <v>12</v>
      </c>
      <c r="E39" s="68" t="s">
        <v>272</v>
      </c>
      <c r="F39" s="1130" t="s">
        <v>378</v>
      </c>
      <c r="G39" s="1124" t="s">
        <v>379</v>
      </c>
      <c r="H39" s="1125"/>
      <c r="AB39" s="16" t="s">
        <v>12</v>
      </c>
      <c r="AC39" s="52">
        <f ca="1">AC36</f>
        <v>45646.416666666664</v>
      </c>
      <c r="AD39" s="52">
        <f ca="1">IF(AND(ISNUMBER(AJ52),($D$36-E42)*($D$36-E40)&lt;0),AJ46,AC39+$AD$41)</f>
        <v>45646.67386695907</v>
      </c>
      <c r="AE39" s="52">
        <f ca="1">IF(AB48,IF(AND(ISNUMBER(AJ48),($D$36-E44)*($D$36-E42)&lt;0),AJ48,AD39+$AD$41),AD39+$AD$41)</f>
        <v>45646.676282051281</v>
      </c>
      <c r="AF39" s="52">
        <f ca="1">IF(AB50,IF(AND(ISNUMBER(AJ50),($D$36-E46)*($D$36-E44)&lt;0),AJ50,AE39+$AD$41),AE39+$AD$41)</f>
        <v>45647.234480122323</v>
      </c>
      <c r="AG39" s="52">
        <f ca="1">IF(AB52,IF(AND(ISNUMBER(AJ52),($D$36-E46)*($D$36-E48)&lt;0),AJ52,AF39+$AD$41),AF39+$AD$41)</f>
        <v>45647.285362173039</v>
      </c>
      <c r="AH39" s="52">
        <f ca="1">IF(AB54,IF(AND(ISNUMBER(AJ54),($D$36-E48)*($D$36-E50)&lt;0),AJ54,AG39+$AD$41),AG39+$AD$41)</f>
        <v>45647.52036217304</v>
      </c>
      <c r="AI39" s="52">
        <f ca="1">IF(AB56,IF(AND(ISNUMBER(AJ56),($D$36-E50)*($D$36-E52)&lt;0),AJ56,AH39+$AD$41),AH39+$AD$41)</f>
        <v>45647.75536217304</v>
      </c>
      <c r="AJ39" s="52">
        <f ca="1">IF(AB58,IF(AND(ISNUMBER(AJ58),($D$36-E52)*($D$36-E54)&lt;0),AJ58,AI39+$AD$41),AI39+$AD$41)</f>
        <v>45647.990362173041</v>
      </c>
      <c r="AK39" s="52">
        <f ca="1">IF(AB62,IF(AND(ISNUMBER(AJ60),($D$36-E54)*($D$36-E56)&lt;0),AJ60,AJ39+$AD$41),AJ39+$AD$41)</f>
        <v>45648.225362173042</v>
      </c>
      <c r="AL39" s="52">
        <f ca="1">IF(AB62,IF(AND(ISNUMBER(AJ62),($D$36-E56)*($D$36-E58)&lt;0),AJ62,AK39+$AD$41),AK39+$AD$41)</f>
        <v>45648.460362173042</v>
      </c>
      <c r="AM39" s="52">
        <f ca="1">CE36</f>
        <v>45648.76666666667</v>
      </c>
    </row>
    <row r="40" spans="3:83" x14ac:dyDescent="0.25">
      <c r="D40" s="59">
        <f ca="1">J22</f>
        <v>45646.416666666664</v>
      </c>
      <c r="E40" s="62">
        <f ca="1">K22</f>
        <v>9.56</v>
      </c>
      <c r="F40" s="1130"/>
      <c r="G40" s="37" t="s">
        <v>380</v>
      </c>
      <c r="H40" s="37" t="s">
        <v>2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 x14ac:dyDescent="0.25">
      <c r="D41" s="1120">
        <f ca="1">AJ46</f>
        <v>45646.67386695907</v>
      </c>
      <c r="E41" s="1121"/>
      <c r="F41" s="1122"/>
      <c r="G41" s="64" t="str">
        <f ca="1">IF(AS65,AJ65,"-")</f>
        <v>-</v>
      </c>
      <c r="H41" s="65" t="str">
        <f ca="1">IF(AS65,AL65,"Impossible")</f>
        <v>Impossible</v>
      </c>
      <c r="AC41" s="16" t="s">
        <v>382</v>
      </c>
      <c r="AD41" s="16">
        <f ca="1">(AM39-AC39)/10</f>
        <v>0.23500000000058208</v>
      </c>
    </row>
    <row r="42" spans="3:83" x14ac:dyDescent="0.25">
      <c r="D42" s="59">
        <f ca="1">J23</f>
        <v>45646.675000000003</v>
      </c>
      <c r="E42" s="46">
        <f ca="1">K23</f>
        <v>5</v>
      </c>
      <c r="F42" s="61"/>
      <c r="H42" s="52"/>
      <c r="AB42" s="16" t="str">
        <f>CONCATENATE("Par Heure (",D37,")")</f>
        <v>Par Heure (08:00)</v>
      </c>
      <c r="AC42" s="52">
        <f ca="1">AY65</f>
        <v>45647.333333333336</v>
      </c>
      <c r="AD42" s="52">
        <f ca="1">AY66</f>
        <v>45647.333333333336</v>
      </c>
      <c r="AE42" s="52">
        <f ca="1">AY67</f>
        <v>45647.333333333336</v>
      </c>
      <c r="AF42" s="52">
        <f ca="1">AY68</f>
        <v>45647.333333333336</v>
      </c>
    </row>
    <row r="43" spans="3:83" x14ac:dyDescent="0.25">
      <c r="D43" s="1117">
        <f ca="1">AJ48</f>
        <v>45646.676282051281</v>
      </c>
      <c r="E43" s="1118"/>
      <c r="F43" s="1119"/>
      <c r="G43" s="64" t="str">
        <f ca="1">IF(AS66,AJ66,"-")</f>
        <v>-</v>
      </c>
      <c r="H43" s="65" t="str">
        <f ca="1">IF(AS66,AL66,"Impossible")</f>
        <v>Impossible</v>
      </c>
      <c r="P43" s="16"/>
      <c r="Q43" s="16"/>
      <c r="AB43" s="16" t="s">
        <v>272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 x14ac:dyDescent="0.25">
      <c r="D44" s="59">
        <f ca="1">J24</f>
        <v>45647.008333333331</v>
      </c>
      <c r="E44" s="46">
        <f ca="1">K24</f>
        <v>10.199999999999999</v>
      </c>
      <c r="F44" s="61"/>
      <c r="H44" s="52"/>
      <c r="P44" s="16"/>
      <c r="Q44" s="16"/>
    </row>
    <row r="45" spans="3:83" x14ac:dyDescent="0.25">
      <c r="D45" s="1117">
        <f ca="1">AJ50</f>
        <v>45647.234480122323</v>
      </c>
      <c r="E45" s="1118"/>
      <c r="F45" s="1119"/>
      <c r="G45" s="64" t="str">
        <f ca="1">IF(AS67,AJ67,"-")</f>
        <v>-</v>
      </c>
      <c r="H45" s="65" t="str">
        <f ca="1">IF(AS67,AL67,"Impossible")</f>
        <v>Impossible</v>
      </c>
      <c r="P45" s="16"/>
      <c r="Q45" s="16"/>
      <c r="AB45" s="55" t="s">
        <v>381</v>
      </c>
      <c r="AC45" s="55" t="s">
        <v>358</v>
      </c>
      <c r="AD45" s="16" t="s">
        <v>359</v>
      </c>
      <c r="AE45" s="16" t="s">
        <v>362</v>
      </c>
      <c r="AF45" s="16" t="s">
        <v>360</v>
      </c>
      <c r="AG45" s="16" t="s">
        <v>361</v>
      </c>
      <c r="AH45" s="16" t="s">
        <v>363</v>
      </c>
      <c r="AI45" s="16" t="s">
        <v>365</v>
      </c>
      <c r="AJ45" s="16" t="s">
        <v>12</v>
      </c>
    </row>
    <row r="46" spans="3:83" x14ac:dyDescent="0.25">
      <c r="D46" s="59">
        <f ca="1">J25</f>
        <v>45647.258333333331</v>
      </c>
      <c r="E46" s="46">
        <f ca="1">K25</f>
        <v>4.75</v>
      </c>
      <c r="F46" s="61"/>
      <c r="H46" s="52"/>
      <c r="P46" s="16"/>
      <c r="Q46" s="16"/>
      <c r="AB46" s="16" t="b">
        <f ca="1">AND((ISNUMBER(E40)),(ISNUMBER(E42)))</f>
        <v>1</v>
      </c>
      <c r="AC46" s="55">
        <f ca="1">IF(AB46,E42-E40,"impossible")</f>
        <v>-4.5600000000000005</v>
      </c>
      <c r="AD46" s="55">
        <f ca="1">IF(AB46,(D42-D40)*24/6,"Impossible")</f>
        <v>1.0333333333546761</v>
      </c>
      <c r="AE46" s="55">
        <f ca="1">AC46/12</f>
        <v>-0.38000000000000006</v>
      </c>
      <c r="AF46" s="55">
        <f ca="1">$D$36-E40</f>
        <v>-4.5500000000000007</v>
      </c>
      <c r="AG46" s="55">
        <f ca="1">AF46/AE46</f>
        <v>11.973684210526315</v>
      </c>
      <c r="AH46" s="55">
        <f ca="1">IF(AG46&lt;1,AG46,IF(AG46&lt;3,1+(AG46-1)/2,IF(AG46&lt;6,2+(AG46-3)/3,IF(AG46&lt;9,3+(AG46-6)/3,IF(AG46&lt;11,4+(AG46-9)/2,5+(AG46-11))))))</f>
        <v>5.973684210526315</v>
      </c>
      <c r="AI46" s="56">
        <f ca="1">D40</f>
        <v>45646.416666666664</v>
      </c>
      <c r="AJ46" s="55">
        <f ca="1">IF(OR(AG46&gt;12,AG46&lt;0),"Impossible",D40+(AD46/24)*AH46)</f>
        <v>45646.67386695907</v>
      </c>
    </row>
    <row r="47" spans="3:83" x14ac:dyDescent="0.25">
      <c r="D47" s="1117">
        <f ca="1">AJ52</f>
        <v>45647.285362173039</v>
      </c>
      <c r="E47" s="1118"/>
      <c r="F47" s="1119"/>
      <c r="G47" s="64">
        <f ca="1">IF(AS68,AJ68,"-")</f>
        <v>5.7787365591939714</v>
      </c>
      <c r="H47" s="65">
        <f ca="1">IF(AS68,AL68,"Impossible")</f>
        <v>45647.333333333336</v>
      </c>
      <c r="P47" s="16"/>
      <c r="Q47" s="16"/>
    </row>
    <row r="48" spans="3:83" x14ac:dyDescent="0.25">
      <c r="D48" s="59">
        <f ca="1">J26</f>
        <v>45647.51666666667</v>
      </c>
      <c r="E48" s="46">
        <f ca="1">K26</f>
        <v>9.7200000000000006</v>
      </c>
      <c r="F48" s="61"/>
      <c r="H48" s="52"/>
      <c r="P48" s="16"/>
      <c r="Q48" s="16"/>
      <c r="AB48" s="16" t="b">
        <f ca="1">AND((ISNUMBER(E42)),(ISNUMBER(E44)))</f>
        <v>1</v>
      </c>
      <c r="AC48" s="55">
        <f ca="1">IF(AB48,E44-E42,"impossible")</f>
        <v>5.1999999999999993</v>
      </c>
      <c r="AD48" s="55">
        <f ca="1">IF(AB48,(D44-D42)*24/6,"Impossible")</f>
        <v>1.3333333333139308</v>
      </c>
      <c r="AE48" s="55">
        <f ca="1">AC48/12</f>
        <v>0.43333333333333329</v>
      </c>
      <c r="AF48" s="55">
        <f ca="1">$D$36-E42</f>
        <v>9.9999999999997868E-3</v>
      </c>
      <c r="AG48" s="55">
        <f ca="1">AF48/AE48</f>
        <v>2.3076923076922586E-2</v>
      </c>
      <c r="AH48" s="55">
        <f ca="1">IF(AG48&lt;1,AG48,IF(AG48&lt;3,1+(AG48-1)/2,IF(AG48&lt;6,2+(AG48-3)/3,IF(AG48&lt;9,3+(AG48-6)/3,IF(AG48&lt;11,4+(AG48-9)/2,5+(AG48-11))))))</f>
        <v>2.3076923076922586E-2</v>
      </c>
      <c r="AI48" s="56">
        <f ca="1">D42</f>
        <v>45646.675000000003</v>
      </c>
      <c r="AJ48" s="55">
        <f ca="1">IF(OR(AG48&gt;12,AG48&lt;0),"Impossible",D42+(AD48/24)*AH48)</f>
        <v>45646.676282051281</v>
      </c>
    </row>
    <row r="49" spans="4:51" x14ac:dyDescent="0.25">
      <c r="D49" s="1117" t="e">
        <f ca="1">AJ54</f>
        <v>#VALUE!</v>
      </c>
      <c r="E49" s="1118"/>
      <c r="F49" s="1119"/>
      <c r="G49" s="64" t="str">
        <f ca="1">IF(AS69,AJ69,"-")</f>
        <v>-</v>
      </c>
      <c r="H49" s="65" t="str">
        <f ca="1">IF(AS69,AL69,"Impossible")</f>
        <v>Impossible</v>
      </c>
      <c r="P49" s="16"/>
      <c r="Q49" s="16"/>
    </row>
    <row r="50" spans="4:51" x14ac:dyDescent="0.25">
      <c r="D50" s="59" t="str">
        <f>J27</f>
        <v>-</v>
      </c>
      <c r="E50" s="46" t="str">
        <f>K27</f>
        <v>-</v>
      </c>
      <c r="F50" s="61"/>
      <c r="H50" s="52"/>
      <c r="P50" s="16"/>
      <c r="Q50" s="16"/>
      <c r="AB50" s="16" t="b">
        <f ca="1">AND((ISNUMBER(E44)),(ISNUMBER(E46)))</f>
        <v>1</v>
      </c>
      <c r="AC50" s="55">
        <f ca="1">IF(AB50,E46-E44,"impossible")</f>
        <v>-5.4499999999999993</v>
      </c>
      <c r="AD50" s="55">
        <f ca="1">IF(AB50,(D46-D44)*24/6,"Impossible")</f>
        <v>1</v>
      </c>
      <c r="AE50" s="55">
        <f ca="1">AC50/12</f>
        <v>-0.45416666666666661</v>
      </c>
      <c r="AF50" s="55">
        <f ca="1">$D$36-E44</f>
        <v>-5.1899999999999995</v>
      </c>
      <c r="AG50" s="55">
        <f ca="1">AF50/AE50</f>
        <v>11.427522935779816</v>
      </c>
      <c r="AH50" s="55">
        <f ca="1">IF(AG50&lt;1,AG50,IF(AG50&lt;3,1+(AG50-1)/2,IF(AG50&lt;6,2+(AG50-3)/3,IF(AG50&lt;9,3+(AG50-6)/3,IF(AG50&lt;11,4+(AG50-9)/2,5+(AG50-11))))))</f>
        <v>5.427522935779816</v>
      </c>
      <c r="AI50" s="56">
        <f ca="1">D44</f>
        <v>45647.008333333331</v>
      </c>
      <c r="AJ50" s="55">
        <f ca="1">IF(OR(AG50&gt;12,AG50&lt;0),"Impossible",D44+(AD50/24)*AH50)</f>
        <v>45647.234480122323</v>
      </c>
    </row>
    <row r="51" spans="4:51" x14ac:dyDescent="0.25">
      <c r="D51" s="1117" t="e">
        <f>AJ56</f>
        <v>#VALUE!</v>
      </c>
      <c r="E51" s="1118"/>
      <c r="F51" s="1119"/>
      <c r="G51" s="64" t="e">
        <f>IF(AS70,AJ70,"-")</f>
        <v>#VALUE!</v>
      </c>
      <c r="H51" s="65" t="e">
        <f>IF(AS70,AL70,"Impossible")</f>
        <v>#VALUE!</v>
      </c>
      <c r="P51" s="16"/>
      <c r="Q51" s="16"/>
    </row>
    <row r="52" spans="4:51" x14ac:dyDescent="0.25">
      <c r="D52" s="59" t="str">
        <f>J28</f>
        <v>-</v>
      </c>
      <c r="E52" s="46" t="str">
        <f>K28</f>
        <v>-</v>
      </c>
      <c r="F52" s="61"/>
      <c r="H52" s="52"/>
      <c r="P52" s="16"/>
      <c r="Q52" s="16"/>
      <c r="AB52" s="16" t="b">
        <f ca="1">AND((ISNUMBER(E46)),(ISNUMBER(E48)))</f>
        <v>1</v>
      </c>
      <c r="AC52" s="55">
        <f ca="1">IF(AB52,E48-E46,"impossible")</f>
        <v>4.9700000000000006</v>
      </c>
      <c r="AD52" s="55">
        <f ca="1">IF(AB52,(D48-D46)*24/6,"Impossible")</f>
        <v>1.0333333333546761</v>
      </c>
      <c r="AE52" s="55">
        <f ca="1">AC52/12</f>
        <v>0.41416666666666674</v>
      </c>
      <c r="AF52" s="55">
        <f ca="1">$D$36-E46</f>
        <v>0.25999999999999979</v>
      </c>
      <c r="AG52" s="55">
        <f ca="1">AF52/AE52</f>
        <v>0.62776659959758485</v>
      </c>
      <c r="AH52" s="55">
        <f ca="1">IF(AG52&lt;1,AG52,IF(AG52&lt;3,1+(AG52-1)/2,IF(AG52&lt;6,2+(AG52-3)/3,IF(AG52&lt;9,3+(AG52-6)/3,IF(AG52&lt;11,4+(AG52-9)/2,5+(AG52-11))))))</f>
        <v>0.62776659959758485</v>
      </c>
      <c r="AI52" s="56">
        <f ca="1">D46</f>
        <v>45647.258333333331</v>
      </c>
      <c r="AJ52" s="55">
        <f ca="1">IF(OR(AG52&gt;12,AG52&lt;0),"Impossible",D46+(AD52/24)*AH52)</f>
        <v>45647.285362173039</v>
      </c>
    </row>
    <row r="53" spans="4:51" x14ac:dyDescent="0.25">
      <c r="D53" s="1117" t="e">
        <f>AJ58</f>
        <v>#VALUE!</v>
      </c>
      <c r="E53" s="1118"/>
      <c r="F53" s="1119"/>
      <c r="G53" s="64" t="e">
        <f>IF(AS71,AJ71,"-")</f>
        <v>#VALUE!</v>
      </c>
      <c r="H53" s="65" t="e">
        <f>IF(AS71,AL71,"Impossible")</f>
        <v>#VALUE!</v>
      </c>
      <c r="Q53" s="16"/>
    </row>
    <row r="54" spans="4:51" x14ac:dyDescent="0.25">
      <c r="D54" s="59" t="str">
        <f>J29</f>
        <v>-</v>
      </c>
      <c r="E54" s="46" t="str">
        <f>K29</f>
        <v>-</v>
      </c>
      <c r="F54" s="61"/>
      <c r="H54" s="52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5" t="str">
        <f ca="1">IF(AB54,E50-E48,"impossible")</f>
        <v>impossible</v>
      </c>
      <c r="AD54" s="55" t="str">
        <f ca="1">IF(AB54,(D50-D48)*24/6,"Impossible")</f>
        <v>Impossible</v>
      </c>
      <c r="AE54" s="55" t="e">
        <f ca="1">AC54/12</f>
        <v>#VALUE!</v>
      </c>
      <c r="AF54" s="55">
        <f ca="1">$D$36-E48</f>
        <v>-4.7100000000000009</v>
      </c>
      <c r="AG54" s="55" t="e">
        <f ca="1">AF54/AE54</f>
        <v>#VALUE!</v>
      </c>
      <c r="AH54" s="55" t="e">
        <f ca="1">IF(AG54&lt;1,AG54,IF(AG54&lt;3,1+(AG54-1)/2,IF(AG54&lt;6,2+(AG54-3)/3,IF(AG54&lt;9,3+(AG54-6)/3,IF(AG54&lt;11,4+(AG54-9)/2,5+(AG54-11))))))</f>
        <v>#VALUE!</v>
      </c>
      <c r="AI54" s="56">
        <f ca="1">D48</f>
        <v>45647.51666666667</v>
      </c>
      <c r="AJ54" s="55" t="e">
        <f ca="1">IF(OR(AG54&gt;12,AG54&lt;0),"Impossible",D48+(AD54/24)*AH54)</f>
        <v>#VALUE!</v>
      </c>
    </row>
    <row r="55" spans="4:51" x14ac:dyDescent="0.25">
      <c r="D55" s="1117" t="str">
        <f>AJ60</f>
        <v>impossible</v>
      </c>
      <c r="E55" s="1118"/>
      <c r="F55" s="1119"/>
      <c r="G55" s="64" t="e">
        <f>IF(AS72,AJ72,"-")</f>
        <v>#VALUE!</v>
      </c>
      <c r="H55" s="65" t="e">
        <f>IF(AS72,AL72,"Impossible")</f>
        <v>#VALUE!</v>
      </c>
      <c r="O55"/>
      <c r="P55"/>
      <c r="Q55"/>
      <c r="R55"/>
      <c r="S55"/>
      <c r="T55"/>
      <c r="U55"/>
      <c r="V55"/>
      <c r="W55" s="42"/>
      <c r="X55"/>
      <c r="Y55"/>
    </row>
    <row r="56" spans="4:51" x14ac:dyDescent="0.25">
      <c r="D56" s="59" t="str">
        <f>J30</f>
        <v>-</v>
      </c>
      <c r="E56" s="46" t="str">
        <f>K30</f>
        <v>-</v>
      </c>
      <c r="F56" s="61"/>
      <c r="H56" s="52"/>
      <c r="O56"/>
      <c r="P56"/>
      <c r="Q56"/>
      <c r="R56"/>
      <c r="S56"/>
      <c r="T56"/>
      <c r="U56"/>
      <c r="V56"/>
      <c r="W56" s="42"/>
      <c r="X56"/>
      <c r="Y56"/>
      <c r="AB56" s="16" t="b">
        <f>AND((ISNUMBER(E50)),(ISNUMBER(E52)))</f>
        <v>0</v>
      </c>
      <c r="AC56" s="55" t="str">
        <f>IF(AB56,E52-E50,"impossible")</f>
        <v>impossible</v>
      </c>
      <c r="AD56" s="55" t="str">
        <f>IF(AB56,(D52-D50)*24/6,"Impossible")</f>
        <v>Impossible</v>
      </c>
      <c r="AE56" s="55" t="e">
        <f>AC56/12</f>
        <v>#VALUE!</v>
      </c>
      <c r="AF56" s="55" t="e">
        <f>$D$36-E50</f>
        <v>#VALUE!</v>
      </c>
      <c r="AG56" s="55" t="e">
        <f>AF56/AE56</f>
        <v>#VALUE!</v>
      </c>
      <c r="AH56" s="55" t="e">
        <f>IF(AG56&lt;1,AG56,IF(AG56&lt;3,1+(AG56-1)/2,IF(AG56&lt;6,2+(AG56-3)/3,IF(AG56&lt;9,3+(AG56-6)/3,IF(AG56&lt;11,4+(AG56-9)/2,5+(AG56-11))))))</f>
        <v>#VALUE!</v>
      </c>
      <c r="AI56" s="56" t="str">
        <f>D50</f>
        <v>-</v>
      </c>
      <c r="AJ56" s="55" t="e">
        <f>IF(OR(AG56&gt;12,AG56&lt;0),"Impossible",D50+(AD56/24)*AH56)</f>
        <v>#VALUE!</v>
      </c>
    </row>
    <row r="57" spans="4:51" x14ac:dyDescent="0.25">
      <c r="D57" s="1117" t="str">
        <f>AJ62</f>
        <v>impossible</v>
      </c>
      <c r="E57" s="1118"/>
      <c r="F57" s="1119"/>
      <c r="G57" s="64" t="str">
        <f>IF(AS63,AJ73,"-")</f>
        <v>-</v>
      </c>
      <c r="H57" s="65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 x14ac:dyDescent="0.25">
      <c r="D58" s="59" t="str">
        <f>J31</f>
        <v>-</v>
      </c>
      <c r="E58" s="46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5" t="str">
        <f>IF(AB58,E54-E52,"impossible")</f>
        <v>impossible</v>
      </c>
      <c r="AD58" s="55" t="str">
        <f>IF(AB58,(D54-D52)*24/6,"Impossible")</f>
        <v>Impossible</v>
      </c>
      <c r="AE58" s="55" t="e">
        <f>AC58/12</f>
        <v>#VALUE!</v>
      </c>
      <c r="AF58" s="55" t="e">
        <f>$D$36-E52</f>
        <v>#VALUE!</v>
      </c>
      <c r="AG58" s="55" t="e">
        <f>AF58/AE58</f>
        <v>#VALUE!</v>
      </c>
      <c r="AH58" s="55" t="e">
        <f>IF(AG58&lt;1,AG58,IF(AG58&lt;3,1+(AG58-1)/2,IF(AG58&lt;6,2+(AG58-3)/3,IF(AG58&lt;9,3+(AG58-6)/3,IF(AG58&lt;11,4+(AG58-9)/2,5+(AG58-11))))))</f>
        <v>#VALUE!</v>
      </c>
      <c r="AI58" s="56" t="str">
        <f>D52</f>
        <v>-</v>
      </c>
      <c r="AJ58" s="55" t="e">
        <f>IF(OR(AG58&gt;12,AG58&lt;0),"Impossible",D52+(AD58/24)*AH58)</f>
        <v>#VALUE!</v>
      </c>
    </row>
    <row r="59" spans="4:51" x14ac:dyDescent="0.25">
      <c r="O59"/>
      <c r="P59"/>
      <c r="Q59"/>
      <c r="R59"/>
      <c r="S59"/>
      <c r="T59"/>
      <c r="U59"/>
      <c r="V59"/>
      <c r="W59"/>
      <c r="X59"/>
      <c r="Y59"/>
    </row>
    <row r="60" spans="4:51" x14ac:dyDescent="0.25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5" t="str">
        <f>IF(AB60,E56-E54,"impossible")</f>
        <v>impossible</v>
      </c>
      <c r="AD60" s="55" t="str">
        <f>IF(AB60,(D56-D54)*24/6,"Impossible")</f>
        <v>Impossible</v>
      </c>
      <c r="AE60" s="55" t="e">
        <f>AC60/12</f>
        <v>#VALUE!</v>
      </c>
      <c r="AF60" s="55" t="e">
        <f>$D$36-E54</f>
        <v>#VALUE!</v>
      </c>
      <c r="AG60" s="55" t="e">
        <f>AF60/AE60</f>
        <v>#VALUE!</v>
      </c>
      <c r="AH60" s="55" t="e">
        <f>IF(AG60&lt;1,AG60,IF(AG60&lt;3,1+(AG60-1)/2,IF(AG60&lt;6,2+(AG60-3)/3,IF(AG60&lt;9,3+(AG60-6)/3,IF(AG60&lt;11,4+(AG60-9)/2,5+(AG60-11))))))</f>
        <v>#VALUE!</v>
      </c>
      <c r="AI60" s="56" t="str">
        <f>D54</f>
        <v>-</v>
      </c>
      <c r="AJ60" s="55" t="str">
        <f>IF(AB60,IF(OR(AG60&gt;12,AG60&lt;0),"Impossible",D54+(AD60/24)*AH60),"impossible")</f>
        <v>impossible</v>
      </c>
    </row>
    <row r="61" spans="4:51" x14ac:dyDescent="0.25">
      <c r="O61"/>
      <c r="P61"/>
      <c r="Q61"/>
      <c r="R61"/>
      <c r="S61"/>
      <c r="T61"/>
      <c r="U61"/>
      <c r="V61"/>
      <c r="W61"/>
      <c r="X61"/>
      <c r="Y61"/>
    </row>
    <row r="62" spans="4:51" x14ac:dyDescent="0.25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5" t="str">
        <f>IF(AB62,E58-E56,"impossible")</f>
        <v>impossible</v>
      </c>
      <c r="AD62" s="55" t="str">
        <f>IF(AB62,(D58-D56)*24/6,"Impossible")</f>
        <v>Impossible</v>
      </c>
      <c r="AE62" s="55" t="e">
        <f>AC62/12</f>
        <v>#VALUE!</v>
      </c>
      <c r="AF62" s="55" t="e">
        <f>$D$36-E56</f>
        <v>#VALUE!</v>
      </c>
      <c r="AG62" s="55" t="e">
        <f>AF62/AE62</f>
        <v>#VALUE!</v>
      </c>
      <c r="AH62" s="55" t="e">
        <f>IF(AG62&lt;1,AG62,IF(AG62&lt;3,1+(AG62-1)/2,IF(AG62&lt;6,2+(AG62-3)/3,IF(AG62&lt;9,3+(AG62-6)/3,IF(AG62&lt;11,4+(AG62-9)/2,5+(AG62-11))))))</f>
        <v>#VALUE!</v>
      </c>
      <c r="AI62" s="56" t="str">
        <f>D56</f>
        <v>-</v>
      </c>
      <c r="AJ62" s="55" t="str">
        <f>IF(AB62,IF(OR(AG62&gt;12,AG62&lt;0),"Impossible",D56+(AD62/24)*AH62),"impossible")</f>
        <v>impossible</v>
      </c>
    </row>
    <row r="63" spans="4:51" x14ac:dyDescent="0.25">
      <c r="O63"/>
      <c r="P63"/>
      <c r="Q63"/>
      <c r="R63"/>
      <c r="S63"/>
      <c r="T63"/>
      <c r="U63"/>
      <c r="V63"/>
      <c r="W63"/>
      <c r="X63"/>
      <c r="Y63"/>
    </row>
    <row r="64" spans="4:51" x14ac:dyDescent="0.25">
      <c r="O64"/>
      <c r="P64"/>
      <c r="Q64"/>
      <c r="R64"/>
      <c r="S64"/>
      <c r="T64"/>
      <c r="U64"/>
      <c r="V64"/>
      <c r="W64"/>
      <c r="X64"/>
      <c r="Y64"/>
      <c r="AC64" s="57" t="s">
        <v>358</v>
      </c>
      <c r="AD64" s="57" t="s">
        <v>359</v>
      </c>
      <c r="AE64" s="57" t="s">
        <v>362</v>
      </c>
      <c r="AF64" s="57" t="s">
        <v>373</v>
      </c>
      <c r="AG64" s="57" t="s">
        <v>361</v>
      </c>
      <c r="AH64" s="57" t="s">
        <v>363</v>
      </c>
      <c r="AI64" s="57" t="s">
        <v>365</v>
      </c>
      <c r="AJ64" s="57" t="s">
        <v>12</v>
      </c>
      <c r="AK64" s="57" t="s">
        <v>366</v>
      </c>
      <c r="AL64" s="16" t="s">
        <v>367</v>
      </c>
      <c r="AN64" s="16" t="s">
        <v>346</v>
      </c>
      <c r="AO64" s="16" t="s">
        <v>146</v>
      </c>
      <c r="AP64" s="16" t="s">
        <v>347</v>
      </c>
      <c r="AQ64" s="16" t="s">
        <v>93</v>
      </c>
      <c r="AR64" s="16" t="s">
        <v>347</v>
      </c>
      <c r="AS64" s="16" t="s">
        <v>368</v>
      </c>
      <c r="AT64" s="16" t="s">
        <v>369</v>
      </c>
      <c r="AU64" s="16" t="s">
        <v>370</v>
      </c>
      <c r="AV64" s="16" t="s">
        <v>371</v>
      </c>
      <c r="AW64" s="16" t="s">
        <v>347</v>
      </c>
      <c r="AX64" s="16" t="s">
        <v>12</v>
      </c>
      <c r="AY64" s="16" t="s">
        <v>12</v>
      </c>
    </row>
    <row r="65" spans="15:51" x14ac:dyDescent="0.25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7">
        <f ca="1">AD46</f>
        <v>1.0333333333546761</v>
      </c>
      <c r="AE65" s="57">
        <f ca="1">AE46</f>
        <v>-0.38000000000000006</v>
      </c>
      <c r="AF65" s="58">
        <f ca="1">24*(AL65-D40)/AD65</f>
        <v>-1.9354838708151059</v>
      </c>
      <c r="AG65" s="57">
        <f t="shared" ref="AG65:AG73" ca="1" si="33">IF(AF65&lt;1,AF65,IF(AF65&lt;2,1+(AF65-1)*2,IF(AF65&lt;3,3+(AF65-2)*3,IF(AF65&lt;4,6+(AF65-3)*3,IF(AF65&lt;5,9+(AF65-4)*2,11+(AF65-5))))))</f>
        <v>-1.9354838708151059</v>
      </c>
      <c r="AH65" s="57">
        <f t="shared" ref="AH65:AH73" ca="1" si="34">AG65*AE65</f>
        <v>0.73548387090974032</v>
      </c>
      <c r="AI65" s="57"/>
      <c r="AJ65" s="57">
        <f ca="1">E40+AH65</f>
        <v>10.295483870909742</v>
      </c>
      <c r="AK65" s="57" t="str">
        <f ca="1">CONCATENATE(YEAR(D40),"/",MONTH(D40),"/",DAY(D40))</f>
        <v>2024/12/20</v>
      </c>
      <c r="AL65" s="57">
        <f t="shared" ref="AL65:AL72" ca="1" si="35">DATEVALUE(AK65)+AR65</f>
        <v>45646.333333333336</v>
      </c>
      <c r="AM65" s="57" t="str">
        <f t="shared" ref="AM65:AM72" si="36">$D$37</f>
        <v>08:00</v>
      </c>
      <c r="AN65" s="57" t="b">
        <f t="shared" ref="AN65:AN72" si="37">ISNUMBER(SEARCH("-",AM65,1))</f>
        <v>0</v>
      </c>
      <c r="AO65" s="57">
        <f t="shared" ref="AO65:AO72" si="38">IF(AN65,-1,1)</f>
        <v>1</v>
      </c>
      <c r="AP65" s="57">
        <f t="shared" ref="AP65:AP72" si="39">ABS(VALUE(LEFT($AM65,SEARCH(":",$AM65,1)-1)))</f>
        <v>8</v>
      </c>
      <c r="AQ65" s="57">
        <f t="shared" ref="AQ65:AQ72" si="40">ABS(VALUE(RIGHT($AM65,LEN($AM65)-SEARCH(":",$AM65,1))))</f>
        <v>0</v>
      </c>
      <c r="AR65" s="57">
        <f t="shared" ref="AR65:AR72" si="41">(AP65+AQ65/60)/24</f>
        <v>0.33333333333333331</v>
      </c>
      <c r="AS65" s="57" t="b">
        <f ca="1">AND(AL65&gt;AI46,AL65&lt;AI48)</f>
        <v>0</v>
      </c>
      <c r="AT65" s="57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2">
        <f ca="1">AX65</f>
        <v>45647.333333333336</v>
      </c>
    </row>
    <row r="66" spans="15:51" x14ac:dyDescent="0.25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7">
        <f ca="1">AD48</f>
        <v>1.3333333333139308</v>
      </c>
      <c r="AE66" s="57">
        <f ca="1">AE48</f>
        <v>0.43333333333333329</v>
      </c>
      <c r="AF66" s="58">
        <f ca="1">24*(AL66-D42)/AD66</f>
        <v>-6.1500000000982258</v>
      </c>
      <c r="AG66" s="57">
        <f t="shared" ca="1" si="33"/>
        <v>-6.1500000000982258</v>
      </c>
      <c r="AH66" s="57">
        <f t="shared" ca="1" si="34"/>
        <v>-2.6650000000425642</v>
      </c>
      <c r="AI66" s="57"/>
      <c r="AJ66" s="57">
        <f ca="1">E42+AH66</f>
        <v>2.3349999999574358</v>
      </c>
      <c r="AK66" s="57" t="str">
        <f ca="1">CONCATENATE(YEAR(D42),"/",MONTH(D42),"/",DAY(D42))</f>
        <v>2024/12/20</v>
      </c>
      <c r="AL66" s="57">
        <f t="shared" ca="1" si="35"/>
        <v>45646.333333333336</v>
      </c>
      <c r="AM66" s="57" t="str">
        <f t="shared" si="36"/>
        <v>08:00</v>
      </c>
      <c r="AN66" s="57" t="b">
        <f t="shared" si="37"/>
        <v>0</v>
      </c>
      <c r="AO66" s="57">
        <f t="shared" si="38"/>
        <v>1</v>
      </c>
      <c r="AP66" s="57">
        <f t="shared" si="39"/>
        <v>8</v>
      </c>
      <c r="AQ66" s="57">
        <f t="shared" si="40"/>
        <v>0</v>
      </c>
      <c r="AR66" s="57">
        <f t="shared" si="41"/>
        <v>0.33333333333333331</v>
      </c>
      <c r="AS66" s="57" t="b">
        <f ca="1">AND(AL66&gt;AI48,AL66&lt;AI50)</f>
        <v>0</v>
      </c>
      <c r="AT66" s="57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2">
        <f ca="1">AX66</f>
        <v>45647.333333333336</v>
      </c>
    </row>
    <row r="67" spans="15:51" x14ac:dyDescent="0.25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7">
        <f ca="1">AD50</f>
        <v>1</v>
      </c>
      <c r="AE67" s="57">
        <f ca="1">AE50</f>
        <v>-0.45416666666666661</v>
      </c>
      <c r="AF67" s="58">
        <f ca="1">24*(AL67-D44)/AD67</f>
        <v>7.8000000001047738</v>
      </c>
      <c r="AG67" s="57">
        <f t="shared" ca="1" si="33"/>
        <v>13.800000000104774</v>
      </c>
      <c r="AH67" s="57">
        <f t="shared" ca="1" si="34"/>
        <v>-6.2675000000475842</v>
      </c>
      <c r="AI67" s="57"/>
      <c r="AJ67" s="57">
        <f ca="1">E44+AH67</f>
        <v>3.9324999999524151</v>
      </c>
      <c r="AK67" s="57" t="str">
        <f ca="1">CONCATENATE(YEAR(D44),"/",MONTH(D44),"/",DAY(D44))</f>
        <v>2024/12/21</v>
      </c>
      <c r="AL67" s="57">
        <f t="shared" ca="1" si="35"/>
        <v>45647.333333333336</v>
      </c>
      <c r="AM67" s="57" t="str">
        <f t="shared" si="36"/>
        <v>08:00</v>
      </c>
      <c r="AN67" s="57" t="b">
        <f t="shared" si="37"/>
        <v>0</v>
      </c>
      <c r="AO67" s="57">
        <f t="shared" si="38"/>
        <v>1</v>
      </c>
      <c r="AP67" s="57">
        <f t="shared" si="39"/>
        <v>8</v>
      </c>
      <c r="AQ67" s="57">
        <f t="shared" si="40"/>
        <v>0</v>
      </c>
      <c r="AR67" s="57">
        <f t="shared" si="41"/>
        <v>0.33333333333333331</v>
      </c>
      <c r="AS67" s="57" t="b">
        <f ca="1">AND(AL67&gt;AI50,AL67&lt;AI52)</f>
        <v>0</v>
      </c>
      <c r="AT67" s="57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2">
        <f ca="1">AX67</f>
        <v>45647.333333333336</v>
      </c>
    </row>
    <row r="68" spans="15:51" x14ac:dyDescent="0.25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7">
        <f ca="1">AD52</f>
        <v>1.0333333333546761</v>
      </c>
      <c r="AE68" s="57">
        <f ca="1">AE52</f>
        <v>0.41416666666666674</v>
      </c>
      <c r="AF68" s="58">
        <f ca="1">24*(AL68-D46)/AD68</f>
        <v>1.7419354839363832</v>
      </c>
      <c r="AG68" s="57">
        <f t="shared" ca="1" si="33"/>
        <v>2.4838709678727664</v>
      </c>
      <c r="AH68" s="57">
        <f t="shared" ca="1" si="34"/>
        <v>1.028736559193971</v>
      </c>
      <c r="AI68" s="57"/>
      <c r="AJ68" s="57">
        <f ca="1">E46+AH68</f>
        <v>5.7787365591939714</v>
      </c>
      <c r="AK68" s="57" t="str">
        <f ca="1">CONCATENATE(YEAR(D46),"/",MONTH(D46),"/",DAY(D46))</f>
        <v>2024/12/21</v>
      </c>
      <c r="AL68" s="57">
        <f t="shared" ca="1" si="35"/>
        <v>45647.333333333336</v>
      </c>
      <c r="AM68" s="57" t="str">
        <f t="shared" si="36"/>
        <v>08:00</v>
      </c>
      <c r="AN68" s="57" t="b">
        <f t="shared" si="37"/>
        <v>0</v>
      </c>
      <c r="AO68" s="57">
        <f t="shared" si="38"/>
        <v>1</v>
      </c>
      <c r="AP68" s="57">
        <f t="shared" si="39"/>
        <v>8</v>
      </c>
      <c r="AQ68" s="57">
        <f t="shared" si="40"/>
        <v>0</v>
      </c>
      <c r="AR68" s="57">
        <f t="shared" si="41"/>
        <v>0.33333333333333331</v>
      </c>
      <c r="AS68" s="57" t="b">
        <f ca="1">AND(AL68&gt;AI52,AL68&lt;AI54)</f>
        <v>1</v>
      </c>
      <c r="AT68" s="57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2">
        <f ca="1">AX68</f>
        <v>45647.333333333336</v>
      </c>
    </row>
    <row r="69" spans="15:51" x14ac:dyDescent="0.25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7" t="str">
        <f ca="1">AD54</f>
        <v>Impossible</v>
      </c>
      <c r="AE69" s="57" t="e">
        <f ca="1">AE54</f>
        <v>#VALUE!</v>
      </c>
      <c r="AF69" s="58" t="e">
        <f ca="1">24*(AL69-D48)/AD69</f>
        <v>#VALUE!</v>
      </c>
      <c r="AG69" s="57" t="e">
        <f t="shared" ca="1" si="33"/>
        <v>#VALUE!</v>
      </c>
      <c r="AH69" s="57" t="e">
        <f t="shared" ca="1" si="34"/>
        <v>#VALUE!</v>
      </c>
      <c r="AI69" s="57"/>
      <c r="AJ69" s="57" t="e">
        <f ca="1">E48+AH69</f>
        <v>#VALUE!</v>
      </c>
      <c r="AK69" s="57" t="str">
        <f ca="1">CONCATENATE(YEAR(D48),"/",MONTH(D48),"/",DAY(D48))</f>
        <v>2024/12/21</v>
      </c>
      <c r="AL69" s="57">
        <f t="shared" ca="1" si="35"/>
        <v>45647.333333333336</v>
      </c>
      <c r="AM69" s="57" t="str">
        <f t="shared" si="36"/>
        <v>08:00</v>
      </c>
      <c r="AN69" s="57" t="b">
        <f t="shared" si="37"/>
        <v>0</v>
      </c>
      <c r="AO69" s="57">
        <f t="shared" si="38"/>
        <v>1</v>
      </c>
      <c r="AP69" s="57">
        <f t="shared" si="39"/>
        <v>8</v>
      </c>
      <c r="AQ69" s="57">
        <f t="shared" si="40"/>
        <v>0</v>
      </c>
      <c r="AR69" s="57">
        <f t="shared" si="41"/>
        <v>0.33333333333333331</v>
      </c>
      <c r="AS69" s="57" t="b">
        <f ca="1">AND(AL69&gt;AI54,AL69&lt;AI56)</f>
        <v>0</v>
      </c>
      <c r="AT69" s="57">
        <f t="shared" ca="1" si="42"/>
        <v>0</v>
      </c>
    </row>
    <row r="70" spans="15:51" x14ac:dyDescent="0.25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7" t="str">
        <f>AD56</f>
        <v>Impossible</v>
      </c>
      <c r="AE70" s="57" t="e">
        <f>AE56</f>
        <v>#VALUE!</v>
      </c>
      <c r="AF70" s="58" t="e">
        <f>24*(AL70-D50)/AD70</f>
        <v>#VALUE!</v>
      </c>
      <c r="AG70" s="57" t="e">
        <f t="shared" si="33"/>
        <v>#VALUE!</v>
      </c>
      <c r="AH70" s="57" t="e">
        <f t="shared" si="34"/>
        <v>#VALUE!</v>
      </c>
      <c r="AI70" s="57"/>
      <c r="AJ70" s="57" t="e">
        <f>E50+AH70</f>
        <v>#VALUE!</v>
      </c>
      <c r="AK70" s="57" t="e">
        <f>CONCATENATE(YEAR(D50),"/",MONTH(D50),"/",DAY(D50))</f>
        <v>#VALUE!</v>
      </c>
      <c r="AL70" s="57" t="e">
        <f t="shared" si="35"/>
        <v>#VALUE!</v>
      </c>
      <c r="AM70" s="57" t="str">
        <f t="shared" si="36"/>
        <v>08:00</v>
      </c>
      <c r="AN70" s="57" t="b">
        <f t="shared" si="37"/>
        <v>0</v>
      </c>
      <c r="AO70" s="57">
        <f t="shared" si="38"/>
        <v>1</v>
      </c>
      <c r="AP70" s="57">
        <f t="shared" si="39"/>
        <v>8</v>
      </c>
      <c r="AQ70" s="57">
        <f t="shared" si="40"/>
        <v>0</v>
      </c>
      <c r="AR70" s="57">
        <f t="shared" si="41"/>
        <v>0.33333333333333331</v>
      </c>
      <c r="AS70" s="57" t="e">
        <f>AND(AL70&gt;AI56,AL70&lt;AI58)</f>
        <v>#VALUE!</v>
      </c>
      <c r="AT70" s="57" t="e">
        <f t="shared" si="42"/>
        <v>#VALUE!</v>
      </c>
    </row>
    <row r="71" spans="15:51" x14ac:dyDescent="0.25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7" t="str">
        <f>AD58</f>
        <v>Impossible</v>
      </c>
      <c r="AE71" s="57" t="e">
        <f>AE58</f>
        <v>#VALUE!</v>
      </c>
      <c r="AF71" s="58" t="e">
        <f>24*(AL71-D52)/AD71</f>
        <v>#VALUE!</v>
      </c>
      <c r="AG71" s="57" t="e">
        <f t="shared" si="33"/>
        <v>#VALUE!</v>
      </c>
      <c r="AH71" s="57" t="e">
        <f t="shared" si="34"/>
        <v>#VALUE!</v>
      </c>
      <c r="AI71" s="57"/>
      <c r="AJ71" s="57" t="e">
        <f>E52+AH71</f>
        <v>#VALUE!</v>
      </c>
      <c r="AK71" s="57" t="e">
        <f>CONCATENATE(YEAR(D52),"/",MONTH(D52),"/",DAY(D52))</f>
        <v>#VALUE!</v>
      </c>
      <c r="AL71" s="57" t="e">
        <f t="shared" si="35"/>
        <v>#VALUE!</v>
      </c>
      <c r="AM71" s="57" t="str">
        <f t="shared" si="36"/>
        <v>08:00</v>
      </c>
      <c r="AN71" s="57" t="b">
        <f t="shared" si="37"/>
        <v>0</v>
      </c>
      <c r="AO71" s="57">
        <f t="shared" si="38"/>
        <v>1</v>
      </c>
      <c r="AP71" s="57">
        <f t="shared" si="39"/>
        <v>8</v>
      </c>
      <c r="AQ71" s="57">
        <f t="shared" si="40"/>
        <v>0</v>
      </c>
      <c r="AR71" s="57">
        <f t="shared" si="41"/>
        <v>0.33333333333333331</v>
      </c>
      <c r="AS71" s="57" t="e">
        <f>AND(AL71&gt;AI58,AL71&lt;AI60)</f>
        <v>#VALUE!</v>
      </c>
      <c r="AT71" s="57" t="e">
        <f t="shared" si="42"/>
        <v>#VALUE!</v>
      </c>
    </row>
    <row r="72" spans="15:51" x14ac:dyDescent="0.25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7" t="str">
        <f>AD60</f>
        <v>Impossible</v>
      </c>
      <c r="AE72" s="57" t="e">
        <f>AE60</f>
        <v>#VALUE!</v>
      </c>
      <c r="AF72" s="58" t="e">
        <f>24*(AL72-D54)/AD72</f>
        <v>#VALUE!</v>
      </c>
      <c r="AG72" s="57" t="e">
        <f t="shared" si="33"/>
        <v>#VALUE!</v>
      </c>
      <c r="AH72" s="57" t="e">
        <f t="shared" si="34"/>
        <v>#VALUE!</v>
      </c>
      <c r="AI72" s="57"/>
      <c r="AJ72" s="57" t="e">
        <f>E54+AH72</f>
        <v>#VALUE!</v>
      </c>
      <c r="AK72" s="57" t="e">
        <f>CONCATENATE(YEAR(D54),"/",MONTH(D54),"/",DAY(D54))</f>
        <v>#VALUE!</v>
      </c>
      <c r="AL72" s="57" t="e">
        <f t="shared" si="35"/>
        <v>#VALUE!</v>
      </c>
      <c r="AM72" s="57" t="str">
        <f t="shared" si="36"/>
        <v>08:00</v>
      </c>
      <c r="AN72" s="57" t="b">
        <f t="shared" si="37"/>
        <v>0</v>
      </c>
      <c r="AO72" s="57">
        <f t="shared" si="38"/>
        <v>1</v>
      </c>
      <c r="AP72" s="57">
        <f t="shared" si="39"/>
        <v>8</v>
      </c>
      <c r="AQ72" s="57">
        <f t="shared" si="40"/>
        <v>0</v>
      </c>
      <c r="AR72" s="57">
        <f t="shared" si="41"/>
        <v>0.33333333333333331</v>
      </c>
      <c r="AS72" s="57" t="e">
        <f>AND(AL72&gt;AI60,AL72&lt;AI62)</f>
        <v>#VALUE!</v>
      </c>
      <c r="AT72" s="57" t="e">
        <f t="shared" si="42"/>
        <v>#VALUE!</v>
      </c>
    </row>
    <row r="73" spans="15:51" x14ac:dyDescent="0.25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7" t="str">
        <f>AD62</f>
        <v>Impossible</v>
      </c>
      <c r="AE73" s="57" t="e">
        <f>AE62</f>
        <v>#VALUE!</v>
      </c>
      <c r="AF73" s="58" t="e">
        <f>24*(AL63-D56)/AD73</f>
        <v>#VALUE!</v>
      </c>
      <c r="AG73" s="57" t="e">
        <f t="shared" si="33"/>
        <v>#VALUE!</v>
      </c>
      <c r="AH73" s="57" t="e">
        <f t="shared" si="34"/>
        <v>#VALUE!</v>
      </c>
      <c r="AI73" s="57"/>
      <c r="AJ73" s="57" t="e">
        <f>E56+AH73</f>
        <v>#VALUE!</v>
      </c>
    </row>
    <row r="74" spans="15:51" x14ac:dyDescent="0.25">
      <c r="O74"/>
      <c r="P74"/>
      <c r="Q74"/>
      <c r="R74"/>
      <c r="S74"/>
      <c r="T74"/>
      <c r="U74"/>
      <c r="V74"/>
      <c r="W74"/>
      <c r="X74"/>
      <c r="Y74"/>
    </row>
    <row r="75" spans="15:51" x14ac:dyDescent="0.25">
      <c r="O75"/>
      <c r="P75"/>
      <c r="Q75"/>
      <c r="R75"/>
      <c r="S75"/>
      <c r="T75"/>
      <c r="U75"/>
      <c r="V75"/>
      <c r="W75"/>
      <c r="X75"/>
      <c r="Y75"/>
    </row>
    <row r="76" spans="15:51" x14ac:dyDescent="0.25">
      <c r="O76"/>
      <c r="P76"/>
      <c r="Q76"/>
      <c r="R76"/>
      <c r="S76"/>
      <c r="T76"/>
      <c r="U76"/>
      <c r="V76"/>
      <c r="W76"/>
      <c r="X76"/>
      <c r="Y76"/>
    </row>
    <row r="77" spans="15:51" x14ac:dyDescent="0.25">
      <c r="O77"/>
      <c r="P77"/>
      <c r="Q77"/>
      <c r="R77"/>
      <c r="S77"/>
      <c r="T77"/>
      <c r="U77"/>
      <c r="V77"/>
      <c r="W77"/>
      <c r="X77"/>
      <c r="Y77"/>
    </row>
    <row r="78" spans="15:51" x14ac:dyDescent="0.25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4605-8496-42FB-BBC3-C331E0379412}">
  <sheetPr codeName="Sheet5"/>
  <dimension ref="B3:I31"/>
  <sheetViews>
    <sheetView topLeftCell="A19" workbookViewId="0">
      <selection activeCell="N20" sqref="N20"/>
    </sheetView>
  </sheetViews>
  <sheetFormatPr baseColWidth="10" defaultColWidth="9.140625" defaultRowHeight="12.75" x14ac:dyDescent="0.2"/>
  <cols>
    <col min="1" max="2" width="9.140625" style="209"/>
    <col min="3" max="3" width="12.42578125" style="209" customWidth="1"/>
    <col min="4" max="4" width="9.140625" style="209"/>
    <col min="5" max="5" width="34.28515625" style="209" customWidth="1"/>
    <col min="6" max="6" width="1.7109375" style="209" customWidth="1"/>
    <col min="7" max="7" width="36.7109375" style="209" customWidth="1"/>
    <col min="8" max="8" width="1.5703125" style="209" customWidth="1"/>
    <col min="9" max="9" width="36.5703125" style="209" customWidth="1"/>
    <col min="10" max="16384" width="9.140625" style="209"/>
  </cols>
  <sheetData>
    <row r="3" spans="2:9" x14ac:dyDescent="0.2">
      <c r="B3" s="209" t="s">
        <v>612</v>
      </c>
    </row>
    <row r="5" spans="2:9" x14ac:dyDescent="0.2">
      <c r="C5" s="316" t="s">
        <v>614</v>
      </c>
      <c r="D5" s="316" t="s">
        <v>615</v>
      </c>
      <c r="E5" s="316" t="s">
        <v>36</v>
      </c>
      <c r="F5" s="322"/>
      <c r="G5" s="317" t="s">
        <v>528</v>
      </c>
      <c r="H5" s="322"/>
      <c r="I5" s="317" t="s">
        <v>528</v>
      </c>
    </row>
    <row r="6" spans="2:9" x14ac:dyDescent="0.2">
      <c r="C6" s="318" t="s">
        <v>613</v>
      </c>
      <c r="D6" s="319" cm="1">
        <f t="array" ref="D6">angleConvert2Decimal(C6)</f>
        <v>0.42499999999999999</v>
      </c>
      <c r="E6" s="319" t="str" cm="1">
        <f t="array" ref="E6">angleDecimal2Txt(D6)</f>
        <v>+00°25.50 (+00.4250) [+00°25'30.00]</v>
      </c>
      <c r="F6" s="322"/>
      <c r="G6" s="319" t="str" cm="1">
        <f t="array" ref="G6">latitudeDecimal2Txt(D6)</f>
        <v>N 00°25.50 (N 00.4250) [N 00°25'30.00]</v>
      </c>
      <c r="H6" s="322"/>
      <c r="I6" s="319" t="str" cm="1">
        <f t="array" ref="I6">longitudeDecimal2Txt(D6)</f>
        <v>E 00°25.50 (E 00.4250) [E 00°25'30.00]</v>
      </c>
    </row>
    <row r="7" spans="2:9" x14ac:dyDescent="0.2">
      <c r="C7" s="319">
        <v>0</v>
      </c>
      <c r="D7" s="319" cm="1">
        <f t="array" ref="D7">angleConvert2Decimal(C7)</f>
        <v>0</v>
      </c>
      <c r="E7" s="319" t="str" cm="1">
        <f t="array" ref="E7">angleDecimal2Txt(D7)</f>
        <v>+00°00.00 (+00.0000) [+00°00'00.00]</v>
      </c>
      <c r="F7" s="322"/>
      <c r="G7" s="319" t="str" cm="1">
        <f t="array" ref="G7">latitudeDecimal2Txt(D7)</f>
        <v>N 00°00.00 (N 00.0000) [N 00°00'00.00]</v>
      </c>
      <c r="H7" s="322"/>
      <c r="I7" s="319" t="str" cm="1">
        <f t="array" ref="I7">longitudeDecimal2Txt(D7)</f>
        <v>E 00°00.00 (E 00.0000) [E 00°00'00.00]</v>
      </c>
    </row>
    <row r="8" spans="2:9" x14ac:dyDescent="0.2">
      <c r="C8" s="319">
        <v>1</v>
      </c>
      <c r="D8" s="319" cm="1">
        <f t="array" ref="D8">angleConvert2Decimal(C8)</f>
        <v>1</v>
      </c>
      <c r="E8" s="319" t="str" cm="1">
        <f t="array" ref="E8">angleDecimal2Txt(D8)</f>
        <v>+01°00.00 (+01.0000) [+01°00'00.00]</v>
      </c>
      <c r="F8" s="322"/>
      <c r="G8" s="319" t="str" cm="1">
        <f t="array" ref="G8">latitudeDecimal2Txt(D8)</f>
        <v>N 01°00.00 (N 01.0000) [N 01°00'00.00]</v>
      </c>
      <c r="H8" s="322"/>
      <c r="I8" s="319" t="str" cm="1">
        <f t="array" ref="I8">longitudeDecimal2Txt(D8)</f>
        <v>E 01°00.00 (E 01.0000) [E 01°00'00.00]</v>
      </c>
    </row>
    <row r="9" spans="2:9" x14ac:dyDescent="0.2">
      <c r="C9" s="318" t="s">
        <v>620</v>
      </c>
      <c r="D9" s="319" cm="1">
        <f t="array" ref="D9">angleConvert2Decimal(C9)</f>
        <v>-5.431111111111111</v>
      </c>
      <c r="E9" s="319" t="str" cm="1">
        <f t="array" ref="E9">angleDecimal2Txt(D9)</f>
        <v>-05°25.86 (-05.4311) [-05°25'52.00]</v>
      </c>
      <c r="F9" s="322"/>
      <c r="G9" s="319" t="str" cm="1">
        <f t="array" ref="G9">latitudeDecimal2Txt(D9)</f>
        <v>S 05°25.86 (S 05.4311) [S 05°25'52.00]</v>
      </c>
      <c r="H9" s="322"/>
      <c r="I9" s="319" t="str" cm="1">
        <f t="array" ref="I9">longitudeDecimal2Txt(D9)</f>
        <v>W 05°25.86 (W 05.4311) [W 05°25'52.00]</v>
      </c>
    </row>
    <row r="10" spans="2:9" x14ac:dyDescent="0.2">
      <c r="C10" s="319">
        <v>1</v>
      </c>
      <c r="D10" s="319" cm="1">
        <f t="array" ref="D10">angleConvert2Decimal(C10)</f>
        <v>1</v>
      </c>
      <c r="E10" s="319" t="str" cm="1">
        <f t="array" ref="E10">angleDecimal2Txt(D10)</f>
        <v>+01°00.00 (+01.0000) [+01°00'00.00]</v>
      </c>
      <c r="F10" s="322"/>
      <c r="G10" s="319" t="str" cm="1">
        <f t="array" ref="G10">latitudeDecimal2Txt(D10)</f>
        <v>N 01°00.00 (N 01.0000) [N 01°00'00.00]</v>
      </c>
      <c r="H10" s="322"/>
      <c r="I10" s="319" t="str" cm="1">
        <f t="array" ref="I10">longitudeDecimal2Txt(D10)</f>
        <v>E 01°00.00 (E 01.0000) [E 01°00'00.00]</v>
      </c>
    </row>
    <row r="11" spans="2:9" x14ac:dyDescent="0.2">
      <c r="C11" s="319">
        <v>1</v>
      </c>
      <c r="D11" s="319" cm="1">
        <f t="array" ref="D11">angleConvert2Decimal(C11)</f>
        <v>1</v>
      </c>
      <c r="E11" s="319" t="str" cm="1">
        <f t="array" ref="E11">angleDecimal2Txt(D11)</f>
        <v>+01°00.00 (+01.0000) [+01°00'00.00]</v>
      </c>
      <c r="F11" s="322"/>
      <c r="G11" s="319" t="str" cm="1">
        <f t="array" ref="G11">latitudeDecimal2Txt(D11)</f>
        <v>N 01°00.00 (N 01.0000) [N 01°00'00.00]</v>
      </c>
      <c r="H11" s="322"/>
      <c r="I11" s="319" t="str" cm="1">
        <f t="array" ref="I11">longitudeDecimal2Txt(D11)</f>
        <v>E 01°00.00 (E 01.0000) [E 01°00'00.00]</v>
      </c>
    </row>
    <row r="12" spans="2:9" x14ac:dyDescent="0.2">
      <c r="C12" s="319">
        <v>1</v>
      </c>
      <c r="D12" s="319" cm="1">
        <f t="array" ref="D12">angleConvert2Decimal(C12)</f>
        <v>1</v>
      </c>
      <c r="E12" s="319" t="str" cm="1">
        <f t="array" ref="E12">angleDecimal2Txt(D12)</f>
        <v>+01°00.00 (+01.0000) [+01°00'00.00]</v>
      </c>
      <c r="F12" s="322"/>
      <c r="G12" s="319" t="str" cm="1">
        <f t="array" ref="G12">latitudeDecimal2Txt(D12)</f>
        <v>N 01°00.00 (N 01.0000) [N 01°00'00.00]</v>
      </c>
      <c r="H12" s="322"/>
      <c r="I12" s="319" t="str" cm="1">
        <f t="array" ref="I12">longitudeDecimal2Txt(D12)</f>
        <v>E 01°00.00 (E 01.0000) [E 01°00'00.00]</v>
      </c>
    </row>
    <row r="13" spans="2:9" x14ac:dyDescent="0.2">
      <c r="C13" s="319">
        <v>1</v>
      </c>
      <c r="D13" s="319" cm="1">
        <f t="array" ref="D13">angleConvert2Decimal(C13)</f>
        <v>1</v>
      </c>
      <c r="E13" s="319" t="str" cm="1">
        <f t="array" ref="E13">angleDecimal2Txt(D13)</f>
        <v>+01°00.00 (+01.0000) [+01°00'00.00]</v>
      </c>
      <c r="F13" s="322"/>
      <c r="G13" s="319" t="str" cm="1">
        <f t="array" ref="G13">latitudeDecimal2Txt(D13)</f>
        <v>N 01°00.00 (N 01.0000) [N 01°00'00.00]</v>
      </c>
      <c r="H13" s="322"/>
      <c r="I13" s="319" t="str" cm="1">
        <f t="array" ref="I13">longitudeDecimal2Txt(D13)</f>
        <v>E 01°00.00 (E 01.0000) [E 01°00'00.00]</v>
      </c>
    </row>
    <row r="14" spans="2:9" x14ac:dyDescent="0.2">
      <c r="C14" s="319">
        <v>1</v>
      </c>
      <c r="D14" s="319" cm="1">
        <f t="array" ref="D14">angleConvert2Decimal(C14)</f>
        <v>1</v>
      </c>
      <c r="E14" s="319" t="str" cm="1">
        <f t="array" ref="E14">angleDecimal2Txt(D14)</f>
        <v>+01°00.00 (+01.0000) [+01°00'00.00]</v>
      </c>
      <c r="F14" s="322"/>
      <c r="G14" s="319" t="str" cm="1">
        <f t="array" ref="G14">latitudeDecimal2Txt(D14)</f>
        <v>N 01°00.00 (N 01.0000) [N 01°00'00.00]</v>
      </c>
      <c r="H14" s="322"/>
      <c r="I14" s="319" t="str" cm="1">
        <f t="array" ref="I14">longitudeDecimal2Txt(D14)</f>
        <v>E 01°00.00 (E 01.0000) [E 01°00'00.00]</v>
      </c>
    </row>
    <row r="15" spans="2:9" x14ac:dyDescent="0.2">
      <c r="C15" s="319">
        <v>1</v>
      </c>
      <c r="D15" s="319" cm="1">
        <f t="array" ref="D15">angleConvert2Decimal(C15)</f>
        <v>1</v>
      </c>
      <c r="E15" s="319" t="str" cm="1">
        <f t="array" ref="E15">angleDecimal2Txt(D15)</f>
        <v>+01°00.00 (+01.0000) [+01°00'00.00]</v>
      </c>
      <c r="F15" s="322"/>
      <c r="G15" s="319" t="str" cm="1">
        <f t="array" ref="G15">latitudeDecimal2Txt(D15)</f>
        <v>N 01°00.00 (N 01.0000) [N 01°00'00.00]</v>
      </c>
      <c r="H15" s="322"/>
      <c r="I15" s="319" t="str" cm="1">
        <f t="array" ref="I15">longitudeDecimal2Txt(D15)</f>
        <v>E 01°00.00 (E 01.0000) [E 01°00'00.00]</v>
      </c>
    </row>
    <row r="19" spans="2:5" x14ac:dyDescent="0.2">
      <c r="B19" s="209" t="s">
        <v>616</v>
      </c>
    </row>
    <row r="21" spans="2:5" x14ac:dyDescent="0.2">
      <c r="C21" s="320" t="s">
        <v>619</v>
      </c>
      <c r="D21" s="320" t="s">
        <v>615</v>
      </c>
      <c r="E21" s="320" t="s">
        <v>36</v>
      </c>
    </row>
    <row r="22" spans="2:5" x14ac:dyDescent="0.2">
      <c r="C22" s="321" t="s">
        <v>617</v>
      </c>
      <c r="D22" s="319" cm="1">
        <f t="array" ref="D22">heureConvert2Decimal(C22)</f>
        <v>0</v>
      </c>
      <c r="E22" s="319" t="str" cm="1">
        <f t="array" ref="E22">heureDecimal2Txt(D22)</f>
        <v>00:00:00.00(00.0000)</v>
      </c>
    </row>
    <row r="23" spans="2:5" x14ac:dyDescent="0.2">
      <c r="C23" s="321" t="s">
        <v>618</v>
      </c>
      <c r="D23" s="319" cm="1">
        <f t="array" ref="D23">heureConvert2Decimal(C23)</f>
        <v>0.16666666666666666</v>
      </c>
      <c r="E23" s="319" t="str" cm="1">
        <f t="array" ref="E23">heureDecimal2Txt(D23)</f>
        <v>00:10:00.00(00.1666)</v>
      </c>
    </row>
    <row r="24" spans="2:5" x14ac:dyDescent="0.2">
      <c r="C24" s="321" t="s">
        <v>618</v>
      </c>
      <c r="D24" s="319" cm="1">
        <f t="array" ref="D24">heureConvert2Decimal(C24)</f>
        <v>0.16666666666666666</v>
      </c>
      <c r="E24" s="319" t="str" cm="1">
        <f t="array" ref="E24">heureDecimal2Txt(D24)</f>
        <v>00:10:00.00(00.1666)</v>
      </c>
    </row>
    <row r="25" spans="2:5" x14ac:dyDescent="0.2">
      <c r="C25" s="321" t="s">
        <v>618</v>
      </c>
      <c r="D25" s="319" cm="1">
        <f t="array" ref="D25">heureConvert2Decimal(C25)</f>
        <v>0.16666666666666666</v>
      </c>
      <c r="E25" s="319" t="str" cm="1">
        <f t="array" ref="E25">heureDecimal2Txt(D25)</f>
        <v>00:10:00.00(00.1666)</v>
      </c>
    </row>
    <row r="26" spans="2:5" x14ac:dyDescent="0.2">
      <c r="C26" s="321" t="s">
        <v>618</v>
      </c>
      <c r="D26" s="319" cm="1">
        <f t="array" ref="D26">heureConvert2Decimal(C26)</f>
        <v>0.16666666666666666</v>
      </c>
      <c r="E26" s="319" t="str" cm="1">
        <f t="array" ref="E26">heureDecimal2Txt(D26)</f>
        <v>00:10:00.00(00.1666)</v>
      </c>
    </row>
    <row r="27" spans="2:5" x14ac:dyDescent="0.2">
      <c r="C27" s="321" t="s">
        <v>618</v>
      </c>
      <c r="D27" s="319" cm="1">
        <f t="array" ref="D27">heureConvert2Decimal(C27)</f>
        <v>0.16666666666666666</v>
      </c>
      <c r="E27" s="319" t="str" cm="1">
        <f t="array" ref="E27">heureDecimal2Txt(D27)</f>
        <v>00:10:00.00(00.1666)</v>
      </c>
    </row>
    <row r="28" spans="2:5" x14ac:dyDescent="0.2">
      <c r="C28" s="321" t="s">
        <v>618</v>
      </c>
      <c r="D28" s="319" cm="1">
        <f t="array" ref="D28">heureConvert2Decimal(C28)</f>
        <v>0.16666666666666666</v>
      </c>
      <c r="E28" s="319" t="str" cm="1">
        <f t="array" ref="E28">heureDecimal2Txt(D28)</f>
        <v>00:10:00.00(00.1666)</v>
      </c>
    </row>
    <row r="29" spans="2:5" x14ac:dyDescent="0.2">
      <c r="C29" s="321" t="s">
        <v>618</v>
      </c>
      <c r="D29" s="319" cm="1">
        <f t="array" ref="D29">heureConvert2Decimal(C29)</f>
        <v>0.16666666666666666</v>
      </c>
      <c r="E29" s="319" t="str" cm="1">
        <f t="array" ref="E29">heureDecimal2Txt(D29)</f>
        <v>00:10:00.00(00.1666)</v>
      </c>
    </row>
    <row r="30" spans="2:5" x14ac:dyDescent="0.2">
      <c r="C30" s="321" t="s">
        <v>618</v>
      </c>
      <c r="D30" s="319" cm="1">
        <f t="array" ref="D30">heureConvert2Decimal(C30)</f>
        <v>0.16666666666666666</v>
      </c>
      <c r="E30" s="319" t="str" cm="1">
        <f t="array" ref="E30">heureDecimal2Txt(D30)</f>
        <v>00:10:00.00(00.1666)</v>
      </c>
    </row>
    <row r="31" spans="2:5" x14ac:dyDescent="0.2">
      <c r="C31" s="321" t="s">
        <v>618</v>
      </c>
      <c r="D31" s="319" cm="1">
        <f t="array" ref="D31">heureConvert2Decimal(C31)</f>
        <v>0.16666666666666666</v>
      </c>
      <c r="E31" s="319" t="str" cm="1">
        <f t="array" ref="E31">heureDecimal2Txt(D31)</f>
        <v>00:10:00.00(00.1666)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topLeftCell="A19" zoomScale="85" zoomScaleNormal="85" workbookViewId="0">
      <selection activeCell="E4" sqref="E4"/>
    </sheetView>
  </sheetViews>
  <sheetFormatPr baseColWidth="10" defaultColWidth="7.28515625" defaultRowHeight="15" x14ac:dyDescent="0.25"/>
  <cols>
    <col min="1" max="1" width="7.28515625" style="84"/>
    <col min="2" max="2" width="7.28515625" style="80"/>
    <col min="3" max="3" width="12.7109375" style="81" customWidth="1"/>
    <col min="4" max="4" width="15" style="82" customWidth="1"/>
    <col min="5" max="6" width="7.28515625" style="83"/>
    <col min="7" max="10" width="7.28515625" style="84"/>
    <col min="11" max="11" width="12.140625" style="87" customWidth="1"/>
    <col min="12" max="13" width="12.7109375" style="87" customWidth="1"/>
    <col min="14" max="14" width="15" style="87" customWidth="1"/>
    <col min="15" max="20" width="12.7109375" style="87" customWidth="1"/>
    <col min="21" max="16384" width="7.28515625" style="84"/>
  </cols>
  <sheetData>
    <row r="3" spans="2:20" x14ac:dyDescent="0.25">
      <c r="K3" s="85" t="s">
        <v>289</v>
      </c>
      <c r="L3" s="85" t="s">
        <v>296</v>
      </c>
      <c r="M3" s="85" t="s">
        <v>287</v>
      </c>
      <c r="N3" s="86" t="s">
        <v>299</v>
      </c>
      <c r="P3" s="85" t="s">
        <v>290</v>
      </c>
      <c r="Q3" s="85" t="s">
        <v>288</v>
      </c>
      <c r="R3" s="85" t="s">
        <v>291</v>
      </c>
      <c r="S3" s="85" t="s">
        <v>293</v>
      </c>
      <c r="T3" s="85" t="s">
        <v>271</v>
      </c>
    </row>
    <row r="4" spans="2:20" x14ac:dyDescent="0.25">
      <c r="B4" s="1139" t="s">
        <v>297</v>
      </c>
      <c r="C4" s="88" t="str">
        <f>Maree!D22</f>
        <v>2024/12/20</v>
      </c>
      <c r="D4" s="89" t="s">
        <v>403</v>
      </c>
      <c r="E4" s="95"/>
      <c r="F4" s="90">
        <f>Maree!G22</f>
        <v>9.56</v>
      </c>
      <c r="K4" s="91" t="b">
        <f t="shared" ref="K4:K16" si="0">AND(NOT(ISBLANK(E4)),ISNUMBER(E4), (E4&gt; 0))</f>
        <v>0</v>
      </c>
      <c r="L4" s="91" t="b">
        <f t="shared" ref="L4:L16" si="1">AND(NOT(ISBLANK(F4)),ISNUMBER(F4), (F4&gt; 0))</f>
        <v>1</v>
      </c>
      <c r="M4" s="91" t="b">
        <f>AND($L5,$L4,$K4,$F4&gt;$F5)</f>
        <v>0</v>
      </c>
      <c r="N4" s="91" t="b">
        <f>AND(NOT(ISBLANK(#REF!)),ISNUMBER(#REF!))</f>
        <v>0</v>
      </c>
      <c r="O4" s="92"/>
      <c r="P4" s="91" t="b">
        <f>IF(AND(M4,K4), TRUE, FALSE)</f>
        <v>0</v>
      </c>
      <c r="Q4" s="91" t="b">
        <f>IF(AND(M4,K4), IF(#REF!&gt;70,TRUE, FALSE), FALSE)</f>
        <v>0</v>
      </c>
      <c r="R4" s="91" t="b">
        <f>IF(P4,FALSE,IF(P5,TRUE, FALSE))</f>
        <v>0</v>
      </c>
      <c r="S4" s="91" t="b">
        <f>OR(R4,P4)</f>
        <v>0</v>
      </c>
      <c r="T4" s="91">
        <f>IF(P4,#REF!,IF(R4,#REF!,-1))</f>
        <v>-1</v>
      </c>
    </row>
    <row r="5" spans="2:20" x14ac:dyDescent="0.25">
      <c r="B5" s="1139"/>
      <c r="C5" s="88" t="str">
        <f>Maree!D23</f>
        <v>2024/12/20</v>
      </c>
      <c r="D5" s="89" t="str">
        <f>Maree!E23</f>
        <v>16:12</v>
      </c>
      <c r="E5" s="95">
        <f>Maree!F23</f>
        <v>0</v>
      </c>
      <c r="F5" s="90">
        <f>Maree!G23</f>
        <v>5</v>
      </c>
      <c r="K5" s="91" t="b">
        <f>AND(NOT(ISBLANK(E5)),ISNUMBER(E5), (E5&gt; 0))</f>
        <v>0</v>
      </c>
      <c r="L5" s="91" t="b">
        <f>AND(NOT(ISBLANK(F5)),ISNUMBER(F5), (F5&gt; 0))</f>
        <v>1</v>
      </c>
      <c r="M5" s="91" t="b">
        <f>AND($L6,$L5,$K5,$F5&gt;$F6)</f>
        <v>0</v>
      </c>
      <c r="N5" s="91" t="b">
        <f>AND(NOT(ISBLANK(#REF!)),ISNUMBER(#REF!))</f>
        <v>0</v>
      </c>
      <c r="O5" s="92"/>
      <c r="P5" s="92"/>
      <c r="Q5" s="92"/>
      <c r="R5" s="92"/>
      <c r="S5" s="92"/>
      <c r="T5" s="92"/>
    </row>
    <row r="6" spans="2:20" x14ac:dyDescent="0.25">
      <c r="B6" s="1140" t="s">
        <v>298</v>
      </c>
      <c r="C6" s="93" t="str">
        <f>Maree!D22</f>
        <v>2024/12/20</v>
      </c>
      <c r="D6" s="93" t="str">
        <f>Maree!E22</f>
        <v>10:00</v>
      </c>
      <c r="E6" s="96">
        <f>Maree!F22</f>
        <v>90</v>
      </c>
      <c r="F6" s="93">
        <f>Maree!G22</f>
        <v>9.56</v>
      </c>
      <c r="H6" s="94"/>
      <c r="K6" s="85" t="b">
        <f t="shared" si="0"/>
        <v>1</v>
      </c>
      <c r="L6" s="85" t="b">
        <f t="shared" si="1"/>
        <v>1</v>
      </c>
      <c r="M6" s="85" t="b">
        <f t="shared" ref="M6:M16" si="2">AND(L7,L6,E6,F6&gt;F7)</f>
        <v>1</v>
      </c>
      <c r="N6" s="85" t="b">
        <f>AND(NOT(ISBLANK(#REF!)),ISNUMBER(#REF!))</f>
        <v>0</v>
      </c>
      <c r="P6" s="85" t="b">
        <f>IF(AND(M6,K6), TRUE, FALSE)</f>
        <v>1</v>
      </c>
      <c r="Q6" s="85" t="e">
        <f>IF(AND(M6,K6), IF(#REF!&gt;70,TRUE, FALSE), FALSE)</f>
        <v>#REF!</v>
      </c>
      <c r="R6" s="85" t="b">
        <f>IF(P6,FALSE,IF(P7,TRUE, FALSE))</f>
        <v>0</v>
      </c>
      <c r="S6" s="85" t="b">
        <f>OR(R6,P6)</f>
        <v>1</v>
      </c>
      <c r="T6" s="85" t="e">
        <f>IF(P6,#REF!,IF(R6,#REF!,-1))</f>
        <v>#REF!</v>
      </c>
    </row>
    <row r="7" spans="2:20" x14ac:dyDescent="0.25">
      <c r="B7" s="1140"/>
      <c r="C7" s="93" t="str">
        <f>Maree!D23</f>
        <v>2024/12/20</v>
      </c>
      <c r="D7" s="93" t="str">
        <f>Maree!E23</f>
        <v>16:12</v>
      </c>
      <c r="E7" s="96">
        <f>Maree!F23</f>
        <v>0</v>
      </c>
      <c r="F7" s="93">
        <f>Maree!G23</f>
        <v>5</v>
      </c>
      <c r="K7" s="85" t="b">
        <f t="shared" si="0"/>
        <v>0</v>
      </c>
      <c r="L7" s="85" t="b">
        <f t="shared" si="1"/>
        <v>1</v>
      </c>
      <c r="M7" s="85" t="b">
        <f t="shared" si="2"/>
        <v>0</v>
      </c>
    </row>
    <row r="8" spans="2:20" x14ac:dyDescent="0.25">
      <c r="B8" s="1140"/>
      <c r="C8" s="93" t="str">
        <f>Maree!D24</f>
        <v>2024/12/21</v>
      </c>
      <c r="D8" s="93" t="str">
        <f>Maree!E24</f>
        <v>00:12:00</v>
      </c>
      <c r="E8" s="96">
        <f>Maree!F24</f>
        <v>50</v>
      </c>
      <c r="F8" s="93">
        <f>Maree!G24</f>
        <v>10.199999999999999</v>
      </c>
      <c r="K8" s="85" t="b">
        <f t="shared" si="0"/>
        <v>1</v>
      </c>
      <c r="L8" s="85" t="b">
        <f t="shared" si="1"/>
        <v>1</v>
      </c>
      <c r="M8" s="85" t="b">
        <f t="shared" si="2"/>
        <v>1</v>
      </c>
    </row>
    <row r="9" spans="2:20" x14ac:dyDescent="0.25">
      <c r="B9" s="1140"/>
      <c r="C9" s="93" t="str">
        <f>Maree!D25</f>
        <v>2024/12/21</v>
      </c>
      <c r="D9" s="93" t="str">
        <f>Maree!E25</f>
        <v>06:12</v>
      </c>
      <c r="E9" s="96">
        <f>Maree!F25</f>
        <v>0</v>
      </c>
      <c r="F9" s="93">
        <f>Maree!G25</f>
        <v>4.75</v>
      </c>
      <c r="K9" s="85" t="b">
        <f t="shared" si="0"/>
        <v>0</v>
      </c>
      <c r="L9" s="85" t="b">
        <f t="shared" si="1"/>
        <v>1</v>
      </c>
      <c r="M9" s="85" t="b">
        <f t="shared" si="2"/>
        <v>0</v>
      </c>
    </row>
    <row r="10" spans="2:20" x14ac:dyDescent="0.25">
      <c r="B10" s="1140"/>
      <c r="C10" s="93" t="str">
        <f>Maree!D26</f>
        <v>2024/12/21</v>
      </c>
      <c r="D10" s="93" t="str">
        <f>Maree!E26</f>
        <v>12:24</v>
      </c>
      <c r="E10" s="96">
        <f>Maree!F26</f>
        <v>80</v>
      </c>
      <c r="F10" s="93">
        <f>Maree!G26</f>
        <v>9.7200000000000006</v>
      </c>
      <c r="K10" s="85" t="b">
        <f t="shared" si="0"/>
        <v>1</v>
      </c>
      <c r="L10" s="85" t="b">
        <f t="shared" si="1"/>
        <v>1</v>
      </c>
      <c r="M10" s="85" t="b">
        <f t="shared" si="2"/>
        <v>0</v>
      </c>
    </row>
    <row r="11" spans="2:20" x14ac:dyDescent="0.25">
      <c r="B11" s="1140"/>
      <c r="C11" s="93">
        <f>Maree!D27</f>
        <v>0</v>
      </c>
      <c r="D11" s="93">
        <f>Maree!E27</f>
        <v>0</v>
      </c>
      <c r="E11" s="96">
        <f>Maree!F27</f>
        <v>0</v>
      </c>
      <c r="F11" s="93">
        <f>Maree!G27</f>
        <v>0</v>
      </c>
      <c r="K11" s="85" t="b">
        <f t="shared" si="0"/>
        <v>0</v>
      </c>
      <c r="L11" s="85" t="b">
        <f t="shared" si="1"/>
        <v>0</v>
      </c>
      <c r="M11" s="85" t="b">
        <f t="shared" si="2"/>
        <v>0</v>
      </c>
    </row>
    <row r="12" spans="2:20" x14ac:dyDescent="0.25">
      <c r="B12" s="1140"/>
      <c r="C12" s="93">
        <f>Maree!D28</f>
        <v>0</v>
      </c>
      <c r="D12" s="93">
        <f>Maree!E28</f>
        <v>0</v>
      </c>
      <c r="E12" s="96">
        <f>Maree!F28</f>
        <v>0</v>
      </c>
      <c r="F12" s="93">
        <f>Maree!G28</f>
        <v>0</v>
      </c>
      <c r="K12" s="85" t="b">
        <f t="shared" si="0"/>
        <v>0</v>
      </c>
      <c r="L12" s="85" t="b">
        <f t="shared" si="1"/>
        <v>0</v>
      </c>
      <c r="M12" s="85" t="b">
        <f t="shared" si="2"/>
        <v>0</v>
      </c>
    </row>
    <row r="13" spans="2:20" x14ac:dyDescent="0.25">
      <c r="B13" s="1140"/>
      <c r="C13" s="93">
        <f>Maree!D29</f>
        <v>0</v>
      </c>
      <c r="D13" s="93">
        <f>Maree!E29</f>
        <v>0</v>
      </c>
      <c r="E13" s="96">
        <f>Maree!F29</f>
        <v>0</v>
      </c>
      <c r="F13" s="93">
        <f>Maree!G29</f>
        <v>0</v>
      </c>
      <c r="K13" s="85" t="b">
        <f t="shared" si="0"/>
        <v>0</v>
      </c>
      <c r="L13" s="85" t="b">
        <f t="shared" si="1"/>
        <v>0</v>
      </c>
      <c r="M13" s="85" t="b">
        <f t="shared" si="2"/>
        <v>0</v>
      </c>
    </row>
    <row r="14" spans="2:20" x14ac:dyDescent="0.25">
      <c r="B14" s="1140"/>
      <c r="C14" s="93">
        <f>Maree!D30</f>
        <v>0</v>
      </c>
      <c r="D14" s="93">
        <f>Maree!E30</f>
        <v>0</v>
      </c>
      <c r="E14" s="96">
        <f>Maree!F30</f>
        <v>0</v>
      </c>
      <c r="F14" s="93">
        <f>Maree!G30</f>
        <v>0</v>
      </c>
      <c r="K14" s="85" t="b">
        <f t="shared" si="0"/>
        <v>0</v>
      </c>
      <c r="L14" s="85" t="b">
        <f t="shared" si="1"/>
        <v>0</v>
      </c>
      <c r="M14" s="85" t="b">
        <f t="shared" si="2"/>
        <v>0</v>
      </c>
    </row>
    <row r="15" spans="2:20" x14ac:dyDescent="0.25">
      <c r="B15" s="1140"/>
      <c r="C15" s="93">
        <f>Maree!D31</f>
        <v>0</v>
      </c>
      <c r="D15" s="93">
        <f>Maree!E31</f>
        <v>0</v>
      </c>
      <c r="E15" s="96">
        <f>Maree!F31</f>
        <v>0</v>
      </c>
      <c r="F15" s="93">
        <f>Maree!G31</f>
        <v>0</v>
      </c>
      <c r="K15" s="85" t="b">
        <f t="shared" si="0"/>
        <v>0</v>
      </c>
      <c r="L15" s="85" t="b">
        <f t="shared" si="1"/>
        <v>0</v>
      </c>
      <c r="M15" s="85" t="b">
        <f t="shared" si="2"/>
        <v>0</v>
      </c>
    </row>
    <row r="16" spans="2:20" x14ac:dyDescent="0.25">
      <c r="B16" s="1140"/>
      <c r="C16" s="93"/>
      <c r="D16" s="93"/>
      <c r="E16" s="93"/>
      <c r="F16" s="93"/>
      <c r="K16" s="85" t="b">
        <f t="shared" si="0"/>
        <v>0</v>
      </c>
      <c r="L16" s="85" t="b">
        <f t="shared" si="1"/>
        <v>0</v>
      </c>
      <c r="M16" s="85" t="b">
        <f t="shared" si="2"/>
        <v>0</v>
      </c>
    </row>
    <row r="17" spans="2:10" x14ac:dyDescent="0.25">
      <c r="B17" s="1140"/>
      <c r="C17" s="93"/>
      <c r="D17" s="93"/>
      <c r="E17" s="93"/>
      <c r="F17" s="93"/>
    </row>
    <row r="18" spans="2:10" x14ac:dyDescent="0.25">
      <c r="B18" s="1140"/>
      <c r="C18" s="93"/>
      <c r="D18" s="93"/>
      <c r="E18" s="93"/>
      <c r="F18" s="93"/>
    </row>
    <row r="30" spans="2:10" x14ac:dyDescent="0.25">
      <c r="E30" s="83">
        <f>18+46/60</f>
        <v>18.766666666666666</v>
      </c>
    </row>
    <row r="31" spans="2:10" x14ac:dyDescent="0.25">
      <c r="E31" s="83">
        <f>50/60</f>
        <v>0.83333333333333337</v>
      </c>
      <c r="F31" s="83">
        <f>E30-E31</f>
        <v>17.933333333333334</v>
      </c>
      <c r="G31" s="84">
        <f>F31/2</f>
        <v>8.9666666666666668</v>
      </c>
      <c r="H31" s="84">
        <f>INT(G31)</f>
        <v>8</v>
      </c>
      <c r="I31" s="84">
        <f>G31-H31</f>
        <v>0.96666666666666679</v>
      </c>
      <c r="J31" s="84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abSelected="1" topLeftCell="B1" zoomScaleNormal="100" workbookViewId="0">
      <selection activeCell="I16" sqref="I16"/>
    </sheetView>
  </sheetViews>
  <sheetFormatPr baseColWidth="10" defaultColWidth="9.140625" defaultRowHeight="12.75" x14ac:dyDescent="0.2"/>
  <cols>
    <col min="1" max="2" width="9.140625" style="97"/>
    <col min="3" max="3" width="11" style="97" bestFit="1" customWidth="1"/>
    <col min="4" max="5" width="9.140625" style="97"/>
    <col min="6" max="7" width="14.85546875" style="97" customWidth="1"/>
    <col min="8" max="8" width="19.42578125" style="97" customWidth="1"/>
    <col min="9" max="9" width="14.7109375" style="97" customWidth="1"/>
    <col min="10" max="10" width="34.85546875" style="97" customWidth="1"/>
    <col min="11" max="11" width="9.85546875" style="97" bestFit="1" customWidth="1"/>
    <col min="12" max="12" width="9.140625" style="99"/>
    <col min="13" max="13" width="9.140625" style="101"/>
    <col min="14" max="17" width="13.85546875" style="97" customWidth="1"/>
    <col min="18" max="18" width="19.140625" style="97" customWidth="1"/>
    <col min="19" max="19" width="9.5703125" style="97" bestFit="1" customWidth="1"/>
    <col min="20" max="21" width="16.7109375" style="97" customWidth="1"/>
    <col min="22" max="23" width="18.7109375" style="97" customWidth="1"/>
    <col min="24" max="24" width="19.140625" style="97" customWidth="1"/>
    <col min="25" max="25" width="15.42578125" style="97" customWidth="1"/>
    <col min="26" max="26" width="14.85546875" style="97" customWidth="1"/>
    <col min="27" max="27" width="16.5703125" style="97" customWidth="1"/>
    <col min="28" max="28" width="14.7109375" style="97" customWidth="1"/>
    <col min="29" max="29" width="9.140625" style="97"/>
    <col min="30" max="31" width="16.7109375" style="97" customWidth="1"/>
    <col min="32" max="33" width="19.28515625" style="97" customWidth="1"/>
    <col min="34" max="16384" width="9.140625" style="97"/>
  </cols>
  <sheetData>
    <row r="2" spans="3:35" x14ac:dyDescent="0.25">
      <c r="C2" s="1158" t="s">
        <v>0</v>
      </c>
      <c r="D2" s="1158"/>
      <c r="E2" s="1158"/>
      <c r="F2" s="1158"/>
      <c r="G2" s="1158"/>
      <c r="H2" s="1158"/>
      <c r="L2" s="98"/>
      <c r="M2" s="97"/>
    </row>
    <row r="3" spans="3:35" x14ac:dyDescent="0.2">
      <c r="C3" s="1159" t="s">
        <v>16</v>
      </c>
      <c r="D3" s="1159"/>
      <c r="E3" s="1159"/>
      <c r="F3" s="1160" t="s">
        <v>15</v>
      </c>
      <c r="G3" s="1160"/>
      <c r="H3" s="1160"/>
      <c r="M3" s="100"/>
      <c r="N3" s="36" t="s">
        <v>107</v>
      </c>
      <c r="O3" s="36" t="s">
        <v>12</v>
      </c>
      <c r="P3" s="36" t="s">
        <v>108</v>
      </c>
      <c r="Q3" s="36" t="s">
        <v>104</v>
      </c>
      <c r="R3" s="36" t="s">
        <v>107</v>
      </c>
      <c r="S3" s="36" t="s">
        <v>112</v>
      </c>
      <c r="T3" s="36" t="s">
        <v>113</v>
      </c>
      <c r="U3" s="36" t="s">
        <v>104</v>
      </c>
      <c r="V3" s="36" t="s">
        <v>87</v>
      </c>
      <c r="W3" s="36" t="s">
        <v>92</v>
      </c>
      <c r="X3" s="36" t="s">
        <v>119</v>
      </c>
      <c r="Y3" s="36" t="s">
        <v>106</v>
      </c>
      <c r="Z3" s="36" t="s">
        <v>125</v>
      </c>
      <c r="AA3" s="36" t="s">
        <v>123</v>
      </c>
      <c r="AB3" s="36" t="s">
        <v>87</v>
      </c>
      <c r="AC3" s="36" t="s">
        <v>124</v>
      </c>
      <c r="AD3" s="101"/>
    </row>
    <row r="4" spans="3:35" x14ac:dyDescent="0.2">
      <c r="C4" s="1147" t="s">
        <v>109</v>
      </c>
      <c r="D4" s="1148"/>
      <c r="E4" s="1149"/>
      <c r="F4" s="1144" t="str">
        <f t="shared" ref="F4:F12" si="0">AC4</f>
        <v>10:00:00.00 [10:00.00] - (10.0000)</v>
      </c>
      <c r="G4" s="1145"/>
      <c r="H4" s="1146"/>
      <c r="I4" s="97" cm="1">
        <f t="array" ref="I4">heureConvert2Decimal(C4)</f>
        <v>10</v>
      </c>
      <c r="J4" s="97" t="str" cm="1">
        <f t="array" ref="J4">heureDecimal2Txt(I4)</f>
        <v>10:00:00.00(10.0000)</v>
      </c>
      <c r="K4" s="102" t="str">
        <f t="shared" ref="K4:K12" si="1">C4</f>
        <v>10</v>
      </c>
      <c r="L4" s="98" t="str">
        <f>AC4</f>
        <v>10:00:00.00 [10:00.00] - (10.0000)</v>
      </c>
      <c r="M4" s="103">
        <f t="shared" ref="M4:M12" si="2">X4</f>
        <v>10</v>
      </c>
      <c r="N4" s="104" t="b">
        <f t="shared" ref="N4:N12" si="3">ISNUMBER(SEARCH(":",K4,1))</f>
        <v>0</v>
      </c>
      <c r="O4" s="105">
        <f t="shared" ref="O4:O12" si="4">IF(N4, VALUE(LEFT(K4,SEARCH(":",K4,1)-1)),VALUE(K4))</f>
        <v>10</v>
      </c>
      <c r="P4" s="105" t="str">
        <f t="shared" ref="P4:P12" si="5">IF(N4, RIGHT(K4,LEN(K4)-SEARCH(":",K4,1)),"")</f>
        <v/>
      </c>
      <c r="Q4" s="104" t="b">
        <f>(LEN(P4)&gt;0)</f>
        <v>0</v>
      </c>
      <c r="R4" s="104" t="b">
        <f>ISNUMBER(SEARCH(":",P4,1))</f>
        <v>0</v>
      </c>
      <c r="S4" s="105">
        <f>IF(NOT(Q4),0,IF(R4, VALUE(LEFT(P4,SEARCH(":",P4,1)-1)),VALUE(P4)))</f>
        <v>0</v>
      </c>
      <c r="T4" s="105" t="str">
        <f>IF(R4, RIGHT(P4,LEN(P4)-SEARCH(":",P4,1)),"")</f>
        <v/>
      </c>
      <c r="U4" s="104" t="b">
        <f>(LEN(T4)&gt;0)</f>
        <v>0</v>
      </c>
      <c r="V4" s="105">
        <f>IF(U4,VALUE(T4),0)</f>
        <v>0</v>
      </c>
      <c r="W4" s="106">
        <f>O4*3600+S4*60+V4</f>
        <v>36000</v>
      </c>
      <c r="X4" s="106">
        <f>W4/3600</f>
        <v>10</v>
      </c>
      <c r="Y4" s="106">
        <f>(W4-3600*INT(X4))/60</f>
        <v>0</v>
      </c>
      <c r="Z4" s="105">
        <f>_xlfn.FLOOR.MATH(X4)</f>
        <v>10</v>
      </c>
      <c r="AA4" s="105">
        <f>_xlfn.FLOOR.MATH(Y4)</f>
        <v>0</v>
      </c>
      <c r="AB4" s="105">
        <f t="shared" ref="AB4:AB11" si="6">_xlfn.FLOOR.MATH(W4-Z4*3600-AA4*60)</f>
        <v>0</v>
      </c>
      <c r="AC4" s="100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147" t="s">
        <v>111</v>
      </c>
      <c r="D5" s="1148"/>
      <c r="E5" s="1149"/>
      <c r="F5" s="1144" t="str">
        <f t="shared" si="0"/>
        <v>10:59:24.00 [10:59.40] - (10.9900)</v>
      </c>
      <c r="G5" s="1145"/>
      <c r="H5" s="1146"/>
      <c r="I5" s="97" cm="1">
        <f t="array" ref="I5">heureConvert2Decimal(C5)</f>
        <v>0</v>
      </c>
      <c r="J5" s="97" t="str" cm="1">
        <f t="array" ref="J5">heureDecimal2Txt(I5)</f>
        <v>00:00:00.00(00.0000)</v>
      </c>
      <c r="K5" s="102" t="str">
        <f t="shared" si="1"/>
        <v>10.99</v>
      </c>
      <c r="L5" s="98" t="str">
        <f t="shared" ref="L5:L12" si="7">AC5</f>
        <v>10:59:24.00 [10:59.40] - (10.9900)</v>
      </c>
      <c r="M5" s="103">
        <f t="shared" si="2"/>
        <v>10.99</v>
      </c>
      <c r="N5" s="104" t="b">
        <f t="shared" si="3"/>
        <v>0</v>
      </c>
      <c r="O5" s="105">
        <f t="shared" si="4"/>
        <v>10.99</v>
      </c>
      <c r="P5" s="105" t="str">
        <f t="shared" si="5"/>
        <v/>
      </c>
      <c r="Q5" s="104" t="b">
        <f t="shared" ref="Q5:Q12" si="8">(LEN(P5)&gt;0)</f>
        <v>0</v>
      </c>
      <c r="R5" s="104" t="b">
        <f t="shared" ref="R5:R11" si="9">ISNUMBER(SEARCH(":",P5,1))</f>
        <v>0</v>
      </c>
      <c r="S5" s="105">
        <f t="shared" ref="S5:S11" si="10">IF(NOT(Q5),0,IF(R5, VALUE(LEFT(P5,SEARCH(":",P5,1)-1)),VALUE(P5)))</f>
        <v>0</v>
      </c>
      <c r="T5" s="105" t="str">
        <f t="shared" ref="T5:T11" si="11">IF(R5, RIGHT(P5,LEN(P5)-SEARCH(":",P5,1)),"")</f>
        <v/>
      </c>
      <c r="U5" s="104" t="b">
        <f t="shared" ref="U5:U12" si="12">(LEN(T5)&gt;0)</f>
        <v>0</v>
      </c>
      <c r="V5" s="105">
        <f t="shared" ref="V5:V11" si="13">IF(U5,VALUE(T5),0)</f>
        <v>0</v>
      </c>
      <c r="W5" s="106">
        <f t="shared" ref="W5:W12" si="14">O5*3600+S5*60+V5</f>
        <v>39564</v>
      </c>
      <c r="X5" s="106">
        <f t="shared" ref="X5:X12" si="15">W5/3600</f>
        <v>10.99</v>
      </c>
      <c r="Y5" s="106">
        <f>(W5-3600*INT(X5))/60</f>
        <v>59.4</v>
      </c>
      <c r="Z5" s="105">
        <f t="shared" ref="Z5:Z12" si="16">INT(X5)</f>
        <v>10</v>
      </c>
      <c r="AA5" s="105">
        <f t="shared" ref="AA5:AA12" si="17">INT((X5-Z5)*60)</f>
        <v>59</v>
      </c>
      <c r="AB5" s="105">
        <f t="shared" si="6"/>
        <v>24</v>
      </c>
      <c r="AC5" s="100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147" t="s">
        <v>110</v>
      </c>
      <c r="D6" s="1148"/>
      <c r="E6" s="1149"/>
      <c r="F6" s="1144" t="str">
        <f t="shared" si="0"/>
        <v>10:20:00.00 [10:20.00] - (10.3333)</v>
      </c>
      <c r="G6" s="1145"/>
      <c r="H6" s="1146"/>
      <c r="I6" s="97" cm="1">
        <f t="array" ref="I6">heureConvert2Decimal(C6)</f>
        <v>10.333333333333334</v>
      </c>
      <c r="J6" s="97" t="str" cm="1">
        <f t="array" ref="J6">heureDecimal2Txt(I6)</f>
        <v>10:20:00.00(10.3333)</v>
      </c>
      <c r="K6" s="102" t="str">
        <f t="shared" si="1"/>
        <v>10:20</v>
      </c>
      <c r="L6" s="98" t="str">
        <f t="shared" si="7"/>
        <v>10:20:00.00 [10:20.00] - (10.3333)</v>
      </c>
      <c r="M6" s="103">
        <f t="shared" si="2"/>
        <v>10.333333333333334</v>
      </c>
      <c r="N6" s="104" t="b">
        <f t="shared" si="3"/>
        <v>1</v>
      </c>
      <c r="O6" s="105">
        <f t="shared" si="4"/>
        <v>10</v>
      </c>
      <c r="P6" s="105" t="str">
        <f t="shared" si="5"/>
        <v>20</v>
      </c>
      <c r="Q6" s="104" t="b">
        <f t="shared" si="8"/>
        <v>1</v>
      </c>
      <c r="R6" s="104" t="b">
        <f t="shared" si="9"/>
        <v>0</v>
      </c>
      <c r="S6" s="105">
        <f t="shared" si="10"/>
        <v>20</v>
      </c>
      <c r="T6" s="105" t="str">
        <f t="shared" si="11"/>
        <v/>
      </c>
      <c r="U6" s="104" t="b">
        <f t="shared" si="12"/>
        <v>0</v>
      </c>
      <c r="V6" s="105">
        <f t="shared" si="13"/>
        <v>0</v>
      </c>
      <c r="W6" s="106">
        <f t="shared" si="14"/>
        <v>37200</v>
      </c>
      <c r="X6" s="106">
        <f t="shared" si="15"/>
        <v>10.333333333333334</v>
      </c>
      <c r="Y6" s="106">
        <f t="shared" ref="Y6:Y12" si="19">(W6-3600*INT(X6))/60</f>
        <v>20</v>
      </c>
      <c r="Z6" s="105">
        <f t="shared" si="16"/>
        <v>10</v>
      </c>
      <c r="AA6" s="105">
        <f t="shared" si="17"/>
        <v>20</v>
      </c>
      <c r="AB6" s="105">
        <f t="shared" si="6"/>
        <v>0</v>
      </c>
      <c r="AC6" s="100" t="str">
        <f t="shared" si="18"/>
        <v>10:20:00.00 [10:20.00] - (10.3333)</v>
      </c>
    </row>
    <row r="7" spans="3:35" x14ac:dyDescent="0.2">
      <c r="C7" s="1147" t="s">
        <v>114</v>
      </c>
      <c r="D7" s="1148"/>
      <c r="E7" s="1149"/>
      <c r="F7" s="1144" t="str">
        <f t="shared" si="0"/>
        <v>10:20:59.00 [10:20.99] - (10.3498)</v>
      </c>
      <c r="G7" s="1145"/>
      <c r="H7" s="1146"/>
      <c r="I7" s="97" cm="1">
        <f t="array" ref="I7">heureConvert2Decimal(C7)</f>
        <v>0</v>
      </c>
      <c r="J7" s="97" t="str" cm="1">
        <f t="array" ref="J7">heureDecimal2Txt(I7)</f>
        <v>00:00:00.00(00.0000)</v>
      </c>
      <c r="K7" s="102" t="str">
        <f t="shared" si="1"/>
        <v>10:20.99</v>
      </c>
      <c r="L7" s="98" t="str">
        <f t="shared" si="7"/>
        <v>10:20:59.00 [10:20.99] - (10.3498)</v>
      </c>
      <c r="M7" s="103">
        <f t="shared" si="2"/>
        <v>10.349833333333335</v>
      </c>
      <c r="N7" s="104" t="b">
        <f t="shared" si="3"/>
        <v>1</v>
      </c>
      <c r="O7" s="105">
        <f t="shared" si="4"/>
        <v>10</v>
      </c>
      <c r="P7" s="105" t="str">
        <f t="shared" si="5"/>
        <v>20.99</v>
      </c>
      <c r="Q7" s="104" t="b">
        <f t="shared" si="8"/>
        <v>1</v>
      </c>
      <c r="R7" s="104" t="b">
        <f t="shared" si="9"/>
        <v>0</v>
      </c>
      <c r="S7" s="105">
        <f t="shared" si="10"/>
        <v>20.99</v>
      </c>
      <c r="T7" s="105" t="str">
        <f t="shared" si="11"/>
        <v/>
      </c>
      <c r="U7" s="104" t="b">
        <f t="shared" si="12"/>
        <v>0</v>
      </c>
      <c r="V7" s="105">
        <f t="shared" si="13"/>
        <v>0</v>
      </c>
      <c r="W7" s="106">
        <f t="shared" si="14"/>
        <v>37259.4</v>
      </c>
      <c r="X7" s="106">
        <f t="shared" si="15"/>
        <v>10.349833333333335</v>
      </c>
      <c r="Y7" s="106">
        <f t="shared" si="19"/>
        <v>20.990000000000023</v>
      </c>
      <c r="Z7" s="105">
        <f t="shared" si="16"/>
        <v>10</v>
      </c>
      <c r="AA7" s="105">
        <f t="shared" si="17"/>
        <v>20</v>
      </c>
      <c r="AB7" s="105">
        <f t="shared" si="6"/>
        <v>59</v>
      </c>
      <c r="AC7" s="100" t="str">
        <f t="shared" si="18"/>
        <v>10:20:59.00 [10:20.99] - (10.3498)</v>
      </c>
    </row>
    <row r="8" spans="3:35" x14ac:dyDescent="0.2">
      <c r="C8" s="1147" t="s">
        <v>115</v>
      </c>
      <c r="D8" s="1148"/>
      <c r="E8" s="1149"/>
      <c r="F8" s="1144" t="str">
        <f t="shared" si="0"/>
        <v>10:20:20.00 [10:20.33] - (10.3389)</v>
      </c>
      <c r="G8" s="1145"/>
      <c r="H8" s="1146"/>
      <c r="I8" s="97" cm="1">
        <f t="array" ref="I8">heureConvert2Decimal(C8)</f>
        <v>10.33888888888889</v>
      </c>
      <c r="J8" s="97" t="str" cm="1">
        <f t="array" ref="J8">heureDecimal2Txt(I8)</f>
        <v>10:20:20.00(10.3388)</v>
      </c>
      <c r="K8" s="102" t="str">
        <f t="shared" si="1"/>
        <v>10:20:20</v>
      </c>
      <c r="L8" s="98" t="str">
        <f t="shared" si="7"/>
        <v>10:20:20.00 [10:20.33] - (10.3389)</v>
      </c>
      <c r="M8" s="103">
        <f t="shared" si="2"/>
        <v>10.338888888888889</v>
      </c>
      <c r="N8" s="104" t="b">
        <f t="shared" si="3"/>
        <v>1</v>
      </c>
      <c r="O8" s="105">
        <f t="shared" si="4"/>
        <v>10</v>
      </c>
      <c r="P8" s="105" t="str">
        <f t="shared" si="5"/>
        <v>20:20</v>
      </c>
      <c r="Q8" s="104" t="b">
        <f t="shared" si="8"/>
        <v>1</v>
      </c>
      <c r="R8" s="104" t="b">
        <f t="shared" si="9"/>
        <v>1</v>
      </c>
      <c r="S8" s="105">
        <f t="shared" si="10"/>
        <v>20</v>
      </c>
      <c r="T8" s="105" t="str">
        <f t="shared" si="11"/>
        <v>20</v>
      </c>
      <c r="U8" s="104" t="b">
        <f t="shared" si="12"/>
        <v>1</v>
      </c>
      <c r="V8" s="105">
        <f t="shared" si="13"/>
        <v>20</v>
      </c>
      <c r="W8" s="106">
        <f t="shared" si="14"/>
        <v>37220</v>
      </c>
      <c r="X8" s="106">
        <f t="shared" si="15"/>
        <v>10.338888888888889</v>
      </c>
      <c r="Y8" s="106">
        <f t="shared" si="19"/>
        <v>20.333333333333332</v>
      </c>
      <c r="Z8" s="105">
        <f t="shared" si="16"/>
        <v>10</v>
      </c>
      <c r="AA8" s="105">
        <f t="shared" si="17"/>
        <v>20</v>
      </c>
      <c r="AB8" s="105">
        <f t="shared" si="6"/>
        <v>20</v>
      </c>
      <c r="AC8" s="100" t="str">
        <f t="shared" si="18"/>
        <v>10:20:20.00 [10:20.33] - (10.3389)</v>
      </c>
    </row>
    <row r="9" spans="3:35" x14ac:dyDescent="0.2">
      <c r="C9" s="1147" t="s">
        <v>116</v>
      </c>
      <c r="D9" s="1148"/>
      <c r="E9" s="1149"/>
      <c r="F9" s="1144" t="str">
        <f t="shared" si="0"/>
        <v>10:20:20.00 [10:20.35] - (10.3392)</v>
      </c>
      <c r="G9" s="1145"/>
      <c r="H9" s="1146"/>
      <c r="I9" s="97" cm="1">
        <f t="array" ref="I9">heureConvert2Decimal(C9)</f>
        <v>0</v>
      </c>
      <c r="J9" s="97" t="str" cm="1">
        <f t="array" ref="J9">heureDecimal2Txt(I9)</f>
        <v>00:00:00.00(00.0000)</v>
      </c>
      <c r="K9" s="102" t="str">
        <f t="shared" si="1"/>
        <v>10:20:20.9999</v>
      </c>
      <c r="L9" s="98" t="str">
        <f t="shared" si="7"/>
        <v>10:20:20.00 [10:20.35] - (10.3392)</v>
      </c>
      <c r="M9" s="103">
        <f t="shared" si="2"/>
        <v>10.339166638888889</v>
      </c>
      <c r="N9" s="104" t="b">
        <f t="shared" si="3"/>
        <v>1</v>
      </c>
      <c r="O9" s="105">
        <f t="shared" si="4"/>
        <v>10</v>
      </c>
      <c r="P9" s="105" t="str">
        <f t="shared" si="5"/>
        <v>20:20.9999</v>
      </c>
      <c r="Q9" s="104" t="b">
        <f t="shared" si="8"/>
        <v>1</v>
      </c>
      <c r="R9" s="104" t="b">
        <f t="shared" si="9"/>
        <v>1</v>
      </c>
      <c r="S9" s="105">
        <f t="shared" si="10"/>
        <v>20</v>
      </c>
      <c r="T9" s="105" t="str">
        <f t="shared" si="11"/>
        <v>20.9999</v>
      </c>
      <c r="U9" s="104" t="b">
        <f t="shared" si="12"/>
        <v>1</v>
      </c>
      <c r="V9" s="105">
        <f t="shared" si="13"/>
        <v>20.9999</v>
      </c>
      <c r="W9" s="106">
        <f t="shared" si="14"/>
        <v>37220.999900000003</v>
      </c>
      <c r="X9" s="106">
        <f t="shared" si="15"/>
        <v>10.339166638888889</v>
      </c>
      <c r="Y9" s="106">
        <f t="shared" si="19"/>
        <v>20.349998333333374</v>
      </c>
      <c r="Z9" s="105">
        <f t="shared" si="16"/>
        <v>10</v>
      </c>
      <c r="AA9" s="105">
        <f t="shared" si="17"/>
        <v>20</v>
      </c>
      <c r="AB9" s="105">
        <f t="shared" si="6"/>
        <v>20</v>
      </c>
      <c r="AC9" s="100" t="str">
        <f t="shared" si="18"/>
        <v>10:20:20.00 [10:20.35] - (10.3392)</v>
      </c>
    </row>
    <row r="10" spans="3:35" x14ac:dyDescent="0.2">
      <c r="C10" s="1147" t="s">
        <v>109</v>
      </c>
      <c r="D10" s="1148"/>
      <c r="E10" s="1149"/>
      <c r="F10" s="1144" t="str">
        <f t="shared" si="0"/>
        <v>10:00:00.00 [10:00.00] - (10.0000)</v>
      </c>
      <c r="G10" s="1145"/>
      <c r="H10" s="1146"/>
      <c r="I10" s="97" cm="1">
        <f t="array" ref="I10">heureConvert2Decimal(C10)</f>
        <v>10</v>
      </c>
      <c r="J10" s="97" t="str" cm="1">
        <f t="array" ref="J10">heureDecimal2Txt(I10)</f>
        <v>10:00:00.00(10.0000)</v>
      </c>
      <c r="K10" s="102" t="str">
        <f t="shared" si="1"/>
        <v>10</v>
      </c>
      <c r="L10" s="98" t="str">
        <f t="shared" si="7"/>
        <v>10:00:00.00 [10:00.00] - (10.0000)</v>
      </c>
      <c r="M10" s="103">
        <f t="shared" si="2"/>
        <v>10</v>
      </c>
      <c r="N10" s="104" t="b">
        <f t="shared" si="3"/>
        <v>0</v>
      </c>
      <c r="O10" s="105">
        <f t="shared" si="4"/>
        <v>10</v>
      </c>
      <c r="P10" s="105" t="str">
        <f t="shared" si="5"/>
        <v/>
      </c>
      <c r="Q10" s="104" t="b">
        <f t="shared" si="8"/>
        <v>0</v>
      </c>
      <c r="R10" s="104" t="b">
        <f t="shared" si="9"/>
        <v>0</v>
      </c>
      <c r="S10" s="105">
        <f t="shared" si="10"/>
        <v>0</v>
      </c>
      <c r="T10" s="105" t="str">
        <f t="shared" si="11"/>
        <v/>
      </c>
      <c r="U10" s="104" t="b">
        <f t="shared" si="12"/>
        <v>0</v>
      </c>
      <c r="V10" s="105">
        <f t="shared" si="13"/>
        <v>0</v>
      </c>
      <c r="W10" s="106">
        <f t="shared" si="14"/>
        <v>36000</v>
      </c>
      <c r="X10" s="106">
        <f t="shared" si="15"/>
        <v>10</v>
      </c>
      <c r="Y10" s="106">
        <f t="shared" si="19"/>
        <v>0</v>
      </c>
      <c r="Z10" s="105">
        <f t="shared" si="16"/>
        <v>10</v>
      </c>
      <c r="AA10" s="105">
        <f t="shared" si="17"/>
        <v>0</v>
      </c>
      <c r="AB10" s="105">
        <f t="shared" si="6"/>
        <v>0</v>
      </c>
      <c r="AC10" s="100" t="str">
        <f t="shared" si="18"/>
        <v>10:00:00.00 [10:00.00] - (10.0000)</v>
      </c>
    </row>
    <row r="11" spans="3:35" x14ac:dyDescent="0.2">
      <c r="C11" s="1147" t="s">
        <v>110</v>
      </c>
      <c r="D11" s="1148"/>
      <c r="E11" s="1149"/>
      <c r="F11" s="1144" t="str">
        <f t="shared" si="0"/>
        <v>10:20:00.00 [10:20.00] - (10.3333)</v>
      </c>
      <c r="G11" s="1145"/>
      <c r="H11" s="1146"/>
      <c r="I11" s="97" cm="1">
        <f t="array" ref="I11">heureConvert2Decimal(C11)</f>
        <v>10.333333333333334</v>
      </c>
      <c r="J11" s="97" t="str" cm="1">
        <f t="array" ref="J11">heureDecimal2Txt(I11)</f>
        <v>10:20:00.00(10.3333)</v>
      </c>
      <c r="K11" s="102" t="str">
        <f t="shared" si="1"/>
        <v>10:20</v>
      </c>
      <c r="L11" s="98" t="str">
        <f t="shared" si="7"/>
        <v>10:20:00.00 [10:20.00] - (10.3333)</v>
      </c>
      <c r="M11" s="103">
        <f t="shared" si="2"/>
        <v>10.333333333333334</v>
      </c>
      <c r="N11" s="104" t="b">
        <f t="shared" si="3"/>
        <v>1</v>
      </c>
      <c r="O11" s="105">
        <f t="shared" si="4"/>
        <v>10</v>
      </c>
      <c r="P11" s="105" t="str">
        <f t="shared" si="5"/>
        <v>20</v>
      </c>
      <c r="Q11" s="104" t="b">
        <f t="shared" si="8"/>
        <v>1</v>
      </c>
      <c r="R11" s="104" t="b">
        <f t="shared" si="9"/>
        <v>0</v>
      </c>
      <c r="S11" s="105">
        <f t="shared" si="10"/>
        <v>20</v>
      </c>
      <c r="T11" s="105" t="str">
        <f t="shared" si="11"/>
        <v/>
      </c>
      <c r="U11" s="104" t="b">
        <f t="shared" si="12"/>
        <v>0</v>
      </c>
      <c r="V11" s="105">
        <f t="shared" si="13"/>
        <v>0</v>
      </c>
      <c r="W11" s="106">
        <f t="shared" si="14"/>
        <v>37200</v>
      </c>
      <c r="X11" s="106">
        <f t="shared" si="15"/>
        <v>10.333333333333334</v>
      </c>
      <c r="Y11" s="106">
        <f t="shared" si="19"/>
        <v>20</v>
      </c>
      <c r="Z11" s="105">
        <f t="shared" si="16"/>
        <v>10</v>
      </c>
      <c r="AA11" s="105">
        <f t="shared" si="17"/>
        <v>20</v>
      </c>
      <c r="AB11" s="105">
        <f t="shared" si="6"/>
        <v>0</v>
      </c>
      <c r="AC11" s="100" t="str">
        <f t="shared" si="18"/>
        <v>10:20:00.00 [10:20.00] - (10.3333)</v>
      </c>
    </row>
    <row r="12" spans="3:35" x14ac:dyDescent="0.2">
      <c r="C12" s="1155" t="s">
        <v>420</v>
      </c>
      <c r="D12" s="1156"/>
      <c r="E12" s="1157"/>
      <c r="F12" s="1144" t="e">
        <f t="shared" si="0"/>
        <v>#VALUE!</v>
      </c>
      <c r="G12" s="1145"/>
      <c r="H12" s="1146"/>
      <c r="I12" s="97" cm="1">
        <f t="array" ref="I12">heureConvert2Decimal(C12)</f>
        <v>10.999997222222222</v>
      </c>
      <c r="J12" s="97" t="str" cm="1">
        <f t="array" ref="J12">heureDecimal2Txt(I12)</f>
        <v>10:59:59.98(10.9999)</v>
      </c>
      <c r="K12" s="102" t="str">
        <f t="shared" si="1"/>
        <v>10:59:59.99</v>
      </c>
      <c r="L12" s="98" t="e">
        <f t="shared" si="7"/>
        <v>#VALUE!</v>
      </c>
      <c r="M12" s="103" t="e">
        <f t="shared" si="2"/>
        <v>#VALUE!</v>
      </c>
      <c r="N12" s="104" t="b">
        <f t="shared" si="3"/>
        <v>1</v>
      </c>
      <c r="O12" s="105">
        <f t="shared" si="4"/>
        <v>10</v>
      </c>
      <c r="P12" s="105" t="str">
        <f t="shared" si="5"/>
        <v>59:59.99</v>
      </c>
      <c r="Q12" s="104" t="b">
        <f t="shared" si="8"/>
        <v>1</v>
      </c>
      <c r="R12" s="104" t="b">
        <f>ISNUMBER(SEARCH(":",P12,1))</f>
        <v>1</v>
      </c>
      <c r="S12" s="105">
        <f>IF(NOT(Q12),0,IF(R12, VALUE(LEFT(P12,SEARCH(":",P12,1)-1)),VALUE(P12)))</f>
        <v>59</v>
      </c>
      <c r="T12" s="105" t="str">
        <f>IF(R12, RIGHT(P12,LEN(P12)-SEARCH(":",P12,1)),"")</f>
        <v>59.99</v>
      </c>
      <c r="U12" s="104" t="b">
        <f t="shared" si="12"/>
        <v>1</v>
      </c>
      <c r="V12" s="105" t="e">
        <f>IF(U12,VALUE(T12),0)</f>
        <v>#VALUE!</v>
      </c>
      <c r="W12" s="106" t="e">
        <f t="shared" si="14"/>
        <v>#VALUE!</v>
      </c>
      <c r="X12" s="106" t="e">
        <f t="shared" si="15"/>
        <v>#VALUE!</v>
      </c>
      <c r="Y12" s="106" t="e">
        <f t="shared" si="19"/>
        <v>#VALUE!</v>
      </c>
      <c r="Z12" s="105" t="e">
        <f t="shared" si="16"/>
        <v>#VALUE!</v>
      </c>
      <c r="AA12" s="105" t="e">
        <f t="shared" si="17"/>
        <v>#VALUE!</v>
      </c>
      <c r="AB12" s="105" t="e">
        <f>(W12-Z12*3600-AA12*60)</f>
        <v>#VALUE!</v>
      </c>
      <c r="AC12" s="100" t="e">
        <f t="shared" si="18"/>
        <v>#VALUE!</v>
      </c>
    </row>
    <row r="13" spans="3:35" x14ac:dyDescent="0.2">
      <c r="C13" s="101"/>
      <c r="D13" s="101"/>
      <c r="E13" s="101"/>
      <c r="F13" s="101"/>
      <c r="G13" s="101"/>
      <c r="H13" s="101"/>
    </row>
    <row r="14" spans="3:35" x14ac:dyDescent="0.2">
      <c r="C14" s="101">
        <v>10.999997222222222</v>
      </c>
      <c r="D14" s="101"/>
      <c r="E14" s="101"/>
      <c r="F14" s="101"/>
      <c r="G14" s="101"/>
      <c r="H14" s="101"/>
    </row>
    <row r="15" spans="3:35" ht="13.5" thickBot="1" x14ac:dyDescent="0.25">
      <c r="C15" s="101" t="s">
        <v>668</v>
      </c>
      <c r="D15" s="101"/>
      <c r="E15" s="101"/>
      <c r="F15" s="101"/>
      <c r="G15" s="101"/>
      <c r="H15" s="101"/>
      <c r="N15" s="101"/>
    </row>
    <row r="16" spans="3:35" ht="16.5" customHeight="1" thickTop="1" thickBot="1" x14ac:dyDescent="0.25">
      <c r="C16" s="97" t="s">
        <v>664</v>
      </c>
      <c r="D16" s="349" t="s">
        <v>665</v>
      </c>
      <c r="E16" s="97" t="s">
        <v>665</v>
      </c>
      <c r="N16" s="1161" t="s">
        <v>237</v>
      </c>
      <c r="O16" s="1161" t="s">
        <v>237</v>
      </c>
      <c r="P16" s="1163" t="s">
        <v>238</v>
      </c>
      <c r="Q16" s="1161" t="s">
        <v>82</v>
      </c>
      <c r="R16" s="1161" t="s">
        <v>80</v>
      </c>
      <c r="S16" s="1161" t="s">
        <v>81</v>
      </c>
      <c r="T16" s="1161" t="s">
        <v>83</v>
      </c>
      <c r="U16" s="1161" t="s">
        <v>78</v>
      </c>
      <c r="V16" s="1162" t="s">
        <v>79</v>
      </c>
      <c r="W16" s="1162" t="s">
        <v>77</v>
      </c>
      <c r="X16" s="1162" t="s">
        <v>85</v>
      </c>
      <c r="Y16" s="1161" t="s">
        <v>84</v>
      </c>
      <c r="Z16" s="107" t="s">
        <v>93</v>
      </c>
      <c r="AA16" s="107" t="s">
        <v>77</v>
      </c>
      <c r="AB16" s="107" t="s">
        <v>85</v>
      </c>
      <c r="AC16" s="108" t="s">
        <v>86</v>
      </c>
      <c r="AD16" s="108" t="s">
        <v>92</v>
      </c>
      <c r="AE16" s="108" t="s">
        <v>87</v>
      </c>
      <c r="AF16" s="107" t="s">
        <v>121</v>
      </c>
      <c r="AG16" s="107" t="s">
        <v>117</v>
      </c>
      <c r="AH16" s="107"/>
      <c r="AI16" s="107" t="s">
        <v>94</v>
      </c>
    </row>
    <row r="17" spans="3:39" ht="14.25" thickTop="1" thickBot="1" x14ac:dyDescent="0.25">
      <c r="N17" s="1162"/>
      <c r="O17" s="1162"/>
      <c r="P17" s="1164"/>
      <c r="Q17" s="1162"/>
      <c r="R17" s="1162"/>
      <c r="S17" s="1162"/>
      <c r="T17" s="1162"/>
      <c r="U17" s="1162"/>
      <c r="V17" s="1162"/>
      <c r="W17" s="1162"/>
      <c r="X17" s="1162"/>
      <c r="Y17" s="1162"/>
      <c r="Z17" s="107"/>
      <c r="AA17" s="107"/>
      <c r="AB17" s="107"/>
      <c r="AC17" s="107"/>
      <c r="AD17" s="108"/>
      <c r="AE17" s="107"/>
      <c r="AF17" s="107"/>
      <c r="AG17" s="107"/>
      <c r="AH17" s="107"/>
      <c r="AI17" s="107"/>
    </row>
    <row r="18" spans="3:39" ht="14.25" thickTop="1" thickBot="1" x14ac:dyDescent="0.25">
      <c r="C18" s="1158" t="s">
        <v>0</v>
      </c>
      <c r="D18" s="1158"/>
      <c r="E18" s="1158"/>
      <c r="F18" s="1158"/>
      <c r="G18" s="1158"/>
      <c r="H18" s="1158"/>
      <c r="N18" s="1162"/>
      <c r="O18" s="1162"/>
      <c r="P18" s="1165"/>
      <c r="Q18" s="1162"/>
      <c r="R18" s="1162"/>
      <c r="S18" s="1162"/>
      <c r="T18" s="1162"/>
      <c r="U18" s="1162"/>
      <c r="V18" s="1162"/>
      <c r="W18" s="1162"/>
      <c r="X18" s="1162"/>
      <c r="Y18" s="1162"/>
      <c r="Z18" s="107"/>
      <c r="AA18" s="107"/>
      <c r="AB18" s="107"/>
      <c r="AC18" s="107"/>
      <c r="AD18" s="108"/>
      <c r="AE18" s="107"/>
      <c r="AF18" s="107"/>
      <c r="AG18" s="107"/>
      <c r="AH18" s="107"/>
      <c r="AI18" s="107"/>
    </row>
    <row r="19" spans="3:39" ht="13.5" thickTop="1" x14ac:dyDescent="0.2">
      <c r="C19" s="1159" t="s">
        <v>16</v>
      </c>
      <c r="D19" s="1159"/>
      <c r="E19" s="1159"/>
      <c r="F19" s="1160" t="s">
        <v>15</v>
      </c>
      <c r="G19" s="1160"/>
      <c r="H19" s="1160"/>
      <c r="M19" s="100"/>
      <c r="N19" s="36" t="s">
        <v>43</v>
      </c>
      <c r="O19" s="36" t="s">
        <v>43</v>
      </c>
      <c r="P19" s="36" t="s">
        <v>239</v>
      </c>
      <c r="Q19" s="36" t="s">
        <v>95</v>
      </c>
      <c r="R19" s="36" t="s">
        <v>96</v>
      </c>
      <c r="S19" s="36" t="s">
        <v>97</v>
      </c>
      <c r="T19" s="36" t="s">
        <v>98</v>
      </c>
      <c r="U19" s="36" t="s">
        <v>99</v>
      </c>
      <c r="V19" s="36" t="s">
        <v>100</v>
      </c>
      <c r="W19" s="36" t="s">
        <v>77</v>
      </c>
      <c r="X19" s="36" t="s">
        <v>104</v>
      </c>
      <c r="Y19" s="36" t="s">
        <v>103</v>
      </c>
      <c r="Z19" s="36" t="s">
        <v>101</v>
      </c>
      <c r="AA19" s="36" t="s">
        <v>102</v>
      </c>
      <c r="AB19" s="36" t="s">
        <v>104</v>
      </c>
      <c r="AC19" s="36" t="s">
        <v>103</v>
      </c>
      <c r="AD19" s="36" t="s">
        <v>105</v>
      </c>
      <c r="AE19" s="36" t="s">
        <v>87</v>
      </c>
      <c r="AF19" s="36" t="s">
        <v>92</v>
      </c>
      <c r="AG19" s="36" t="s">
        <v>118</v>
      </c>
      <c r="AH19" s="36" t="s">
        <v>122</v>
      </c>
      <c r="AI19" s="36" t="s">
        <v>106</v>
      </c>
      <c r="AJ19" s="36" t="s">
        <v>123</v>
      </c>
      <c r="AK19" s="36" t="s">
        <v>87</v>
      </c>
      <c r="AL19" s="36" t="s">
        <v>243</v>
      </c>
      <c r="AM19" s="36" t="s">
        <v>124</v>
      </c>
    </row>
    <row r="20" spans="3:39" ht="13.5" thickBot="1" x14ac:dyDescent="0.25">
      <c r="C20" s="1147" t="s">
        <v>76</v>
      </c>
      <c r="D20" s="1148"/>
      <c r="E20" s="1149"/>
      <c r="F20" s="1144" t="str">
        <f t="shared" ref="F20:F59" si="20">AM20</f>
        <v>02°00'00.00 [02°00.00]  (02.0000°)</v>
      </c>
      <c r="G20" s="1145"/>
      <c r="H20" s="1146"/>
      <c r="I20" s="109" cm="1">
        <f t="array" ref="I20">angleConvert2Decimal(C20)</f>
        <v>2</v>
      </c>
      <c r="J20" s="109" t="str" cm="1">
        <f t="array" ref="J20">angleDecimal2Txt(I20)</f>
        <v>+02°00.00 (+02.0000) [+02°00'00.00]</v>
      </c>
      <c r="K20" s="110" t="str">
        <f t="shared" ref="K20:K36" si="21">C20</f>
        <v>2</v>
      </c>
      <c r="L20" s="99" t="str">
        <f t="shared" ref="L20:L59" si="22">AM20</f>
        <v>02°00'00.00 [02°00.00]  (02.0000°)</v>
      </c>
      <c r="M20" s="100">
        <f>AL20</f>
        <v>2</v>
      </c>
      <c r="N20" s="111">
        <f>IF(LEFT(TRIM(K20),1)="-",-1,IF(LEFT(TRIM(K20),1)="+",1, 0))</f>
        <v>0</v>
      </c>
      <c r="O20" s="111" t="str">
        <f>IF(N20&gt;0,"+",IF(N20&lt;0,"-",""))</f>
        <v/>
      </c>
      <c r="P20" s="111" t="str">
        <f>IF(ABS(N20)&gt;0,RIGHT(K20,LEN(K20)-1),K20)</f>
        <v>2</v>
      </c>
      <c r="Q20" s="111" t="b">
        <f>ISNUMBER(SEARCH("°",P20,1))</f>
        <v>0</v>
      </c>
      <c r="R20" s="111" t="b">
        <f>ISNUMBER(SEARCH("'",P20,1))</f>
        <v>0</v>
      </c>
      <c r="S20" s="111" t="b">
        <f>ISNUMBER(SEARCH("""",P20,1))</f>
        <v>0</v>
      </c>
      <c r="T20" s="111" t="b">
        <f>NOT(OR(Q20,R20,S20))</f>
        <v>1</v>
      </c>
      <c r="U20" s="111" t="b">
        <f>OR(T20,Q20)</f>
        <v>1</v>
      </c>
      <c r="V20" s="106">
        <f>IF(T20,VALUE(P20),IF(Q20,LEFT(P20,SEARCH("°",P20,1)-1),0))</f>
        <v>2</v>
      </c>
      <c r="W20" s="111" t="str">
        <f>IF(T20,"",IF(Q20,RIGHT(P20,LEN(P20)-SEARCH("°",P20,1)),P20))</f>
        <v/>
      </c>
      <c r="X20" s="111" t="b">
        <f>(LEN(W20)&gt;0)</f>
        <v>0</v>
      </c>
      <c r="Y20" s="111" t="b">
        <f>NOT(OR(R20,S20))</f>
        <v>1</v>
      </c>
      <c r="Z20" s="106">
        <f>IF(NOT(X20),0,IF(Y20,VALUE(W20),IF(NOT(R20),0,VALUE(LEFT(W20,SEARCH("'",W20,1)-1)))))</f>
        <v>0</v>
      </c>
      <c r="AA20" s="111" t="str">
        <f>IF(NOT(X20),"",IF(Y20,"",IF(NOT(R20),W20,RIGHT(W20,LEN(W20)-SEARCH("'",W20,1)))))</f>
        <v/>
      </c>
      <c r="AB20" s="111" t="b">
        <f>(LEN(AA20)&gt;0)</f>
        <v>0</v>
      </c>
      <c r="AC20" s="111" t="b">
        <f>NOT(S20)</f>
        <v>1</v>
      </c>
      <c r="AD20" s="111" t="b">
        <f>ISNUMBER(SEARCH(".",AA20,1))</f>
        <v>0</v>
      </c>
      <c r="AE20" s="106">
        <f>IF(AB20,IF(S20,IF(AD20,VALUE(SUBSTITUTE(AA20, """", "")),VALUE(SUBSTITUTE(AA20, """", "."))),VALUE(AA20)),0)</f>
        <v>0</v>
      </c>
      <c r="AF20" s="106">
        <f>V20*3600+Z20*60+AE20</f>
        <v>7200</v>
      </c>
      <c r="AG20" s="106">
        <f>AF20/3600</f>
        <v>2</v>
      </c>
      <c r="AH20" s="106">
        <f>_xlfn.FLOOR.MATH((AG20))</f>
        <v>2</v>
      </c>
      <c r="AI20" s="106">
        <f>(AF20-3600*AH20)/60</f>
        <v>0</v>
      </c>
      <c r="AJ20" s="106">
        <f>_xlfn.FLOOR.MATH((AI20))</f>
        <v>0</v>
      </c>
      <c r="AK20" s="106">
        <f>AF20-3600*AH20-60*AJ20</f>
        <v>0</v>
      </c>
      <c r="AL20" s="106">
        <f>AG20*IF(N20&lt;0,-1,1)</f>
        <v>2</v>
      </c>
      <c r="AM20" s="100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147" t="s">
        <v>666</v>
      </c>
      <c r="D21" s="1148"/>
      <c r="E21" s="1149"/>
      <c r="F21" s="1144" t="e">
        <f t="shared" si="20"/>
        <v>#VALUE!</v>
      </c>
      <c r="G21" s="1145"/>
      <c r="H21" s="1146"/>
      <c r="I21" s="109" cm="1">
        <f t="array" ref="I21">angleConvert2Decimal(C21)</f>
        <v>2.98</v>
      </c>
      <c r="J21" s="109" t="str" cm="1">
        <f t="array" ref="J21">angleDecimal2Txt(I21)</f>
        <v>+02°58.79 (+02.9800) [+02°58'48.00]</v>
      </c>
      <c r="K21" s="110" t="str">
        <f t="shared" si="21"/>
        <v>2.980°</v>
      </c>
      <c r="L21" s="99" t="e">
        <f t="shared" si="22"/>
        <v>#VALUE!</v>
      </c>
      <c r="M21" s="100" t="e">
        <f t="shared" ref="M21:M59" si="23">AL21</f>
        <v>#VALUE!</v>
      </c>
      <c r="N21" s="111">
        <f t="shared" ref="N21:N59" si="24">IF(LEFT(TRIM(K21),1)="-",-1,IF(LEFT(TRIM(K21),1)="+",1, 0))</f>
        <v>0</v>
      </c>
      <c r="O21" s="111" t="str">
        <f t="shared" ref="O21:O59" si="25">IF(N21&gt;0,"+",IF(N21&lt;0,"-",""))</f>
        <v/>
      </c>
      <c r="P21" s="111" t="str">
        <f t="shared" ref="P21:P59" si="26">IF(ABS(N21)&gt;0,RIGHT(K21,LEN(K21)-1),K21)</f>
        <v>2.980°</v>
      </c>
      <c r="Q21" s="111" t="b">
        <f t="shared" ref="Q21:Q59" si="27">ISNUMBER(SEARCH("°",P21,1))</f>
        <v>1</v>
      </c>
      <c r="R21" s="111" t="b">
        <f t="shared" ref="R21:R59" si="28">ISNUMBER(SEARCH("'",P21,1))</f>
        <v>0</v>
      </c>
      <c r="S21" s="111" t="b">
        <f t="shared" ref="S21:S59" si="29">ISNUMBER(SEARCH("""",P21,1))</f>
        <v>0</v>
      </c>
      <c r="T21" s="111" t="b">
        <f t="shared" ref="T21:T59" si="30">NOT(OR(Q21,R21,S21))</f>
        <v>0</v>
      </c>
      <c r="U21" s="111" t="b">
        <f t="shared" ref="U21:U59" si="31">OR(T21,Q21)</f>
        <v>1</v>
      </c>
      <c r="V21" s="106" t="str">
        <f t="shared" ref="V21:V59" si="32">IF(T21,VALUE(P21),IF(Q21,LEFT(P21,SEARCH("°",P21,1)-1),0))</f>
        <v>2.980</v>
      </c>
      <c r="W21" s="111" t="str">
        <f t="shared" ref="W21:W59" si="33">IF(T21,"",IF(Q21,RIGHT(P21,LEN(P21)-SEARCH("°",P21,1)),P21))</f>
        <v/>
      </c>
      <c r="X21" s="111" t="b">
        <f t="shared" ref="X21:X59" si="34">(LEN(W21)&gt;0)</f>
        <v>0</v>
      </c>
      <c r="Y21" s="111" t="b">
        <f t="shared" ref="Y21:Y59" si="35">NOT(OR(R21,S21))</f>
        <v>1</v>
      </c>
      <c r="Z21" s="106">
        <f t="shared" ref="Z21:Z59" si="36">IF(NOT(X21),0,IF(Y21,VALUE(W21),IF(NOT(R21),0,VALUE(LEFT(W21,SEARCH("'",W21,1)-1)))))</f>
        <v>0</v>
      </c>
      <c r="AA21" s="111" t="str">
        <f t="shared" ref="AA21:AA59" si="37">IF(NOT(X21),"",IF(Y21,"",IF(NOT(R21),W21,RIGHT(W21,LEN(W21)-SEARCH("'",W21,1)))))</f>
        <v/>
      </c>
      <c r="AB21" s="111" t="b">
        <f t="shared" ref="AB21:AB59" si="38">(LEN(AA21)&gt;0)</f>
        <v>0</v>
      </c>
      <c r="AC21" s="111" t="b">
        <f t="shared" ref="AC21:AC59" si="39">NOT(S21)</f>
        <v>1</v>
      </c>
      <c r="AD21" s="111" t="b">
        <f t="shared" ref="AD21:AD59" si="40">ISNUMBER(SEARCH(".",AA21,1))</f>
        <v>0</v>
      </c>
      <c r="AE21" s="106">
        <f t="shared" ref="AE21:AE59" si="41">IF(AB21,IF(S21,IF(AD21,VALUE(SUBSTITUTE(AA21, """", "")),VALUE(SUBSTITUTE(AA21, """", "."))),VALUE(AA21)),0)</f>
        <v>0</v>
      </c>
      <c r="AF21" s="106" t="e">
        <f>V21*3600+Z21*60+AE21</f>
        <v>#VALUE!</v>
      </c>
      <c r="AG21" s="106" t="e">
        <f t="shared" ref="AG21:AG59" si="42">AF21/3600</f>
        <v>#VALUE!</v>
      </c>
      <c r="AH21" s="106" t="e">
        <f t="shared" ref="AH21:AH59" si="43">_xlfn.FLOOR.MATH((AG21))</f>
        <v>#VALUE!</v>
      </c>
      <c r="AI21" s="106" t="e">
        <f t="shared" ref="AI21:AI59" si="44">(AF21-3600*AH21)/60</f>
        <v>#VALUE!</v>
      </c>
      <c r="AJ21" s="106" t="e">
        <f t="shared" ref="AJ21:AJ59" si="45">_xlfn.FLOOR.MATH((AI21))</f>
        <v>#VALUE!</v>
      </c>
      <c r="AK21" s="106" t="e">
        <f t="shared" ref="AK21:AK59" si="46">AF21-3600*AH21-60*AJ21</f>
        <v>#VALUE!</v>
      </c>
      <c r="AL21" s="106" t="e">
        <f t="shared" ref="AL21:AL59" si="47">AG21*IF(N21&lt;0,-1,1)</f>
        <v>#VALUE!</v>
      </c>
      <c r="AM21" s="100" t="e">
        <f t="shared" ref="AM21:AM59" si="48">CONCATENATE(O21,TEXT(AH21,"00"),"°",TEXT(AJ21,"00"),"'",TEXT(AK21,"00.00"), " [", CONCATENATE(O21,TEXT(AH21,"00"),"°",TEXT(AI21,"00.00")),"]", "  (", O21,TEXT(AG21,"00.0000"),"°)")</f>
        <v>#VALUE!</v>
      </c>
    </row>
    <row r="22" spans="3:39" ht="14.25" thickTop="1" thickBot="1" x14ac:dyDescent="0.25">
      <c r="C22" s="1141" t="s">
        <v>67</v>
      </c>
      <c r="D22" s="1153"/>
      <c r="E22" s="1154"/>
      <c r="F22" s="1144" t="str">
        <f t="shared" si="20"/>
        <v>02°56'56.00 [02°56.93]  (02.9489°)</v>
      </c>
      <c r="G22" s="1145"/>
      <c r="H22" s="1146"/>
      <c r="I22" s="109" cm="1">
        <f t="array" ref="I22">angleConvert2Decimal(C22)</f>
        <v>2.9488888888888889</v>
      </c>
      <c r="J22" s="109" t="str" cm="1">
        <f t="array" ref="J22">angleDecimal2Txt(I22)</f>
        <v>+02°56.93 (+02.9488) [+02°56'56.00]</v>
      </c>
      <c r="K22" s="110" t="str">
        <f t="shared" si="21"/>
        <v>2°56'56"</v>
      </c>
      <c r="L22" s="99" t="str">
        <f t="shared" si="22"/>
        <v>02°56'56.00 [02°56.93]  (02.9489°)</v>
      </c>
      <c r="M22" s="100">
        <f t="shared" si="23"/>
        <v>2.9488888888888889</v>
      </c>
      <c r="N22" s="111">
        <f t="shared" si="24"/>
        <v>0</v>
      </c>
      <c r="O22" s="111" t="str">
        <f t="shared" si="25"/>
        <v/>
      </c>
      <c r="P22" s="111" t="str">
        <f t="shared" si="26"/>
        <v>2°56'56"</v>
      </c>
      <c r="Q22" s="111" t="b">
        <f t="shared" si="27"/>
        <v>1</v>
      </c>
      <c r="R22" s="111" t="b">
        <f t="shared" si="28"/>
        <v>1</v>
      </c>
      <c r="S22" s="111" t="b">
        <f t="shared" si="29"/>
        <v>1</v>
      </c>
      <c r="T22" s="111" t="b">
        <f t="shared" si="30"/>
        <v>0</v>
      </c>
      <c r="U22" s="111" t="b">
        <f t="shared" si="31"/>
        <v>1</v>
      </c>
      <c r="V22" s="106" t="str">
        <f t="shared" si="32"/>
        <v>2</v>
      </c>
      <c r="W22" s="111" t="str">
        <f t="shared" si="33"/>
        <v>56'56"</v>
      </c>
      <c r="X22" s="111" t="b">
        <f t="shared" si="34"/>
        <v>1</v>
      </c>
      <c r="Y22" s="111" t="b">
        <f t="shared" si="35"/>
        <v>0</v>
      </c>
      <c r="Z22" s="106">
        <f t="shared" si="36"/>
        <v>56</v>
      </c>
      <c r="AA22" s="111" t="str">
        <f t="shared" si="37"/>
        <v>56"</v>
      </c>
      <c r="AB22" s="111" t="b">
        <f t="shared" si="38"/>
        <v>1</v>
      </c>
      <c r="AC22" s="111" t="b">
        <f t="shared" si="39"/>
        <v>0</v>
      </c>
      <c r="AD22" s="111" t="b">
        <f t="shared" si="40"/>
        <v>0</v>
      </c>
      <c r="AE22" s="106">
        <f t="shared" si="41"/>
        <v>56</v>
      </c>
      <c r="AF22" s="106">
        <f t="shared" ref="AF22:AF59" si="49">V22*3600+Z22*60+AE22</f>
        <v>10616</v>
      </c>
      <c r="AG22" s="106">
        <f t="shared" si="42"/>
        <v>2.9488888888888889</v>
      </c>
      <c r="AH22" s="106">
        <f t="shared" si="43"/>
        <v>2</v>
      </c>
      <c r="AI22" s="106">
        <f t="shared" si="44"/>
        <v>56.93333333333333</v>
      </c>
      <c r="AJ22" s="106">
        <f t="shared" si="45"/>
        <v>56</v>
      </c>
      <c r="AK22" s="106">
        <f t="shared" si="46"/>
        <v>56</v>
      </c>
      <c r="AL22" s="106">
        <f t="shared" si="47"/>
        <v>2.9488888888888889</v>
      </c>
      <c r="AM22" s="100" t="str">
        <f t="shared" si="48"/>
        <v>02°56'56.00 [02°56.93]  (02.9489°)</v>
      </c>
    </row>
    <row r="23" spans="3:39" ht="14.25" thickTop="1" thickBot="1" x14ac:dyDescent="0.25">
      <c r="C23" s="1141" t="s">
        <v>68</v>
      </c>
      <c r="D23" s="1153"/>
      <c r="E23" s="1154"/>
      <c r="F23" s="1144" t="str">
        <f t="shared" si="20"/>
        <v>02°56'56.99 [02°56.95]  (02.9492°)</v>
      </c>
      <c r="G23" s="1145"/>
      <c r="H23" s="1146"/>
      <c r="I23" s="109" cm="1">
        <f t="array" ref="I23">angleConvert2Decimal(C23)</f>
        <v>2.9491638888888891</v>
      </c>
      <c r="J23" s="109" t="str" cm="1">
        <f t="array" ref="J23">angleDecimal2Txt(I23)</f>
        <v>+02°56.94 (+02.9491) [+02°56'56.99]</v>
      </c>
      <c r="K23" s="110" t="str">
        <f t="shared" si="21"/>
        <v>2°56'56.99"</v>
      </c>
      <c r="L23" s="99" t="str">
        <f t="shared" si="22"/>
        <v>02°56'56.99 [02°56.95]  (02.9492°)</v>
      </c>
      <c r="M23" s="100">
        <f t="shared" si="23"/>
        <v>2.9491638888888887</v>
      </c>
      <c r="N23" s="111">
        <f t="shared" si="24"/>
        <v>0</v>
      </c>
      <c r="O23" s="111" t="str">
        <f t="shared" si="25"/>
        <v/>
      </c>
      <c r="P23" s="111" t="str">
        <f t="shared" si="26"/>
        <v>2°56'56.99"</v>
      </c>
      <c r="Q23" s="111" t="b">
        <f t="shared" si="27"/>
        <v>1</v>
      </c>
      <c r="R23" s="111" t="b">
        <f t="shared" si="28"/>
        <v>1</v>
      </c>
      <c r="S23" s="111" t="b">
        <f t="shared" si="29"/>
        <v>1</v>
      </c>
      <c r="T23" s="111" t="b">
        <f t="shared" si="30"/>
        <v>0</v>
      </c>
      <c r="U23" s="111" t="b">
        <f t="shared" si="31"/>
        <v>1</v>
      </c>
      <c r="V23" s="106" t="str">
        <f t="shared" si="32"/>
        <v>2</v>
      </c>
      <c r="W23" s="111" t="str">
        <f t="shared" si="33"/>
        <v>56'56.99"</v>
      </c>
      <c r="X23" s="111" t="b">
        <f t="shared" si="34"/>
        <v>1</v>
      </c>
      <c r="Y23" s="111" t="b">
        <f t="shared" si="35"/>
        <v>0</v>
      </c>
      <c r="Z23" s="106">
        <f t="shared" si="36"/>
        <v>56</v>
      </c>
      <c r="AA23" s="111" t="str">
        <f t="shared" si="37"/>
        <v>56.99"</v>
      </c>
      <c r="AB23" s="111" t="b">
        <f t="shared" si="38"/>
        <v>1</v>
      </c>
      <c r="AC23" s="111" t="b">
        <f t="shared" si="39"/>
        <v>0</v>
      </c>
      <c r="AD23" s="111" t="b">
        <f t="shared" si="40"/>
        <v>1</v>
      </c>
      <c r="AE23" s="106">
        <f t="shared" si="41"/>
        <v>56.99</v>
      </c>
      <c r="AF23" s="106">
        <f t="shared" si="49"/>
        <v>10616.99</v>
      </c>
      <c r="AG23" s="106">
        <f t="shared" si="42"/>
        <v>2.9491638888888887</v>
      </c>
      <c r="AH23" s="106">
        <f t="shared" si="43"/>
        <v>2</v>
      </c>
      <c r="AI23" s="106">
        <f t="shared" si="44"/>
        <v>56.949833333333331</v>
      </c>
      <c r="AJ23" s="106">
        <f t="shared" si="45"/>
        <v>56</v>
      </c>
      <c r="AK23" s="106">
        <f t="shared" si="46"/>
        <v>56.989999999999782</v>
      </c>
      <c r="AL23" s="106">
        <f t="shared" si="47"/>
        <v>2.9491638888888887</v>
      </c>
      <c r="AM23" s="100" t="str">
        <f t="shared" si="48"/>
        <v>02°56'56.99 [02°56.95]  (02.9492°)</v>
      </c>
    </row>
    <row r="24" spans="3:39" ht="14.25" thickTop="1" thickBot="1" x14ac:dyDescent="0.25">
      <c r="C24" s="1141" t="s">
        <v>69</v>
      </c>
      <c r="D24" s="1153"/>
      <c r="E24" s="1154"/>
      <c r="F24" s="1144" t="str">
        <f t="shared" si="20"/>
        <v>02°56'59.94 [02°57.00]  (02.9500°)</v>
      </c>
      <c r="G24" s="1145"/>
      <c r="H24" s="1146"/>
      <c r="I24" s="109" cm="1">
        <f t="array" ref="I24">angleConvert2Decimal(C24)</f>
        <v>2.9499833333333334</v>
      </c>
      <c r="J24" s="109" t="str" cm="1">
        <f t="array" ref="J24">angleDecimal2Txt(I24)</f>
        <v>+02°56.99 (+02.9499) [+02°56'59.94]</v>
      </c>
      <c r="K24" s="110" t="str">
        <f t="shared" si="21"/>
        <v>2°56.999'</v>
      </c>
      <c r="L24" s="99" t="str">
        <f t="shared" si="22"/>
        <v>02°56'59.94 [02°57.00]  (02.9500°)</v>
      </c>
      <c r="M24" s="100">
        <f t="shared" si="23"/>
        <v>2.9499833333333334</v>
      </c>
      <c r="N24" s="111">
        <f t="shared" si="24"/>
        <v>0</v>
      </c>
      <c r="O24" s="111" t="str">
        <f t="shared" si="25"/>
        <v/>
      </c>
      <c r="P24" s="111" t="str">
        <f t="shared" si="26"/>
        <v>2°56.999'</v>
      </c>
      <c r="Q24" s="111" t="b">
        <f t="shared" si="27"/>
        <v>1</v>
      </c>
      <c r="R24" s="111" t="b">
        <f t="shared" si="28"/>
        <v>1</v>
      </c>
      <c r="S24" s="111" t="b">
        <f t="shared" si="29"/>
        <v>0</v>
      </c>
      <c r="T24" s="111" t="b">
        <f t="shared" si="30"/>
        <v>0</v>
      </c>
      <c r="U24" s="111" t="b">
        <f t="shared" si="31"/>
        <v>1</v>
      </c>
      <c r="V24" s="106" t="str">
        <f t="shared" si="32"/>
        <v>2</v>
      </c>
      <c r="W24" s="111" t="str">
        <f t="shared" si="33"/>
        <v>56.999'</v>
      </c>
      <c r="X24" s="111" t="b">
        <f t="shared" si="34"/>
        <v>1</v>
      </c>
      <c r="Y24" s="111" t="b">
        <f t="shared" si="35"/>
        <v>0</v>
      </c>
      <c r="Z24" s="106">
        <f t="shared" si="36"/>
        <v>56.999000000000002</v>
      </c>
      <c r="AA24" s="111" t="str">
        <f t="shared" si="37"/>
        <v/>
      </c>
      <c r="AB24" s="111" t="b">
        <f t="shared" si="38"/>
        <v>0</v>
      </c>
      <c r="AC24" s="111" t="b">
        <f t="shared" si="39"/>
        <v>1</v>
      </c>
      <c r="AD24" s="111" t="b">
        <f t="shared" si="40"/>
        <v>0</v>
      </c>
      <c r="AE24" s="106">
        <f t="shared" si="41"/>
        <v>0</v>
      </c>
      <c r="AF24" s="106">
        <f t="shared" si="49"/>
        <v>10619.94</v>
      </c>
      <c r="AG24" s="106">
        <f t="shared" si="42"/>
        <v>2.9499833333333334</v>
      </c>
      <c r="AH24" s="106">
        <f t="shared" si="43"/>
        <v>2</v>
      </c>
      <c r="AI24" s="106">
        <f t="shared" si="44"/>
        <v>56.999000000000009</v>
      </c>
      <c r="AJ24" s="106">
        <f t="shared" si="45"/>
        <v>56</v>
      </c>
      <c r="AK24" s="106">
        <f t="shared" si="46"/>
        <v>59.940000000000509</v>
      </c>
      <c r="AL24" s="106">
        <f t="shared" si="47"/>
        <v>2.9499833333333334</v>
      </c>
      <c r="AM24" s="100" t="str">
        <f t="shared" si="48"/>
        <v>02°56'59.94 [02°57.00]  (02.9500°)</v>
      </c>
    </row>
    <row r="25" spans="3:39" ht="14.25" thickTop="1" thickBot="1" x14ac:dyDescent="0.25">
      <c r="C25" s="1141" t="s">
        <v>75</v>
      </c>
      <c r="D25" s="1153"/>
      <c r="E25" s="1154"/>
      <c r="F25" s="1144" t="str">
        <f t="shared" si="20"/>
        <v>02°56'59.94 [02°57.00]  (02.9500°)</v>
      </c>
      <c r="G25" s="1145"/>
      <c r="H25" s="1146"/>
      <c r="I25" s="109" cm="1">
        <f t="array" ref="I25">angleConvert2Decimal(C25)</f>
        <v>2.9499833333333334</v>
      </c>
      <c r="J25" s="109" t="str" cm="1">
        <f t="array" ref="J25">angleDecimal2Txt(I25)</f>
        <v>+02°56.99 (+02.9499) [+02°56'59.94]</v>
      </c>
      <c r="K25" s="110" t="str">
        <f t="shared" si="21"/>
        <v>2°56.999</v>
      </c>
      <c r="L25" s="99" t="str">
        <f t="shared" si="22"/>
        <v>02°56'59.94 [02°57.00]  (02.9500°)</v>
      </c>
      <c r="M25" s="100">
        <f t="shared" si="23"/>
        <v>2.9499833333333334</v>
      </c>
      <c r="N25" s="111">
        <f t="shared" si="24"/>
        <v>0</v>
      </c>
      <c r="O25" s="111" t="str">
        <f t="shared" si="25"/>
        <v/>
      </c>
      <c r="P25" s="111" t="str">
        <f t="shared" si="26"/>
        <v>2°56.999</v>
      </c>
      <c r="Q25" s="111" t="b">
        <f t="shared" si="27"/>
        <v>1</v>
      </c>
      <c r="R25" s="111" t="b">
        <f t="shared" si="28"/>
        <v>0</v>
      </c>
      <c r="S25" s="111" t="b">
        <f t="shared" si="29"/>
        <v>0</v>
      </c>
      <c r="T25" s="111" t="b">
        <f t="shared" si="30"/>
        <v>0</v>
      </c>
      <c r="U25" s="111" t="b">
        <f t="shared" si="31"/>
        <v>1</v>
      </c>
      <c r="V25" s="106" t="str">
        <f t="shared" si="32"/>
        <v>2</v>
      </c>
      <c r="W25" s="111" t="str">
        <f t="shared" si="33"/>
        <v>56.999</v>
      </c>
      <c r="X25" s="111" t="b">
        <f t="shared" si="34"/>
        <v>1</v>
      </c>
      <c r="Y25" s="111" t="b">
        <f t="shared" si="35"/>
        <v>1</v>
      </c>
      <c r="Z25" s="106">
        <f t="shared" si="36"/>
        <v>56.999000000000002</v>
      </c>
      <c r="AA25" s="111" t="str">
        <f t="shared" si="37"/>
        <v/>
      </c>
      <c r="AB25" s="111" t="b">
        <f t="shared" si="38"/>
        <v>0</v>
      </c>
      <c r="AC25" s="111" t="b">
        <f t="shared" si="39"/>
        <v>1</v>
      </c>
      <c r="AD25" s="111" t="b">
        <f t="shared" si="40"/>
        <v>0</v>
      </c>
      <c r="AE25" s="106">
        <f t="shared" si="41"/>
        <v>0</v>
      </c>
      <c r="AF25" s="106">
        <f t="shared" si="49"/>
        <v>10619.94</v>
      </c>
      <c r="AG25" s="106">
        <f t="shared" si="42"/>
        <v>2.9499833333333334</v>
      </c>
      <c r="AH25" s="106">
        <f t="shared" si="43"/>
        <v>2</v>
      </c>
      <c r="AI25" s="106">
        <f t="shared" si="44"/>
        <v>56.999000000000009</v>
      </c>
      <c r="AJ25" s="106">
        <f t="shared" si="45"/>
        <v>56</v>
      </c>
      <c r="AK25" s="106">
        <f t="shared" si="46"/>
        <v>59.940000000000509</v>
      </c>
      <c r="AL25" s="106">
        <f t="shared" si="47"/>
        <v>2.9499833333333334</v>
      </c>
      <c r="AM25" s="100" t="str">
        <f t="shared" si="48"/>
        <v>02°56'59.94 [02°57.00]  (02.9500°)</v>
      </c>
    </row>
    <row r="26" spans="3:39" ht="14.25" thickTop="1" thickBot="1" x14ac:dyDescent="0.25">
      <c r="C26" s="1141" t="s">
        <v>667</v>
      </c>
      <c r="D26" s="1153"/>
      <c r="E26" s="1154"/>
      <c r="F26" s="1144" t="e">
        <f t="shared" si="20"/>
        <v>#VALUE!</v>
      </c>
      <c r="G26" s="1145"/>
      <c r="H26" s="1146"/>
      <c r="I26" s="109" cm="1">
        <f t="array" ref="I26">angleConvert2Decimal(C26)</f>
        <v>2.9990000000000001</v>
      </c>
      <c r="J26" s="109" t="str" cm="1">
        <f t="array" ref="J26">angleDecimal2Txt(I26)</f>
        <v>+02°59.93 (+02.9990) [+02°59'56.39]</v>
      </c>
      <c r="K26" s="110" t="str">
        <f t="shared" si="21"/>
        <v>2.999°</v>
      </c>
      <c r="L26" s="99" t="e">
        <f t="shared" si="22"/>
        <v>#VALUE!</v>
      </c>
      <c r="M26" s="100" t="e">
        <f t="shared" si="23"/>
        <v>#VALUE!</v>
      </c>
      <c r="N26" s="111">
        <f t="shared" si="24"/>
        <v>0</v>
      </c>
      <c r="O26" s="111" t="str">
        <f t="shared" si="25"/>
        <v/>
      </c>
      <c r="P26" s="111" t="str">
        <f t="shared" si="26"/>
        <v>2.999°</v>
      </c>
      <c r="Q26" s="111" t="b">
        <f t="shared" si="27"/>
        <v>1</v>
      </c>
      <c r="R26" s="111" t="b">
        <f t="shared" si="28"/>
        <v>0</v>
      </c>
      <c r="S26" s="111" t="b">
        <f t="shared" si="29"/>
        <v>0</v>
      </c>
      <c r="T26" s="111" t="b">
        <f t="shared" si="30"/>
        <v>0</v>
      </c>
      <c r="U26" s="111" t="b">
        <f t="shared" si="31"/>
        <v>1</v>
      </c>
      <c r="V26" s="106" t="str">
        <f t="shared" si="32"/>
        <v>2.999</v>
      </c>
      <c r="W26" s="111" t="str">
        <f t="shared" si="33"/>
        <v/>
      </c>
      <c r="X26" s="111" t="b">
        <f t="shared" si="34"/>
        <v>0</v>
      </c>
      <c r="Y26" s="111" t="b">
        <f t="shared" si="35"/>
        <v>1</v>
      </c>
      <c r="Z26" s="106">
        <f t="shared" si="36"/>
        <v>0</v>
      </c>
      <c r="AA26" s="111" t="str">
        <f t="shared" si="37"/>
        <v/>
      </c>
      <c r="AB26" s="111" t="b">
        <f t="shared" si="38"/>
        <v>0</v>
      </c>
      <c r="AC26" s="111" t="b">
        <f t="shared" si="39"/>
        <v>1</v>
      </c>
      <c r="AD26" s="111" t="b">
        <f t="shared" si="40"/>
        <v>0</v>
      </c>
      <c r="AE26" s="106">
        <f t="shared" si="41"/>
        <v>0</v>
      </c>
      <c r="AF26" s="106" t="e">
        <f t="shared" si="49"/>
        <v>#VALUE!</v>
      </c>
      <c r="AG26" s="106" t="e">
        <f t="shared" si="42"/>
        <v>#VALUE!</v>
      </c>
      <c r="AH26" s="106" t="e">
        <f t="shared" si="43"/>
        <v>#VALUE!</v>
      </c>
      <c r="AI26" s="106" t="e">
        <f t="shared" si="44"/>
        <v>#VALUE!</v>
      </c>
      <c r="AJ26" s="106" t="e">
        <f t="shared" si="45"/>
        <v>#VALUE!</v>
      </c>
      <c r="AK26" s="106" t="e">
        <f t="shared" si="46"/>
        <v>#VALUE!</v>
      </c>
      <c r="AL26" s="106" t="e">
        <f t="shared" si="47"/>
        <v>#VALUE!</v>
      </c>
      <c r="AM26" s="100" t="e">
        <f t="shared" si="48"/>
        <v>#VALUE!</v>
      </c>
    </row>
    <row r="27" spans="3:39" ht="14.25" thickTop="1" thickBot="1" x14ac:dyDescent="0.25">
      <c r="C27" s="1150" t="s">
        <v>70</v>
      </c>
      <c r="D27" s="1151"/>
      <c r="E27" s="1152"/>
      <c r="F27" s="1144" t="str">
        <f t="shared" si="20"/>
        <v>00°56'56.00 [00°56.93]  (00.9489°)</v>
      </c>
      <c r="G27" s="1145"/>
      <c r="H27" s="1146"/>
      <c r="I27" s="109" cm="1">
        <f t="array" ref="I27">angleConvert2Decimal(C27)</f>
        <v>0.94888888888888889</v>
      </c>
      <c r="J27" s="109" t="str" cm="1">
        <f t="array" ref="J27">angleDecimal2Txt(I27)</f>
        <v>+00°56.93 (+00.9488) [+00°56'56.00]</v>
      </c>
      <c r="K27" s="110" t="str">
        <f t="shared" si="21"/>
        <v>56'56"</v>
      </c>
      <c r="L27" s="99" t="str">
        <f t="shared" si="22"/>
        <v>00°56'56.00 [00°56.93]  (00.9489°)</v>
      </c>
      <c r="M27" s="100">
        <f t="shared" si="23"/>
        <v>0.94888888888888889</v>
      </c>
      <c r="N27" s="111">
        <f t="shared" si="24"/>
        <v>0</v>
      </c>
      <c r="O27" s="111" t="str">
        <f t="shared" si="25"/>
        <v/>
      </c>
      <c r="P27" s="111" t="str">
        <f t="shared" si="26"/>
        <v>56'56"</v>
      </c>
      <c r="Q27" s="111" t="b">
        <f t="shared" si="27"/>
        <v>0</v>
      </c>
      <c r="R27" s="111" t="b">
        <f t="shared" si="28"/>
        <v>1</v>
      </c>
      <c r="S27" s="111" t="b">
        <f t="shared" si="29"/>
        <v>1</v>
      </c>
      <c r="T27" s="111" t="b">
        <f t="shared" si="30"/>
        <v>0</v>
      </c>
      <c r="U27" s="111" t="b">
        <f t="shared" si="31"/>
        <v>0</v>
      </c>
      <c r="V27" s="106">
        <f t="shared" si="32"/>
        <v>0</v>
      </c>
      <c r="W27" s="111" t="str">
        <f t="shared" si="33"/>
        <v>56'56"</v>
      </c>
      <c r="X27" s="111" t="b">
        <f t="shared" si="34"/>
        <v>1</v>
      </c>
      <c r="Y27" s="111" t="b">
        <f t="shared" si="35"/>
        <v>0</v>
      </c>
      <c r="Z27" s="106">
        <f t="shared" si="36"/>
        <v>56</v>
      </c>
      <c r="AA27" s="111" t="str">
        <f t="shared" si="37"/>
        <v>56"</v>
      </c>
      <c r="AB27" s="111" t="b">
        <f t="shared" si="38"/>
        <v>1</v>
      </c>
      <c r="AC27" s="111" t="b">
        <f t="shared" si="39"/>
        <v>0</v>
      </c>
      <c r="AD27" s="111" t="b">
        <f t="shared" si="40"/>
        <v>0</v>
      </c>
      <c r="AE27" s="106">
        <f t="shared" si="41"/>
        <v>56</v>
      </c>
      <c r="AF27" s="106">
        <f t="shared" si="49"/>
        <v>3416</v>
      </c>
      <c r="AG27" s="106">
        <f t="shared" si="42"/>
        <v>0.94888888888888889</v>
      </c>
      <c r="AH27" s="106">
        <f t="shared" si="43"/>
        <v>0</v>
      </c>
      <c r="AI27" s="106">
        <f t="shared" si="44"/>
        <v>56.93333333333333</v>
      </c>
      <c r="AJ27" s="106">
        <f t="shared" si="45"/>
        <v>56</v>
      </c>
      <c r="AK27" s="106">
        <f t="shared" si="46"/>
        <v>56</v>
      </c>
      <c r="AL27" s="106">
        <f t="shared" si="47"/>
        <v>0.94888888888888889</v>
      </c>
      <c r="AM27" s="100" t="str">
        <f t="shared" si="48"/>
        <v>00°56'56.00 [00°56.93]  (00.9489°)</v>
      </c>
    </row>
    <row r="28" spans="3:39" ht="14.25" thickTop="1" thickBot="1" x14ac:dyDescent="0.25">
      <c r="C28" s="1150" t="s">
        <v>71</v>
      </c>
      <c r="D28" s="1151"/>
      <c r="E28" s="1152"/>
      <c r="F28" s="1144" t="str">
        <f t="shared" si="20"/>
        <v>00°56'56.99 [00°56.95]  (00.9492°)</v>
      </c>
      <c r="G28" s="1145"/>
      <c r="H28" s="1146"/>
      <c r="I28" s="109" cm="1">
        <f t="array" ref="I28">angleConvert2Decimal(C28)</f>
        <v>0</v>
      </c>
      <c r="J28" s="109" t="str" cm="1">
        <f t="array" ref="J28">angleDecimal2Txt(I28)</f>
        <v>+00°00.00 (+00.0000) [+00°00'00.00]</v>
      </c>
      <c r="K28" s="110" t="str">
        <f t="shared" si="21"/>
        <v>56'56.99"</v>
      </c>
      <c r="L28" s="99" t="str">
        <f t="shared" si="22"/>
        <v>00°56'56.99 [00°56.95]  (00.9492°)</v>
      </c>
      <c r="M28" s="100">
        <f t="shared" si="23"/>
        <v>0.94916388888888881</v>
      </c>
      <c r="N28" s="111">
        <f t="shared" si="24"/>
        <v>0</v>
      </c>
      <c r="O28" s="111" t="str">
        <f t="shared" si="25"/>
        <v/>
      </c>
      <c r="P28" s="111" t="str">
        <f t="shared" si="26"/>
        <v>56'56.99"</v>
      </c>
      <c r="Q28" s="111" t="b">
        <f t="shared" si="27"/>
        <v>0</v>
      </c>
      <c r="R28" s="111" t="b">
        <f t="shared" si="28"/>
        <v>1</v>
      </c>
      <c r="S28" s="111" t="b">
        <f t="shared" si="29"/>
        <v>1</v>
      </c>
      <c r="T28" s="111" t="b">
        <f t="shared" si="30"/>
        <v>0</v>
      </c>
      <c r="U28" s="111" t="b">
        <f t="shared" si="31"/>
        <v>0</v>
      </c>
      <c r="V28" s="106">
        <f t="shared" si="32"/>
        <v>0</v>
      </c>
      <c r="W28" s="111" t="str">
        <f t="shared" si="33"/>
        <v>56'56.99"</v>
      </c>
      <c r="X28" s="111" t="b">
        <f t="shared" si="34"/>
        <v>1</v>
      </c>
      <c r="Y28" s="111" t="b">
        <f t="shared" si="35"/>
        <v>0</v>
      </c>
      <c r="Z28" s="106">
        <f t="shared" si="36"/>
        <v>56</v>
      </c>
      <c r="AA28" s="111" t="str">
        <f t="shared" si="37"/>
        <v>56.99"</v>
      </c>
      <c r="AB28" s="111" t="b">
        <f t="shared" si="38"/>
        <v>1</v>
      </c>
      <c r="AC28" s="111" t="b">
        <f t="shared" si="39"/>
        <v>0</v>
      </c>
      <c r="AD28" s="111" t="b">
        <f t="shared" si="40"/>
        <v>1</v>
      </c>
      <c r="AE28" s="106">
        <f t="shared" si="41"/>
        <v>56.99</v>
      </c>
      <c r="AF28" s="106">
        <f t="shared" si="49"/>
        <v>3416.99</v>
      </c>
      <c r="AG28" s="106">
        <f t="shared" si="42"/>
        <v>0.94916388888888881</v>
      </c>
      <c r="AH28" s="106">
        <f t="shared" si="43"/>
        <v>0</v>
      </c>
      <c r="AI28" s="106">
        <f t="shared" si="44"/>
        <v>56.949833333333331</v>
      </c>
      <c r="AJ28" s="106">
        <f t="shared" si="45"/>
        <v>56</v>
      </c>
      <c r="AK28" s="106">
        <f t="shared" si="46"/>
        <v>56.989999999999782</v>
      </c>
      <c r="AL28" s="106">
        <f t="shared" si="47"/>
        <v>0.94916388888888881</v>
      </c>
      <c r="AM28" s="100" t="str">
        <f t="shared" si="48"/>
        <v>00°56'56.99 [00°56.95]  (00.9492°)</v>
      </c>
    </row>
    <row r="29" spans="3:39" ht="14.25" thickTop="1" thickBot="1" x14ac:dyDescent="0.25">
      <c r="C29" s="1150" t="s">
        <v>72</v>
      </c>
      <c r="D29" s="1151"/>
      <c r="E29" s="1152"/>
      <c r="F29" s="1144" t="str">
        <f t="shared" si="20"/>
        <v>00°56'59.94 [00°57.00]  (00.9500°)</v>
      </c>
      <c r="G29" s="1145"/>
      <c r="H29" s="1146"/>
      <c r="I29" s="109" cm="1">
        <f t="array" ref="I29">angleConvert2Decimal(C29)</f>
        <v>0</v>
      </c>
      <c r="J29" s="109" t="str" cm="1">
        <f t="array" ref="J29">angleDecimal2Txt(I29)</f>
        <v>+00°00.00 (+00.0000) [+00°00'00.00]</v>
      </c>
      <c r="K29" s="110" t="str">
        <f t="shared" si="21"/>
        <v>56.999'</v>
      </c>
      <c r="L29" s="99" t="str">
        <f t="shared" si="22"/>
        <v>00°56'59.94 [00°57.00]  (00.9500°)</v>
      </c>
      <c r="M29" s="100">
        <f t="shared" si="23"/>
        <v>0.9499833333333334</v>
      </c>
      <c r="N29" s="111">
        <f t="shared" si="24"/>
        <v>0</v>
      </c>
      <c r="O29" s="111" t="str">
        <f t="shared" si="25"/>
        <v/>
      </c>
      <c r="P29" s="111" t="str">
        <f t="shared" si="26"/>
        <v>56.999'</v>
      </c>
      <c r="Q29" s="111" t="b">
        <f t="shared" si="27"/>
        <v>0</v>
      </c>
      <c r="R29" s="111" t="b">
        <f t="shared" si="28"/>
        <v>1</v>
      </c>
      <c r="S29" s="111" t="b">
        <f t="shared" si="29"/>
        <v>0</v>
      </c>
      <c r="T29" s="111" t="b">
        <f t="shared" si="30"/>
        <v>0</v>
      </c>
      <c r="U29" s="111" t="b">
        <f t="shared" si="31"/>
        <v>0</v>
      </c>
      <c r="V29" s="106">
        <f t="shared" si="32"/>
        <v>0</v>
      </c>
      <c r="W29" s="111" t="str">
        <f t="shared" si="33"/>
        <v>56.999'</v>
      </c>
      <c r="X29" s="111" t="b">
        <f t="shared" si="34"/>
        <v>1</v>
      </c>
      <c r="Y29" s="111" t="b">
        <f t="shared" si="35"/>
        <v>0</v>
      </c>
      <c r="Z29" s="106">
        <f t="shared" si="36"/>
        <v>56.999000000000002</v>
      </c>
      <c r="AA29" s="111" t="str">
        <f t="shared" si="37"/>
        <v/>
      </c>
      <c r="AB29" s="111" t="b">
        <f t="shared" si="38"/>
        <v>0</v>
      </c>
      <c r="AC29" s="111" t="b">
        <f t="shared" si="39"/>
        <v>1</v>
      </c>
      <c r="AD29" s="111" t="b">
        <f t="shared" si="40"/>
        <v>0</v>
      </c>
      <c r="AE29" s="106">
        <f t="shared" si="41"/>
        <v>0</v>
      </c>
      <c r="AF29" s="106">
        <f t="shared" si="49"/>
        <v>3419.94</v>
      </c>
      <c r="AG29" s="106">
        <f t="shared" si="42"/>
        <v>0.9499833333333334</v>
      </c>
      <c r="AH29" s="106">
        <f t="shared" si="43"/>
        <v>0</v>
      </c>
      <c r="AI29" s="106">
        <f t="shared" si="44"/>
        <v>56.999000000000002</v>
      </c>
      <c r="AJ29" s="106">
        <f t="shared" si="45"/>
        <v>56</v>
      </c>
      <c r="AK29" s="106">
        <f t="shared" si="46"/>
        <v>59.940000000000055</v>
      </c>
      <c r="AL29" s="106">
        <f t="shared" si="47"/>
        <v>0.9499833333333334</v>
      </c>
      <c r="AM29" s="100" t="str">
        <f t="shared" si="48"/>
        <v>00°56'59.94 [00°57.00]  (00.9500°)</v>
      </c>
    </row>
    <row r="30" spans="3:39" ht="14.25" thickTop="1" thickBot="1" x14ac:dyDescent="0.25">
      <c r="C30" s="1141" t="s">
        <v>73</v>
      </c>
      <c r="D30" s="1153"/>
      <c r="E30" s="1154"/>
      <c r="F30" s="1144" t="str">
        <f t="shared" si="20"/>
        <v>00°00'56.00 [00°00.93]  (00.0156°)</v>
      </c>
      <c r="G30" s="1145"/>
      <c r="H30" s="1146"/>
      <c r="I30" s="109" cm="1">
        <f t="array" ref="I30">angleConvert2Decimal(C30)</f>
        <v>1.5555555555555555E-2</v>
      </c>
      <c r="J30" s="109" t="str" cm="1">
        <f t="array" ref="J30">angleDecimal2Txt(I30)</f>
        <v>+00°00.93 (+00.0155) [+00°00'56.00]</v>
      </c>
      <c r="K30" s="110" t="str">
        <f t="shared" si="21"/>
        <v>56"</v>
      </c>
      <c r="L30" s="99" t="str">
        <f t="shared" si="22"/>
        <v>00°00'56.00 [00°00.93]  (00.0156°)</v>
      </c>
      <c r="M30" s="100">
        <f t="shared" si="23"/>
        <v>1.5555555555555555E-2</v>
      </c>
      <c r="N30" s="111">
        <f t="shared" si="24"/>
        <v>0</v>
      </c>
      <c r="O30" s="111" t="str">
        <f t="shared" si="25"/>
        <v/>
      </c>
      <c r="P30" s="111" t="str">
        <f t="shared" si="26"/>
        <v>56"</v>
      </c>
      <c r="Q30" s="111" t="b">
        <f t="shared" si="27"/>
        <v>0</v>
      </c>
      <c r="R30" s="111" t="b">
        <f t="shared" si="28"/>
        <v>0</v>
      </c>
      <c r="S30" s="111" t="b">
        <f t="shared" si="29"/>
        <v>1</v>
      </c>
      <c r="T30" s="111" t="b">
        <f t="shared" si="30"/>
        <v>0</v>
      </c>
      <c r="U30" s="111" t="b">
        <f t="shared" si="31"/>
        <v>0</v>
      </c>
      <c r="V30" s="106">
        <f t="shared" si="32"/>
        <v>0</v>
      </c>
      <c r="W30" s="111" t="str">
        <f t="shared" si="33"/>
        <v>56"</v>
      </c>
      <c r="X30" s="111" t="b">
        <f t="shared" si="34"/>
        <v>1</v>
      </c>
      <c r="Y30" s="111" t="b">
        <f t="shared" si="35"/>
        <v>0</v>
      </c>
      <c r="Z30" s="106">
        <f t="shared" si="36"/>
        <v>0</v>
      </c>
      <c r="AA30" s="111" t="str">
        <f t="shared" si="37"/>
        <v>56"</v>
      </c>
      <c r="AB30" s="111" t="b">
        <f t="shared" si="38"/>
        <v>1</v>
      </c>
      <c r="AC30" s="111" t="b">
        <f t="shared" si="39"/>
        <v>0</v>
      </c>
      <c r="AD30" s="111" t="b">
        <f t="shared" si="40"/>
        <v>0</v>
      </c>
      <c r="AE30" s="106">
        <f t="shared" si="41"/>
        <v>56</v>
      </c>
      <c r="AF30" s="106">
        <f t="shared" si="49"/>
        <v>56</v>
      </c>
      <c r="AG30" s="106">
        <f t="shared" si="42"/>
        <v>1.5555555555555555E-2</v>
      </c>
      <c r="AH30" s="106">
        <f t="shared" si="43"/>
        <v>0</v>
      </c>
      <c r="AI30" s="106">
        <f t="shared" si="44"/>
        <v>0.93333333333333335</v>
      </c>
      <c r="AJ30" s="106">
        <f t="shared" si="45"/>
        <v>0</v>
      </c>
      <c r="AK30" s="106">
        <f t="shared" si="46"/>
        <v>56</v>
      </c>
      <c r="AL30" s="106">
        <f t="shared" si="47"/>
        <v>1.5555555555555555E-2</v>
      </c>
      <c r="AM30" s="100" t="str">
        <f t="shared" si="48"/>
        <v>00°00'56.00 [00°00.93]  (00.0156°)</v>
      </c>
    </row>
    <row r="31" spans="3:39" ht="14.25" thickTop="1" thickBot="1" x14ac:dyDescent="0.25">
      <c r="C31" s="1141" t="s">
        <v>74</v>
      </c>
      <c r="D31" s="1153"/>
      <c r="E31" s="1154"/>
      <c r="F31" s="1144" t="str">
        <f t="shared" si="20"/>
        <v>00°00'56.26 [00°00.94]  (00.0156°)</v>
      </c>
      <c r="G31" s="1145"/>
      <c r="H31" s="1146"/>
      <c r="I31" s="109" cm="1">
        <f t="array" ref="I31">angleConvert2Decimal(C31)</f>
        <v>0</v>
      </c>
      <c r="J31" s="109" t="str" cm="1">
        <f t="array" ref="J31">angleDecimal2Txt(I31)</f>
        <v>+00°00.00 (+00.0000) [+00°00'00.00]</v>
      </c>
      <c r="K31" s="110" t="str">
        <f t="shared" si="21"/>
        <v>56.26"</v>
      </c>
      <c r="L31" s="99" t="str">
        <f t="shared" si="22"/>
        <v>00°00'56.26 [00°00.94]  (00.0156°)</v>
      </c>
      <c r="M31" s="100">
        <f t="shared" si="23"/>
        <v>1.5627777777777779E-2</v>
      </c>
      <c r="N31" s="111">
        <f t="shared" si="24"/>
        <v>0</v>
      </c>
      <c r="O31" s="111" t="str">
        <f t="shared" si="25"/>
        <v/>
      </c>
      <c r="P31" s="111" t="str">
        <f t="shared" si="26"/>
        <v>56.26"</v>
      </c>
      <c r="Q31" s="111" t="b">
        <f t="shared" si="27"/>
        <v>0</v>
      </c>
      <c r="R31" s="111" t="b">
        <f t="shared" si="28"/>
        <v>0</v>
      </c>
      <c r="S31" s="111" t="b">
        <f t="shared" si="29"/>
        <v>1</v>
      </c>
      <c r="T31" s="111" t="b">
        <f t="shared" si="30"/>
        <v>0</v>
      </c>
      <c r="U31" s="111" t="b">
        <f t="shared" si="31"/>
        <v>0</v>
      </c>
      <c r="V31" s="106">
        <f t="shared" si="32"/>
        <v>0</v>
      </c>
      <c r="W31" s="111" t="str">
        <f t="shared" si="33"/>
        <v>56.26"</v>
      </c>
      <c r="X31" s="111" t="b">
        <f t="shared" si="34"/>
        <v>1</v>
      </c>
      <c r="Y31" s="111" t="b">
        <f t="shared" si="35"/>
        <v>0</v>
      </c>
      <c r="Z31" s="106">
        <f t="shared" si="36"/>
        <v>0</v>
      </c>
      <c r="AA31" s="111" t="str">
        <f t="shared" si="37"/>
        <v>56.26"</v>
      </c>
      <c r="AB31" s="111" t="b">
        <f t="shared" si="38"/>
        <v>1</v>
      </c>
      <c r="AC31" s="111" t="b">
        <f t="shared" si="39"/>
        <v>0</v>
      </c>
      <c r="AD31" s="111" t="b">
        <f t="shared" si="40"/>
        <v>1</v>
      </c>
      <c r="AE31" s="106">
        <f t="shared" si="41"/>
        <v>56.26</v>
      </c>
      <c r="AF31" s="106">
        <f t="shared" si="49"/>
        <v>56.26</v>
      </c>
      <c r="AG31" s="106">
        <f t="shared" si="42"/>
        <v>1.5627777777777779E-2</v>
      </c>
      <c r="AH31" s="106">
        <f t="shared" si="43"/>
        <v>0</v>
      </c>
      <c r="AI31" s="106">
        <f t="shared" si="44"/>
        <v>0.93766666666666665</v>
      </c>
      <c r="AJ31" s="106">
        <f t="shared" si="45"/>
        <v>0</v>
      </c>
      <c r="AK31" s="106">
        <f t="shared" si="46"/>
        <v>56.26</v>
      </c>
      <c r="AL31" s="106">
        <f t="shared" si="47"/>
        <v>1.5627777777777779E-2</v>
      </c>
      <c r="AM31" s="100" t="str">
        <f t="shared" si="48"/>
        <v>00°00'56.26 [00°00.94]  (00.0156°)</v>
      </c>
    </row>
    <row r="32" spans="3:39" ht="14.25" thickTop="1" thickBot="1" x14ac:dyDescent="0.25">
      <c r="C32" s="1141" t="s">
        <v>88</v>
      </c>
      <c r="D32" s="1142"/>
      <c r="E32" s="1143"/>
      <c r="F32" s="1144" t="str">
        <f t="shared" si="20"/>
        <v>02°56'26.00 [02°56.43]  (02.9406°)</v>
      </c>
      <c r="G32" s="1145"/>
      <c r="H32" s="1146"/>
      <c r="I32" s="109" cm="1">
        <f t="array" ref="I32">angleConvert2Decimal(C32)</f>
        <v>2.9405555555555556</v>
      </c>
      <c r="J32" s="109" t="str" cm="1">
        <f t="array" ref="J32">angleDecimal2Txt(I32)</f>
        <v>+02°56.43 (+02.9405) [+02°56'26.00]</v>
      </c>
      <c r="K32" s="110" t="str">
        <f t="shared" si="21"/>
        <v>2°56'26</v>
      </c>
      <c r="L32" s="99" t="str">
        <f t="shared" si="22"/>
        <v>02°56'26.00 [02°56.43]  (02.9406°)</v>
      </c>
      <c r="M32" s="100">
        <f t="shared" si="23"/>
        <v>2.9405555555555556</v>
      </c>
      <c r="N32" s="111">
        <f t="shared" si="24"/>
        <v>0</v>
      </c>
      <c r="O32" s="111" t="str">
        <f t="shared" si="25"/>
        <v/>
      </c>
      <c r="P32" s="111" t="str">
        <f t="shared" si="26"/>
        <v>2°56'26</v>
      </c>
      <c r="Q32" s="111" t="b">
        <f t="shared" si="27"/>
        <v>1</v>
      </c>
      <c r="R32" s="111" t="b">
        <f t="shared" si="28"/>
        <v>1</v>
      </c>
      <c r="S32" s="111" t="b">
        <f t="shared" si="29"/>
        <v>0</v>
      </c>
      <c r="T32" s="111" t="b">
        <f t="shared" si="30"/>
        <v>0</v>
      </c>
      <c r="U32" s="111" t="b">
        <f t="shared" si="31"/>
        <v>1</v>
      </c>
      <c r="V32" s="106" t="str">
        <f t="shared" si="32"/>
        <v>2</v>
      </c>
      <c r="W32" s="111" t="str">
        <f t="shared" si="33"/>
        <v>56'26</v>
      </c>
      <c r="X32" s="111" t="b">
        <f t="shared" si="34"/>
        <v>1</v>
      </c>
      <c r="Y32" s="111" t="b">
        <f t="shared" si="35"/>
        <v>0</v>
      </c>
      <c r="Z32" s="106">
        <f t="shared" si="36"/>
        <v>56</v>
      </c>
      <c r="AA32" s="111" t="str">
        <f t="shared" si="37"/>
        <v>26</v>
      </c>
      <c r="AB32" s="111" t="b">
        <f t="shared" si="38"/>
        <v>1</v>
      </c>
      <c r="AC32" s="111" t="b">
        <f t="shared" si="39"/>
        <v>1</v>
      </c>
      <c r="AD32" s="111" t="b">
        <f t="shared" si="40"/>
        <v>0</v>
      </c>
      <c r="AE32" s="106">
        <f t="shared" si="41"/>
        <v>26</v>
      </c>
      <c r="AF32" s="106">
        <f t="shared" si="49"/>
        <v>10586</v>
      </c>
      <c r="AG32" s="106">
        <f t="shared" si="42"/>
        <v>2.9405555555555556</v>
      </c>
      <c r="AH32" s="106">
        <f t="shared" si="43"/>
        <v>2</v>
      </c>
      <c r="AI32" s="106">
        <f t="shared" si="44"/>
        <v>56.43333333333333</v>
      </c>
      <c r="AJ32" s="106">
        <f t="shared" si="45"/>
        <v>56</v>
      </c>
      <c r="AK32" s="106">
        <f t="shared" si="46"/>
        <v>26</v>
      </c>
      <c r="AL32" s="106">
        <f t="shared" si="47"/>
        <v>2.9405555555555556</v>
      </c>
      <c r="AM32" s="100" t="str">
        <f t="shared" si="48"/>
        <v>02°56'26.00 [02°56.43]  (02.9406°)</v>
      </c>
    </row>
    <row r="33" spans="3:39" ht="14.25" thickTop="1" thickBot="1" x14ac:dyDescent="0.25">
      <c r="C33" s="1141" t="s">
        <v>89</v>
      </c>
      <c r="D33" s="1142"/>
      <c r="E33" s="1143"/>
      <c r="F33" s="1144" t="str">
        <f t="shared" si="20"/>
        <v>02°56'26.99 [02°56.45]  (02.9408°)</v>
      </c>
      <c r="G33" s="1145"/>
      <c r="H33" s="1146"/>
      <c r="I33" s="109" cm="1">
        <f t="array" ref="I33">angleConvert2Decimal(C33)</f>
        <v>2.9408305555555554</v>
      </c>
      <c r="J33" s="109" t="str" cm="1">
        <f t="array" ref="J33">angleDecimal2Txt(I33)</f>
        <v>+02°56.44 (+02.9408) [+02°56'26.98]</v>
      </c>
      <c r="K33" s="110" t="str">
        <f t="shared" si="21"/>
        <v>2°56'26.99</v>
      </c>
      <c r="L33" s="99" t="str">
        <f t="shared" si="22"/>
        <v>02°56'26.99 [02°56.45]  (02.9408°)</v>
      </c>
      <c r="M33" s="100">
        <f t="shared" si="23"/>
        <v>2.9408305555555554</v>
      </c>
      <c r="N33" s="111">
        <f t="shared" si="24"/>
        <v>0</v>
      </c>
      <c r="O33" s="111" t="str">
        <f t="shared" si="25"/>
        <v/>
      </c>
      <c r="P33" s="111" t="str">
        <f t="shared" si="26"/>
        <v>2°56'26.99</v>
      </c>
      <c r="Q33" s="111" t="b">
        <f t="shared" si="27"/>
        <v>1</v>
      </c>
      <c r="R33" s="111" t="b">
        <f t="shared" si="28"/>
        <v>1</v>
      </c>
      <c r="S33" s="111" t="b">
        <f t="shared" si="29"/>
        <v>0</v>
      </c>
      <c r="T33" s="111" t="b">
        <f t="shared" si="30"/>
        <v>0</v>
      </c>
      <c r="U33" s="111" t="b">
        <f t="shared" si="31"/>
        <v>1</v>
      </c>
      <c r="V33" s="106" t="str">
        <f t="shared" si="32"/>
        <v>2</v>
      </c>
      <c r="W33" s="111" t="str">
        <f t="shared" si="33"/>
        <v>56'26.99</v>
      </c>
      <c r="X33" s="111" t="b">
        <f t="shared" si="34"/>
        <v>1</v>
      </c>
      <c r="Y33" s="111" t="b">
        <f t="shared" si="35"/>
        <v>0</v>
      </c>
      <c r="Z33" s="106">
        <f t="shared" si="36"/>
        <v>56</v>
      </c>
      <c r="AA33" s="111" t="str">
        <f t="shared" si="37"/>
        <v>26.99</v>
      </c>
      <c r="AB33" s="111" t="b">
        <f t="shared" si="38"/>
        <v>1</v>
      </c>
      <c r="AC33" s="111" t="b">
        <f t="shared" si="39"/>
        <v>1</v>
      </c>
      <c r="AD33" s="111" t="b">
        <f t="shared" si="40"/>
        <v>1</v>
      </c>
      <c r="AE33" s="106">
        <f t="shared" si="41"/>
        <v>26.99</v>
      </c>
      <c r="AF33" s="106">
        <f t="shared" si="49"/>
        <v>10586.99</v>
      </c>
      <c r="AG33" s="106">
        <f t="shared" si="42"/>
        <v>2.9408305555555554</v>
      </c>
      <c r="AH33" s="106">
        <f t="shared" si="43"/>
        <v>2</v>
      </c>
      <c r="AI33" s="106">
        <f t="shared" si="44"/>
        <v>56.449833333333331</v>
      </c>
      <c r="AJ33" s="106">
        <f t="shared" si="45"/>
        <v>56</v>
      </c>
      <c r="AK33" s="106">
        <f t="shared" si="46"/>
        <v>26.989999999999782</v>
      </c>
      <c r="AL33" s="106">
        <f t="shared" si="47"/>
        <v>2.9408305555555554</v>
      </c>
      <c r="AM33" s="100" t="str">
        <f t="shared" si="48"/>
        <v>02°56'26.99 [02°56.45]  (02.9408°)</v>
      </c>
    </row>
    <row r="34" spans="3:39" ht="14.25" thickTop="1" thickBot="1" x14ac:dyDescent="0.25">
      <c r="C34" s="1141" t="s">
        <v>90</v>
      </c>
      <c r="D34" s="1142"/>
      <c r="E34" s="1143"/>
      <c r="F34" s="1144" t="str">
        <f t="shared" si="20"/>
        <v>02°56'27.00 [02°56.45]  (02.9408°)</v>
      </c>
      <c r="G34" s="1145"/>
      <c r="H34" s="1146"/>
      <c r="I34" s="109" cm="1">
        <f t="array" ref="I34">angleConvert2Decimal(C34)</f>
        <v>2.9408330555555553</v>
      </c>
      <c r="J34" s="109" t="str" cm="1">
        <f t="array" ref="J34">angleDecimal2Txt(I34)</f>
        <v>+02°56.44 (+02.9408) [+02°56'26.99]</v>
      </c>
      <c r="K34" s="110" t="str">
        <f t="shared" si="21"/>
        <v>2°56'26.999"</v>
      </c>
      <c r="L34" s="99" t="str">
        <f t="shared" si="22"/>
        <v>02°56'27.00 [02°56.45]  (02.9408°)</v>
      </c>
      <c r="M34" s="100">
        <f t="shared" si="23"/>
        <v>2.9408330555555553</v>
      </c>
      <c r="N34" s="111">
        <f t="shared" si="24"/>
        <v>0</v>
      </c>
      <c r="O34" s="111" t="str">
        <f t="shared" si="25"/>
        <v/>
      </c>
      <c r="P34" s="111" t="str">
        <f t="shared" si="26"/>
        <v>2°56'26.999"</v>
      </c>
      <c r="Q34" s="111" t="b">
        <f t="shared" si="27"/>
        <v>1</v>
      </c>
      <c r="R34" s="111" t="b">
        <f t="shared" si="28"/>
        <v>1</v>
      </c>
      <c r="S34" s="111" t="b">
        <f t="shared" si="29"/>
        <v>1</v>
      </c>
      <c r="T34" s="111" t="b">
        <f t="shared" si="30"/>
        <v>0</v>
      </c>
      <c r="U34" s="111" t="b">
        <f t="shared" si="31"/>
        <v>1</v>
      </c>
      <c r="V34" s="106" t="str">
        <f t="shared" si="32"/>
        <v>2</v>
      </c>
      <c r="W34" s="111" t="str">
        <f t="shared" si="33"/>
        <v>56'26.999"</v>
      </c>
      <c r="X34" s="111" t="b">
        <f t="shared" si="34"/>
        <v>1</v>
      </c>
      <c r="Y34" s="111" t="b">
        <f t="shared" si="35"/>
        <v>0</v>
      </c>
      <c r="Z34" s="106">
        <f t="shared" si="36"/>
        <v>56</v>
      </c>
      <c r="AA34" s="111" t="str">
        <f t="shared" si="37"/>
        <v>26.999"</v>
      </c>
      <c r="AB34" s="111" t="b">
        <f t="shared" si="38"/>
        <v>1</v>
      </c>
      <c r="AC34" s="111" t="b">
        <f t="shared" si="39"/>
        <v>0</v>
      </c>
      <c r="AD34" s="111" t="b">
        <f t="shared" si="40"/>
        <v>1</v>
      </c>
      <c r="AE34" s="106">
        <f t="shared" si="41"/>
        <v>26.998999999999999</v>
      </c>
      <c r="AF34" s="106">
        <f t="shared" si="49"/>
        <v>10586.999</v>
      </c>
      <c r="AG34" s="106">
        <f t="shared" si="42"/>
        <v>2.9408330555555553</v>
      </c>
      <c r="AH34" s="106">
        <f t="shared" si="43"/>
        <v>2</v>
      </c>
      <c r="AI34" s="106">
        <f t="shared" si="44"/>
        <v>56.449983333333329</v>
      </c>
      <c r="AJ34" s="106">
        <f t="shared" si="45"/>
        <v>56</v>
      </c>
      <c r="AK34" s="106">
        <f t="shared" si="46"/>
        <v>26.998999999999796</v>
      </c>
      <c r="AL34" s="106">
        <f t="shared" si="47"/>
        <v>2.9408330555555553</v>
      </c>
      <c r="AM34" s="100" t="str">
        <f t="shared" si="48"/>
        <v>02°56'27.00 [02°56.45]  (02.9408°)</v>
      </c>
    </row>
    <row r="35" spans="3:39" ht="14.25" thickTop="1" thickBot="1" x14ac:dyDescent="0.25">
      <c r="C35" s="1141" t="s">
        <v>91</v>
      </c>
      <c r="D35" s="1142"/>
      <c r="E35" s="1143"/>
      <c r="F35" s="1144" t="str">
        <f t="shared" si="20"/>
        <v>02°56'27.00 [02°56.45]  (02.9408°)</v>
      </c>
      <c r="G35" s="1145"/>
      <c r="H35" s="1146"/>
      <c r="I35" s="109" cm="1">
        <f t="array" ref="I35">angleConvert2Decimal(C35)</f>
        <v>2.9408330555555553</v>
      </c>
      <c r="J35" s="109" t="str" cm="1">
        <f t="array" ref="J35">angleDecimal2Txt(I35)</f>
        <v>+02°56.44 (+02.9408) [+02°56'26.99]</v>
      </c>
      <c r="K35" s="110" t="str">
        <f t="shared" si="21"/>
        <v>2°56'26"999</v>
      </c>
      <c r="L35" s="99" t="str">
        <f t="shared" si="22"/>
        <v>02°56'27.00 [02°56.45]  (02.9408°)</v>
      </c>
      <c r="M35" s="100">
        <f t="shared" si="23"/>
        <v>2.9408330555555553</v>
      </c>
      <c r="N35" s="111">
        <f t="shared" si="24"/>
        <v>0</v>
      </c>
      <c r="O35" s="111" t="str">
        <f t="shared" si="25"/>
        <v/>
      </c>
      <c r="P35" s="111" t="str">
        <f t="shared" si="26"/>
        <v>2°56'26"999</v>
      </c>
      <c r="Q35" s="111" t="b">
        <f t="shared" si="27"/>
        <v>1</v>
      </c>
      <c r="R35" s="111" t="b">
        <f t="shared" si="28"/>
        <v>1</v>
      </c>
      <c r="S35" s="111" t="b">
        <f t="shared" si="29"/>
        <v>1</v>
      </c>
      <c r="T35" s="111" t="b">
        <f t="shared" si="30"/>
        <v>0</v>
      </c>
      <c r="U35" s="111" t="b">
        <f t="shared" si="31"/>
        <v>1</v>
      </c>
      <c r="V35" s="106" t="str">
        <f t="shared" si="32"/>
        <v>2</v>
      </c>
      <c r="W35" s="111" t="str">
        <f t="shared" si="33"/>
        <v>56'26"999</v>
      </c>
      <c r="X35" s="111" t="b">
        <f t="shared" si="34"/>
        <v>1</v>
      </c>
      <c r="Y35" s="111" t="b">
        <f t="shared" si="35"/>
        <v>0</v>
      </c>
      <c r="Z35" s="106">
        <f t="shared" si="36"/>
        <v>56</v>
      </c>
      <c r="AA35" s="111" t="str">
        <f t="shared" si="37"/>
        <v>26"999</v>
      </c>
      <c r="AB35" s="111" t="b">
        <f t="shared" si="38"/>
        <v>1</v>
      </c>
      <c r="AC35" s="111" t="b">
        <f t="shared" si="39"/>
        <v>0</v>
      </c>
      <c r="AD35" s="111" t="b">
        <f t="shared" si="40"/>
        <v>0</v>
      </c>
      <c r="AE35" s="106">
        <f t="shared" si="41"/>
        <v>26.998999999999999</v>
      </c>
      <c r="AF35" s="106">
        <f t="shared" si="49"/>
        <v>10586.999</v>
      </c>
      <c r="AG35" s="106">
        <f t="shared" si="42"/>
        <v>2.9408330555555553</v>
      </c>
      <c r="AH35" s="106">
        <f t="shared" si="43"/>
        <v>2</v>
      </c>
      <c r="AI35" s="106">
        <f t="shared" si="44"/>
        <v>56.449983333333329</v>
      </c>
      <c r="AJ35" s="106">
        <f t="shared" si="45"/>
        <v>56</v>
      </c>
      <c r="AK35" s="106">
        <f t="shared" si="46"/>
        <v>26.998999999999796</v>
      </c>
      <c r="AL35" s="106">
        <f t="shared" si="47"/>
        <v>2.9408330555555553</v>
      </c>
      <c r="AM35" s="100" t="str">
        <f t="shared" si="48"/>
        <v>02°56'27.00 [02°56.45]  (02.9408°)</v>
      </c>
    </row>
    <row r="36" spans="3:39" ht="14.25" thickTop="1" thickBot="1" x14ac:dyDescent="0.25">
      <c r="C36" s="1141" t="s">
        <v>66</v>
      </c>
      <c r="D36" s="1142"/>
      <c r="E36" s="1143"/>
      <c r="F36" s="1144" t="str">
        <f t="shared" si="20"/>
        <v>00°12'56.00 [00°12.93]  (00.2156°)</v>
      </c>
      <c r="G36" s="1145"/>
      <c r="H36" s="1146"/>
      <c r="I36" s="109" cm="1">
        <f t="array" ref="I36">angleConvert2Decimal(C36)</f>
        <v>0.21555555555555556</v>
      </c>
      <c r="J36" s="109" t="str" cm="1">
        <f t="array" ref="J36">angleDecimal2Txt(I36)</f>
        <v>+00°12.93 (+00.2155) [+00°12'56.00]</v>
      </c>
      <c r="K36" s="110" t="str">
        <f t="shared" si="21"/>
        <v>12'56</v>
      </c>
      <c r="L36" s="99" t="str">
        <f t="shared" si="22"/>
        <v>00°12'56.00 [00°12.93]  (00.2156°)</v>
      </c>
      <c r="M36" s="100">
        <f t="shared" si="23"/>
        <v>0.21555555555555556</v>
      </c>
      <c r="N36" s="111">
        <f t="shared" si="24"/>
        <v>0</v>
      </c>
      <c r="O36" s="111" t="str">
        <f t="shared" si="25"/>
        <v/>
      </c>
      <c r="P36" s="111" t="str">
        <f t="shared" si="26"/>
        <v>12'56</v>
      </c>
      <c r="Q36" s="111" t="b">
        <f t="shared" si="27"/>
        <v>0</v>
      </c>
      <c r="R36" s="111" t="b">
        <f t="shared" si="28"/>
        <v>1</v>
      </c>
      <c r="S36" s="111" t="b">
        <f t="shared" si="29"/>
        <v>0</v>
      </c>
      <c r="T36" s="111" t="b">
        <f t="shared" si="30"/>
        <v>0</v>
      </c>
      <c r="U36" s="111" t="b">
        <f t="shared" si="31"/>
        <v>0</v>
      </c>
      <c r="V36" s="106">
        <f t="shared" si="32"/>
        <v>0</v>
      </c>
      <c r="W36" s="111" t="str">
        <f t="shared" si="33"/>
        <v>12'56</v>
      </c>
      <c r="X36" s="111" t="b">
        <f t="shared" si="34"/>
        <v>1</v>
      </c>
      <c r="Y36" s="111" t="b">
        <f t="shared" si="35"/>
        <v>0</v>
      </c>
      <c r="Z36" s="106">
        <f t="shared" si="36"/>
        <v>12</v>
      </c>
      <c r="AA36" s="111" t="str">
        <f t="shared" si="37"/>
        <v>56</v>
      </c>
      <c r="AB36" s="111" t="b">
        <f t="shared" si="38"/>
        <v>1</v>
      </c>
      <c r="AC36" s="111" t="b">
        <f t="shared" si="39"/>
        <v>1</v>
      </c>
      <c r="AD36" s="111" t="b">
        <f t="shared" si="40"/>
        <v>0</v>
      </c>
      <c r="AE36" s="106">
        <f t="shared" si="41"/>
        <v>56</v>
      </c>
      <c r="AF36" s="106">
        <f t="shared" si="49"/>
        <v>776</v>
      </c>
      <c r="AG36" s="106">
        <f t="shared" si="42"/>
        <v>0.21555555555555556</v>
      </c>
      <c r="AH36" s="106">
        <f t="shared" si="43"/>
        <v>0</v>
      </c>
      <c r="AI36" s="106">
        <f t="shared" si="44"/>
        <v>12.933333333333334</v>
      </c>
      <c r="AJ36" s="106">
        <f t="shared" si="45"/>
        <v>12</v>
      </c>
      <c r="AK36" s="106">
        <f t="shared" si="46"/>
        <v>56</v>
      </c>
      <c r="AL36" s="106">
        <f t="shared" si="47"/>
        <v>0.21555555555555556</v>
      </c>
      <c r="AM36" s="100" t="str">
        <f t="shared" si="48"/>
        <v>00°12'56.00 [00°12.93]  (00.2156°)</v>
      </c>
    </row>
    <row r="37" spans="3:39" ht="14.25" thickTop="1" thickBot="1" x14ac:dyDescent="0.25">
      <c r="C37" s="1141" t="s">
        <v>126</v>
      </c>
      <c r="D37" s="1142"/>
      <c r="E37" s="1143"/>
      <c r="F37" s="1144" t="str">
        <f t="shared" si="20"/>
        <v>15°00'00.12 [15°00.00]  (15.0000°)</v>
      </c>
      <c r="G37" s="1145"/>
      <c r="H37" s="1146"/>
      <c r="I37" s="109" cm="1">
        <f t="array" ref="I37">angleConvert2Decimal(C37)</f>
        <v>15.000033333333333</v>
      </c>
      <c r="J37" s="109" t="str" cm="1">
        <f t="array" ref="J37">angleDecimal2Txt(I37)</f>
        <v>+15°00.00 (+15.0000) [+15°00'00.11]</v>
      </c>
      <c r="K37" s="112" t="str">
        <f>C37</f>
        <v>15°0.002</v>
      </c>
      <c r="L37" s="99" t="str">
        <f t="shared" si="22"/>
        <v>15°00'00.12 [15°00.00]  (15.0000°)</v>
      </c>
      <c r="M37" s="100">
        <f t="shared" si="23"/>
        <v>15.000033333333334</v>
      </c>
      <c r="N37" s="111">
        <f t="shared" si="24"/>
        <v>0</v>
      </c>
      <c r="O37" s="111" t="str">
        <f t="shared" si="25"/>
        <v/>
      </c>
      <c r="P37" s="111" t="str">
        <f t="shared" si="26"/>
        <v>15°0.002</v>
      </c>
      <c r="Q37" s="111" t="b">
        <f t="shared" si="27"/>
        <v>1</v>
      </c>
      <c r="R37" s="111" t="b">
        <f t="shared" si="28"/>
        <v>0</v>
      </c>
      <c r="S37" s="111" t="b">
        <f t="shared" si="29"/>
        <v>0</v>
      </c>
      <c r="T37" s="111" t="b">
        <f t="shared" si="30"/>
        <v>0</v>
      </c>
      <c r="U37" s="111" t="b">
        <f t="shared" si="31"/>
        <v>1</v>
      </c>
      <c r="V37" s="106" t="str">
        <f t="shared" si="32"/>
        <v>15</v>
      </c>
      <c r="W37" s="111" t="str">
        <f t="shared" si="33"/>
        <v>0.002</v>
      </c>
      <c r="X37" s="111" t="b">
        <f t="shared" si="34"/>
        <v>1</v>
      </c>
      <c r="Y37" s="111" t="b">
        <f t="shared" si="35"/>
        <v>1</v>
      </c>
      <c r="Z37" s="106">
        <f t="shared" si="36"/>
        <v>2E-3</v>
      </c>
      <c r="AA37" s="111" t="str">
        <f t="shared" si="37"/>
        <v/>
      </c>
      <c r="AB37" s="111" t="b">
        <f t="shared" si="38"/>
        <v>0</v>
      </c>
      <c r="AC37" s="111" t="b">
        <f t="shared" si="39"/>
        <v>1</v>
      </c>
      <c r="AD37" s="111" t="b">
        <f t="shared" si="40"/>
        <v>0</v>
      </c>
      <c r="AE37" s="106">
        <f t="shared" si="41"/>
        <v>0</v>
      </c>
      <c r="AF37" s="106">
        <f t="shared" si="49"/>
        <v>54000.12</v>
      </c>
      <c r="AG37" s="106">
        <f t="shared" si="42"/>
        <v>15.000033333333334</v>
      </c>
      <c r="AH37" s="106">
        <f t="shared" si="43"/>
        <v>15</v>
      </c>
      <c r="AI37" s="106">
        <f t="shared" si="44"/>
        <v>2.0000000000436557E-3</v>
      </c>
      <c r="AJ37" s="106">
        <f t="shared" si="45"/>
        <v>0</v>
      </c>
      <c r="AK37" s="106">
        <f t="shared" si="46"/>
        <v>0.12000000000261934</v>
      </c>
      <c r="AL37" s="106">
        <f t="shared" si="47"/>
        <v>15.000033333333334</v>
      </c>
      <c r="AM37" s="100" t="str">
        <f t="shared" si="48"/>
        <v>15°00'00.12 [15°00.00]  (15.0000°)</v>
      </c>
    </row>
    <row r="38" spans="3:39" ht="14.25" thickTop="1" thickBot="1" x14ac:dyDescent="0.25">
      <c r="C38" s="1147" t="s">
        <v>219</v>
      </c>
      <c r="D38" s="1148"/>
      <c r="E38" s="1149"/>
      <c r="F38" s="1144" t="str">
        <f t="shared" si="20"/>
        <v>-02°00'00.00 [-02°00.00]  (-02.0000°)</v>
      </c>
      <c r="G38" s="1145"/>
      <c r="H38" s="1146"/>
      <c r="I38" s="109" cm="1">
        <f t="array" ref="I38">angleConvert2Decimal(C38)</f>
        <v>-2</v>
      </c>
      <c r="J38" s="109" t="str" cm="1">
        <f t="array" ref="J38">angleDecimal2Txt(I38)</f>
        <v>-02°00.00 (-02.0000) [-02°00'00.00]</v>
      </c>
      <c r="K38" s="110" t="str">
        <f t="shared" ref="K38:K54" si="50">C38</f>
        <v>-2</v>
      </c>
      <c r="L38" s="99" t="str">
        <f t="shared" si="22"/>
        <v>-02°00'00.00 [-02°00.00]  (-02.0000°)</v>
      </c>
      <c r="M38" s="100">
        <f t="shared" si="23"/>
        <v>-2</v>
      </c>
      <c r="N38" s="111">
        <f t="shared" si="24"/>
        <v>-1</v>
      </c>
      <c r="O38" s="111" t="str">
        <f t="shared" si="25"/>
        <v>-</v>
      </c>
      <c r="P38" s="111" t="str">
        <f t="shared" si="26"/>
        <v>2</v>
      </c>
      <c r="Q38" s="111" t="b">
        <f t="shared" si="27"/>
        <v>0</v>
      </c>
      <c r="R38" s="111" t="b">
        <f t="shared" si="28"/>
        <v>0</v>
      </c>
      <c r="S38" s="111" t="b">
        <f t="shared" si="29"/>
        <v>0</v>
      </c>
      <c r="T38" s="111" t="b">
        <f t="shared" si="30"/>
        <v>1</v>
      </c>
      <c r="U38" s="111" t="b">
        <f t="shared" si="31"/>
        <v>1</v>
      </c>
      <c r="V38" s="106">
        <f t="shared" si="32"/>
        <v>2</v>
      </c>
      <c r="W38" s="111" t="str">
        <f t="shared" si="33"/>
        <v/>
      </c>
      <c r="X38" s="111" t="b">
        <f t="shared" si="34"/>
        <v>0</v>
      </c>
      <c r="Y38" s="111" t="b">
        <f t="shared" si="35"/>
        <v>1</v>
      </c>
      <c r="Z38" s="106">
        <f t="shared" si="36"/>
        <v>0</v>
      </c>
      <c r="AA38" s="111" t="str">
        <f t="shared" si="37"/>
        <v/>
      </c>
      <c r="AB38" s="111" t="b">
        <f t="shared" si="38"/>
        <v>0</v>
      </c>
      <c r="AC38" s="111" t="b">
        <f t="shared" si="39"/>
        <v>1</v>
      </c>
      <c r="AD38" s="111" t="b">
        <f t="shared" si="40"/>
        <v>0</v>
      </c>
      <c r="AE38" s="106">
        <f t="shared" si="41"/>
        <v>0</v>
      </c>
      <c r="AF38" s="106">
        <f t="shared" si="49"/>
        <v>7200</v>
      </c>
      <c r="AG38" s="106">
        <f t="shared" si="42"/>
        <v>2</v>
      </c>
      <c r="AH38" s="106">
        <f t="shared" si="43"/>
        <v>2</v>
      </c>
      <c r="AI38" s="106">
        <f t="shared" si="44"/>
        <v>0</v>
      </c>
      <c r="AJ38" s="106">
        <f t="shared" si="45"/>
        <v>0</v>
      </c>
      <c r="AK38" s="106">
        <f t="shared" si="46"/>
        <v>0</v>
      </c>
      <c r="AL38" s="106">
        <f t="shared" si="47"/>
        <v>-2</v>
      </c>
      <c r="AM38" s="100" t="str">
        <f t="shared" si="48"/>
        <v>-02°00'00.00 [-02°00.00]  (-02.0000°)</v>
      </c>
    </row>
    <row r="39" spans="3:39" ht="14.25" thickTop="1" thickBot="1" x14ac:dyDescent="0.25">
      <c r="C39" s="1147" t="s">
        <v>220</v>
      </c>
      <c r="D39" s="1148"/>
      <c r="E39" s="1149"/>
      <c r="F39" s="1144" t="str">
        <f t="shared" si="20"/>
        <v>-02°59'24.00 [-02°59.40]  (-02.9900°)</v>
      </c>
      <c r="G39" s="1145"/>
      <c r="H39" s="1146"/>
      <c r="I39" s="109" cm="1">
        <f t="array" ref="I39">angleConvert2Decimal(C39)</f>
        <v>0</v>
      </c>
      <c r="J39" s="109" t="str" cm="1">
        <f t="array" ref="J39">angleDecimal2Txt(I39)</f>
        <v>+00°00.00 (+00.0000) [+00°00'00.00]</v>
      </c>
      <c r="K39" s="110" t="str">
        <f t="shared" si="50"/>
        <v>-2.99</v>
      </c>
      <c r="L39" s="99" t="str">
        <f t="shared" si="22"/>
        <v>-02°59'24.00 [-02°59.40]  (-02.9900°)</v>
      </c>
      <c r="M39" s="100">
        <f t="shared" si="23"/>
        <v>-2.99</v>
      </c>
      <c r="N39" s="111">
        <f t="shared" si="24"/>
        <v>-1</v>
      </c>
      <c r="O39" s="111" t="str">
        <f t="shared" si="25"/>
        <v>-</v>
      </c>
      <c r="P39" s="111" t="str">
        <f t="shared" si="26"/>
        <v>2.99</v>
      </c>
      <c r="Q39" s="111" t="b">
        <f t="shared" si="27"/>
        <v>0</v>
      </c>
      <c r="R39" s="111" t="b">
        <f t="shared" si="28"/>
        <v>0</v>
      </c>
      <c r="S39" s="111" t="b">
        <f t="shared" si="29"/>
        <v>0</v>
      </c>
      <c r="T39" s="111" t="b">
        <f t="shared" si="30"/>
        <v>1</v>
      </c>
      <c r="U39" s="111" t="b">
        <f t="shared" si="31"/>
        <v>1</v>
      </c>
      <c r="V39" s="106">
        <f t="shared" si="32"/>
        <v>2.99</v>
      </c>
      <c r="W39" s="111" t="str">
        <f t="shared" si="33"/>
        <v/>
      </c>
      <c r="X39" s="111" t="b">
        <f t="shared" si="34"/>
        <v>0</v>
      </c>
      <c r="Y39" s="111" t="b">
        <f t="shared" si="35"/>
        <v>1</v>
      </c>
      <c r="Z39" s="106">
        <f t="shared" si="36"/>
        <v>0</v>
      </c>
      <c r="AA39" s="111" t="str">
        <f t="shared" si="37"/>
        <v/>
      </c>
      <c r="AB39" s="111" t="b">
        <f t="shared" si="38"/>
        <v>0</v>
      </c>
      <c r="AC39" s="111" t="b">
        <f t="shared" si="39"/>
        <v>1</v>
      </c>
      <c r="AD39" s="111" t="b">
        <f t="shared" si="40"/>
        <v>0</v>
      </c>
      <c r="AE39" s="106">
        <f t="shared" si="41"/>
        <v>0</v>
      </c>
      <c r="AF39" s="106">
        <f t="shared" si="49"/>
        <v>10764</v>
      </c>
      <c r="AG39" s="106">
        <f t="shared" si="42"/>
        <v>2.99</v>
      </c>
      <c r="AH39" s="106">
        <f t="shared" si="43"/>
        <v>2</v>
      </c>
      <c r="AI39" s="106">
        <f t="shared" si="44"/>
        <v>59.4</v>
      </c>
      <c r="AJ39" s="106">
        <f t="shared" si="45"/>
        <v>59</v>
      </c>
      <c r="AK39" s="106">
        <f t="shared" si="46"/>
        <v>24</v>
      </c>
      <c r="AL39" s="106">
        <f t="shared" si="47"/>
        <v>-2.99</v>
      </c>
      <c r="AM39" s="100" t="str">
        <f t="shared" si="48"/>
        <v>-02°59'24.00 [-02°59.40]  (-02.9900°)</v>
      </c>
    </row>
    <row r="40" spans="3:39" ht="14.25" thickTop="1" thickBot="1" x14ac:dyDescent="0.25">
      <c r="C40" s="1141" t="s">
        <v>221</v>
      </c>
      <c r="D40" s="1153"/>
      <c r="E40" s="1154"/>
      <c r="F40" s="1144" t="str">
        <f t="shared" si="20"/>
        <v>-02°56'56.00 [-02°56.93]  (-02.9489°)</v>
      </c>
      <c r="G40" s="1145"/>
      <c r="H40" s="1146"/>
      <c r="I40" s="109" cm="1">
        <f t="array" ref="I40">angleConvert2Decimal(C40)</f>
        <v>-2.9488888888888889</v>
      </c>
      <c r="J40" s="109" t="str" cm="1">
        <f t="array" ref="J40">angleDecimal2Txt(I40)</f>
        <v>-02°56.93 (-02.9488) [-02°56'56.00]</v>
      </c>
      <c r="K40" s="110" t="str">
        <f t="shared" si="50"/>
        <v>-2°56'56"</v>
      </c>
      <c r="L40" s="99" t="str">
        <f t="shared" si="22"/>
        <v>-02°56'56.00 [-02°56.93]  (-02.9489°)</v>
      </c>
      <c r="M40" s="100">
        <f t="shared" si="23"/>
        <v>-2.9488888888888889</v>
      </c>
      <c r="N40" s="111">
        <f t="shared" si="24"/>
        <v>-1</v>
      </c>
      <c r="O40" s="111" t="str">
        <f t="shared" si="25"/>
        <v>-</v>
      </c>
      <c r="P40" s="111" t="str">
        <f t="shared" si="26"/>
        <v>2°56'56"</v>
      </c>
      <c r="Q40" s="111" t="b">
        <f t="shared" si="27"/>
        <v>1</v>
      </c>
      <c r="R40" s="111" t="b">
        <f t="shared" si="28"/>
        <v>1</v>
      </c>
      <c r="S40" s="111" t="b">
        <f t="shared" si="29"/>
        <v>1</v>
      </c>
      <c r="T40" s="111" t="b">
        <f t="shared" si="30"/>
        <v>0</v>
      </c>
      <c r="U40" s="111" t="b">
        <f t="shared" si="31"/>
        <v>1</v>
      </c>
      <c r="V40" s="106" t="str">
        <f t="shared" si="32"/>
        <v>2</v>
      </c>
      <c r="W40" s="111" t="str">
        <f t="shared" si="33"/>
        <v>56'56"</v>
      </c>
      <c r="X40" s="111" t="b">
        <f t="shared" si="34"/>
        <v>1</v>
      </c>
      <c r="Y40" s="111" t="b">
        <f t="shared" si="35"/>
        <v>0</v>
      </c>
      <c r="Z40" s="106">
        <f t="shared" si="36"/>
        <v>56</v>
      </c>
      <c r="AA40" s="111" t="str">
        <f t="shared" si="37"/>
        <v>56"</v>
      </c>
      <c r="AB40" s="111" t="b">
        <f t="shared" si="38"/>
        <v>1</v>
      </c>
      <c r="AC40" s="111" t="b">
        <f t="shared" si="39"/>
        <v>0</v>
      </c>
      <c r="AD40" s="111" t="b">
        <f t="shared" si="40"/>
        <v>0</v>
      </c>
      <c r="AE40" s="106">
        <f t="shared" si="41"/>
        <v>56</v>
      </c>
      <c r="AF40" s="106">
        <f t="shared" si="49"/>
        <v>10616</v>
      </c>
      <c r="AG40" s="106">
        <f t="shared" si="42"/>
        <v>2.9488888888888889</v>
      </c>
      <c r="AH40" s="106">
        <f t="shared" si="43"/>
        <v>2</v>
      </c>
      <c r="AI40" s="106">
        <f t="shared" si="44"/>
        <v>56.93333333333333</v>
      </c>
      <c r="AJ40" s="106">
        <f t="shared" si="45"/>
        <v>56</v>
      </c>
      <c r="AK40" s="106">
        <f t="shared" si="46"/>
        <v>56</v>
      </c>
      <c r="AL40" s="106">
        <f t="shared" si="47"/>
        <v>-2.9488888888888889</v>
      </c>
      <c r="AM40" s="100" t="str">
        <f t="shared" si="48"/>
        <v>-02°56'56.00 [-02°56.93]  (-02.9489°)</v>
      </c>
    </row>
    <row r="41" spans="3:39" ht="14.25" thickTop="1" thickBot="1" x14ac:dyDescent="0.25">
      <c r="C41" s="1141" t="s">
        <v>222</v>
      </c>
      <c r="D41" s="1153"/>
      <c r="E41" s="1154"/>
      <c r="F41" s="1144" t="str">
        <f t="shared" si="20"/>
        <v>-02°56'56.99 [-02°56.95]  (-02.9492°)</v>
      </c>
      <c r="G41" s="1145"/>
      <c r="H41" s="1146"/>
      <c r="I41" s="109" cm="1">
        <f t="array" ref="I41">angleConvert2Decimal(C41)</f>
        <v>-2.9491638888888891</v>
      </c>
      <c r="J41" s="109" t="str" cm="1">
        <f t="array" ref="J41">angleDecimal2Txt(I41)</f>
        <v>-02°56.94 (-02.9491) [-02°56'56.99]</v>
      </c>
      <c r="K41" s="110" t="str">
        <f t="shared" si="50"/>
        <v>-2°56'56.99"</v>
      </c>
      <c r="L41" s="99" t="str">
        <f t="shared" si="22"/>
        <v>-02°56'56.99 [-02°56.95]  (-02.9492°)</v>
      </c>
      <c r="M41" s="100">
        <f t="shared" si="23"/>
        <v>-2.9491638888888887</v>
      </c>
      <c r="N41" s="111">
        <f t="shared" si="24"/>
        <v>-1</v>
      </c>
      <c r="O41" s="111" t="str">
        <f t="shared" si="25"/>
        <v>-</v>
      </c>
      <c r="P41" s="111" t="str">
        <f t="shared" si="26"/>
        <v>2°56'56.99"</v>
      </c>
      <c r="Q41" s="111" t="b">
        <f t="shared" si="27"/>
        <v>1</v>
      </c>
      <c r="R41" s="111" t="b">
        <f t="shared" si="28"/>
        <v>1</v>
      </c>
      <c r="S41" s="111" t="b">
        <f t="shared" si="29"/>
        <v>1</v>
      </c>
      <c r="T41" s="111" t="b">
        <f t="shared" si="30"/>
        <v>0</v>
      </c>
      <c r="U41" s="111" t="b">
        <f t="shared" si="31"/>
        <v>1</v>
      </c>
      <c r="V41" s="106" t="str">
        <f t="shared" si="32"/>
        <v>2</v>
      </c>
      <c r="W41" s="111" t="str">
        <f t="shared" si="33"/>
        <v>56'56.99"</v>
      </c>
      <c r="X41" s="111" t="b">
        <f t="shared" si="34"/>
        <v>1</v>
      </c>
      <c r="Y41" s="111" t="b">
        <f t="shared" si="35"/>
        <v>0</v>
      </c>
      <c r="Z41" s="106">
        <f t="shared" si="36"/>
        <v>56</v>
      </c>
      <c r="AA41" s="111" t="str">
        <f t="shared" si="37"/>
        <v>56.99"</v>
      </c>
      <c r="AB41" s="111" t="b">
        <f t="shared" si="38"/>
        <v>1</v>
      </c>
      <c r="AC41" s="111" t="b">
        <f t="shared" si="39"/>
        <v>0</v>
      </c>
      <c r="AD41" s="111" t="b">
        <f t="shared" si="40"/>
        <v>1</v>
      </c>
      <c r="AE41" s="106">
        <f t="shared" si="41"/>
        <v>56.99</v>
      </c>
      <c r="AF41" s="106">
        <f t="shared" si="49"/>
        <v>10616.99</v>
      </c>
      <c r="AG41" s="106">
        <f t="shared" si="42"/>
        <v>2.9491638888888887</v>
      </c>
      <c r="AH41" s="106">
        <f t="shared" si="43"/>
        <v>2</v>
      </c>
      <c r="AI41" s="106">
        <f t="shared" si="44"/>
        <v>56.949833333333331</v>
      </c>
      <c r="AJ41" s="106">
        <f t="shared" si="45"/>
        <v>56</v>
      </c>
      <c r="AK41" s="106">
        <f t="shared" si="46"/>
        <v>56.989999999999782</v>
      </c>
      <c r="AL41" s="106">
        <f t="shared" si="47"/>
        <v>-2.9491638888888887</v>
      </c>
      <c r="AM41" s="100" t="str">
        <f t="shared" si="48"/>
        <v>-02°56'56.99 [-02°56.95]  (-02.9492°)</v>
      </c>
    </row>
    <row r="42" spans="3:39" ht="14.25" thickTop="1" thickBot="1" x14ac:dyDescent="0.25">
      <c r="C42" s="1141" t="s">
        <v>223</v>
      </c>
      <c r="D42" s="1153"/>
      <c r="E42" s="1154"/>
      <c r="F42" s="1144" t="str">
        <f t="shared" si="20"/>
        <v>-02°56'59.94 [-02°57.00]  (-02.9500°)</v>
      </c>
      <c r="G42" s="1145"/>
      <c r="H42" s="1146"/>
      <c r="I42" s="109" cm="1">
        <f t="array" ref="I42">angleConvert2Decimal(C42)</f>
        <v>-2.9499833333333334</v>
      </c>
      <c r="J42" s="109" t="str" cm="1">
        <f t="array" ref="J42">angleDecimal2Txt(I42)</f>
        <v>-02°56.99 (-02.9499) [-02°56'59.94]</v>
      </c>
      <c r="K42" s="110" t="str">
        <f t="shared" si="50"/>
        <v>-2°56.999'</v>
      </c>
      <c r="L42" s="99" t="str">
        <f t="shared" si="22"/>
        <v>-02°56'59.94 [-02°57.00]  (-02.9500°)</v>
      </c>
      <c r="M42" s="100">
        <f t="shared" si="23"/>
        <v>-2.9499833333333334</v>
      </c>
      <c r="N42" s="111">
        <f t="shared" si="24"/>
        <v>-1</v>
      </c>
      <c r="O42" s="111" t="str">
        <f t="shared" si="25"/>
        <v>-</v>
      </c>
      <c r="P42" s="111" t="str">
        <f t="shared" si="26"/>
        <v>2°56.999'</v>
      </c>
      <c r="Q42" s="111" t="b">
        <f t="shared" si="27"/>
        <v>1</v>
      </c>
      <c r="R42" s="111" t="b">
        <f t="shared" si="28"/>
        <v>1</v>
      </c>
      <c r="S42" s="111" t="b">
        <f t="shared" si="29"/>
        <v>0</v>
      </c>
      <c r="T42" s="111" t="b">
        <f t="shared" si="30"/>
        <v>0</v>
      </c>
      <c r="U42" s="111" t="b">
        <f t="shared" si="31"/>
        <v>1</v>
      </c>
      <c r="V42" s="106" t="str">
        <f t="shared" si="32"/>
        <v>2</v>
      </c>
      <c r="W42" s="111" t="str">
        <f t="shared" si="33"/>
        <v>56.999'</v>
      </c>
      <c r="X42" s="111" t="b">
        <f t="shared" si="34"/>
        <v>1</v>
      </c>
      <c r="Y42" s="111" t="b">
        <f t="shared" si="35"/>
        <v>0</v>
      </c>
      <c r="Z42" s="106">
        <f t="shared" si="36"/>
        <v>56.999000000000002</v>
      </c>
      <c r="AA42" s="111" t="str">
        <f t="shared" si="37"/>
        <v/>
      </c>
      <c r="AB42" s="111" t="b">
        <f t="shared" si="38"/>
        <v>0</v>
      </c>
      <c r="AC42" s="111" t="b">
        <f t="shared" si="39"/>
        <v>1</v>
      </c>
      <c r="AD42" s="111" t="b">
        <f t="shared" si="40"/>
        <v>0</v>
      </c>
      <c r="AE42" s="106">
        <f t="shared" si="41"/>
        <v>0</v>
      </c>
      <c r="AF42" s="106">
        <f t="shared" si="49"/>
        <v>10619.94</v>
      </c>
      <c r="AG42" s="106">
        <f t="shared" si="42"/>
        <v>2.9499833333333334</v>
      </c>
      <c r="AH42" s="106">
        <f t="shared" si="43"/>
        <v>2</v>
      </c>
      <c r="AI42" s="106">
        <f t="shared" si="44"/>
        <v>56.999000000000009</v>
      </c>
      <c r="AJ42" s="106">
        <f t="shared" si="45"/>
        <v>56</v>
      </c>
      <c r="AK42" s="106">
        <f t="shared" si="46"/>
        <v>59.940000000000509</v>
      </c>
      <c r="AL42" s="106">
        <f t="shared" si="47"/>
        <v>-2.9499833333333334</v>
      </c>
      <c r="AM42" s="100" t="str">
        <f t="shared" si="48"/>
        <v>-02°56'59.94 [-02°57.00]  (-02.9500°)</v>
      </c>
    </row>
    <row r="43" spans="3:39" ht="14.25" thickTop="1" thickBot="1" x14ac:dyDescent="0.25">
      <c r="C43" s="1141" t="s">
        <v>224</v>
      </c>
      <c r="D43" s="1153"/>
      <c r="E43" s="1154"/>
      <c r="F43" s="1144" t="str">
        <f t="shared" si="20"/>
        <v>-02°56'59.94 [-02°57.00]  (-02.9500°)</v>
      </c>
      <c r="G43" s="1145"/>
      <c r="H43" s="1146"/>
      <c r="I43" s="109" cm="1">
        <f t="array" ref="I43">angleConvert2Decimal(C43)</f>
        <v>-2.9499833333333334</v>
      </c>
      <c r="J43" s="109" t="str" cm="1">
        <f t="array" ref="J43">angleDecimal2Txt(I43)</f>
        <v>-02°56.99 (-02.9499) [-02°56'59.94]</v>
      </c>
      <c r="K43" s="110" t="str">
        <f t="shared" si="50"/>
        <v>-2°56.999</v>
      </c>
      <c r="L43" s="99" t="str">
        <f t="shared" si="22"/>
        <v>-02°56'59.94 [-02°57.00]  (-02.9500°)</v>
      </c>
      <c r="M43" s="100">
        <f t="shared" si="23"/>
        <v>-2.9499833333333334</v>
      </c>
      <c r="N43" s="111">
        <f t="shared" si="24"/>
        <v>-1</v>
      </c>
      <c r="O43" s="111" t="str">
        <f t="shared" si="25"/>
        <v>-</v>
      </c>
      <c r="P43" s="111" t="str">
        <f t="shared" si="26"/>
        <v>2°56.999</v>
      </c>
      <c r="Q43" s="111" t="b">
        <f t="shared" si="27"/>
        <v>1</v>
      </c>
      <c r="R43" s="111" t="b">
        <f t="shared" si="28"/>
        <v>0</v>
      </c>
      <c r="S43" s="111" t="b">
        <f t="shared" si="29"/>
        <v>0</v>
      </c>
      <c r="T43" s="111" t="b">
        <f t="shared" si="30"/>
        <v>0</v>
      </c>
      <c r="U43" s="111" t="b">
        <f t="shared" si="31"/>
        <v>1</v>
      </c>
      <c r="V43" s="106" t="str">
        <f t="shared" si="32"/>
        <v>2</v>
      </c>
      <c r="W43" s="111" t="str">
        <f t="shared" si="33"/>
        <v>56.999</v>
      </c>
      <c r="X43" s="111" t="b">
        <f t="shared" si="34"/>
        <v>1</v>
      </c>
      <c r="Y43" s="111" t="b">
        <f t="shared" si="35"/>
        <v>1</v>
      </c>
      <c r="Z43" s="106">
        <f t="shared" si="36"/>
        <v>56.999000000000002</v>
      </c>
      <c r="AA43" s="111" t="str">
        <f t="shared" si="37"/>
        <v/>
      </c>
      <c r="AB43" s="111" t="b">
        <f t="shared" si="38"/>
        <v>0</v>
      </c>
      <c r="AC43" s="111" t="b">
        <f t="shared" si="39"/>
        <v>1</v>
      </c>
      <c r="AD43" s="111" t="b">
        <f t="shared" si="40"/>
        <v>0</v>
      </c>
      <c r="AE43" s="106">
        <f t="shared" si="41"/>
        <v>0</v>
      </c>
      <c r="AF43" s="106">
        <f t="shared" si="49"/>
        <v>10619.94</v>
      </c>
      <c r="AG43" s="106">
        <f t="shared" si="42"/>
        <v>2.9499833333333334</v>
      </c>
      <c r="AH43" s="106">
        <f t="shared" si="43"/>
        <v>2</v>
      </c>
      <c r="AI43" s="106">
        <f t="shared" si="44"/>
        <v>56.999000000000009</v>
      </c>
      <c r="AJ43" s="106">
        <f t="shared" si="45"/>
        <v>56</v>
      </c>
      <c r="AK43" s="106">
        <f t="shared" si="46"/>
        <v>59.940000000000509</v>
      </c>
      <c r="AL43" s="106">
        <f t="shared" si="47"/>
        <v>-2.9499833333333334</v>
      </c>
      <c r="AM43" s="100" t="str">
        <f t="shared" si="48"/>
        <v>-02°56'59.94 [-02°57.00]  (-02.9500°)</v>
      </c>
    </row>
    <row r="44" spans="3:39" ht="14.25" thickTop="1" thickBot="1" x14ac:dyDescent="0.25">
      <c r="C44" s="1141" t="s">
        <v>225</v>
      </c>
      <c r="D44" s="1153"/>
      <c r="E44" s="1154"/>
      <c r="F44" s="1144" t="str">
        <f t="shared" si="20"/>
        <v>-02°59'59.64 [-02°59.99]  (-02.9999°)</v>
      </c>
      <c r="G44" s="1145"/>
      <c r="H44" s="1146"/>
      <c r="I44" s="109" cm="1">
        <f t="array" ref="I44">angleConvert2Decimal(C44)</f>
        <v>-2.9998999999999998</v>
      </c>
      <c r="J44" s="109" t="str" cm="1">
        <f t="array" ref="J44">angleDecimal2Txt(I44)</f>
        <v>-02°59.99 (-02.9998) [-02°59'59.63]</v>
      </c>
      <c r="K44" s="110" t="str">
        <f t="shared" si="50"/>
        <v>-2.9999°</v>
      </c>
      <c r="L44" s="99" t="str">
        <f t="shared" si="22"/>
        <v>-02°59'59.64 [-02°59.99]  (-02.9999°)</v>
      </c>
      <c r="M44" s="100">
        <f t="shared" si="23"/>
        <v>-2.9998999999999998</v>
      </c>
      <c r="N44" s="111">
        <f t="shared" si="24"/>
        <v>-1</v>
      </c>
      <c r="O44" s="111" t="str">
        <f t="shared" si="25"/>
        <v>-</v>
      </c>
      <c r="P44" s="111" t="str">
        <f t="shared" si="26"/>
        <v>2.9999°</v>
      </c>
      <c r="Q44" s="111" t="b">
        <f t="shared" si="27"/>
        <v>1</v>
      </c>
      <c r="R44" s="111" t="b">
        <f t="shared" si="28"/>
        <v>0</v>
      </c>
      <c r="S44" s="111" t="b">
        <f t="shared" si="29"/>
        <v>0</v>
      </c>
      <c r="T44" s="111" t="b">
        <f t="shared" si="30"/>
        <v>0</v>
      </c>
      <c r="U44" s="111" t="b">
        <f t="shared" si="31"/>
        <v>1</v>
      </c>
      <c r="V44" s="106" t="str">
        <f t="shared" si="32"/>
        <v>2.9999</v>
      </c>
      <c r="W44" s="111" t="str">
        <f t="shared" si="33"/>
        <v/>
      </c>
      <c r="X44" s="111" t="b">
        <f t="shared" si="34"/>
        <v>0</v>
      </c>
      <c r="Y44" s="111" t="b">
        <f t="shared" si="35"/>
        <v>1</v>
      </c>
      <c r="Z44" s="106">
        <f t="shared" si="36"/>
        <v>0</v>
      </c>
      <c r="AA44" s="111" t="str">
        <f t="shared" si="37"/>
        <v/>
      </c>
      <c r="AB44" s="111" t="b">
        <f t="shared" si="38"/>
        <v>0</v>
      </c>
      <c r="AC44" s="111" t="b">
        <f t="shared" si="39"/>
        <v>1</v>
      </c>
      <c r="AD44" s="111" t="b">
        <f t="shared" si="40"/>
        <v>0</v>
      </c>
      <c r="AE44" s="106">
        <f t="shared" si="41"/>
        <v>0</v>
      </c>
      <c r="AF44" s="106">
        <f t="shared" si="49"/>
        <v>10799.64</v>
      </c>
      <c r="AG44" s="106">
        <f t="shared" si="42"/>
        <v>2.9998999999999998</v>
      </c>
      <c r="AH44" s="106">
        <f t="shared" si="43"/>
        <v>2</v>
      </c>
      <c r="AI44" s="106">
        <f t="shared" si="44"/>
        <v>59.993999999999993</v>
      </c>
      <c r="AJ44" s="106">
        <f t="shared" si="45"/>
        <v>59</v>
      </c>
      <c r="AK44" s="106">
        <f t="shared" si="46"/>
        <v>59.639999999999418</v>
      </c>
      <c r="AL44" s="106">
        <f t="shared" si="47"/>
        <v>-2.9998999999999998</v>
      </c>
      <c r="AM44" s="100" t="str">
        <f t="shared" si="48"/>
        <v>-02°59'59.64 [-02°59.99]  (-02.9999°)</v>
      </c>
    </row>
    <row r="45" spans="3:39" ht="14.25" thickTop="1" thickBot="1" x14ac:dyDescent="0.25">
      <c r="C45" s="1150" t="s">
        <v>226</v>
      </c>
      <c r="D45" s="1151"/>
      <c r="E45" s="1152"/>
      <c r="F45" s="1144" t="str">
        <f t="shared" si="20"/>
        <v>-00°56'56.00 [-00°56.93]  (-00.9489°)</v>
      </c>
      <c r="G45" s="1145"/>
      <c r="H45" s="1146"/>
      <c r="I45" s="109" cm="1">
        <f t="array" ref="I45">angleConvert2Decimal(C45)</f>
        <v>-0.94888888888888889</v>
      </c>
      <c r="J45" s="109" t="str" cm="1">
        <f t="array" ref="J45">angleDecimal2Txt(I45)</f>
        <v>-00°56.93 (-00.9488) [-00°56'56.00]</v>
      </c>
      <c r="K45" s="110" t="str">
        <f t="shared" si="50"/>
        <v>-56'56"</v>
      </c>
      <c r="L45" s="99" t="str">
        <f t="shared" si="22"/>
        <v>-00°56'56.00 [-00°56.93]  (-00.9489°)</v>
      </c>
      <c r="M45" s="100">
        <f t="shared" si="23"/>
        <v>-0.94888888888888889</v>
      </c>
      <c r="N45" s="111">
        <f t="shared" si="24"/>
        <v>-1</v>
      </c>
      <c r="O45" s="111" t="str">
        <f t="shared" si="25"/>
        <v>-</v>
      </c>
      <c r="P45" s="111" t="str">
        <f t="shared" si="26"/>
        <v>56'56"</v>
      </c>
      <c r="Q45" s="111" t="b">
        <f t="shared" si="27"/>
        <v>0</v>
      </c>
      <c r="R45" s="111" t="b">
        <f t="shared" si="28"/>
        <v>1</v>
      </c>
      <c r="S45" s="111" t="b">
        <f t="shared" si="29"/>
        <v>1</v>
      </c>
      <c r="T45" s="111" t="b">
        <f t="shared" si="30"/>
        <v>0</v>
      </c>
      <c r="U45" s="111" t="b">
        <f t="shared" si="31"/>
        <v>0</v>
      </c>
      <c r="V45" s="106">
        <f t="shared" si="32"/>
        <v>0</v>
      </c>
      <c r="W45" s="111" t="str">
        <f t="shared" si="33"/>
        <v>56'56"</v>
      </c>
      <c r="X45" s="111" t="b">
        <f t="shared" si="34"/>
        <v>1</v>
      </c>
      <c r="Y45" s="111" t="b">
        <f t="shared" si="35"/>
        <v>0</v>
      </c>
      <c r="Z45" s="106">
        <f t="shared" si="36"/>
        <v>56</v>
      </c>
      <c r="AA45" s="111" t="str">
        <f t="shared" si="37"/>
        <v>56"</v>
      </c>
      <c r="AB45" s="111" t="b">
        <f t="shared" si="38"/>
        <v>1</v>
      </c>
      <c r="AC45" s="111" t="b">
        <f t="shared" si="39"/>
        <v>0</v>
      </c>
      <c r="AD45" s="111" t="b">
        <f t="shared" si="40"/>
        <v>0</v>
      </c>
      <c r="AE45" s="106">
        <f t="shared" si="41"/>
        <v>56</v>
      </c>
      <c r="AF45" s="106">
        <f t="shared" si="49"/>
        <v>3416</v>
      </c>
      <c r="AG45" s="106">
        <f t="shared" si="42"/>
        <v>0.94888888888888889</v>
      </c>
      <c r="AH45" s="106">
        <f t="shared" si="43"/>
        <v>0</v>
      </c>
      <c r="AI45" s="106">
        <f t="shared" si="44"/>
        <v>56.93333333333333</v>
      </c>
      <c r="AJ45" s="106">
        <f t="shared" si="45"/>
        <v>56</v>
      </c>
      <c r="AK45" s="106">
        <f t="shared" si="46"/>
        <v>56</v>
      </c>
      <c r="AL45" s="106">
        <f t="shared" si="47"/>
        <v>-0.94888888888888889</v>
      </c>
      <c r="AM45" s="100" t="str">
        <f t="shared" si="48"/>
        <v>-00°56'56.00 [-00°56.93]  (-00.9489°)</v>
      </c>
    </row>
    <row r="46" spans="3:39" ht="14.25" thickTop="1" thickBot="1" x14ac:dyDescent="0.25">
      <c r="C46" s="1150" t="s">
        <v>227</v>
      </c>
      <c r="D46" s="1151"/>
      <c r="E46" s="1152"/>
      <c r="F46" s="1144" t="str">
        <f t="shared" si="20"/>
        <v>-00°56'56.99 [-00°56.95]  (-00.9492°)</v>
      </c>
      <c r="G46" s="1145"/>
      <c r="H46" s="1146"/>
      <c r="I46" s="109" cm="1">
        <f t="array" ref="I46">angleConvert2Decimal(C46)</f>
        <v>0</v>
      </c>
      <c r="J46" s="109" t="str" cm="1">
        <f t="array" ref="J46">angleDecimal2Txt(I46)</f>
        <v>+00°00.00 (+00.0000) [+00°00'00.00]</v>
      </c>
      <c r="K46" s="110" t="str">
        <f t="shared" si="50"/>
        <v>-56'56.99"</v>
      </c>
      <c r="L46" s="99" t="str">
        <f t="shared" si="22"/>
        <v>-00°56'56.99 [-00°56.95]  (-00.9492°)</v>
      </c>
      <c r="M46" s="100">
        <f t="shared" si="23"/>
        <v>-0.94916388888888881</v>
      </c>
      <c r="N46" s="111">
        <f t="shared" si="24"/>
        <v>-1</v>
      </c>
      <c r="O46" s="111" t="str">
        <f t="shared" si="25"/>
        <v>-</v>
      </c>
      <c r="P46" s="111" t="str">
        <f t="shared" si="26"/>
        <v>56'56.99"</v>
      </c>
      <c r="Q46" s="111" t="b">
        <f t="shared" si="27"/>
        <v>0</v>
      </c>
      <c r="R46" s="111" t="b">
        <f t="shared" si="28"/>
        <v>1</v>
      </c>
      <c r="S46" s="111" t="b">
        <f t="shared" si="29"/>
        <v>1</v>
      </c>
      <c r="T46" s="111" t="b">
        <f t="shared" si="30"/>
        <v>0</v>
      </c>
      <c r="U46" s="111" t="b">
        <f t="shared" si="31"/>
        <v>0</v>
      </c>
      <c r="V46" s="106">
        <f t="shared" si="32"/>
        <v>0</v>
      </c>
      <c r="W46" s="111" t="str">
        <f t="shared" si="33"/>
        <v>56'56.99"</v>
      </c>
      <c r="X46" s="111" t="b">
        <f t="shared" si="34"/>
        <v>1</v>
      </c>
      <c r="Y46" s="111" t="b">
        <f t="shared" si="35"/>
        <v>0</v>
      </c>
      <c r="Z46" s="106">
        <f t="shared" si="36"/>
        <v>56</v>
      </c>
      <c r="AA46" s="111" t="str">
        <f t="shared" si="37"/>
        <v>56.99"</v>
      </c>
      <c r="AB46" s="111" t="b">
        <f t="shared" si="38"/>
        <v>1</v>
      </c>
      <c r="AC46" s="111" t="b">
        <f t="shared" si="39"/>
        <v>0</v>
      </c>
      <c r="AD46" s="111" t="b">
        <f t="shared" si="40"/>
        <v>1</v>
      </c>
      <c r="AE46" s="106">
        <f t="shared" si="41"/>
        <v>56.99</v>
      </c>
      <c r="AF46" s="106">
        <f t="shared" si="49"/>
        <v>3416.99</v>
      </c>
      <c r="AG46" s="106">
        <f t="shared" si="42"/>
        <v>0.94916388888888881</v>
      </c>
      <c r="AH46" s="106">
        <f t="shared" si="43"/>
        <v>0</v>
      </c>
      <c r="AI46" s="106">
        <f t="shared" si="44"/>
        <v>56.949833333333331</v>
      </c>
      <c r="AJ46" s="106">
        <f t="shared" si="45"/>
        <v>56</v>
      </c>
      <c r="AK46" s="106">
        <f t="shared" si="46"/>
        <v>56.989999999999782</v>
      </c>
      <c r="AL46" s="106">
        <f t="shared" si="47"/>
        <v>-0.94916388888888881</v>
      </c>
      <c r="AM46" s="100" t="str">
        <f t="shared" si="48"/>
        <v>-00°56'56.99 [-00°56.95]  (-00.9492°)</v>
      </c>
    </row>
    <row r="47" spans="3:39" ht="14.25" thickTop="1" thickBot="1" x14ac:dyDescent="0.25">
      <c r="C47" s="1150" t="s">
        <v>228</v>
      </c>
      <c r="D47" s="1151"/>
      <c r="E47" s="1152"/>
      <c r="F47" s="1144" t="str">
        <f t="shared" si="20"/>
        <v>-00°56'59.94 [-00°57.00]  (-00.9500°)</v>
      </c>
      <c r="G47" s="1145"/>
      <c r="H47" s="1146"/>
      <c r="I47" s="109" cm="1">
        <f t="array" ref="I47">angleConvert2Decimal(C47)</f>
        <v>0</v>
      </c>
      <c r="J47" s="109" t="str" cm="1">
        <f t="array" ref="J47">angleDecimal2Txt(I47)</f>
        <v>+00°00.00 (+00.0000) [+00°00'00.00]</v>
      </c>
      <c r="K47" s="110" t="str">
        <f t="shared" si="50"/>
        <v>-56.999'</v>
      </c>
      <c r="L47" s="99" t="str">
        <f t="shared" si="22"/>
        <v>-00°56'59.94 [-00°57.00]  (-00.9500°)</v>
      </c>
      <c r="M47" s="100">
        <f t="shared" si="23"/>
        <v>-0.9499833333333334</v>
      </c>
      <c r="N47" s="111">
        <f t="shared" si="24"/>
        <v>-1</v>
      </c>
      <c r="O47" s="111" t="str">
        <f t="shared" si="25"/>
        <v>-</v>
      </c>
      <c r="P47" s="111" t="str">
        <f t="shared" si="26"/>
        <v>56.999'</v>
      </c>
      <c r="Q47" s="111" t="b">
        <f t="shared" si="27"/>
        <v>0</v>
      </c>
      <c r="R47" s="111" t="b">
        <f t="shared" si="28"/>
        <v>1</v>
      </c>
      <c r="S47" s="111" t="b">
        <f t="shared" si="29"/>
        <v>0</v>
      </c>
      <c r="T47" s="111" t="b">
        <f t="shared" si="30"/>
        <v>0</v>
      </c>
      <c r="U47" s="111" t="b">
        <f t="shared" si="31"/>
        <v>0</v>
      </c>
      <c r="V47" s="106">
        <f t="shared" si="32"/>
        <v>0</v>
      </c>
      <c r="W47" s="111" t="str">
        <f t="shared" si="33"/>
        <v>56.999'</v>
      </c>
      <c r="X47" s="111" t="b">
        <f t="shared" si="34"/>
        <v>1</v>
      </c>
      <c r="Y47" s="111" t="b">
        <f t="shared" si="35"/>
        <v>0</v>
      </c>
      <c r="Z47" s="106">
        <f t="shared" si="36"/>
        <v>56.999000000000002</v>
      </c>
      <c r="AA47" s="111" t="str">
        <f t="shared" si="37"/>
        <v/>
      </c>
      <c r="AB47" s="111" t="b">
        <f t="shared" si="38"/>
        <v>0</v>
      </c>
      <c r="AC47" s="111" t="b">
        <f t="shared" si="39"/>
        <v>1</v>
      </c>
      <c r="AD47" s="111" t="b">
        <f t="shared" si="40"/>
        <v>0</v>
      </c>
      <c r="AE47" s="106">
        <f t="shared" si="41"/>
        <v>0</v>
      </c>
      <c r="AF47" s="106">
        <f t="shared" si="49"/>
        <v>3419.94</v>
      </c>
      <c r="AG47" s="106">
        <f t="shared" si="42"/>
        <v>0.9499833333333334</v>
      </c>
      <c r="AH47" s="106">
        <f t="shared" si="43"/>
        <v>0</v>
      </c>
      <c r="AI47" s="106">
        <f t="shared" si="44"/>
        <v>56.999000000000002</v>
      </c>
      <c r="AJ47" s="106">
        <f t="shared" si="45"/>
        <v>56</v>
      </c>
      <c r="AK47" s="106">
        <f t="shared" si="46"/>
        <v>59.940000000000055</v>
      </c>
      <c r="AL47" s="106">
        <f t="shared" si="47"/>
        <v>-0.9499833333333334</v>
      </c>
      <c r="AM47" s="100" t="str">
        <f t="shared" si="48"/>
        <v>-00°56'59.94 [-00°57.00]  (-00.9500°)</v>
      </c>
    </row>
    <row r="48" spans="3:39" ht="14.25" thickTop="1" thickBot="1" x14ac:dyDescent="0.25">
      <c r="C48" s="1141" t="s">
        <v>229</v>
      </c>
      <c r="D48" s="1153"/>
      <c r="E48" s="1154"/>
      <c r="F48" s="1144" t="str">
        <f t="shared" si="20"/>
        <v>-00°00'56.00 [-00°00.93]  (-00.0156°)</v>
      </c>
      <c r="G48" s="1145"/>
      <c r="H48" s="1146"/>
      <c r="I48" s="109" cm="1">
        <f t="array" ref="I48">angleConvert2Decimal(C48)</f>
        <v>-1.5555555555555555E-2</v>
      </c>
      <c r="J48" s="109" t="str" cm="1">
        <f t="array" ref="J48">angleDecimal2Txt(I48)</f>
        <v>-00°00.93 (-00.0155) [-00°00'56.00]</v>
      </c>
      <c r="K48" s="110" t="str">
        <f t="shared" si="50"/>
        <v>-56"</v>
      </c>
      <c r="L48" s="99" t="str">
        <f t="shared" si="22"/>
        <v>-00°00'56.00 [-00°00.93]  (-00.0156°)</v>
      </c>
      <c r="M48" s="100">
        <f t="shared" si="23"/>
        <v>-1.5555555555555555E-2</v>
      </c>
      <c r="N48" s="111">
        <f t="shared" si="24"/>
        <v>-1</v>
      </c>
      <c r="O48" s="111" t="str">
        <f t="shared" si="25"/>
        <v>-</v>
      </c>
      <c r="P48" s="111" t="str">
        <f t="shared" si="26"/>
        <v>56"</v>
      </c>
      <c r="Q48" s="111" t="b">
        <f t="shared" si="27"/>
        <v>0</v>
      </c>
      <c r="R48" s="111" t="b">
        <f t="shared" si="28"/>
        <v>0</v>
      </c>
      <c r="S48" s="111" t="b">
        <f t="shared" si="29"/>
        <v>1</v>
      </c>
      <c r="T48" s="111" t="b">
        <f t="shared" si="30"/>
        <v>0</v>
      </c>
      <c r="U48" s="111" t="b">
        <f t="shared" si="31"/>
        <v>0</v>
      </c>
      <c r="V48" s="106">
        <f t="shared" si="32"/>
        <v>0</v>
      </c>
      <c r="W48" s="111" t="str">
        <f t="shared" si="33"/>
        <v>56"</v>
      </c>
      <c r="X48" s="111" t="b">
        <f t="shared" si="34"/>
        <v>1</v>
      </c>
      <c r="Y48" s="111" t="b">
        <f t="shared" si="35"/>
        <v>0</v>
      </c>
      <c r="Z48" s="106">
        <f t="shared" si="36"/>
        <v>0</v>
      </c>
      <c r="AA48" s="111" t="str">
        <f t="shared" si="37"/>
        <v>56"</v>
      </c>
      <c r="AB48" s="111" t="b">
        <f t="shared" si="38"/>
        <v>1</v>
      </c>
      <c r="AC48" s="111" t="b">
        <f t="shared" si="39"/>
        <v>0</v>
      </c>
      <c r="AD48" s="111" t="b">
        <f t="shared" si="40"/>
        <v>0</v>
      </c>
      <c r="AE48" s="106">
        <f t="shared" si="41"/>
        <v>56</v>
      </c>
      <c r="AF48" s="106">
        <f t="shared" si="49"/>
        <v>56</v>
      </c>
      <c r="AG48" s="106">
        <f t="shared" si="42"/>
        <v>1.5555555555555555E-2</v>
      </c>
      <c r="AH48" s="106">
        <f t="shared" si="43"/>
        <v>0</v>
      </c>
      <c r="AI48" s="106">
        <f t="shared" si="44"/>
        <v>0.93333333333333335</v>
      </c>
      <c r="AJ48" s="106">
        <f t="shared" si="45"/>
        <v>0</v>
      </c>
      <c r="AK48" s="106">
        <f t="shared" si="46"/>
        <v>56</v>
      </c>
      <c r="AL48" s="106">
        <f t="shared" si="47"/>
        <v>-1.5555555555555555E-2</v>
      </c>
      <c r="AM48" s="100" t="str">
        <f t="shared" si="48"/>
        <v>-00°00'56.00 [-00°00.93]  (-00.0156°)</v>
      </c>
    </row>
    <row r="49" spans="3:39" ht="14.25" thickTop="1" thickBot="1" x14ac:dyDescent="0.25">
      <c r="C49" s="1141" t="s">
        <v>230</v>
      </c>
      <c r="D49" s="1153"/>
      <c r="E49" s="1154"/>
      <c r="F49" s="1144" t="str">
        <f t="shared" si="20"/>
        <v>-00°00'56.26 [-00°00.94]  (-00.0156°)</v>
      </c>
      <c r="G49" s="1145"/>
      <c r="H49" s="1146"/>
      <c r="I49" s="109" cm="1">
        <f t="array" ref="I49">angleConvert2Decimal(C49)</f>
        <v>0</v>
      </c>
      <c r="J49" s="109" t="str" cm="1">
        <f t="array" ref="J49">angleDecimal2Txt(I49)</f>
        <v>+00°00.00 (+00.0000) [+00°00'00.00]</v>
      </c>
      <c r="K49" s="110" t="str">
        <f t="shared" si="50"/>
        <v>-56.26"</v>
      </c>
      <c r="L49" s="99" t="str">
        <f t="shared" si="22"/>
        <v>-00°00'56.26 [-00°00.94]  (-00.0156°)</v>
      </c>
      <c r="M49" s="100">
        <f t="shared" si="23"/>
        <v>-1.5627777777777779E-2</v>
      </c>
      <c r="N49" s="111">
        <f t="shared" si="24"/>
        <v>-1</v>
      </c>
      <c r="O49" s="111" t="str">
        <f t="shared" si="25"/>
        <v>-</v>
      </c>
      <c r="P49" s="111" t="str">
        <f t="shared" si="26"/>
        <v>56.26"</v>
      </c>
      <c r="Q49" s="111" t="b">
        <f t="shared" si="27"/>
        <v>0</v>
      </c>
      <c r="R49" s="111" t="b">
        <f t="shared" si="28"/>
        <v>0</v>
      </c>
      <c r="S49" s="111" t="b">
        <f t="shared" si="29"/>
        <v>1</v>
      </c>
      <c r="T49" s="111" t="b">
        <f t="shared" si="30"/>
        <v>0</v>
      </c>
      <c r="U49" s="111" t="b">
        <f t="shared" si="31"/>
        <v>0</v>
      </c>
      <c r="V49" s="106">
        <f t="shared" si="32"/>
        <v>0</v>
      </c>
      <c r="W49" s="111" t="str">
        <f t="shared" si="33"/>
        <v>56.26"</v>
      </c>
      <c r="X49" s="111" t="b">
        <f t="shared" si="34"/>
        <v>1</v>
      </c>
      <c r="Y49" s="111" t="b">
        <f t="shared" si="35"/>
        <v>0</v>
      </c>
      <c r="Z49" s="106">
        <f t="shared" si="36"/>
        <v>0</v>
      </c>
      <c r="AA49" s="111" t="str">
        <f t="shared" si="37"/>
        <v>56.26"</v>
      </c>
      <c r="AB49" s="111" t="b">
        <f t="shared" si="38"/>
        <v>1</v>
      </c>
      <c r="AC49" s="111" t="b">
        <f t="shared" si="39"/>
        <v>0</v>
      </c>
      <c r="AD49" s="111" t="b">
        <f t="shared" si="40"/>
        <v>1</v>
      </c>
      <c r="AE49" s="106">
        <f t="shared" si="41"/>
        <v>56.26</v>
      </c>
      <c r="AF49" s="106">
        <f t="shared" si="49"/>
        <v>56.26</v>
      </c>
      <c r="AG49" s="106">
        <f t="shared" si="42"/>
        <v>1.5627777777777779E-2</v>
      </c>
      <c r="AH49" s="106">
        <f t="shared" si="43"/>
        <v>0</v>
      </c>
      <c r="AI49" s="106">
        <f t="shared" si="44"/>
        <v>0.93766666666666665</v>
      </c>
      <c r="AJ49" s="106">
        <f t="shared" si="45"/>
        <v>0</v>
      </c>
      <c r="AK49" s="106">
        <f t="shared" si="46"/>
        <v>56.26</v>
      </c>
      <c r="AL49" s="106">
        <f t="shared" si="47"/>
        <v>-1.5627777777777779E-2</v>
      </c>
      <c r="AM49" s="100" t="str">
        <f t="shared" si="48"/>
        <v>-00°00'56.26 [-00°00.94]  (-00.0156°)</v>
      </c>
    </row>
    <row r="50" spans="3:39" ht="14.25" thickTop="1" thickBot="1" x14ac:dyDescent="0.25">
      <c r="C50" s="1141" t="s">
        <v>231</v>
      </c>
      <c r="D50" s="1142"/>
      <c r="E50" s="1143"/>
      <c r="F50" s="1144" t="str">
        <f t="shared" si="20"/>
        <v>-02°56'26.00 [-02°56.43]  (-02.9406°)</v>
      </c>
      <c r="G50" s="1145"/>
      <c r="H50" s="1146"/>
      <c r="I50" s="109" cm="1">
        <f t="array" ref="I50">angleConvert2Decimal(C50)</f>
        <v>-2.9405555555555556</v>
      </c>
      <c r="J50" s="109" t="str" cm="1">
        <f t="array" ref="J50">angleDecimal2Txt(I50)</f>
        <v>-02°56.43 (-02.9405) [-02°56'26.00]</v>
      </c>
      <c r="K50" s="110" t="str">
        <f t="shared" si="50"/>
        <v>-2°56'26</v>
      </c>
      <c r="L50" s="99" t="str">
        <f t="shared" si="22"/>
        <v>-02°56'26.00 [-02°56.43]  (-02.9406°)</v>
      </c>
      <c r="M50" s="100">
        <f t="shared" si="23"/>
        <v>-2.9405555555555556</v>
      </c>
      <c r="N50" s="111">
        <f t="shared" si="24"/>
        <v>-1</v>
      </c>
      <c r="O50" s="111" t="str">
        <f t="shared" si="25"/>
        <v>-</v>
      </c>
      <c r="P50" s="111" t="str">
        <f t="shared" si="26"/>
        <v>2°56'26</v>
      </c>
      <c r="Q50" s="111" t="b">
        <f t="shared" si="27"/>
        <v>1</v>
      </c>
      <c r="R50" s="111" t="b">
        <f t="shared" si="28"/>
        <v>1</v>
      </c>
      <c r="S50" s="111" t="b">
        <f t="shared" si="29"/>
        <v>0</v>
      </c>
      <c r="T50" s="111" t="b">
        <f t="shared" si="30"/>
        <v>0</v>
      </c>
      <c r="U50" s="111" t="b">
        <f t="shared" si="31"/>
        <v>1</v>
      </c>
      <c r="V50" s="106" t="str">
        <f t="shared" si="32"/>
        <v>2</v>
      </c>
      <c r="W50" s="111" t="str">
        <f t="shared" si="33"/>
        <v>56'26</v>
      </c>
      <c r="X50" s="111" t="b">
        <f t="shared" si="34"/>
        <v>1</v>
      </c>
      <c r="Y50" s="111" t="b">
        <f t="shared" si="35"/>
        <v>0</v>
      </c>
      <c r="Z50" s="106">
        <f t="shared" si="36"/>
        <v>56</v>
      </c>
      <c r="AA50" s="111" t="str">
        <f t="shared" si="37"/>
        <v>26</v>
      </c>
      <c r="AB50" s="111" t="b">
        <f t="shared" si="38"/>
        <v>1</v>
      </c>
      <c r="AC50" s="111" t="b">
        <f t="shared" si="39"/>
        <v>1</v>
      </c>
      <c r="AD50" s="111" t="b">
        <f t="shared" si="40"/>
        <v>0</v>
      </c>
      <c r="AE50" s="106">
        <f t="shared" si="41"/>
        <v>26</v>
      </c>
      <c r="AF50" s="106">
        <f t="shared" si="49"/>
        <v>10586</v>
      </c>
      <c r="AG50" s="106">
        <f t="shared" si="42"/>
        <v>2.9405555555555556</v>
      </c>
      <c r="AH50" s="106">
        <f t="shared" si="43"/>
        <v>2</v>
      </c>
      <c r="AI50" s="106">
        <f t="shared" si="44"/>
        <v>56.43333333333333</v>
      </c>
      <c r="AJ50" s="106">
        <f t="shared" si="45"/>
        <v>56</v>
      </c>
      <c r="AK50" s="106">
        <f t="shared" si="46"/>
        <v>26</v>
      </c>
      <c r="AL50" s="106">
        <f t="shared" si="47"/>
        <v>-2.9405555555555556</v>
      </c>
      <c r="AM50" s="100" t="str">
        <f t="shared" si="48"/>
        <v>-02°56'26.00 [-02°56.43]  (-02.9406°)</v>
      </c>
    </row>
    <row r="51" spans="3:39" ht="14.25" thickTop="1" thickBot="1" x14ac:dyDescent="0.25">
      <c r="C51" s="1141" t="s">
        <v>232</v>
      </c>
      <c r="D51" s="1142"/>
      <c r="E51" s="1143"/>
      <c r="F51" s="1144" t="str">
        <f t="shared" si="20"/>
        <v>-02°56'26.99 [-02°56.45]  (-02.9408°)</v>
      </c>
      <c r="G51" s="1145"/>
      <c r="H51" s="1146"/>
      <c r="I51" s="109" cm="1">
        <f t="array" ref="I51">angleConvert2Decimal(C51)</f>
        <v>-2.9408305555555554</v>
      </c>
      <c r="J51" s="109" t="str" cm="1">
        <f t="array" ref="J51">angleDecimal2Txt(I51)</f>
        <v>-02°56.44 (-02.9408) [-02°56'26.98]</v>
      </c>
      <c r="K51" s="110" t="str">
        <f t="shared" si="50"/>
        <v>-2°56'26.99</v>
      </c>
      <c r="L51" s="99" t="str">
        <f t="shared" si="22"/>
        <v>-02°56'26.99 [-02°56.45]  (-02.9408°)</v>
      </c>
      <c r="M51" s="100">
        <f t="shared" si="23"/>
        <v>-2.9408305555555554</v>
      </c>
      <c r="N51" s="111">
        <f t="shared" si="24"/>
        <v>-1</v>
      </c>
      <c r="O51" s="111" t="str">
        <f t="shared" si="25"/>
        <v>-</v>
      </c>
      <c r="P51" s="111" t="str">
        <f t="shared" si="26"/>
        <v>2°56'26.99</v>
      </c>
      <c r="Q51" s="111" t="b">
        <f t="shared" si="27"/>
        <v>1</v>
      </c>
      <c r="R51" s="111" t="b">
        <f t="shared" si="28"/>
        <v>1</v>
      </c>
      <c r="S51" s="111" t="b">
        <f t="shared" si="29"/>
        <v>0</v>
      </c>
      <c r="T51" s="111" t="b">
        <f t="shared" si="30"/>
        <v>0</v>
      </c>
      <c r="U51" s="111" t="b">
        <f t="shared" si="31"/>
        <v>1</v>
      </c>
      <c r="V51" s="106" t="str">
        <f t="shared" si="32"/>
        <v>2</v>
      </c>
      <c r="W51" s="111" t="str">
        <f t="shared" si="33"/>
        <v>56'26.99</v>
      </c>
      <c r="X51" s="111" t="b">
        <f t="shared" si="34"/>
        <v>1</v>
      </c>
      <c r="Y51" s="111" t="b">
        <f t="shared" si="35"/>
        <v>0</v>
      </c>
      <c r="Z51" s="106">
        <f t="shared" si="36"/>
        <v>56</v>
      </c>
      <c r="AA51" s="111" t="str">
        <f t="shared" si="37"/>
        <v>26.99</v>
      </c>
      <c r="AB51" s="111" t="b">
        <f t="shared" si="38"/>
        <v>1</v>
      </c>
      <c r="AC51" s="111" t="b">
        <f t="shared" si="39"/>
        <v>1</v>
      </c>
      <c r="AD51" s="111" t="b">
        <f t="shared" si="40"/>
        <v>1</v>
      </c>
      <c r="AE51" s="106">
        <f t="shared" si="41"/>
        <v>26.99</v>
      </c>
      <c r="AF51" s="106">
        <f t="shared" si="49"/>
        <v>10586.99</v>
      </c>
      <c r="AG51" s="106">
        <f t="shared" si="42"/>
        <v>2.9408305555555554</v>
      </c>
      <c r="AH51" s="106">
        <f t="shared" si="43"/>
        <v>2</v>
      </c>
      <c r="AI51" s="106">
        <f t="shared" si="44"/>
        <v>56.449833333333331</v>
      </c>
      <c r="AJ51" s="106">
        <f t="shared" si="45"/>
        <v>56</v>
      </c>
      <c r="AK51" s="106">
        <f t="shared" si="46"/>
        <v>26.989999999999782</v>
      </c>
      <c r="AL51" s="106">
        <f t="shared" si="47"/>
        <v>-2.9408305555555554</v>
      </c>
      <c r="AM51" s="100" t="str">
        <f t="shared" si="48"/>
        <v>-02°56'26.99 [-02°56.45]  (-02.9408°)</v>
      </c>
    </row>
    <row r="52" spans="3:39" ht="14.25" thickTop="1" thickBot="1" x14ac:dyDescent="0.25">
      <c r="C52" s="1141" t="s">
        <v>233</v>
      </c>
      <c r="D52" s="1142"/>
      <c r="E52" s="1143"/>
      <c r="F52" s="1144" t="str">
        <f t="shared" si="20"/>
        <v>-02°56'27.00 [-02°56.45]  (-02.9408°)</v>
      </c>
      <c r="G52" s="1145"/>
      <c r="H52" s="1146"/>
      <c r="I52" s="109" cm="1">
        <f t="array" ref="I52">angleConvert2Decimal(C52)</f>
        <v>-2.9408330555555553</v>
      </c>
      <c r="J52" s="109" t="str" cm="1">
        <f t="array" ref="J52">angleDecimal2Txt(I52)</f>
        <v>-02°56.44 (-02.9408) [-02°56'26.99]</v>
      </c>
      <c r="K52" s="110" t="str">
        <f t="shared" si="50"/>
        <v>-2°56'26.999"</v>
      </c>
      <c r="L52" s="99" t="str">
        <f t="shared" si="22"/>
        <v>-02°56'27.00 [-02°56.45]  (-02.9408°)</v>
      </c>
      <c r="M52" s="100">
        <f t="shared" si="23"/>
        <v>-2.9408330555555553</v>
      </c>
      <c r="N52" s="111">
        <f t="shared" si="24"/>
        <v>-1</v>
      </c>
      <c r="O52" s="111" t="str">
        <f t="shared" si="25"/>
        <v>-</v>
      </c>
      <c r="P52" s="111" t="str">
        <f t="shared" si="26"/>
        <v>2°56'26.999"</v>
      </c>
      <c r="Q52" s="111" t="b">
        <f t="shared" si="27"/>
        <v>1</v>
      </c>
      <c r="R52" s="111" t="b">
        <f t="shared" si="28"/>
        <v>1</v>
      </c>
      <c r="S52" s="111" t="b">
        <f t="shared" si="29"/>
        <v>1</v>
      </c>
      <c r="T52" s="111" t="b">
        <f t="shared" si="30"/>
        <v>0</v>
      </c>
      <c r="U52" s="111" t="b">
        <f t="shared" si="31"/>
        <v>1</v>
      </c>
      <c r="V52" s="106" t="str">
        <f t="shared" si="32"/>
        <v>2</v>
      </c>
      <c r="W52" s="111" t="str">
        <f t="shared" si="33"/>
        <v>56'26.999"</v>
      </c>
      <c r="X52" s="111" t="b">
        <f t="shared" si="34"/>
        <v>1</v>
      </c>
      <c r="Y52" s="111" t="b">
        <f t="shared" si="35"/>
        <v>0</v>
      </c>
      <c r="Z52" s="106">
        <f t="shared" si="36"/>
        <v>56</v>
      </c>
      <c r="AA52" s="111" t="str">
        <f t="shared" si="37"/>
        <v>26.999"</v>
      </c>
      <c r="AB52" s="111" t="b">
        <f t="shared" si="38"/>
        <v>1</v>
      </c>
      <c r="AC52" s="111" t="b">
        <f t="shared" si="39"/>
        <v>0</v>
      </c>
      <c r="AD52" s="111" t="b">
        <f t="shared" si="40"/>
        <v>1</v>
      </c>
      <c r="AE52" s="106">
        <f t="shared" si="41"/>
        <v>26.998999999999999</v>
      </c>
      <c r="AF52" s="106">
        <f t="shared" si="49"/>
        <v>10586.999</v>
      </c>
      <c r="AG52" s="106">
        <f t="shared" si="42"/>
        <v>2.9408330555555553</v>
      </c>
      <c r="AH52" s="106">
        <f t="shared" si="43"/>
        <v>2</v>
      </c>
      <c r="AI52" s="106">
        <f t="shared" si="44"/>
        <v>56.449983333333329</v>
      </c>
      <c r="AJ52" s="106">
        <f t="shared" si="45"/>
        <v>56</v>
      </c>
      <c r="AK52" s="106">
        <f t="shared" si="46"/>
        <v>26.998999999999796</v>
      </c>
      <c r="AL52" s="106">
        <f t="shared" si="47"/>
        <v>-2.9408330555555553</v>
      </c>
      <c r="AM52" s="100" t="str">
        <f t="shared" si="48"/>
        <v>-02°56'27.00 [-02°56.45]  (-02.9408°)</v>
      </c>
    </row>
    <row r="53" spans="3:39" ht="14.25" thickTop="1" thickBot="1" x14ac:dyDescent="0.25">
      <c r="C53" s="1141" t="s">
        <v>234</v>
      </c>
      <c r="D53" s="1142"/>
      <c r="E53" s="1143"/>
      <c r="F53" s="1144" t="str">
        <f t="shared" si="20"/>
        <v>-02°56'27.00 [-02°56.45]  (-02.9408°)</v>
      </c>
      <c r="G53" s="1145"/>
      <c r="H53" s="1146"/>
      <c r="I53" s="109" cm="1">
        <f t="array" ref="I53">angleConvert2Decimal(C53)</f>
        <v>-2.9408330555555553</v>
      </c>
      <c r="J53" s="109" t="str" cm="1">
        <f t="array" ref="J53">angleDecimal2Txt(I53)</f>
        <v>-02°56.44 (-02.9408) [-02°56'26.99]</v>
      </c>
      <c r="K53" s="110" t="str">
        <f t="shared" si="50"/>
        <v>-2°56'26"999</v>
      </c>
      <c r="L53" s="99" t="str">
        <f t="shared" si="22"/>
        <v>-02°56'27.00 [-02°56.45]  (-02.9408°)</v>
      </c>
      <c r="M53" s="100">
        <f t="shared" si="23"/>
        <v>-2.9408330555555553</v>
      </c>
      <c r="N53" s="111">
        <f t="shared" si="24"/>
        <v>-1</v>
      </c>
      <c r="O53" s="111" t="str">
        <f t="shared" si="25"/>
        <v>-</v>
      </c>
      <c r="P53" s="111" t="str">
        <f t="shared" si="26"/>
        <v>2°56'26"999</v>
      </c>
      <c r="Q53" s="111" t="b">
        <f t="shared" si="27"/>
        <v>1</v>
      </c>
      <c r="R53" s="111" t="b">
        <f t="shared" si="28"/>
        <v>1</v>
      </c>
      <c r="S53" s="111" t="b">
        <f t="shared" si="29"/>
        <v>1</v>
      </c>
      <c r="T53" s="111" t="b">
        <f t="shared" si="30"/>
        <v>0</v>
      </c>
      <c r="U53" s="111" t="b">
        <f t="shared" si="31"/>
        <v>1</v>
      </c>
      <c r="V53" s="106" t="str">
        <f t="shared" si="32"/>
        <v>2</v>
      </c>
      <c r="W53" s="111" t="str">
        <f t="shared" si="33"/>
        <v>56'26"999</v>
      </c>
      <c r="X53" s="111" t="b">
        <f t="shared" si="34"/>
        <v>1</v>
      </c>
      <c r="Y53" s="111" t="b">
        <f t="shared" si="35"/>
        <v>0</v>
      </c>
      <c r="Z53" s="106">
        <f t="shared" si="36"/>
        <v>56</v>
      </c>
      <c r="AA53" s="111" t="str">
        <f t="shared" si="37"/>
        <v>26"999</v>
      </c>
      <c r="AB53" s="111" t="b">
        <f t="shared" si="38"/>
        <v>1</v>
      </c>
      <c r="AC53" s="111" t="b">
        <f t="shared" si="39"/>
        <v>0</v>
      </c>
      <c r="AD53" s="111" t="b">
        <f t="shared" si="40"/>
        <v>0</v>
      </c>
      <c r="AE53" s="106">
        <f t="shared" si="41"/>
        <v>26.998999999999999</v>
      </c>
      <c r="AF53" s="106">
        <f t="shared" si="49"/>
        <v>10586.999</v>
      </c>
      <c r="AG53" s="106">
        <f t="shared" si="42"/>
        <v>2.9408330555555553</v>
      </c>
      <c r="AH53" s="106">
        <f t="shared" si="43"/>
        <v>2</v>
      </c>
      <c r="AI53" s="106">
        <f t="shared" si="44"/>
        <v>56.449983333333329</v>
      </c>
      <c r="AJ53" s="106">
        <f t="shared" si="45"/>
        <v>56</v>
      </c>
      <c r="AK53" s="106">
        <f t="shared" si="46"/>
        <v>26.998999999999796</v>
      </c>
      <c r="AL53" s="106">
        <f t="shared" si="47"/>
        <v>-2.9408330555555553</v>
      </c>
      <c r="AM53" s="100" t="str">
        <f t="shared" si="48"/>
        <v>-02°56'27.00 [-02°56.45]  (-02.9408°)</v>
      </c>
    </row>
    <row r="54" spans="3:39" ht="14.25" thickTop="1" thickBot="1" x14ac:dyDescent="0.25">
      <c r="C54" s="1141" t="s">
        <v>235</v>
      </c>
      <c r="D54" s="1142"/>
      <c r="E54" s="1143"/>
      <c r="F54" s="1144" t="str">
        <f t="shared" si="20"/>
        <v>-00°12'56.00 [-00°12.93]  (-00.2156°)</v>
      </c>
      <c r="G54" s="1145"/>
      <c r="H54" s="1146"/>
      <c r="I54" s="109" cm="1">
        <f t="array" ref="I54">angleConvert2Decimal(C54)</f>
        <v>-0.21555555555555556</v>
      </c>
      <c r="J54" s="109" t="str" cm="1">
        <f t="array" ref="J54">angleDecimal2Txt(I54)</f>
        <v>-00°12.93 (-00.2155) [-00°12'56.00]</v>
      </c>
      <c r="K54" s="110" t="str">
        <f t="shared" si="50"/>
        <v>-12'56</v>
      </c>
      <c r="L54" s="99" t="str">
        <f t="shared" si="22"/>
        <v>-00°12'56.00 [-00°12.93]  (-00.2156°)</v>
      </c>
      <c r="M54" s="100">
        <f t="shared" si="23"/>
        <v>-0.21555555555555556</v>
      </c>
      <c r="N54" s="111">
        <f t="shared" si="24"/>
        <v>-1</v>
      </c>
      <c r="O54" s="111" t="str">
        <f t="shared" si="25"/>
        <v>-</v>
      </c>
      <c r="P54" s="111" t="str">
        <f t="shared" si="26"/>
        <v>12'56</v>
      </c>
      <c r="Q54" s="111" t="b">
        <f t="shared" si="27"/>
        <v>0</v>
      </c>
      <c r="R54" s="111" t="b">
        <f t="shared" si="28"/>
        <v>1</v>
      </c>
      <c r="S54" s="111" t="b">
        <f t="shared" si="29"/>
        <v>0</v>
      </c>
      <c r="T54" s="111" t="b">
        <f t="shared" si="30"/>
        <v>0</v>
      </c>
      <c r="U54" s="111" t="b">
        <f t="shared" si="31"/>
        <v>0</v>
      </c>
      <c r="V54" s="106">
        <f t="shared" si="32"/>
        <v>0</v>
      </c>
      <c r="W54" s="111" t="str">
        <f t="shared" si="33"/>
        <v>12'56</v>
      </c>
      <c r="X54" s="111" t="b">
        <f t="shared" si="34"/>
        <v>1</v>
      </c>
      <c r="Y54" s="111" t="b">
        <f t="shared" si="35"/>
        <v>0</v>
      </c>
      <c r="Z54" s="106">
        <f t="shared" si="36"/>
        <v>12</v>
      </c>
      <c r="AA54" s="111" t="str">
        <f t="shared" si="37"/>
        <v>56</v>
      </c>
      <c r="AB54" s="111" t="b">
        <f t="shared" si="38"/>
        <v>1</v>
      </c>
      <c r="AC54" s="111" t="b">
        <f t="shared" si="39"/>
        <v>1</v>
      </c>
      <c r="AD54" s="111" t="b">
        <f t="shared" si="40"/>
        <v>0</v>
      </c>
      <c r="AE54" s="106">
        <f t="shared" si="41"/>
        <v>56</v>
      </c>
      <c r="AF54" s="106">
        <f t="shared" si="49"/>
        <v>776</v>
      </c>
      <c r="AG54" s="106">
        <f t="shared" si="42"/>
        <v>0.21555555555555556</v>
      </c>
      <c r="AH54" s="106">
        <f t="shared" si="43"/>
        <v>0</v>
      </c>
      <c r="AI54" s="106">
        <f t="shared" si="44"/>
        <v>12.933333333333334</v>
      </c>
      <c r="AJ54" s="106">
        <f t="shared" si="45"/>
        <v>12</v>
      </c>
      <c r="AK54" s="106">
        <f t="shared" si="46"/>
        <v>56</v>
      </c>
      <c r="AL54" s="106">
        <f t="shared" si="47"/>
        <v>-0.21555555555555556</v>
      </c>
      <c r="AM54" s="100" t="str">
        <f t="shared" si="48"/>
        <v>-00°12'56.00 [-00°12.93]  (-00.2156°)</v>
      </c>
    </row>
    <row r="55" spans="3:39" ht="14.25" thickTop="1" thickBot="1" x14ac:dyDescent="0.25">
      <c r="C55" s="1141" t="s">
        <v>236</v>
      </c>
      <c r="D55" s="1142"/>
      <c r="E55" s="1143"/>
      <c r="F55" s="1144" t="str">
        <f t="shared" si="20"/>
        <v>-15°00'00.12 [-15°00.00]  (-15.0000°)</v>
      </c>
      <c r="G55" s="1145"/>
      <c r="H55" s="1146"/>
      <c r="I55" s="109" cm="1">
        <f t="array" ref="I55">angleConvert2Decimal(C55)</f>
        <v>-15.000033333333333</v>
      </c>
      <c r="J55" s="109" t="str" cm="1">
        <f t="array" ref="J55">angleDecimal2Txt(I55)</f>
        <v>-15°00.00 (-15.0000) [-15°00'00.11]</v>
      </c>
      <c r="K55" s="112" t="str">
        <f t="shared" ref="K55:K60" si="51">C55</f>
        <v>-15°0.002</v>
      </c>
      <c r="L55" s="99" t="str">
        <f t="shared" si="22"/>
        <v>-15°00'00.12 [-15°00.00]  (-15.0000°)</v>
      </c>
      <c r="M55" s="100">
        <f t="shared" si="23"/>
        <v>-15.000033333333334</v>
      </c>
      <c r="N55" s="111">
        <f t="shared" si="24"/>
        <v>-1</v>
      </c>
      <c r="O55" s="111" t="str">
        <f t="shared" si="25"/>
        <v>-</v>
      </c>
      <c r="P55" s="111" t="str">
        <f t="shared" si="26"/>
        <v>15°0.002</v>
      </c>
      <c r="Q55" s="111" t="b">
        <f t="shared" si="27"/>
        <v>1</v>
      </c>
      <c r="R55" s="111" t="b">
        <f t="shared" si="28"/>
        <v>0</v>
      </c>
      <c r="S55" s="111" t="b">
        <f t="shared" si="29"/>
        <v>0</v>
      </c>
      <c r="T55" s="111" t="b">
        <f t="shared" si="30"/>
        <v>0</v>
      </c>
      <c r="U55" s="111" t="b">
        <f t="shared" si="31"/>
        <v>1</v>
      </c>
      <c r="V55" s="106" t="str">
        <f t="shared" si="32"/>
        <v>15</v>
      </c>
      <c r="W55" s="111" t="str">
        <f t="shared" si="33"/>
        <v>0.002</v>
      </c>
      <c r="X55" s="111" t="b">
        <f t="shared" si="34"/>
        <v>1</v>
      </c>
      <c r="Y55" s="111" t="b">
        <f t="shared" si="35"/>
        <v>1</v>
      </c>
      <c r="Z55" s="106">
        <f t="shared" si="36"/>
        <v>2E-3</v>
      </c>
      <c r="AA55" s="111" t="str">
        <f t="shared" si="37"/>
        <v/>
      </c>
      <c r="AB55" s="111" t="b">
        <f t="shared" si="38"/>
        <v>0</v>
      </c>
      <c r="AC55" s="111" t="b">
        <f t="shared" si="39"/>
        <v>1</v>
      </c>
      <c r="AD55" s="111" t="b">
        <f t="shared" si="40"/>
        <v>0</v>
      </c>
      <c r="AE55" s="106">
        <f t="shared" si="41"/>
        <v>0</v>
      </c>
      <c r="AF55" s="106">
        <f t="shared" si="49"/>
        <v>54000.12</v>
      </c>
      <c r="AG55" s="106">
        <f t="shared" si="42"/>
        <v>15.000033333333334</v>
      </c>
      <c r="AH55" s="106">
        <f t="shared" si="43"/>
        <v>15</v>
      </c>
      <c r="AI55" s="106">
        <f t="shared" si="44"/>
        <v>2.0000000000436557E-3</v>
      </c>
      <c r="AJ55" s="106">
        <f t="shared" si="45"/>
        <v>0</v>
      </c>
      <c r="AK55" s="106">
        <f t="shared" si="46"/>
        <v>0.12000000000261934</v>
      </c>
      <c r="AL55" s="106">
        <f t="shared" si="47"/>
        <v>-15.000033333333334</v>
      </c>
      <c r="AM55" s="100" t="str">
        <f t="shared" si="48"/>
        <v>-15°00'00.12 [-15°00.00]  (-15.0000°)</v>
      </c>
    </row>
    <row r="56" spans="3:39" ht="14.25" thickTop="1" thickBot="1" x14ac:dyDescent="0.25">
      <c r="C56" s="1147" t="s">
        <v>240</v>
      </c>
      <c r="D56" s="1148"/>
      <c r="E56" s="1149"/>
      <c r="F56" s="1144" t="str">
        <f t="shared" si="20"/>
        <v>+02°00'00.00 [+02°00.00]  (+02.0000°)</v>
      </c>
      <c r="G56" s="1145"/>
      <c r="H56" s="1146"/>
      <c r="I56" s="109" cm="1">
        <f t="array" ref="I56">angleConvert2Decimal(C56)</f>
        <v>2</v>
      </c>
      <c r="J56" s="109" t="str" cm="1">
        <f t="array" ref="J56">angleDecimal2Txt(I56)</f>
        <v>+02°00.00 (+02.0000) [+02°00'00.00]</v>
      </c>
      <c r="K56" s="110" t="str">
        <f t="shared" si="51"/>
        <v>+2</v>
      </c>
      <c r="L56" s="99" t="str">
        <f t="shared" si="22"/>
        <v>+02°00'00.00 [+02°00.00]  (+02.0000°)</v>
      </c>
      <c r="M56" s="100">
        <f t="shared" si="23"/>
        <v>2</v>
      </c>
      <c r="N56" s="111">
        <f t="shared" si="24"/>
        <v>1</v>
      </c>
      <c r="O56" s="111" t="str">
        <f t="shared" si="25"/>
        <v>+</v>
      </c>
      <c r="P56" s="111" t="str">
        <f t="shared" si="26"/>
        <v>2</v>
      </c>
      <c r="Q56" s="111" t="b">
        <f t="shared" si="27"/>
        <v>0</v>
      </c>
      <c r="R56" s="111" t="b">
        <f t="shared" si="28"/>
        <v>0</v>
      </c>
      <c r="S56" s="111" t="b">
        <f t="shared" si="29"/>
        <v>0</v>
      </c>
      <c r="T56" s="111" t="b">
        <f t="shared" si="30"/>
        <v>1</v>
      </c>
      <c r="U56" s="111" t="b">
        <f t="shared" si="31"/>
        <v>1</v>
      </c>
      <c r="V56" s="106">
        <f t="shared" si="32"/>
        <v>2</v>
      </c>
      <c r="W56" s="111" t="str">
        <f t="shared" si="33"/>
        <v/>
      </c>
      <c r="X56" s="111" t="b">
        <f t="shared" si="34"/>
        <v>0</v>
      </c>
      <c r="Y56" s="111" t="b">
        <f t="shared" si="35"/>
        <v>1</v>
      </c>
      <c r="Z56" s="106">
        <f t="shared" si="36"/>
        <v>0</v>
      </c>
      <c r="AA56" s="111" t="str">
        <f t="shared" si="37"/>
        <v/>
      </c>
      <c r="AB56" s="111" t="b">
        <f t="shared" si="38"/>
        <v>0</v>
      </c>
      <c r="AC56" s="111" t="b">
        <f t="shared" si="39"/>
        <v>1</v>
      </c>
      <c r="AD56" s="111" t="b">
        <f t="shared" si="40"/>
        <v>0</v>
      </c>
      <c r="AE56" s="106">
        <f t="shared" si="41"/>
        <v>0</v>
      </c>
      <c r="AF56" s="106">
        <f t="shared" si="49"/>
        <v>7200</v>
      </c>
      <c r="AG56" s="106">
        <f t="shared" si="42"/>
        <v>2</v>
      </c>
      <c r="AH56" s="106">
        <f t="shared" si="43"/>
        <v>2</v>
      </c>
      <c r="AI56" s="106">
        <f t="shared" si="44"/>
        <v>0</v>
      </c>
      <c r="AJ56" s="106">
        <f t="shared" si="45"/>
        <v>0</v>
      </c>
      <c r="AK56" s="106">
        <f t="shared" si="46"/>
        <v>0</v>
      </c>
      <c r="AL56" s="106">
        <f t="shared" si="47"/>
        <v>2</v>
      </c>
      <c r="AM56" s="100" t="str">
        <f t="shared" si="48"/>
        <v>+02°00'00.00 [+02°00.00]  (+02.0000°)</v>
      </c>
    </row>
    <row r="57" spans="3:39" ht="14.25" thickTop="1" thickBot="1" x14ac:dyDescent="0.25">
      <c r="C57" s="1141" t="s">
        <v>241</v>
      </c>
      <c r="D57" s="1142"/>
      <c r="E57" s="1143"/>
      <c r="F57" s="1144" t="str">
        <f t="shared" si="20"/>
        <v>+00°12'56.00 [+00°12.93]  (+00.2156°)</v>
      </c>
      <c r="G57" s="1145"/>
      <c r="H57" s="1146"/>
      <c r="I57" s="109" cm="1">
        <f t="array" ref="I57">angleConvert2Decimal(C57)</f>
        <v>0.21555555555555556</v>
      </c>
      <c r="J57" s="109" t="str" cm="1">
        <f t="array" ref="J57">angleDecimal2Txt(I57)</f>
        <v>+00°12.93 (+00.2155) [+00°12'56.00]</v>
      </c>
      <c r="K57" s="110" t="str">
        <f t="shared" si="51"/>
        <v>+12'56</v>
      </c>
      <c r="L57" s="99" t="str">
        <f t="shared" si="22"/>
        <v>+00°12'56.00 [+00°12.93]  (+00.2156°)</v>
      </c>
      <c r="M57" s="100">
        <f t="shared" si="23"/>
        <v>0.21555555555555556</v>
      </c>
      <c r="N57" s="111">
        <f t="shared" si="24"/>
        <v>1</v>
      </c>
      <c r="O57" s="111" t="str">
        <f t="shared" si="25"/>
        <v>+</v>
      </c>
      <c r="P57" s="111" t="str">
        <f t="shared" si="26"/>
        <v>12'56</v>
      </c>
      <c r="Q57" s="111" t="b">
        <f t="shared" si="27"/>
        <v>0</v>
      </c>
      <c r="R57" s="111" t="b">
        <f t="shared" si="28"/>
        <v>1</v>
      </c>
      <c r="S57" s="111" t="b">
        <f t="shared" si="29"/>
        <v>0</v>
      </c>
      <c r="T57" s="111" t="b">
        <f t="shared" si="30"/>
        <v>0</v>
      </c>
      <c r="U57" s="111" t="b">
        <f t="shared" si="31"/>
        <v>0</v>
      </c>
      <c r="V57" s="106">
        <f t="shared" si="32"/>
        <v>0</v>
      </c>
      <c r="W57" s="111" t="str">
        <f t="shared" si="33"/>
        <v>12'56</v>
      </c>
      <c r="X57" s="111" t="b">
        <f t="shared" si="34"/>
        <v>1</v>
      </c>
      <c r="Y57" s="111" t="b">
        <f t="shared" si="35"/>
        <v>0</v>
      </c>
      <c r="Z57" s="106">
        <f t="shared" si="36"/>
        <v>12</v>
      </c>
      <c r="AA57" s="111" t="str">
        <f t="shared" si="37"/>
        <v>56</v>
      </c>
      <c r="AB57" s="111" t="b">
        <f t="shared" si="38"/>
        <v>1</v>
      </c>
      <c r="AC57" s="111" t="b">
        <f t="shared" si="39"/>
        <v>1</v>
      </c>
      <c r="AD57" s="111" t="b">
        <f t="shared" si="40"/>
        <v>0</v>
      </c>
      <c r="AE57" s="106">
        <f t="shared" si="41"/>
        <v>56</v>
      </c>
      <c r="AF57" s="106">
        <f t="shared" si="49"/>
        <v>776</v>
      </c>
      <c r="AG57" s="106">
        <f t="shared" si="42"/>
        <v>0.21555555555555556</v>
      </c>
      <c r="AH57" s="106">
        <f t="shared" si="43"/>
        <v>0</v>
      </c>
      <c r="AI57" s="106">
        <f t="shared" si="44"/>
        <v>12.933333333333334</v>
      </c>
      <c r="AJ57" s="106">
        <f t="shared" si="45"/>
        <v>12</v>
      </c>
      <c r="AK57" s="106">
        <f t="shared" si="46"/>
        <v>56</v>
      </c>
      <c r="AL57" s="106">
        <f t="shared" si="47"/>
        <v>0.21555555555555556</v>
      </c>
      <c r="AM57" s="100" t="str">
        <f t="shared" si="48"/>
        <v>+00°12'56.00 [+00°12.93]  (+00.2156°)</v>
      </c>
    </row>
    <row r="58" spans="3:39" ht="14.25" thickTop="1" thickBot="1" x14ac:dyDescent="0.25">
      <c r="C58" s="1141" t="s">
        <v>404</v>
      </c>
      <c r="D58" s="1142"/>
      <c r="E58" s="1143"/>
      <c r="F58" s="1144" t="str">
        <f t="shared" si="20"/>
        <v>255°00'00.00 [255°00.00]  (255.0000°)</v>
      </c>
      <c r="G58" s="1145"/>
      <c r="H58" s="1146"/>
      <c r="I58" s="109" cm="1">
        <f t="array" ref="I58">angleConvert2Decimal(C58)</f>
        <v>255</v>
      </c>
      <c r="J58" s="109" t="str" cm="1">
        <f t="array" ref="J58">angleDecimal2Txt(I58)</f>
        <v>+255°00.00 (+255.0000) [+255°00'00.00]</v>
      </c>
      <c r="K58" s="112" t="str">
        <f t="shared" si="51"/>
        <v>255°</v>
      </c>
      <c r="L58" s="99" t="str">
        <f t="shared" si="22"/>
        <v>255°00'00.00 [255°00.00]  (255.0000°)</v>
      </c>
      <c r="M58" s="100">
        <f t="shared" si="23"/>
        <v>255</v>
      </c>
      <c r="N58" s="111">
        <f t="shared" si="24"/>
        <v>0</v>
      </c>
      <c r="O58" s="111" t="str">
        <f t="shared" si="25"/>
        <v/>
      </c>
      <c r="P58" s="111" t="str">
        <f t="shared" si="26"/>
        <v>255°</v>
      </c>
      <c r="Q58" s="111" t="b">
        <f t="shared" si="27"/>
        <v>1</v>
      </c>
      <c r="R58" s="111" t="b">
        <f t="shared" si="28"/>
        <v>0</v>
      </c>
      <c r="S58" s="111" t="b">
        <f t="shared" si="29"/>
        <v>0</v>
      </c>
      <c r="T58" s="111" t="b">
        <f t="shared" si="30"/>
        <v>0</v>
      </c>
      <c r="U58" s="111" t="b">
        <f t="shared" si="31"/>
        <v>1</v>
      </c>
      <c r="V58" s="106" t="str">
        <f t="shared" si="32"/>
        <v>255</v>
      </c>
      <c r="W58" s="111" t="str">
        <f t="shared" si="33"/>
        <v/>
      </c>
      <c r="X58" s="111" t="b">
        <f t="shared" si="34"/>
        <v>0</v>
      </c>
      <c r="Y58" s="111" t="b">
        <f t="shared" si="35"/>
        <v>1</v>
      </c>
      <c r="Z58" s="106">
        <f t="shared" si="36"/>
        <v>0</v>
      </c>
      <c r="AA58" s="111" t="str">
        <f t="shared" si="37"/>
        <v/>
      </c>
      <c r="AB58" s="111" t="b">
        <f t="shared" si="38"/>
        <v>0</v>
      </c>
      <c r="AC58" s="111" t="b">
        <f t="shared" si="39"/>
        <v>1</v>
      </c>
      <c r="AD58" s="111" t="b">
        <f t="shared" si="40"/>
        <v>0</v>
      </c>
      <c r="AE58" s="106">
        <f t="shared" si="41"/>
        <v>0</v>
      </c>
      <c r="AF58" s="106">
        <f t="shared" si="49"/>
        <v>918000</v>
      </c>
      <c r="AG58" s="106">
        <f t="shared" si="42"/>
        <v>255</v>
      </c>
      <c r="AH58" s="106">
        <f t="shared" si="43"/>
        <v>255</v>
      </c>
      <c r="AI58" s="106">
        <f t="shared" si="44"/>
        <v>0</v>
      </c>
      <c r="AJ58" s="106">
        <f t="shared" si="45"/>
        <v>0</v>
      </c>
      <c r="AK58" s="106">
        <f t="shared" si="46"/>
        <v>0</v>
      </c>
      <c r="AL58" s="106">
        <f t="shared" si="47"/>
        <v>255</v>
      </c>
      <c r="AM58" s="100" t="str">
        <f t="shared" si="48"/>
        <v>255°00'00.00 [255°00.00]  (255.0000°)</v>
      </c>
    </row>
    <row r="59" spans="3:39" ht="14.25" thickTop="1" thickBot="1" x14ac:dyDescent="0.25">
      <c r="C59" s="1141" t="s">
        <v>402</v>
      </c>
      <c r="D59" s="1142"/>
      <c r="E59" s="1143"/>
      <c r="F59" s="1144" t="str">
        <f t="shared" si="20"/>
        <v>17°45'59.00 [17°45.98]  (17.7664°)</v>
      </c>
      <c r="G59" s="1145"/>
      <c r="H59" s="1146"/>
      <c r="I59" s="109" cm="1">
        <f t="array" ref="I59">angleConvert2Decimal(C59)</f>
        <v>17.766388888888891</v>
      </c>
      <c r="J59" s="109" t="str" cm="1">
        <f t="array" ref="J59">angleDecimal2Txt(I59)</f>
        <v>+17°45.98 (+17.7663) [+17°45'59.00]</v>
      </c>
      <c r="K59" s="112" t="str">
        <f t="shared" si="51"/>
        <v>17°45'59</v>
      </c>
      <c r="L59" s="99" t="str">
        <f t="shared" si="22"/>
        <v>17°45'59.00 [17°45.98]  (17.7664°)</v>
      </c>
      <c r="M59" s="100">
        <f t="shared" si="23"/>
        <v>17.766388888888891</v>
      </c>
      <c r="N59" s="111">
        <f t="shared" si="24"/>
        <v>0</v>
      </c>
      <c r="O59" s="111" t="str">
        <f t="shared" si="25"/>
        <v/>
      </c>
      <c r="P59" s="111" t="str">
        <f t="shared" si="26"/>
        <v>17°45'59</v>
      </c>
      <c r="Q59" s="111" t="b">
        <f t="shared" si="27"/>
        <v>1</v>
      </c>
      <c r="R59" s="111" t="b">
        <f t="shared" si="28"/>
        <v>1</v>
      </c>
      <c r="S59" s="111" t="b">
        <f t="shared" si="29"/>
        <v>0</v>
      </c>
      <c r="T59" s="111" t="b">
        <f t="shared" si="30"/>
        <v>0</v>
      </c>
      <c r="U59" s="111" t="b">
        <f t="shared" si="31"/>
        <v>1</v>
      </c>
      <c r="V59" s="106" t="str">
        <f t="shared" si="32"/>
        <v>17</v>
      </c>
      <c r="W59" s="111" t="str">
        <f t="shared" si="33"/>
        <v>45'59</v>
      </c>
      <c r="X59" s="111" t="b">
        <f t="shared" si="34"/>
        <v>1</v>
      </c>
      <c r="Y59" s="111" t="b">
        <f t="shared" si="35"/>
        <v>0</v>
      </c>
      <c r="Z59" s="106">
        <f t="shared" si="36"/>
        <v>45</v>
      </c>
      <c r="AA59" s="111" t="str">
        <f t="shared" si="37"/>
        <v>59</v>
      </c>
      <c r="AB59" s="111" t="b">
        <f t="shared" si="38"/>
        <v>1</v>
      </c>
      <c r="AC59" s="111" t="b">
        <f t="shared" si="39"/>
        <v>1</v>
      </c>
      <c r="AD59" s="111" t="b">
        <f t="shared" si="40"/>
        <v>0</v>
      </c>
      <c r="AE59" s="106">
        <f t="shared" si="41"/>
        <v>59</v>
      </c>
      <c r="AF59" s="106">
        <f t="shared" si="49"/>
        <v>63959</v>
      </c>
      <c r="AG59" s="106">
        <f t="shared" si="42"/>
        <v>17.766388888888891</v>
      </c>
      <c r="AH59" s="106">
        <f t="shared" si="43"/>
        <v>17</v>
      </c>
      <c r="AI59" s="106">
        <f t="shared" si="44"/>
        <v>45.983333333333334</v>
      </c>
      <c r="AJ59" s="106">
        <f t="shared" si="45"/>
        <v>45</v>
      </c>
      <c r="AK59" s="106">
        <f t="shared" si="46"/>
        <v>59</v>
      </c>
      <c r="AL59" s="106">
        <f t="shared" si="47"/>
        <v>17.766388888888891</v>
      </c>
      <c r="AM59" s="100" t="str">
        <f t="shared" si="48"/>
        <v>17°45'59.00 [17°45.98]  (17.7664°)</v>
      </c>
    </row>
    <row r="60" spans="3:39" ht="14.25" thickTop="1" thickBot="1" x14ac:dyDescent="0.25">
      <c r="C60" s="500" t="s">
        <v>307</v>
      </c>
      <c r="D60" s="501"/>
      <c r="E60" s="502"/>
      <c r="F60" s="1144" t="str">
        <f>AM60</f>
        <v>18°46'00.00 [18°46.00]  (18.7667°)</v>
      </c>
      <c r="G60" s="1145"/>
      <c r="H60" s="1146"/>
      <c r="I60" s="109" cm="1">
        <f t="array" ref="I60">angleConvert2Decimal(C60)</f>
        <v>18.766666666666666</v>
      </c>
      <c r="J60" s="109" t="str" cm="1">
        <f t="array" ref="J60">angleDecimal2Txt(I60)</f>
        <v>+18°46.00 (+18.7666) [+18°46'00.00]</v>
      </c>
      <c r="K60" s="112" t="str">
        <f t="shared" si="51"/>
        <v>18°46'</v>
      </c>
      <c r="L60" s="99" t="str">
        <f>AM60</f>
        <v>18°46'00.00 [18°46.00]  (18.7667°)</v>
      </c>
      <c r="M60" s="100">
        <f>AL60</f>
        <v>18.766666666666666</v>
      </c>
      <c r="N60" s="111">
        <f>IF(LEFT(TRIM(K60),1)="-",-1,IF(LEFT(TRIM(K60),1)="+",1, 0))</f>
        <v>0</v>
      </c>
      <c r="O60" s="111" t="str">
        <f>IF(N60&gt;0,"+",IF(N60&lt;0,"-",""))</f>
        <v/>
      </c>
      <c r="P60" s="111" t="str">
        <f>IF(ABS(N60)&gt;0,RIGHT(K60,LEN(K60)-1),K60)</f>
        <v>18°46'</v>
      </c>
      <c r="Q60" s="111" t="b">
        <f>ISNUMBER(SEARCH("°",P60,1))</f>
        <v>1</v>
      </c>
      <c r="R60" s="111" t="b">
        <f>ISNUMBER(SEARCH("'",P60,1))</f>
        <v>1</v>
      </c>
      <c r="S60" s="111" t="b">
        <f>ISNUMBER(SEARCH("""",P60,1))</f>
        <v>0</v>
      </c>
      <c r="T60" s="111" t="b">
        <f>NOT(OR(Q60,R60,S60))</f>
        <v>0</v>
      </c>
      <c r="U60" s="111" t="b">
        <f>OR(T60,Q60)</f>
        <v>1</v>
      </c>
      <c r="V60" s="106" t="str">
        <f>IF(T60,VALUE(P60),IF(Q60,LEFT(P60,SEARCH("°",P60,1)-1),0))</f>
        <v>18</v>
      </c>
      <c r="W60" s="111" t="str">
        <f>IF(T60,"",IF(Q60,RIGHT(P60,LEN(P60)-SEARCH("°",P60,1)),P60))</f>
        <v>46'</v>
      </c>
      <c r="X60" s="111" t="b">
        <f>(LEN(W60)&gt;0)</f>
        <v>1</v>
      </c>
      <c r="Y60" s="111" t="b">
        <f>NOT(OR(R60,S60))</f>
        <v>0</v>
      </c>
      <c r="Z60" s="106">
        <f>IF(NOT(X60),0,IF(Y60,VALUE(W60),IF(NOT(R60),0,VALUE(LEFT(W60,SEARCH("'",W60,1)-1)))))</f>
        <v>46</v>
      </c>
      <c r="AA60" s="111" t="str">
        <f>IF(NOT(X60),"",IF(Y60,"",IF(NOT(R60),W60,RIGHT(W60,LEN(W60)-SEARCH("'",W60,1)))))</f>
        <v/>
      </c>
      <c r="AB60" s="111" t="b">
        <f>(LEN(AA60)&gt;0)</f>
        <v>0</v>
      </c>
      <c r="AC60" s="111" t="b">
        <f>NOT(S60)</f>
        <v>1</v>
      </c>
      <c r="AD60" s="111" t="b">
        <f>ISNUMBER(SEARCH(".",AA60,1))</f>
        <v>0</v>
      </c>
      <c r="AE60" s="106">
        <f>IF(AB60,IF(S60,IF(AD60,VALUE(SUBSTITUTE(AA60, """", "")),VALUE(SUBSTITUTE(AA60, """", "."))),VALUE(AA60)),0)</f>
        <v>0</v>
      </c>
      <c r="AF60" s="106">
        <f>V60*3600+Z60*60+AE60</f>
        <v>67560</v>
      </c>
      <c r="AG60" s="106">
        <f>AF60/3600</f>
        <v>18.766666666666666</v>
      </c>
      <c r="AH60" s="106">
        <f>_xlfn.FLOOR.MATH((AG60))</f>
        <v>18</v>
      </c>
      <c r="AI60" s="106">
        <f>(AF60-3600*AH60)/60</f>
        <v>46</v>
      </c>
      <c r="AJ60" s="106">
        <f>_xlfn.FLOOR.MATH((AI60))</f>
        <v>46</v>
      </c>
      <c r="AK60" s="106">
        <f>AF60-3600*AH60-60*AJ60</f>
        <v>0</v>
      </c>
      <c r="AL60" s="106">
        <f>AG60*IF(N60&lt;0,-1,1)</f>
        <v>18.766666666666666</v>
      </c>
      <c r="AM60" s="100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09">
        <v>18.766666666666666</v>
      </c>
      <c r="K61" s="113"/>
      <c r="L61" s="113"/>
      <c r="M61" s="113"/>
      <c r="N61" s="113"/>
      <c r="O61" s="113"/>
      <c r="P61" s="113"/>
      <c r="Q61" s="113"/>
    </row>
    <row r="62" spans="3:39" x14ac:dyDescent="0.2">
      <c r="C62" s="97" t="s">
        <v>408</v>
      </c>
    </row>
    <row r="63" spans="3:39" x14ac:dyDescent="0.2">
      <c r="C63" s="1141" t="s">
        <v>242</v>
      </c>
      <c r="D63" s="1142"/>
      <c r="E63" s="1143"/>
    </row>
    <row r="67" spans="3:43" x14ac:dyDescent="0.2">
      <c r="C67" s="114" t="s">
        <v>183</v>
      </c>
    </row>
    <row r="68" spans="3:43" x14ac:dyDescent="0.2">
      <c r="C68" s="115" t="s">
        <v>184</v>
      </c>
    </row>
    <row r="69" spans="3:43" x14ac:dyDescent="0.25">
      <c r="L69" s="97"/>
      <c r="M69" s="97"/>
    </row>
    <row r="70" spans="3:43" x14ac:dyDescent="0.2">
      <c r="C70" s="1166" t="s">
        <v>22</v>
      </c>
      <c r="D70" s="1166"/>
      <c r="E70" s="1166"/>
      <c r="F70" s="1166"/>
      <c r="G70" s="1166"/>
      <c r="H70" s="1166"/>
      <c r="I70" s="495">
        <f>M70</f>
        <v>0</v>
      </c>
      <c r="J70" s="495"/>
      <c r="K70" s="455"/>
      <c r="L70" s="455"/>
      <c r="M70" s="514">
        <v>0</v>
      </c>
      <c r="N70" s="514"/>
      <c r="O70" s="514"/>
      <c r="R70" s="116">
        <f t="shared" ref="R70:R75" si="52">M70</f>
        <v>0</v>
      </c>
      <c r="S70" s="99" t="str">
        <f>AQ70</f>
        <v>00°00'00.00 [00°00.00] - (00.0000°)</v>
      </c>
      <c r="T70" s="100">
        <f>AK70</f>
        <v>0</v>
      </c>
      <c r="U70" s="111" t="b">
        <f>ISNUMBER(SEARCH("°",R70,1))</f>
        <v>0</v>
      </c>
      <c r="V70" s="111" t="b">
        <f>ISNUMBER(SEARCH("'",R70,1))</f>
        <v>0</v>
      </c>
      <c r="W70" s="111" t="b">
        <f>ISNUMBER(SEARCH("""",R70,1))</f>
        <v>0</v>
      </c>
      <c r="X70" s="111" t="b">
        <f>NOT(OR(U70,V70,W70))</f>
        <v>1</v>
      </c>
      <c r="Y70" s="111" t="b">
        <f>OR(X70,U70)</f>
        <v>1</v>
      </c>
      <c r="Z70" s="106">
        <f>IF(X70,VALUE(R70),IF(U70,LEFT(R70,SEARCH("°",R70,1)-1),0))</f>
        <v>0</v>
      </c>
      <c r="AA70" s="111" t="str">
        <f>IF(X70,"",IF(U70,RIGHT(R70,LEN(R70)-SEARCH("°",R70,1)),R70))</f>
        <v/>
      </c>
      <c r="AB70" s="111" t="b">
        <f>(LEN(AA70)&gt;0)</f>
        <v>0</v>
      </c>
      <c r="AC70" s="111" t="b">
        <f>NOT(OR(V70,W70))</f>
        <v>1</v>
      </c>
      <c r="AD70" s="106">
        <f>IF(NOT(AB70),0,IF(AC70,VALUE(AA70),IF(NOT(V70),0,VALUE(LEFT(AA70,SEARCH("'",AA70,1)-1)))))</f>
        <v>0</v>
      </c>
      <c r="AE70" s="111" t="str">
        <f>IF(NOT(AB70),"",IF(AC70,"",IF(NOT(V70),AA70,RIGHT(AA70,LEN(AA70)-SEARCH("'",AA70,1)))))</f>
        <v/>
      </c>
      <c r="AF70" s="111" t="b">
        <f>(LEN(AE70)&gt;0)</f>
        <v>0</v>
      </c>
      <c r="AG70" s="111" t="b">
        <f>NOT(W70)</f>
        <v>1</v>
      </c>
      <c r="AH70" s="111" t="b">
        <f>ISNUMBER(SEARCH(".",AE70,1))</f>
        <v>0</v>
      </c>
      <c r="AI70" s="106">
        <f>IF(AF70,IF(W70,IF(AH70,VALUE(SUBSTITUTE(AE70, """", "")),VALUE(SUBSTITUTE(AE70, """", "."))),VALUE(AE70)),0)</f>
        <v>0</v>
      </c>
      <c r="AJ70" s="106">
        <f>Z70*3600+AD70*60+AI70</f>
        <v>0</v>
      </c>
      <c r="AK70" s="106">
        <f>AJ70/3600</f>
        <v>0</v>
      </c>
      <c r="AL70" s="106"/>
      <c r="AM70" s="106">
        <f t="shared" ref="AM70:AM83" si="53">_xlfn.FLOOR.MATH((AK70))</f>
        <v>0</v>
      </c>
      <c r="AN70" s="106">
        <f t="shared" ref="AN70:AN83" si="54">(AJ70-3600*AM70)/60</f>
        <v>0</v>
      </c>
      <c r="AO70" s="106">
        <f>_xlfn.FLOOR.MATH((AN70))</f>
        <v>0</v>
      </c>
      <c r="AP70" s="106">
        <f t="shared" ref="AP70:AP83" si="55">AJ70-3600*AM70-60*AO70</f>
        <v>0</v>
      </c>
      <c r="AQ70" s="100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167" t="s">
        <v>23</v>
      </c>
      <c r="D71" s="1168"/>
      <c r="E71" s="1168"/>
      <c r="F71" s="1168"/>
      <c r="G71" s="1168"/>
      <c r="H71" s="1169"/>
      <c r="I71" s="454" t="e">
        <f>AD71</f>
        <v>#VALUE!</v>
      </c>
      <c r="J71" s="454"/>
      <c r="K71" s="455"/>
      <c r="L71" s="455"/>
      <c r="M71" s="514" t="str">
        <f>'Droite de hauteur-soleil'!M20</f>
        <v>1.3'</v>
      </c>
      <c r="N71" s="514"/>
      <c r="O71" s="514"/>
      <c r="R71" s="116" t="str">
        <f t="shared" si="52"/>
        <v>1.3'</v>
      </c>
      <c r="S71" s="99" t="e">
        <f t="shared" ref="S71:S83" si="57">AQ71</f>
        <v>#VALUE!</v>
      </c>
      <c r="T71" s="100" t="e">
        <f t="shared" ref="T71:T83" si="58">AK71</f>
        <v>#VALUE!</v>
      </c>
      <c r="U71" s="111" t="b">
        <f t="shared" ref="U71:U83" si="59">ISNUMBER(SEARCH("°",R71,1))</f>
        <v>0</v>
      </c>
      <c r="V71" s="111" t="b">
        <f t="shared" ref="V71:V83" si="60">ISNUMBER(SEARCH("'",R71,1))</f>
        <v>1</v>
      </c>
      <c r="W71" s="111" t="b">
        <f t="shared" ref="W71:W83" si="61">ISNUMBER(SEARCH("""",R71,1))</f>
        <v>0</v>
      </c>
      <c r="X71" s="111" t="b">
        <f t="shared" ref="X71:X83" si="62">NOT(OR(U71,V71,W71))</f>
        <v>0</v>
      </c>
      <c r="Y71" s="111" t="b">
        <f t="shared" ref="Y71:Y83" si="63">OR(X71,U71)</f>
        <v>0</v>
      </c>
      <c r="Z71" s="106">
        <f t="shared" ref="Z71:Z83" si="64">IF(X71,VALUE(R71),IF(U71,LEFT(R71,SEARCH("°",R71,1)-1),0))</f>
        <v>0</v>
      </c>
      <c r="AA71" s="111" t="str">
        <f t="shared" ref="AA71:AA83" si="65">IF(X71,"",IF(U71,RIGHT(R71,LEN(R71)-SEARCH("°",R71,1)),R71))</f>
        <v>1.3'</v>
      </c>
      <c r="AB71" s="111" t="b">
        <f t="shared" ref="AB71:AB83" si="66">(LEN(AA71)&gt;0)</f>
        <v>1</v>
      </c>
      <c r="AC71" s="111" t="b">
        <f t="shared" ref="AC71:AC83" si="67">NOT(OR(V71,W71))</f>
        <v>0</v>
      </c>
      <c r="AD71" s="106" t="e">
        <f t="shared" ref="AD71:AD83" si="68">IF(NOT(AB71),0,IF(AC71,VALUE(AA71),IF(NOT(V71),0,VALUE(LEFT(AA71,SEARCH("'",AA71,1)-1)))))</f>
        <v>#VALUE!</v>
      </c>
      <c r="AE71" s="111" t="str">
        <f t="shared" ref="AE71:AE83" si="69">IF(NOT(AB71),"",IF(AC71,"",IF(NOT(V71),AA71,RIGHT(AA71,LEN(AA71)-SEARCH("'",AA71,1)))))</f>
        <v/>
      </c>
      <c r="AF71" s="111" t="b">
        <f t="shared" ref="AF71:AF83" si="70">(LEN(AE71)&gt;0)</f>
        <v>0</v>
      </c>
      <c r="AG71" s="111" t="b">
        <f t="shared" ref="AG71:AG83" si="71">NOT(W71)</f>
        <v>1</v>
      </c>
      <c r="AH71" s="111" t="b">
        <f t="shared" ref="AH71:AH83" si="72">ISNUMBER(SEARCH(".",AE71,1))</f>
        <v>0</v>
      </c>
      <c r="AI71" s="106">
        <f t="shared" ref="AI71:AI83" si="73">IF(AF71,IF(W71,IF(AH71,VALUE(SUBSTITUTE(AE71, """", "")),VALUE(SUBSTITUTE(AE71, """", "."))),VALUE(AE71)),0)</f>
        <v>0</v>
      </c>
      <c r="AJ71" s="106" t="e">
        <f t="shared" ref="AJ71:AJ83" si="74">Z71*3600+AD71*60+AI71</f>
        <v>#VALUE!</v>
      </c>
      <c r="AK71" s="106" t="e">
        <f t="shared" ref="AK71:AK83" si="75">AJ71/3600</f>
        <v>#VALUE!</v>
      </c>
      <c r="AL71" s="106"/>
      <c r="AM71" s="106" t="e">
        <f t="shared" si="53"/>
        <v>#VALUE!</v>
      </c>
      <c r="AN71" s="106" t="e">
        <f t="shared" si="54"/>
        <v>#VALUE!</v>
      </c>
      <c r="AO71" s="106" t="e">
        <f t="shared" ref="AO71:AO83" si="76">_xlfn.FLOOR.MATH((AN71))</f>
        <v>#VALUE!</v>
      </c>
      <c r="AP71" s="106" t="e">
        <f t="shared" si="55"/>
        <v>#VALUE!</v>
      </c>
      <c r="AQ71" s="100" t="e">
        <f t="shared" si="56"/>
        <v>#VALUE!</v>
      </c>
    </row>
    <row r="72" spans="3:43" x14ac:dyDescent="0.2">
      <c r="C72" s="1170" t="s">
        <v>33</v>
      </c>
      <c r="D72" s="1170"/>
      <c r="E72" s="1170"/>
      <c r="F72" s="1170"/>
      <c r="G72" s="1170"/>
      <c r="H72" s="1170"/>
      <c r="I72" s="1171" t="e">
        <f>AD72</f>
        <v>#VALUE!</v>
      </c>
      <c r="J72" s="1171"/>
      <c r="K72" s="1172"/>
      <c r="L72" s="1172"/>
      <c r="M72" s="514" t="str">
        <f>'Droite de hauteur-soleil'!M21</f>
        <v>54°50.1</v>
      </c>
      <c r="N72" s="514"/>
      <c r="O72" s="514"/>
      <c r="R72" s="116" t="str">
        <f t="shared" si="52"/>
        <v>54°50.1</v>
      </c>
      <c r="S72" s="99" t="e">
        <f t="shared" si="57"/>
        <v>#VALUE!</v>
      </c>
      <c r="T72" s="100" t="e">
        <f t="shared" si="58"/>
        <v>#VALUE!</v>
      </c>
      <c r="U72" s="111" t="b">
        <f t="shared" si="59"/>
        <v>1</v>
      </c>
      <c r="V72" s="111" t="b">
        <f t="shared" si="60"/>
        <v>0</v>
      </c>
      <c r="W72" s="111" t="b">
        <f t="shared" si="61"/>
        <v>0</v>
      </c>
      <c r="X72" s="111" t="b">
        <f t="shared" si="62"/>
        <v>0</v>
      </c>
      <c r="Y72" s="111" t="b">
        <f t="shared" si="63"/>
        <v>1</v>
      </c>
      <c r="Z72" s="106" t="str">
        <f t="shared" si="64"/>
        <v>54</v>
      </c>
      <c r="AA72" s="111" t="str">
        <f t="shared" si="65"/>
        <v>50.1</v>
      </c>
      <c r="AB72" s="111" t="b">
        <f t="shared" si="66"/>
        <v>1</v>
      </c>
      <c r="AC72" s="111" t="b">
        <f t="shared" si="67"/>
        <v>1</v>
      </c>
      <c r="AD72" s="106" t="e">
        <f t="shared" si="68"/>
        <v>#VALUE!</v>
      </c>
      <c r="AE72" s="111" t="str">
        <f t="shared" si="69"/>
        <v/>
      </c>
      <c r="AF72" s="111" t="b">
        <f t="shared" si="70"/>
        <v>0</v>
      </c>
      <c r="AG72" s="111" t="b">
        <f t="shared" si="71"/>
        <v>1</v>
      </c>
      <c r="AH72" s="111" t="b">
        <f t="shared" si="72"/>
        <v>0</v>
      </c>
      <c r="AI72" s="106">
        <f t="shared" si="73"/>
        <v>0</v>
      </c>
      <c r="AJ72" s="106" t="e">
        <f t="shared" si="74"/>
        <v>#VALUE!</v>
      </c>
      <c r="AK72" s="106" t="e">
        <f t="shared" si="75"/>
        <v>#VALUE!</v>
      </c>
      <c r="AL72" s="106"/>
      <c r="AM72" s="106" t="e">
        <f t="shared" si="53"/>
        <v>#VALUE!</v>
      </c>
      <c r="AN72" s="106" t="e">
        <f t="shared" si="54"/>
        <v>#VALUE!</v>
      </c>
      <c r="AO72" s="106" t="e">
        <f t="shared" si="76"/>
        <v>#VALUE!</v>
      </c>
      <c r="AP72" s="106" t="e">
        <f t="shared" si="55"/>
        <v>#VALUE!</v>
      </c>
      <c r="AQ72" s="100" t="e">
        <f t="shared" si="56"/>
        <v>#VALUE!</v>
      </c>
    </row>
    <row r="73" spans="3:43" x14ac:dyDescent="0.2">
      <c r="C73" s="1166" t="s">
        <v>38</v>
      </c>
      <c r="D73" s="1166"/>
      <c r="E73" s="1166"/>
      <c r="F73" s="1166"/>
      <c r="G73" s="1166"/>
      <c r="H73" s="1166"/>
      <c r="I73" s="366" t="str">
        <f>M73</f>
        <v>Soleil</v>
      </c>
      <c r="J73" s="367"/>
      <c r="K73" s="367"/>
      <c r="L73" s="368"/>
      <c r="M73" s="514" t="str">
        <f>'Droite de hauteur-soleil'!M22</f>
        <v>Soleil</v>
      </c>
      <c r="N73" s="514"/>
      <c r="O73" s="514"/>
      <c r="R73" s="116" t="str">
        <f t="shared" si="52"/>
        <v>Soleil</v>
      </c>
      <c r="S73" s="99" t="e">
        <f t="shared" si="57"/>
        <v>#VALUE!</v>
      </c>
      <c r="T73" s="100" t="e">
        <f t="shared" si="58"/>
        <v>#VALUE!</v>
      </c>
      <c r="U73" s="111" t="b">
        <f t="shared" si="59"/>
        <v>0</v>
      </c>
      <c r="V73" s="111" t="b">
        <f t="shared" si="60"/>
        <v>0</v>
      </c>
      <c r="W73" s="111" t="b">
        <f t="shared" si="61"/>
        <v>0</v>
      </c>
      <c r="X73" s="111" t="b">
        <f t="shared" si="62"/>
        <v>1</v>
      </c>
      <c r="Y73" s="111" t="b">
        <f t="shared" si="63"/>
        <v>1</v>
      </c>
      <c r="Z73" s="106" t="e">
        <f t="shared" si="64"/>
        <v>#VALUE!</v>
      </c>
      <c r="AA73" s="111" t="str">
        <f t="shared" si="65"/>
        <v/>
      </c>
      <c r="AB73" s="111" t="b">
        <f t="shared" si="66"/>
        <v>0</v>
      </c>
      <c r="AC73" s="111" t="b">
        <f t="shared" si="67"/>
        <v>1</v>
      </c>
      <c r="AD73" s="106">
        <f t="shared" si="68"/>
        <v>0</v>
      </c>
      <c r="AE73" s="111" t="str">
        <f t="shared" si="69"/>
        <v/>
      </c>
      <c r="AF73" s="111" t="b">
        <f t="shared" si="70"/>
        <v>0</v>
      </c>
      <c r="AG73" s="111" t="b">
        <f t="shared" si="71"/>
        <v>1</v>
      </c>
      <c r="AH73" s="111" t="b">
        <f t="shared" si="72"/>
        <v>0</v>
      </c>
      <c r="AI73" s="106">
        <f t="shared" si="73"/>
        <v>0</v>
      </c>
      <c r="AJ73" s="106" t="e">
        <f t="shared" si="74"/>
        <v>#VALUE!</v>
      </c>
      <c r="AK73" s="106" t="e">
        <f t="shared" si="75"/>
        <v>#VALUE!</v>
      </c>
      <c r="AL73" s="106"/>
      <c r="AM73" s="106" t="e">
        <f t="shared" si="53"/>
        <v>#VALUE!</v>
      </c>
      <c r="AN73" s="106" t="e">
        <f t="shared" si="54"/>
        <v>#VALUE!</v>
      </c>
      <c r="AO73" s="106" t="e">
        <f t="shared" si="76"/>
        <v>#VALUE!</v>
      </c>
      <c r="AP73" s="106" t="e">
        <f t="shared" si="55"/>
        <v>#VALUE!</v>
      </c>
      <c r="AQ73" s="100" t="e">
        <f t="shared" si="56"/>
        <v>#VALUE!</v>
      </c>
    </row>
    <row r="74" spans="3:43" x14ac:dyDescent="0.2">
      <c r="C74" s="1166" t="s">
        <v>128</v>
      </c>
      <c r="D74" s="1166"/>
      <c r="E74" s="1166"/>
      <c r="F74" s="1166"/>
      <c r="G74" s="1166"/>
      <c r="H74" s="1166"/>
      <c r="I74" s="399" t="str">
        <f>IF(M73=AG73,AH74,M74)</f>
        <v>BordInf</v>
      </c>
      <c r="J74" s="399"/>
      <c r="K74" s="399"/>
      <c r="L74" s="399"/>
      <c r="M74" s="514" t="str">
        <f>'Droite de hauteur-soleil'!M23</f>
        <v>BordInf</v>
      </c>
      <c r="N74" s="514"/>
      <c r="O74" s="514"/>
      <c r="R74" s="116" t="str">
        <f t="shared" si="52"/>
        <v>BordInf</v>
      </c>
      <c r="S74" s="99" t="e">
        <f t="shared" si="57"/>
        <v>#VALUE!</v>
      </c>
      <c r="T74" s="100" t="e">
        <f t="shared" si="58"/>
        <v>#VALUE!</v>
      </c>
      <c r="U74" s="111" t="b">
        <f t="shared" si="59"/>
        <v>0</v>
      </c>
      <c r="V74" s="111" t="b">
        <f t="shared" si="60"/>
        <v>0</v>
      </c>
      <c r="W74" s="111" t="b">
        <f t="shared" si="61"/>
        <v>0</v>
      </c>
      <c r="X74" s="111" t="b">
        <f t="shared" si="62"/>
        <v>1</v>
      </c>
      <c r="Y74" s="111" t="b">
        <f t="shared" si="63"/>
        <v>1</v>
      </c>
      <c r="Z74" s="106" t="e">
        <f t="shared" si="64"/>
        <v>#VALUE!</v>
      </c>
      <c r="AA74" s="111" t="str">
        <f t="shared" si="65"/>
        <v/>
      </c>
      <c r="AB74" s="111" t="b">
        <f t="shared" si="66"/>
        <v>0</v>
      </c>
      <c r="AC74" s="111" t="b">
        <f t="shared" si="67"/>
        <v>1</v>
      </c>
      <c r="AD74" s="106">
        <f t="shared" si="68"/>
        <v>0</v>
      </c>
      <c r="AE74" s="111" t="str">
        <f t="shared" si="69"/>
        <v/>
      </c>
      <c r="AF74" s="111" t="b">
        <f t="shared" si="70"/>
        <v>0</v>
      </c>
      <c r="AG74" s="111" t="b">
        <f t="shared" si="71"/>
        <v>1</v>
      </c>
      <c r="AH74" s="111" t="b">
        <f t="shared" si="72"/>
        <v>0</v>
      </c>
      <c r="AI74" s="106">
        <f t="shared" si="73"/>
        <v>0</v>
      </c>
      <c r="AJ74" s="106" t="e">
        <f t="shared" si="74"/>
        <v>#VALUE!</v>
      </c>
      <c r="AK74" s="106" t="e">
        <f t="shared" si="75"/>
        <v>#VALUE!</v>
      </c>
      <c r="AL74" s="106"/>
      <c r="AM74" s="106" t="e">
        <f t="shared" si="53"/>
        <v>#VALUE!</v>
      </c>
      <c r="AN74" s="106" t="e">
        <f t="shared" si="54"/>
        <v>#VALUE!</v>
      </c>
      <c r="AO74" s="106" t="e">
        <f t="shared" si="76"/>
        <v>#VALUE!</v>
      </c>
      <c r="AP74" s="106" t="e">
        <f t="shared" si="55"/>
        <v>#VALUE!</v>
      </c>
      <c r="AQ74" s="100" t="e">
        <f t="shared" si="56"/>
        <v>#VALUE!</v>
      </c>
    </row>
    <row r="75" spans="3:43" x14ac:dyDescent="0.2">
      <c r="C75" s="1173" t="s">
        <v>141</v>
      </c>
      <c r="D75" s="1174"/>
      <c r="E75" s="1174"/>
      <c r="F75" s="1174"/>
      <c r="G75" s="1174"/>
      <c r="H75" s="1175"/>
      <c r="I75" s="474" t="e">
        <f>T75</f>
        <v>#VALUE!</v>
      </c>
      <c r="J75" s="475"/>
      <c r="K75" s="475"/>
      <c r="L75" s="476"/>
      <c r="M75" s="514" t="str">
        <f>'Droite de hauteur-soleil'!M24</f>
        <v>0.173'</v>
      </c>
      <c r="N75" s="514"/>
      <c r="O75" s="514"/>
      <c r="R75" s="116" t="str">
        <f t="shared" si="52"/>
        <v>0.173'</v>
      </c>
      <c r="S75" s="99" t="e">
        <f t="shared" si="57"/>
        <v>#VALUE!</v>
      </c>
      <c r="T75" s="100" t="e">
        <f t="shared" si="58"/>
        <v>#VALUE!</v>
      </c>
      <c r="U75" s="111" t="b">
        <f t="shared" si="59"/>
        <v>0</v>
      </c>
      <c r="V75" s="111" t="b">
        <f t="shared" si="60"/>
        <v>1</v>
      </c>
      <c r="W75" s="111" t="b">
        <f t="shared" si="61"/>
        <v>0</v>
      </c>
      <c r="X75" s="111" t="b">
        <f t="shared" si="62"/>
        <v>0</v>
      </c>
      <c r="Y75" s="111" t="b">
        <f t="shared" si="63"/>
        <v>0</v>
      </c>
      <c r="Z75" s="106">
        <f t="shared" si="64"/>
        <v>0</v>
      </c>
      <c r="AA75" s="111" t="str">
        <f t="shared" si="65"/>
        <v>0.173'</v>
      </c>
      <c r="AB75" s="111" t="b">
        <f t="shared" si="66"/>
        <v>1</v>
      </c>
      <c r="AC75" s="111" t="b">
        <f t="shared" si="67"/>
        <v>0</v>
      </c>
      <c r="AD75" s="106" t="e">
        <f t="shared" si="68"/>
        <v>#VALUE!</v>
      </c>
      <c r="AE75" s="111" t="str">
        <f t="shared" si="69"/>
        <v/>
      </c>
      <c r="AF75" s="111" t="b">
        <f t="shared" si="70"/>
        <v>0</v>
      </c>
      <c r="AG75" s="111" t="b">
        <f t="shared" si="71"/>
        <v>1</v>
      </c>
      <c r="AH75" s="111" t="b">
        <f t="shared" si="72"/>
        <v>0</v>
      </c>
      <c r="AI75" s="106">
        <f t="shared" si="73"/>
        <v>0</v>
      </c>
      <c r="AJ75" s="106" t="e">
        <f t="shared" si="74"/>
        <v>#VALUE!</v>
      </c>
      <c r="AK75" s="106" t="e">
        <f t="shared" si="75"/>
        <v>#VALUE!</v>
      </c>
      <c r="AL75" s="106"/>
      <c r="AM75" s="106" t="e">
        <f t="shared" si="53"/>
        <v>#VALUE!</v>
      </c>
      <c r="AN75" s="106" t="e">
        <f t="shared" si="54"/>
        <v>#VALUE!</v>
      </c>
      <c r="AO75" s="106" t="e">
        <f t="shared" si="76"/>
        <v>#VALUE!</v>
      </c>
      <c r="AP75" s="106" t="e">
        <f t="shared" si="55"/>
        <v>#VALUE!</v>
      </c>
      <c r="AQ75" s="100" t="e">
        <f t="shared" si="56"/>
        <v>#VALUE!</v>
      </c>
    </row>
    <row r="76" spans="3:43" x14ac:dyDescent="0.2">
      <c r="C76" s="1176"/>
      <c r="D76" s="1177"/>
      <c r="E76" s="1177"/>
      <c r="F76" s="1177"/>
      <c r="G76" s="1177"/>
      <c r="H76" s="1178"/>
      <c r="I76" s="477"/>
      <c r="J76" s="478"/>
      <c r="K76" s="478"/>
      <c r="L76" s="479"/>
      <c r="M76" s="514"/>
      <c r="N76" s="514"/>
      <c r="O76" s="514"/>
      <c r="R76" s="116"/>
      <c r="S76" s="99" t="str">
        <f t="shared" si="57"/>
        <v>00°00'00.00 [00°00.00] - (00.0000°)</v>
      </c>
      <c r="T76" s="100">
        <f t="shared" si="58"/>
        <v>0</v>
      </c>
      <c r="U76" s="111" t="b">
        <f t="shared" si="59"/>
        <v>0</v>
      </c>
      <c r="V76" s="111" t="b">
        <f t="shared" si="60"/>
        <v>0</v>
      </c>
      <c r="W76" s="111" t="b">
        <f t="shared" si="61"/>
        <v>0</v>
      </c>
      <c r="X76" s="111" t="b">
        <f t="shared" si="62"/>
        <v>1</v>
      </c>
      <c r="Y76" s="111" t="b">
        <f t="shared" si="63"/>
        <v>1</v>
      </c>
      <c r="Z76" s="106">
        <f t="shared" si="64"/>
        <v>0</v>
      </c>
      <c r="AA76" s="111" t="str">
        <f t="shared" si="65"/>
        <v/>
      </c>
      <c r="AB76" s="111" t="b">
        <f t="shared" si="66"/>
        <v>0</v>
      </c>
      <c r="AC76" s="111" t="b">
        <f t="shared" si="67"/>
        <v>1</v>
      </c>
      <c r="AD76" s="106">
        <f t="shared" si="68"/>
        <v>0</v>
      </c>
      <c r="AE76" s="111" t="str">
        <f t="shared" si="69"/>
        <v/>
      </c>
      <c r="AF76" s="111" t="b">
        <f t="shared" si="70"/>
        <v>0</v>
      </c>
      <c r="AG76" s="111" t="b">
        <f t="shared" si="71"/>
        <v>1</v>
      </c>
      <c r="AH76" s="111" t="b">
        <f t="shared" si="72"/>
        <v>0</v>
      </c>
      <c r="AI76" s="106">
        <f t="shared" si="73"/>
        <v>0</v>
      </c>
      <c r="AJ76" s="106">
        <f t="shared" si="74"/>
        <v>0</v>
      </c>
      <c r="AK76" s="106">
        <f t="shared" si="75"/>
        <v>0</v>
      </c>
      <c r="AL76" s="106"/>
      <c r="AM76" s="106">
        <f t="shared" si="53"/>
        <v>0</v>
      </c>
      <c r="AN76" s="106">
        <f t="shared" si="54"/>
        <v>0</v>
      </c>
      <c r="AO76" s="106">
        <f t="shared" si="76"/>
        <v>0</v>
      </c>
      <c r="AP76" s="106">
        <f t="shared" si="55"/>
        <v>0</v>
      </c>
      <c r="AQ76" s="100" t="str">
        <f t="shared" si="56"/>
        <v>00°00'00.00 [00°00.00] - (00.0000°)</v>
      </c>
    </row>
    <row r="77" spans="3:43" x14ac:dyDescent="0.2">
      <c r="C77" s="1176"/>
      <c r="D77" s="1177"/>
      <c r="E77" s="1177"/>
      <c r="F77" s="1177"/>
      <c r="G77" s="1177"/>
      <c r="H77" s="1178"/>
      <c r="I77" s="477"/>
      <c r="J77" s="478"/>
      <c r="K77" s="478"/>
      <c r="L77" s="479"/>
      <c r="M77" s="514"/>
      <c r="N77" s="514"/>
      <c r="O77" s="514"/>
      <c r="R77" s="116"/>
      <c r="S77" s="99" t="str">
        <f t="shared" si="57"/>
        <v>00°00'00.00 [00°00.00] - (00.0000°)</v>
      </c>
      <c r="T77" s="100">
        <f t="shared" si="58"/>
        <v>0</v>
      </c>
      <c r="U77" s="111" t="b">
        <f t="shared" si="59"/>
        <v>0</v>
      </c>
      <c r="V77" s="111" t="b">
        <f t="shared" si="60"/>
        <v>0</v>
      </c>
      <c r="W77" s="111" t="b">
        <f t="shared" si="61"/>
        <v>0</v>
      </c>
      <c r="X77" s="111" t="b">
        <f t="shared" si="62"/>
        <v>1</v>
      </c>
      <c r="Y77" s="111" t="b">
        <f t="shared" si="63"/>
        <v>1</v>
      </c>
      <c r="Z77" s="106">
        <f t="shared" si="64"/>
        <v>0</v>
      </c>
      <c r="AA77" s="111" t="str">
        <f t="shared" si="65"/>
        <v/>
      </c>
      <c r="AB77" s="111" t="b">
        <f t="shared" si="66"/>
        <v>0</v>
      </c>
      <c r="AC77" s="111" t="b">
        <f t="shared" si="67"/>
        <v>1</v>
      </c>
      <c r="AD77" s="106">
        <f t="shared" si="68"/>
        <v>0</v>
      </c>
      <c r="AE77" s="111" t="str">
        <f t="shared" si="69"/>
        <v/>
      </c>
      <c r="AF77" s="111" t="b">
        <f t="shared" si="70"/>
        <v>0</v>
      </c>
      <c r="AG77" s="111" t="b">
        <f t="shared" si="71"/>
        <v>1</v>
      </c>
      <c r="AH77" s="111" t="b">
        <f t="shared" si="72"/>
        <v>0</v>
      </c>
      <c r="AI77" s="106">
        <f t="shared" si="73"/>
        <v>0</v>
      </c>
      <c r="AJ77" s="106">
        <f t="shared" si="74"/>
        <v>0</v>
      </c>
      <c r="AK77" s="106">
        <f t="shared" si="75"/>
        <v>0</v>
      </c>
      <c r="AL77" s="106"/>
      <c r="AM77" s="106">
        <f t="shared" si="53"/>
        <v>0</v>
      </c>
      <c r="AN77" s="106">
        <f t="shared" si="54"/>
        <v>0</v>
      </c>
      <c r="AO77" s="106">
        <f t="shared" si="76"/>
        <v>0</v>
      </c>
      <c r="AP77" s="106">
        <f t="shared" si="55"/>
        <v>0</v>
      </c>
      <c r="AQ77" s="100" t="str">
        <f t="shared" si="56"/>
        <v>00°00'00.00 [00°00.00] - (00.0000°)</v>
      </c>
    </row>
    <row r="78" spans="3:43" x14ac:dyDescent="0.2">
      <c r="C78" s="1179"/>
      <c r="D78" s="1180"/>
      <c r="E78" s="1180"/>
      <c r="F78" s="1180"/>
      <c r="G78" s="1180"/>
      <c r="H78" s="1181"/>
      <c r="I78" s="480"/>
      <c r="J78" s="481"/>
      <c r="K78" s="481"/>
      <c r="L78" s="482"/>
      <c r="M78" s="514"/>
      <c r="N78" s="514"/>
      <c r="O78" s="514"/>
      <c r="R78" s="116"/>
      <c r="S78" s="99" t="str">
        <f t="shared" si="57"/>
        <v>00°00'00.00 [00°00.00] - (00.0000°)</v>
      </c>
      <c r="T78" s="100">
        <f t="shared" si="58"/>
        <v>0</v>
      </c>
      <c r="U78" s="111" t="b">
        <f t="shared" si="59"/>
        <v>0</v>
      </c>
      <c r="V78" s="111" t="b">
        <f t="shared" si="60"/>
        <v>0</v>
      </c>
      <c r="W78" s="111" t="b">
        <f t="shared" si="61"/>
        <v>0</v>
      </c>
      <c r="X78" s="111" t="b">
        <f t="shared" si="62"/>
        <v>1</v>
      </c>
      <c r="Y78" s="111" t="b">
        <f t="shared" si="63"/>
        <v>1</v>
      </c>
      <c r="Z78" s="106">
        <f t="shared" si="64"/>
        <v>0</v>
      </c>
      <c r="AA78" s="111" t="str">
        <f t="shared" si="65"/>
        <v/>
      </c>
      <c r="AB78" s="111" t="b">
        <f t="shared" si="66"/>
        <v>0</v>
      </c>
      <c r="AC78" s="111" t="b">
        <f t="shared" si="67"/>
        <v>1</v>
      </c>
      <c r="AD78" s="106">
        <f t="shared" si="68"/>
        <v>0</v>
      </c>
      <c r="AE78" s="111" t="str">
        <f t="shared" si="69"/>
        <v/>
      </c>
      <c r="AF78" s="111" t="b">
        <f t="shared" si="70"/>
        <v>0</v>
      </c>
      <c r="AG78" s="111" t="b">
        <f t="shared" si="71"/>
        <v>1</v>
      </c>
      <c r="AH78" s="111" t="b">
        <f t="shared" si="72"/>
        <v>0</v>
      </c>
      <c r="AI78" s="106">
        <f t="shared" si="73"/>
        <v>0</v>
      </c>
      <c r="AJ78" s="106">
        <f t="shared" si="74"/>
        <v>0</v>
      </c>
      <c r="AK78" s="106">
        <f t="shared" si="75"/>
        <v>0</v>
      </c>
      <c r="AL78" s="106"/>
      <c r="AM78" s="106">
        <f t="shared" si="53"/>
        <v>0</v>
      </c>
      <c r="AN78" s="106">
        <f t="shared" si="54"/>
        <v>0</v>
      </c>
      <c r="AO78" s="106">
        <f t="shared" si="76"/>
        <v>0</v>
      </c>
      <c r="AP78" s="106">
        <f t="shared" si="55"/>
        <v>0</v>
      </c>
      <c r="AQ78" s="100" t="str">
        <f t="shared" si="56"/>
        <v>00°00'00.00 [00°00.00] - (00.0000°)</v>
      </c>
    </row>
    <row r="79" spans="3:43" x14ac:dyDescent="0.2">
      <c r="C79" s="1173" t="s">
        <v>180</v>
      </c>
      <c r="D79" s="1174"/>
      <c r="E79" s="1174"/>
      <c r="F79" s="1174"/>
      <c r="G79" s="1174"/>
      <c r="H79" s="1175"/>
      <c r="I79" s="1182">
        <f>T79</f>
        <v>0.53333333333333333</v>
      </c>
      <c r="J79" s="631"/>
      <c r="K79" s="631"/>
      <c r="L79" s="1183"/>
      <c r="M79" s="514" t="str">
        <f>'Droite de hauteur-soleil'!M28</f>
        <v>32'</v>
      </c>
      <c r="N79" s="514"/>
      <c r="O79" s="514"/>
      <c r="R79" s="116" t="str">
        <f>M79</f>
        <v>32'</v>
      </c>
      <c r="S79" s="99" t="str">
        <f t="shared" si="57"/>
        <v>00°32'00.00 [00°00.32] - (00.0001°)</v>
      </c>
      <c r="T79" s="100">
        <f t="shared" si="58"/>
        <v>0.53333333333333333</v>
      </c>
      <c r="U79" s="111" t="b">
        <f t="shared" si="59"/>
        <v>0</v>
      </c>
      <c r="V79" s="111" t="b">
        <f t="shared" si="60"/>
        <v>1</v>
      </c>
      <c r="W79" s="111" t="b">
        <f t="shared" si="61"/>
        <v>0</v>
      </c>
      <c r="X79" s="111" t="b">
        <f t="shared" si="62"/>
        <v>0</v>
      </c>
      <c r="Y79" s="111" t="b">
        <f t="shared" si="63"/>
        <v>0</v>
      </c>
      <c r="Z79" s="106">
        <f t="shared" si="64"/>
        <v>0</v>
      </c>
      <c r="AA79" s="111" t="str">
        <f t="shared" si="65"/>
        <v>32'</v>
      </c>
      <c r="AB79" s="111" t="b">
        <f t="shared" si="66"/>
        <v>1</v>
      </c>
      <c r="AC79" s="111" t="b">
        <f t="shared" si="67"/>
        <v>0</v>
      </c>
      <c r="AD79" s="106">
        <f t="shared" si="68"/>
        <v>32</v>
      </c>
      <c r="AE79" s="111" t="str">
        <f t="shared" si="69"/>
        <v/>
      </c>
      <c r="AF79" s="111" t="b">
        <f t="shared" si="70"/>
        <v>0</v>
      </c>
      <c r="AG79" s="111" t="b">
        <f t="shared" si="71"/>
        <v>1</v>
      </c>
      <c r="AH79" s="111" t="b">
        <f t="shared" si="72"/>
        <v>0</v>
      </c>
      <c r="AI79" s="106">
        <f t="shared" si="73"/>
        <v>0</v>
      </c>
      <c r="AJ79" s="106">
        <f t="shared" si="74"/>
        <v>1920</v>
      </c>
      <c r="AK79" s="106">
        <f t="shared" si="75"/>
        <v>0.53333333333333333</v>
      </c>
      <c r="AL79" s="106"/>
      <c r="AM79" s="106">
        <f t="shared" si="53"/>
        <v>0</v>
      </c>
      <c r="AN79" s="106">
        <f t="shared" si="54"/>
        <v>32</v>
      </c>
      <c r="AO79" s="106">
        <f t="shared" si="76"/>
        <v>32</v>
      </c>
      <c r="AP79" s="106">
        <f t="shared" si="55"/>
        <v>0</v>
      </c>
      <c r="AQ79" s="100" t="str">
        <f t="shared" si="56"/>
        <v>00°32'00.00 [00°00.32] - (00.0001°)</v>
      </c>
    </row>
    <row r="80" spans="3:43" x14ac:dyDescent="0.2">
      <c r="C80" s="1176"/>
      <c r="D80" s="1177"/>
      <c r="E80" s="1177"/>
      <c r="F80" s="1177"/>
      <c r="G80" s="1177"/>
      <c r="H80" s="1178"/>
      <c r="I80" s="477"/>
      <c r="J80" s="478"/>
      <c r="K80" s="478"/>
      <c r="L80" s="479"/>
      <c r="M80" s="514"/>
      <c r="N80" s="514"/>
      <c r="O80" s="514"/>
      <c r="R80" s="116"/>
      <c r="S80" s="99" t="str">
        <f t="shared" si="57"/>
        <v>00°00'00.00 [00°00.00] - (00.0000°)</v>
      </c>
      <c r="T80" s="100">
        <f t="shared" si="58"/>
        <v>0</v>
      </c>
      <c r="U80" s="111" t="b">
        <f t="shared" si="59"/>
        <v>0</v>
      </c>
      <c r="V80" s="111" t="b">
        <f t="shared" si="60"/>
        <v>0</v>
      </c>
      <c r="W80" s="111" t="b">
        <f t="shared" si="61"/>
        <v>0</v>
      </c>
      <c r="X80" s="111" t="b">
        <f t="shared" si="62"/>
        <v>1</v>
      </c>
      <c r="Y80" s="111" t="b">
        <f t="shared" si="63"/>
        <v>1</v>
      </c>
      <c r="Z80" s="106">
        <f t="shared" si="64"/>
        <v>0</v>
      </c>
      <c r="AA80" s="111" t="str">
        <f t="shared" si="65"/>
        <v/>
      </c>
      <c r="AB80" s="111" t="b">
        <f t="shared" si="66"/>
        <v>0</v>
      </c>
      <c r="AC80" s="111" t="b">
        <f t="shared" si="67"/>
        <v>1</v>
      </c>
      <c r="AD80" s="106">
        <f t="shared" si="68"/>
        <v>0</v>
      </c>
      <c r="AE80" s="111" t="str">
        <f t="shared" si="69"/>
        <v/>
      </c>
      <c r="AF80" s="111" t="b">
        <f t="shared" si="70"/>
        <v>0</v>
      </c>
      <c r="AG80" s="111" t="b">
        <f t="shared" si="71"/>
        <v>1</v>
      </c>
      <c r="AH80" s="111" t="b">
        <f t="shared" si="72"/>
        <v>0</v>
      </c>
      <c r="AI80" s="106">
        <f t="shared" si="73"/>
        <v>0</v>
      </c>
      <c r="AJ80" s="106">
        <f t="shared" si="74"/>
        <v>0</v>
      </c>
      <c r="AK80" s="106">
        <f t="shared" si="75"/>
        <v>0</v>
      </c>
      <c r="AL80" s="106"/>
      <c r="AM80" s="106">
        <f t="shared" si="53"/>
        <v>0</v>
      </c>
      <c r="AN80" s="106">
        <f t="shared" si="54"/>
        <v>0</v>
      </c>
      <c r="AO80" s="106">
        <f t="shared" si="76"/>
        <v>0</v>
      </c>
      <c r="AP80" s="106">
        <f t="shared" si="55"/>
        <v>0</v>
      </c>
      <c r="AQ80" s="100" t="str">
        <f t="shared" si="56"/>
        <v>00°00'00.00 [00°00.00] - (00.0000°)</v>
      </c>
    </row>
    <row r="81" spans="1:43" x14ac:dyDescent="0.2">
      <c r="C81" s="1176"/>
      <c r="D81" s="1177"/>
      <c r="E81" s="1177"/>
      <c r="F81" s="1177"/>
      <c r="G81" s="1177"/>
      <c r="H81" s="1178"/>
      <c r="I81" s="477"/>
      <c r="J81" s="478"/>
      <c r="K81" s="478"/>
      <c r="L81" s="479"/>
      <c r="M81" s="514"/>
      <c r="N81" s="514"/>
      <c r="O81" s="514"/>
      <c r="R81" s="116"/>
      <c r="S81" s="99" t="str">
        <f t="shared" si="57"/>
        <v>00°00'00.00 [00°00.00] - (00.0000°)</v>
      </c>
      <c r="T81" s="100">
        <f t="shared" si="58"/>
        <v>0</v>
      </c>
      <c r="U81" s="111" t="b">
        <f t="shared" si="59"/>
        <v>0</v>
      </c>
      <c r="V81" s="111" t="b">
        <f t="shared" si="60"/>
        <v>0</v>
      </c>
      <c r="W81" s="111" t="b">
        <f t="shared" si="61"/>
        <v>0</v>
      </c>
      <c r="X81" s="111" t="b">
        <f t="shared" si="62"/>
        <v>1</v>
      </c>
      <c r="Y81" s="111" t="b">
        <f t="shared" si="63"/>
        <v>1</v>
      </c>
      <c r="Z81" s="106">
        <f t="shared" si="64"/>
        <v>0</v>
      </c>
      <c r="AA81" s="111" t="str">
        <f t="shared" si="65"/>
        <v/>
      </c>
      <c r="AB81" s="111" t="b">
        <f t="shared" si="66"/>
        <v>0</v>
      </c>
      <c r="AC81" s="111" t="b">
        <f t="shared" si="67"/>
        <v>1</v>
      </c>
      <c r="AD81" s="106">
        <f t="shared" si="68"/>
        <v>0</v>
      </c>
      <c r="AE81" s="111" t="str">
        <f t="shared" si="69"/>
        <v/>
      </c>
      <c r="AF81" s="111" t="b">
        <f t="shared" si="70"/>
        <v>0</v>
      </c>
      <c r="AG81" s="111" t="b">
        <f t="shared" si="71"/>
        <v>1</v>
      </c>
      <c r="AH81" s="111" t="b">
        <f t="shared" si="72"/>
        <v>0</v>
      </c>
      <c r="AI81" s="106">
        <f t="shared" si="73"/>
        <v>0</v>
      </c>
      <c r="AJ81" s="106">
        <f t="shared" si="74"/>
        <v>0</v>
      </c>
      <c r="AK81" s="106">
        <f t="shared" si="75"/>
        <v>0</v>
      </c>
      <c r="AL81" s="106"/>
      <c r="AM81" s="106">
        <f t="shared" si="53"/>
        <v>0</v>
      </c>
      <c r="AN81" s="106">
        <f t="shared" si="54"/>
        <v>0</v>
      </c>
      <c r="AO81" s="106">
        <f t="shared" si="76"/>
        <v>0</v>
      </c>
      <c r="AP81" s="106">
        <f t="shared" si="55"/>
        <v>0</v>
      </c>
      <c r="AQ81" s="100" t="str">
        <f t="shared" si="56"/>
        <v>00°00'00.00 [00°00.00] - (00.0000°)</v>
      </c>
    </row>
    <row r="82" spans="1:43" x14ac:dyDescent="0.2">
      <c r="C82" s="1179"/>
      <c r="D82" s="1180"/>
      <c r="E82" s="1180"/>
      <c r="F82" s="1180"/>
      <c r="G82" s="1180"/>
      <c r="H82" s="1181"/>
      <c r="I82" s="480"/>
      <c r="J82" s="481"/>
      <c r="K82" s="481"/>
      <c r="L82" s="482"/>
      <c r="M82" s="514"/>
      <c r="N82" s="514"/>
      <c r="O82" s="514"/>
      <c r="R82" s="116"/>
      <c r="S82" s="99" t="str">
        <f t="shared" si="57"/>
        <v>00°00'00.00 [00°00.00] - (00.0000°)</v>
      </c>
      <c r="T82" s="100">
        <f t="shared" si="58"/>
        <v>0</v>
      </c>
      <c r="U82" s="111" t="b">
        <f t="shared" si="59"/>
        <v>0</v>
      </c>
      <c r="V82" s="111" t="b">
        <f t="shared" si="60"/>
        <v>0</v>
      </c>
      <c r="W82" s="111" t="b">
        <f t="shared" si="61"/>
        <v>0</v>
      </c>
      <c r="X82" s="111" t="b">
        <f t="shared" si="62"/>
        <v>1</v>
      </c>
      <c r="Y82" s="111" t="b">
        <f t="shared" si="63"/>
        <v>1</v>
      </c>
      <c r="Z82" s="106">
        <f t="shared" si="64"/>
        <v>0</v>
      </c>
      <c r="AA82" s="111" t="str">
        <f t="shared" si="65"/>
        <v/>
      </c>
      <c r="AB82" s="111" t="b">
        <f t="shared" si="66"/>
        <v>0</v>
      </c>
      <c r="AC82" s="111" t="b">
        <f t="shared" si="67"/>
        <v>1</v>
      </c>
      <c r="AD82" s="106">
        <f t="shared" si="68"/>
        <v>0</v>
      </c>
      <c r="AE82" s="111" t="str">
        <f t="shared" si="69"/>
        <v/>
      </c>
      <c r="AF82" s="111" t="b">
        <f t="shared" si="70"/>
        <v>0</v>
      </c>
      <c r="AG82" s="111" t="b">
        <f t="shared" si="71"/>
        <v>1</v>
      </c>
      <c r="AH82" s="111" t="b">
        <f t="shared" si="72"/>
        <v>0</v>
      </c>
      <c r="AI82" s="106">
        <f t="shared" si="73"/>
        <v>0</v>
      </c>
      <c r="AJ82" s="106">
        <f t="shared" si="74"/>
        <v>0</v>
      </c>
      <c r="AK82" s="106">
        <f t="shared" si="75"/>
        <v>0</v>
      </c>
      <c r="AL82" s="106"/>
      <c r="AM82" s="106">
        <f t="shared" si="53"/>
        <v>0</v>
      </c>
      <c r="AN82" s="106">
        <f t="shared" si="54"/>
        <v>0</v>
      </c>
      <c r="AO82" s="106">
        <f t="shared" si="76"/>
        <v>0</v>
      </c>
      <c r="AP82" s="106">
        <f t="shared" si="55"/>
        <v>0</v>
      </c>
      <c r="AQ82" s="100" t="str">
        <f t="shared" si="56"/>
        <v>00°00'00.00 [00°00.00] - (00.0000°)</v>
      </c>
    </row>
    <row r="83" spans="1:43" x14ac:dyDescent="0.2">
      <c r="R83" s="116"/>
      <c r="S83" s="99" t="str">
        <f t="shared" si="57"/>
        <v>00°00'00.00 [00°00.00] - (00.0000°)</v>
      </c>
      <c r="T83" s="100">
        <f t="shared" si="58"/>
        <v>0</v>
      </c>
      <c r="U83" s="111" t="b">
        <f t="shared" si="59"/>
        <v>0</v>
      </c>
      <c r="V83" s="111" t="b">
        <f t="shared" si="60"/>
        <v>0</v>
      </c>
      <c r="W83" s="111" t="b">
        <f t="shared" si="61"/>
        <v>0</v>
      </c>
      <c r="X83" s="111" t="b">
        <f t="shared" si="62"/>
        <v>1</v>
      </c>
      <c r="Y83" s="111" t="b">
        <f t="shared" si="63"/>
        <v>1</v>
      </c>
      <c r="Z83" s="106">
        <f t="shared" si="64"/>
        <v>0</v>
      </c>
      <c r="AA83" s="111" t="str">
        <f t="shared" si="65"/>
        <v/>
      </c>
      <c r="AB83" s="111" t="b">
        <f t="shared" si="66"/>
        <v>0</v>
      </c>
      <c r="AC83" s="111" t="b">
        <f t="shared" si="67"/>
        <v>1</v>
      </c>
      <c r="AD83" s="106">
        <f t="shared" si="68"/>
        <v>0</v>
      </c>
      <c r="AE83" s="111" t="str">
        <f t="shared" si="69"/>
        <v/>
      </c>
      <c r="AF83" s="111" t="b">
        <f t="shared" si="70"/>
        <v>0</v>
      </c>
      <c r="AG83" s="111" t="b">
        <f t="shared" si="71"/>
        <v>1</v>
      </c>
      <c r="AH83" s="111" t="b">
        <f t="shared" si="72"/>
        <v>0</v>
      </c>
      <c r="AI83" s="106">
        <f t="shared" si="73"/>
        <v>0</v>
      </c>
      <c r="AJ83" s="106">
        <f t="shared" si="74"/>
        <v>0</v>
      </c>
      <c r="AK83" s="106">
        <f t="shared" si="75"/>
        <v>0</v>
      </c>
      <c r="AL83" s="106"/>
      <c r="AM83" s="106">
        <f t="shared" si="53"/>
        <v>0</v>
      </c>
      <c r="AN83" s="106">
        <f t="shared" si="54"/>
        <v>0</v>
      </c>
      <c r="AO83" s="106">
        <f t="shared" si="76"/>
        <v>0</v>
      </c>
      <c r="AP83" s="106">
        <f t="shared" si="55"/>
        <v>0</v>
      </c>
      <c r="AQ83" s="100" t="str">
        <f t="shared" si="56"/>
        <v>00°00'00.00 [00°00.00] - (00.0000°)</v>
      </c>
    </row>
    <row r="84" spans="1:43" x14ac:dyDescent="0.2">
      <c r="F84" s="561" t="s">
        <v>59</v>
      </c>
      <c r="G84" s="561"/>
      <c r="H84" s="561"/>
      <c r="I84" s="561"/>
      <c r="J84" s="117"/>
    </row>
    <row r="85" spans="1:43" ht="13.5" thickBot="1" x14ac:dyDescent="0.25"/>
    <row r="86" spans="1:43" ht="13.5" thickBot="1" x14ac:dyDescent="0.25">
      <c r="A86" s="369" t="s">
        <v>186</v>
      </c>
      <c r="B86" s="370"/>
      <c r="C86" s="371"/>
      <c r="D86" s="118"/>
    </row>
    <row r="87" spans="1:43" x14ac:dyDescent="0.2">
      <c r="A87" s="119" t="s">
        <v>79</v>
      </c>
      <c r="B87" s="120" t="s">
        <v>166</v>
      </c>
      <c r="C87" s="121" t="s">
        <v>167</v>
      </c>
      <c r="D87" s="122">
        <f>PI()/180</f>
        <v>1.7453292519943295E-2</v>
      </c>
      <c r="I87" s="97" t="s">
        <v>60</v>
      </c>
      <c r="K87" s="97" t="s">
        <v>187</v>
      </c>
      <c r="L87" s="99" t="s">
        <v>64</v>
      </c>
      <c r="M87" s="97" t="s">
        <v>188</v>
      </c>
    </row>
    <row r="88" spans="1:43" x14ac:dyDescent="0.2">
      <c r="A88" s="119" t="s">
        <v>168</v>
      </c>
      <c r="B88" s="120" t="s">
        <v>166</v>
      </c>
      <c r="C88" s="121" t="s">
        <v>79</v>
      </c>
      <c r="D88" s="122">
        <f>180/PI()</f>
        <v>57.295779513082323</v>
      </c>
      <c r="F88" s="97" t="s">
        <v>185</v>
      </c>
      <c r="G88" s="123" t="s">
        <v>190</v>
      </c>
      <c r="I88" s="109">
        <f>R92</f>
        <v>0.12414111625371918</v>
      </c>
      <c r="J88" s="109"/>
      <c r="K88" s="109">
        <f>U94</f>
        <v>0</v>
      </c>
      <c r="L88" s="99" t="e">
        <f>I75*COS(T88*D87)</f>
        <v>#VALUE!</v>
      </c>
      <c r="M88" s="101">
        <f>T79/2</f>
        <v>0.26666666666666666</v>
      </c>
      <c r="R88" s="116" t="str">
        <f>G88</f>
        <v>07°</v>
      </c>
      <c r="S88" s="99" t="str">
        <f>AQ88</f>
        <v>07°00'00.00 [07°00.00] - (07.0000°)</v>
      </c>
      <c r="T88" s="100">
        <f>AK88</f>
        <v>7</v>
      </c>
      <c r="U88" s="111" t="b">
        <f>ISNUMBER(SEARCH("°",R88,1))</f>
        <v>1</v>
      </c>
      <c r="V88" s="111" t="b">
        <f>ISNUMBER(SEARCH("'",R88,1))</f>
        <v>0</v>
      </c>
      <c r="W88" s="111" t="b">
        <f>ISNUMBER(SEARCH("""",R88,1))</f>
        <v>0</v>
      </c>
      <c r="X88" s="111" t="b">
        <f>NOT(OR(U88,V88,W88))</f>
        <v>0</v>
      </c>
      <c r="Y88" s="111" t="b">
        <f>OR(X88,U88)</f>
        <v>1</v>
      </c>
      <c r="Z88" s="106" t="str">
        <f>IF(X88,VALUE(R88),IF(U88,LEFT(R88,SEARCH("°",R88,1)-1),0))</f>
        <v>07</v>
      </c>
      <c r="AA88" s="111" t="str">
        <f>IF(X88,"",IF(U88,RIGHT(R88,LEN(R88)-SEARCH("°",R88,1)),R88))</f>
        <v/>
      </c>
      <c r="AB88" s="111" t="b">
        <f>(LEN(AA88)&gt;0)</f>
        <v>0</v>
      </c>
      <c r="AC88" s="111" t="b">
        <f>NOT(OR(V88,W88))</f>
        <v>1</v>
      </c>
      <c r="AD88" s="106">
        <f>IF(NOT(AB88),0,IF(AC88,VALUE(AA88),IF(NOT(V88),0,VALUE(LEFT(AA88,SEARCH("'",AA88,1)-1)))))</f>
        <v>0</v>
      </c>
      <c r="AE88" s="111" t="str">
        <f>IF(NOT(AB88),"",IF(AC88,"",IF(NOT(V88),AA88,RIGHT(AA88,LEN(AA88)-SEARCH("'",AA88,1)))))</f>
        <v/>
      </c>
      <c r="AF88" s="111" t="b">
        <f>(LEN(AE88)&gt;0)</f>
        <v>0</v>
      </c>
      <c r="AG88" s="111" t="b">
        <f>NOT(W88)</f>
        <v>1</v>
      </c>
      <c r="AH88" s="111" t="b">
        <f>ISNUMBER(SEARCH(".",AE88,1))</f>
        <v>0</v>
      </c>
      <c r="AI88" s="106">
        <f>IF(AF88,IF(W88,IF(AH88,VALUE(SUBSTITUTE(AE88, """", "")),VALUE(SUBSTITUTE(AE88, """", "."))),VALUE(AE88)),0)</f>
        <v>0</v>
      </c>
      <c r="AJ88" s="106">
        <f>Z88*3600+AD88*60+AI88</f>
        <v>25200</v>
      </c>
      <c r="AK88" s="106">
        <f>AJ88/3600</f>
        <v>7</v>
      </c>
      <c r="AL88" s="106"/>
      <c r="AM88" s="106">
        <f>_xlfn.FLOOR.MATH((AK88))</f>
        <v>7</v>
      </c>
      <c r="AN88" s="106">
        <f>(AJ88-3600*AM88)/60</f>
        <v>0</v>
      </c>
      <c r="AO88" s="106">
        <f>_xlfn.FLOOR.MATH((AN88))</f>
        <v>0</v>
      </c>
      <c r="AP88" s="106">
        <f>AJ88-3600*AM88-60*AO88</f>
        <v>0</v>
      </c>
      <c r="AQ88" s="100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24"/>
      <c r="B89" s="125"/>
      <c r="C89" s="126"/>
      <c r="D89" s="118"/>
      <c r="F89" s="97" t="s">
        <v>189</v>
      </c>
      <c r="G89" s="127" t="e">
        <f>-I88-K88+L88+M88</f>
        <v>#VALUE!</v>
      </c>
      <c r="H89" s="128" t="e">
        <f>AQ89</f>
        <v>#VALUE!</v>
      </c>
      <c r="R89" s="129" t="e">
        <f>G89</f>
        <v>#VALUE!</v>
      </c>
      <c r="S89" s="99" t="e">
        <f>AQ89</f>
        <v>#VALUE!</v>
      </c>
      <c r="T89" s="100" t="e">
        <f>AK89</f>
        <v>#VALUE!</v>
      </c>
      <c r="U89" s="111" t="b">
        <f>ISNUMBER(SEARCH("°",R89,1))</f>
        <v>0</v>
      </c>
      <c r="V89" s="111" t="b">
        <f>ISNUMBER(SEARCH("'",R89,1))</f>
        <v>0</v>
      </c>
      <c r="W89" s="111" t="b">
        <f>ISNUMBER(SEARCH("""",R89,1))</f>
        <v>0</v>
      </c>
      <c r="X89" s="111" t="b">
        <f>NOT(OR(U89,V89,W89))</f>
        <v>1</v>
      </c>
      <c r="Y89" s="111" t="b">
        <f>OR(X89,U89)</f>
        <v>1</v>
      </c>
      <c r="Z89" s="106" t="e">
        <f>IF(X89,VALUE(R89),IF(U89,LEFT(R89,SEARCH("°",R89,1)-1),0))</f>
        <v>#VALUE!</v>
      </c>
      <c r="AA89" s="111" t="str">
        <f>IF(X89,"",IF(U89,RIGHT(R89,LEN(R89)-SEARCH("°",R89,1)),R89))</f>
        <v/>
      </c>
      <c r="AB89" s="111" t="b">
        <f>(LEN(AA89)&gt;0)</f>
        <v>0</v>
      </c>
      <c r="AC89" s="111" t="b">
        <f>NOT(OR(V89,W89))</f>
        <v>1</v>
      </c>
      <c r="AD89" s="106">
        <f>IF(NOT(AB89),0,IF(AC89,VALUE(AA89),IF(NOT(V89),0,VALUE(LEFT(AA89,SEARCH("'",AA89,1)-1)))))</f>
        <v>0</v>
      </c>
      <c r="AE89" s="111" t="str">
        <f>IF(NOT(AB89),"",IF(AC89,"",IF(NOT(V89),AA89,RIGHT(AA89,LEN(AA89)-SEARCH("'",AA89,1)))))</f>
        <v/>
      </c>
      <c r="AF89" s="111" t="b">
        <f>(LEN(AE89)&gt;0)</f>
        <v>0</v>
      </c>
      <c r="AG89" s="111" t="b">
        <f>NOT(W89)</f>
        <v>1</v>
      </c>
      <c r="AH89" s="111" t="b">
        <f>ISNUMBER(SEARCH(".",AE89,1))</f>
        <v>0</v>
      </c>
      <c r="AI89" s="106">
        <f>IF(AF89,IF(W89,IF(AH89,VALUE(SUBSTITUTE(AE89, """", "")),VALUE(SUBSTITUTE(AE89, """", "."))),VALUE(AE89)),0)</f>
        <v>0</v>
      </c>
      <c r="AJ89" s="106" t="e">
        <f>Z89*3600+AD89*60+AI89</f>
        <v>#VALUE!</v>
      </c>
      <c r="AK89" s="106" t="e">
        <f>AJ89/3600</f>
        <v>#VALUE!</v>
      </c>
      <c r="AL89" s="106"/>
      <c r="AM89" s="106" t="e">
        <f>_xlfn.FLOOR.MATH((AK89))</f>
        <v>#VALUE!</v>
      </c>
      <c r="AN89" s="106" t="e">
        <f>(AJ89-3600*AM89)/60</f>
        <v>#VALUE!</v>
      </c>
      <c r="AO89" s="106" t="e">
        <f>_xlfn.FLOOR.MATH((AN89))</f>
        <v>#VALUE!</v>
      </c>
      <c r="AP89" s="106" t="e">
        <f>AJ89-3600*AM89-60*AO89</f>
        <v>#VALUE!</v>
      </c>
      <c r="AQ89" s="100" t="e">
        <f>CONCATENATE(TEXT(AM89,"00"),"°",TEXT(AO89,"00"),"'",TEXT(AP89,"00.00"), " [", CONCATENATE(TEXT(AM89,"00"),"°",TEXT(AN89,"00.00")),"]", " - (", TEXT(AK89,"00.0000"),"°)")</f>
        <v>#VALUE!</v>
      </c>
    </row>
    <row r="90" spans="1:43" x14ac:dyDescent="0.2">
      <c r="R90" s="130">
        <f>T88</f>
        <v>7</v>
      </c>
      <c r="S90" s="131" t="s">
        <v>173</v>
      </c>
      <c r="T90" s="118">
        <f>(1/(TAN((R90+(7.31/(R90+4.4))) *D87)))</f>
        <v>7.4537346322070421</v>
      </c>
    </row>
    <row r="91" spans="1:43" x14ac:dyDescent="0.2">
      <c r="R91" s="130"/>
      <c r="S91" s="131" t="s">
        <v>174</v>
      </c>
      <c r="T91" s="118">
        <f>(0.28 * 'Droite de hauteur-soleil'!O102 / (273 + 'Droite de hauteur-soleil'!O101))</f>
        <v>0.99929328621908131</v>
      </c>
    </row>
    <row r="92" spans="1:43" x14ac:dyDescent="0.2">
      <c r="R92" s="130">
        <f>T92</f>
        <v>0.12414111625371918</v>
      </c>
      <c r="S92" s="131" t="s">
        <v>63</v>
      </c>
      <c r="T92" s="101">
        <f>T90*T91/60</f>
        <v>0.12414111625371918</v>
      </c>
    </row>
    <row r="94" spans="1:43" x14ac:dyDescent="0.2">
      <c r="R94" s="131" t="s">
        <v>56</v>
      </c>
      <c r="S94" s="101">
        <f>Test!M70</f>
        <v>0</v>
      </c>
      <c r="T94" s="132" t="s">
        <v>139</v>
      </c>
      <c r="U94" s="118">
        <f>0.0293 * SQRT(S94)</f>
        <v>0</v>
      </c>
    </row>
  </sheetData>
  <mergeCells count="148"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Outils</vt:lpstr>
      <vt:lpstr>Droite de hauteur-soleil</vt:lpstr>
      <vt:lpstr>Droite de hauteur-lune</vt:lpstr>
      <vt:lpstr>Droite de hauteur-etoileplanete</vt:lpstr>
      <vt:lpstr>Meridienne</vt:lpstr>
      <vt:lpstr>Latitude Polaire</vt:lpstr>
      <vt:lpstr>Nav</vt:lpstr>
      <vt:lpstr>Maree</vt:lpstr>
      <vt:lpstr>Demo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2024-07-26T14:19:38Z</dcterms:modified>
</cp:coreProperties>
</file>